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06"/>
  <workbookPr filterPrivacy="1" defaultThemeVersion="166925"/>
  <xr:revisionPtr revIDLastSave="352" documentId="11_5D5E7CDD347C3AA009B899610043CEE1DB75D757" xr6:coauthVersionLast="47" xr6:coauthVersionMax="47" xr10:uidLastSave="{335B8F0D-8F8D-4B88-8C4E-F6CEF7029439}"/>
  <bookViews>
    <workbookView xWindow="-110" yWindow="-110" windowWidth="25180" windowHeight="16260" firstSheet="1" activeTab="9" xr2:uid="{A22C7B05-6B0A-4116-A99A-60EDDEA67682}"/>
  </bookViews>
  <sheets>
    <sheet name="Paraguay" sheetId="8" r:id="rId1"/>
    <sheet name="Colombia" sheetId="1" r:id="rId2"/>
    <sheet name="Mexico" sheetId="2" r:id="rId3"/>
    <sheet name="Guayana" sheetId="4" r:id="rId4"/>
    <sheet name="Guatemala" sheetId="3" r:id="rId5"/>
    <sheet name="Jamaica" sheetId="10" r:id="rId6"/>
    <sheet name="Republica Dominicana" sheetId="5" r:id="rId7"/>
    <sheet name="Venezuela" sheetId="9" r:id="rId8"/>
    <sheet name="Myanmar" sheetId="6" r:id="rId9"/>
    <sheet name="Haití" sheetId="7" r:id="rId10"/>
  </sheets>
  <definedNames>
    <definedName name="_xlnm._FilterDatabase" localSheetId="1" hidden="1">Colombia!$A$1:$D$43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G13" i="1"/>
</calcChain>
</file>

<file path=xl/sharedStrings.xml><?xml version="1.0" encoding="utf-8"?>
<sst xmlns="http://schemas.openxmlformats.org/spreadsheetml/2006/main" count="258" uniqueCount="86">
  <si>
    <t>Programa/Program</t>
  </si>
  <si>
    <t>Nombre/Name</t>
  </si>
  <si>
    <t>Para hombre/mujer
For Male/female</t>
  </si>
  <si>
    <t>Talla / Size</t>
  </si>
  <si>
    <t>C4D - Cacao para el Desarrollo</t>
  </si>
  <si>
    <t xml:space="preserve">Jesús Manuel Sánchez Osorio </t>
  </si>
  <si>
    <t>Hombre / Male</t>
  </si>
  <si>
    <t>L</t>
  </si>
  <si>
    <t xml:space="preserve">Mauricio Duque Díaz </t>
  </si>
  <si>
    <t>Juan Jaiver Romero Guerrero</t>
  </si>
  <si>
    <t>l MEN 12</t>
  </si>
  <si>
    <t>Jerferson  hernandez guilombo</t>
  </si>
  <si>
    <t>3 l w</t>
  </si>
  <si>
    <t xml:space="preserve">Edinson Silva Becerra </t>
  </si>
  <si>
    <t>5 WM</t>
  </si>
  <si>
    <t>Enith Yohana Rendon Conde</t>
  </si>
  <si>
    <t xml:space="preserve">Mujer/Female </t>
  </si>
  <si>
    <t>8 MM</t>
  </si>
  <si>
    <t xml:space="preserve">Mario José Betin </t>
  </si>
  <si>
    <t>M</t>
  </si>
  <si>
    <t>3 WS</t>
  </si>
  <si>
    <t>Edilson Torres Bertel</t>
  </si>
  <si>
    <t>2 XS W</t>
  </si>
  <si>
    <t>Roberto de Jesús Muñoz Suárez</t>
  </si>
  <si>
    <t>2 S M</t>
  </si>
  <si>
    <t xml:space="preserve">Jesús Camilo Lozano freyle </t>
  </si>
  <si>
    <t>6 XLM</t>
  </si>
  <si>
    <t xml:space="preserve">Katherine Ortiz Florez </t>
  </si>
  <si>
    <t>1 XXLM</t>
  </si>
  <si>
    <t>Nelson Hermes Diaz Ariza</t>
  </si>
  <si>
    <t xml:space="preserve">Eleyda becerra guerrero </t>
  </si>
  <si>
    <t xml:space="preserve">Edgar Hernan Alfonso Morales </t>
  </si>
  <si>
    <t xml:space="preserve">Félix Gabriel Sánchez Ortiz </t>
  </si>
  <si>
    <t>Xl</t>
  </si>
  <si>
    <t xml:space="preserve">Yeison Ortega Jiménez </t>
  </si>
  <si>
    <t xml:space="preserve">Miguel Ángel Romero Cura </t>
  </si>
  <si>
    <t>XL</t>
  </si>
  <si>
    <t xml:space="preserve">Divier Santander Perez </t>
  </si>
  <si>
    <t xml:space="preserve">XL </t>
  </si>
  <si>
    <t>Luis Eduardo rincon sierra</t>
  </si>
  <si>
    <t xml:space="preserve">Julio César Suárez pitalua </t>
  </si>
  <si>
    <t>Willian Gonzalez Gutierrez</t>
  </si>
  <si>
    <t xml:space="preserve">Alexander pardo lugo </t>
  </si>
  <si>
    <t xml:space="preserve">Fermín Antonio Arango Ariza </t>
  </si>
  <si>
    <t xml:space="preserve">Jose Wilder Hincapié Ramírez </t>
  </si>
  <si>
    <t>Pedro Nel Córdoba Cortes</t>
  </si>
  <si>
    <t>Leonardo Ñustes Sanchez</t>
  </si>
  <si>
    <t>Leyla Beatriz Montaña Forero</t>
  </si>
  <si>
    <t>Massiel Nayibe Moreno</t>
  </si>
  <si>
    <t>Luis Ernesto Ramirez Rodriguez</t>
  </si>
  <si>
    <t>S</t>
  </si>
  <si>
    <t>Lizeth Stephany Gómez Niño</t>
  </si>
  <si>
    <t xml:space="preserve">Carlos Julio Neisa </t>
  </si>
  <si>
    <t>John Jairo Verano Ramírez</t>
  </si>
  <si>
    <t>XXL</t>
  </si>
  <si>
    <t>Farmer to Farmer</t>
  </si>
  <si>
    <t>Omar Aza Fuelantala</t>
  </si>
  <si>
    <t>Daniela Sierra Robles</t>
  </si>
  <si>
    <t>Juntos Aprendemos</t>
  </si>
  <si>
    <t>Johan Rodriguez</t>
  </si>
  <si>
    <t>Marcela Muñoz</t>
  </si>
  <si>
    <t>Francy Lafaurie</t>
  </si>
  <si>
    <t>Manuela Sandoval</t>
  </si>
  <si>
    <t>Marcela Forero</t>
  </si>
  <si>
    <t>Norman Peña</t>
  </si>
  <si>
    <t>Johana Paez</t>
  </si>
  <si>
    <t>XS</t>
  </si>
  <si>
    <t xml:space="preserve">Giohana Caballero </t>
  </si>
  <si>
    <t>USAID649 (F2F)</t>
  </si>
  <si>
    <t>Damar Wilson</t>
  </si>
  <si>
    <t>Male</t>
  </si>
  <si>
    <t>Large</t>
  </si>
  <si>
    <t>Howard Williams</t>
  </si>
  <si>
    <t xml:space="preserve"> </t>
  </si>
  <si>
    <t>F2FDR</t>
  </si>
  <si>
    <t>Rossy Samboys</t>
  </si>
  <si>
    <t>Mujer</t>
  </si>
  <si>
    <t>Maria Montas</t>
  </si>
  <si>
    <t>Franqui Linarez</t>
  </si>
  <si>
    <t>Hombre</t>
  </si>
  <si>
    <t>Francisco Mendez</t>
  </si>
  <si>
    <t>Ai Thanda Kyaw</t>
  </si>
  <si>
    <t>Female</t>
  </si>
  <si>
    <t>Medium</t>
  </si>
  <si>
    <t xml:space="preserve">Rosy Mi Mi 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</si>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</sst>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B08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FD69-D369-4B93-A536-11422925B39E}">
  <dimension ref="A1:D1"/>
  <sheetViews>
    <sheetView workbookViewId="0">
      <selection activeCell="H19" sqref="H19"/>
    </sheetView>
  </sheetViews>
  <sheetFormatPr defaultColWidth="11.42578125" defaultRowHeight="14.45"/>
  <cols>
    <col min="1" max="1" width="24.85546875" customWidth="1"/>
    <col min="2" max="2" width="20.28515625" customWidth="1"/>
    <col min="3" max="3" width="31.85546875" customWidth="1"/>
  </cols>
  <sheetData>
    <row r="1" spans="1:4" ht="29.1">
      <c r="A1" s="1" t="s">
        <v>0</v>
      </c>
      <c r="B1" s="1" t="s">
        <v>1</v>
      </c>
      <c r="C1" s="2" t="s">
        <v>2</v>
      </c>
      <c r="D1" s="1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I43"/>
  <sheetViews>
    <sheetView zoomScale="193" workbookViewId="0">
      <selection activeCell="A34" sqref="A34:D35"/>
    </sheetView>
  </sheetViews>
  <sheetFormatPr defaultColWidth="11.42578125" defaultRowHeight="14.45"/>
  <cols>
    <col min="1" max="1" width="37.42578125" customWidth="1"/>
    <col min="2" max="2" width="27.5703125" bestFit="1" customWidth="1"/>
    <col min="3" max="3" width="22.28515625" bestFit="1" customWidth="1"/>
    <col min="4" max="4" width="14.140625" bestFit="1" customWidth="1"/>
  </cols>
  <sheetData>
    <row r="1" spans="1:9" ht="29.1">
      <c r="A1" s="1" t="s">
        <v>0</v>
      </c>
      <c r="B1" s="1" t="s">
        <v>1</v>
      </c>
      <c r="C1" s="2" t="s">
        <v>2</v>
      </c>
      <c r="D1" s="1" t="s">
        <v>3</v>
      </c>
    </row>
    <row r="2" spans="1:9">
      <c r="A2" s="12" t="s">
        <v>4</v>
      </c>
      <c r="B2" s="12" t="s">
        <v>5</v>
      </c>
      <c r="C2" s="12" t="s">
        <v>6</v>
      </c>
      <c r="D2" s="12" t="s">
        <v>7</v>
      </c>
    </row>
    <row r="3" spans="1:9">
      <c r="A3" s="12" t="s">
        <v>4</v>
      </c>
      <c r="B3" s="12" t="s">
        <v>8</v>
      </c>
      <c r="C3" s="12" t="s">
        <v>6</v>
      </c>
      <c r="D3" s="12" t="s">
        <v>7</v>
      </c>
    </row>
    <row r="4" spans="1:9">
      <c r="A4" s="12" t="s">
        <v>4</v>
      </c>
      <c r="B4" s="12" t="s">
        <v>9</v>
      </c>
      <c r="C4" s="12" t="s">
        <v>6</v>
      </c>
      <c r="D4" s="12" t="s">
        <v>7</v>
      </c>
      <c r="F4" t="s">
        <v>10</v>
      </c>
      <c r="G4">
        <v>12</v>
      </c>
      <c r="I4">
        <v>2</v>
      </c>
    </row>
    <row r="5" spans="1:9">
      <c r="A5" s="12" t="s">
        <v>4</v>
      </c>
      <c r="B5" s="12" t="s">
        <v>11</v>
      </c>
      <c r="C5" s="12" t="s">
        <v>6</v>
      </c>
      <c r="D5" s="12" t="s">
        <v>7</v>
      </c>
      <c r="F5" t="s">
        <v>12</v>
      </c>
      <c r="G5">
        <v>3</v>
      </c>
      <c r="I5">
        <v>3</v>
      </c>
    </row>
    <row r="6" spans="1:9">
      <c r="A6" s="12" t="s">
        <v>4</v>
      </c>
      <c r="B6" s="12" t="s">
        <v>13</v>
      </c>
      <c r="C6" s="12" t="s">
        <v>6</v>
      </c>
      <c r="D6" s="12" t="s">
        <v>7</v>
      </c>
      <c r="F6" t="s">
        <v>14</v>
      </c>
      <c r="G6">
        <v>5</v>
      </c>
      <c r="I6">
        <v>5</v>
      </c>
    </row>
    <row r="7" spans="1:9">
      <c r="A7" s="12" t="s">
        <v>4</v>
      </c>
      <c r="B7" s="12" t="s">
        <v>15</v>
      </c>
      <c r="C7" s="12" t="s">
        <v>16</v>
      </c>
      <c r="D7" s="12" t="s">
        <v>7</v>
      </c>
      <c r="F7" t="s">
        <v>17</v>
      </c>
      <c r="G7">
        <v>8</v>
      </c>
    </row>
    <row r="8" spans="1:9">
      <c r="A8" s="12" t="s">
        <v>4</v>
      </c>
      <c r="B8" s="12" t="s">
        <v>18</v>
      </c>
      <c r="C8" s="12" t="s">
        <v>6</v>
      </c>
      <c r="D8" s="12" t="s">
        <v>19</v>
      </c>
      <c r="F8" t="s">
        <v>20</v>
      </c>
      <c r="G8">
        <v>3</v>
      </c>
      <c r="I8">
        <v>3</v>
      </c>
    </row>
    <row r="9" spans="1:9">
      <c r="A9" s="12" t="s">
        <v>4</v>
      </c>
      <c r="B9" s="12" t="s">
        <v>21</v>
      </c>
      <c r="C9" s="12" t="s">
        <v>6</v>
      </c>
      <c r="D9" s="12" t="s">
        <v>19</v>
      </c>
      <c r="F9" t="s">
        <v>22</v>
      </c>
      <c r="G9">
        <v>2</v>
      </c>
    </row>
    <row r="10" spans="1:9">
      <c r="A10" s="12" t="s">
        <v>4</v>
      </c>
      <c r="B10" s="12" t="s">
        <v>23</v>
      </c>
      <c r="C10" s="12" t="s">
        <v>6</v>
      </c>
      <c r="D10" s="12" t="s">
        <v>19</v>
      </c>
      <c r="F10" t="s">
        <v>24</v>
      </c>
      <c r="G10">
        <v>2</v>
      </c>
      <c r="I10">
        <v>2</v>
      </c>
    </row>
    <row r="11" spans="1:9">
      <c r="A11" s="12" t="s">
        <v>4</v>
      </c>
      <c r="B11" s="12" t="s">
        <v>25</v>
      </c>
      <c r="C11" s="12" t="s">
        <v>6</v>
      </c>
      <c r="D11" s="12" t="s">
        <v>19</v>
      </c>
      <c r="F11" t="s">
        <v>26</v>
      </c>
      <c r="G11">
        <v>6</v>
      </c>
      <c r="I11">
        <v>6</v>
      </c>
    </row>
    <row r="12" spans="1:9">
      <c r="A12" s="12" t="s">
        <v>4</v>
      </c>
      <c r="B12" s="12" t="s">
        <v>27</v>
      </c>
      <c r="C12" s="12" t="s">
        <v>16</v>
      </c>
      <c r="D12" s="12" t="s">
        <v>19</v>
      </c>
      <c r="F12" t="s">
        <v>28</v>
      </c>
      <c r="G12">
        <v>1</v>
      </c>
    </row>
    <row r="13" spans="1:9">
      <c r="A13" s="12" t="s">
        <v>4</v>
      </c>
      <c r="B13" s="12" t="s">
        <v>29</v>
      </c>
      <c r="C13" s="12" t="s">
        <v>6</v>
      </c>
      <c r="D13" s="12" t="s">
        <v>19</v>
      </c>
      <c r="G13">
        <f>SUM(G4:G12)</f>
        <v>42</v>
      </c>
      <c r="I13">
        <f>SUM(I4:I12)</f>
        <v>21</v>
      </c>
    </row>
    <row r="14" spans="1:9">
      <c r="A14" s="12" t="s">
        <v>4</v>
      </c>
      <c r="B14" s="12" t="s">
        <v>30</v>
      </c>
      <c r="C14" s="12" t="s">
        <v>16</v>
      </c>
      <c r="D14" s="12" t="s">
        <v>19</v>
      </c>
    </row>
    <row r="15" spans="1:9">
      <c r="A15" s="12" t="s">
        <v>4</v>
      </c>
      <c r="B15" s="12" t="s">
        <v>31</v>
      </c>
      <c r="C15" s="12" t="s">
        <v>6</v>
      </c>
      <c r="D15" s="12" t="s">
        <v>19</v>
      </c>
    </row>
    <row r="16" spans="1:9">
      <c r="A16" s="12" t="s">
        <v>4</v>
      </c>
      <c r="B16" s="12" t="s">
        <v>32</v>
      </c>
      <c r="C16" s="12" t="s">
        <v>6</v>
      </c>
      <c r="D16" s="12" t="s">
        <v>33</v>
      </c>
    </row>
    <row r="17" spans="1:4">
      <c r="A17" s="12" t="s">
        <v>4</v>
      </c>
      <c r="B17" s="12" t="s">
        <v>34</v>
      </c>
      <c r="C17" s="12" t="s">
        <v>6</v>
      </c>
      <c r="D17" s="12" t="s">
        <v>33</v>
      </c>
    </row>
    <row r="18" spans="1:4">
      <c r="A18" s="12" t="s">
        <v>4</v>
      </c>
      <c r="B18" s="12" t="s">
        <v>35</v>
      </c>
      <c r="C18" s="12" t="s">
        <v>6</v>
      </c>
      <c r="D18" s="12" t="s">
        <v>36</v>
      </c>
    </row>
    <row r="19" spans="1:4">
      <c r="A19" s="12" t="s">
        <v>4</v>
      </c>
      <c r="B19" s="12" t="s">
        <v>37</v>
      </c>
      <c r="C19" s="12" t="s">
        <v>6</v>
      </c>
      <c r="D19" s="12" t="s">
        <v>38</v>
      </c>
    </row>
    <row r="20" spans="1:4">
      <c r="A20" t="s">
        <v>4</v>
      </c>
      <c r="B20" t="s">
        <v>39</v>
      </c>
      <c r="C20" t="s">
        <v>6</v>
      </c>
      <c r="D20" t="s">
        <v>7</v>
      </c>
    </row>
    <row r="21" spans="1:4">
      <c r="A21" t="s">
        <v>4</v>
      </c>
      <c r="B21" t="s">
        <v>40</v>
      </c>
      <c r="C21" t="s">
        <v>6</v>
      </c>
      <c r="D21" t="s">
        <v>7</v>
      </c>
    </row>
    <row r="22" spans="1:4">
      <c r="A22" t="s">
        <v>4</v>
      </c>
      <c r="B22" t="s">
        <v>41</v>
      </c>
      <c r="C22" t="s">
        <v>6</v>
      </c>
      <c r="D22" t="s">
        <v>7</v>
      </c>
    </row>
    <row r="23" spans="1:4">
      <c r="A23" t="s">
        <v>4</v>
      </c>
      <c r="B23" t="s">
        <v>42</v>
      </c>
      <c r="C23" t="s">
        <v>6</v>
      </c>
      <c r="D23" t="s">
        <v>7</v>
      </c>
    </row>
    <row r="24" spans="1:4">
      <c r="A24" t="s">
        <v>4</v>
      </c>
      <c r="B24" t="s">
        <v>43</v>
      </c>
      <c r="C24" t="s">
        <v>6</v>
      </c>
      <c r="D24" t="s">
        <v>7</v>
      </c>
    </row>
    <row r="25" spans="1:4">
      <c r="A25" t="s">
        <v>4</v>
      </c>
      <c r="B25" t="s">
        <v>44</v>
      </c>
      <c r="C25" t="s">
        <v>6</v>
      </c>
      <c r="D25" t="s">
        <v>7</v>
      </c>
    </row>
    <row r="26" spans="1:4">
      <c r="A26" t="s">
        <v>4</v>
      </c>
      <c r="B26" t="s">
        <v>45</v>
      </c>
      <c r="C26" t="s">
        <v>6</v>
      </c>
      <c r="D26" t="s">
        <v>19</v>
      </c>
    </row>
    <row r="27" spans="1:4">
      <c r="A27" t="s">
        <v>4</v>
      </c>
      <c r="B27" t="s">
        <v>46</v>
      </c>
      <c r="C27" t="s">
        <v>6</v>
      </c>
      <c r="D27" t="s">
        <v>19</v>
      </c>
    </row>
    <row r="28" spans="1:4">
      <c r="A28" s="10" t="s">
        <v>4</v>
      </c>
      <c r="B28" s="10" t="s">
        <v>47</v>
      </c>
      <c r="C28" s="10" t="s">
        <v>16</v>
      </c>
      <c r="D28" s="10" t="s">
        <v>7</v>
      </c>
    </row>
    <row r="29" spans="1:4">
      <c r="A29" s="10" t="s">
        <v>4</v>
      </c>
      <c r="B29" s="10" t="s">
        <v>48</v>
      </c>
      <c r="C29" s="10" t="s">
        <v>16</v>
      </c>
      <c r="D29" s="10" t="s">
        <v>7</v>
      </c>
    </row>
    <row r="30" spans="1:4">
      <c r="A30" s="10" t="s">
        <v>4</v>
      </c>
      <c r="B30" s="10" t="s">
        <v>49</v>
      </c>
      <c r="C30" s="10" t="s">
        <v>6</v>
      </c>
      <c r="D30" s="10" t="s">
        <v>50</v>
      </c>
    </row>
    <row r="31" spans="1:4">
      <c r="A31" s="10" t="s">
        <v>4</v>
      </c>
      <c r="B31" s="10" t="s">
        <v>51</v>
      </c>
      <c r="C31" s="10" t="s">
        <v>16</v>
      </c>
      <c r="D31" s="10" t="s">
        <v>50</v>
      </c>
    </row>
    <row r="32" spans="1:4">
      <c r="A32" s="10" t="s">
        <v>4</v>
      </c>
      <c r="B32" s="10" t="s">
        <v>52</v>
      </c>
      <c r="C32" s="10" t="s">
        <v>6</v>
      </c>
      <c r="D32" s="10" t="s">
        <v>36</v>
      </c>
    </row>
    <row r="33" spans="1:4">
      <c r="A33" s="10" t="s">
        <v>4</v>
      </c>
      <c r="B33" s="10" t="s">
        <v>53</v>
      </c>
      <c r="C33" s="10" t="s">
        <v>6</v>
      </c>
      <c r="D33" s="13" t="s">
        <v>54</v>
      </c>
    </row>
    <row r="34" spans="1:4">
      <c r="A34" s="10" t="s">
        <v>55</v>
      </c>
      <c r="B34" s="14" t="s">
        <v>56</v>
      </c>
      <c r="C34" s="10" t="s">
        <v>6</v>
      </c>
      <c r="D34" s="10" t="s">
        <v>50</v>
      </c>
    </row>
    <row r="35" spans="1:4">
      <c r="A35" s="10" t="s">
        <v>55</v>
      </c>
      <c r="B35" s="14" t="s">
        <v>57</v>
      </c>
      <c r="C35" s="10" t="s">
        <v>16</v>
      </c>
      <c r="D35" s="10" t="s">
        <v>50</v>
      </c>
    </row>
    <row r="36" spans="1:4">
      <c r="A36" t="s">
        <v>58</v>
      </c>
      <c r="B36" s="11" t="s">
        <v>59</v>
      </c>
      <c r="C36" t="s">
        <v>6</v>
      </c>
      <c r="D36" t="s">
        <v>7</v>
      </c>
    </row>
    <row r="37" spans="1:4">
      <c r="A37" t="s">
        <v>58</v>
      </c>
      <c r="B37" s="11" t="s">
        <v>60</v>
      </c>
      <c r="C37" t="s">
        <v>16</v>
      </c>
      <c r="D37" t="s">
        <v>19</v>
      </c>
    </row>
    <row r="38" spans="1:4">
      <c r="A38" t="s">
        <v>58</v>
      </c>
      <c r="B38" s="11" t="s">
        <v>61</v>
      </c>
      <c r="C38" t="s">
        <v>16</v>
      </c>
      <c r="D38" t="s">
        <v>19</v>
      </c>
    </row>
    <row r="39" spans="1:4">
      <c r="A39" t="s">
        <v>58</v>
      </c>
      <c r="B39" s="11" t="s">
        <v>62</v>
      </c>
      <c r="C39" t="s">
        <v>16</v>
      </c>
      <c r="D39" t="s">
        <v>19</v>
      </c>
    </row>
    <row r="40" spans="1:4">
      <c r="A40" t="s">
        <v>58</v>
      </c>
      <c r="B40" s="11" t="s">
        <v>63</v>
      </c>
      <c r="C40" t="s">
        <v>16</v>
      </c>
      <c r="D40" t="s">
        <v>50</v>
      </c>
    </row>
    <row r="41" spans="1:4">
      <c r="A41" t="s">
        <v>58</v>
      </c>
      <c r="B41" s="11" t="s">
        <v>64</v>
      </c>
      <c r="C41" t="s">
        <v>6</v>
      </c>
      <c r="D41" t="s">
        <v>36</v>
      </c>
    </row>
    <row r="42" spans="1:4">
      <c r="A42" t="s">
        <v>58</v>
      </c>
      <c r="B42" s="11" t="s">
        <v>65</v>
      </c>
      <c r="C42" t="s">
        <v>16</v>
      </c>
      <c r="D42" t="s">
        <v>66</v>
      </c>
    </row>
    <row r="43" spans="1:4">
      <c r="A43" t="s">
        <v>58</v>
      </c>
      <c r="B43" s="11" t="s">
        <v>67</v>
      </c>
      <c r="C43" t="s">
        <v>16</v>
      </c>
      <c r="D43" t="s">
        <v>66</v>
      </c>
    </row>
  </sheetData>
  <autoFilter ref="A1:D43" xr:uid="{F274FABB-DF5C-4F9E-B98F-F8DC866DADF5}">
    <sortState xmlns:xlrd2="http://schemas.microsoft.com/office/spreadsheetml/2017/richdata2" ref="A2:D43">
      <sortCondition sortBy="cellColor" ref="D1" dxfId="0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1C54-48A3-4362-8AF0-BDB719865E75}">
  <dimension ref="A1:D1"/>
  <sheetViews>
    <sheetView workbookViewId="0">
      <selection activeCell="D1" sqref="A1:D1"/>
    </sheetView>
  </sheetViews>
  <sheetFormatPr defaultRowHeight="14.45"/>
  <cols>
    <col min="1" max="1" width="30.7109375" customWidth="1"/>
    <col min="2" max="2" width="33.5703125" customWidth="1"/>
    <col min="3" max="3" width="21.42578125" customWidth="1"/>
    <col min="4" max="4" width="10.7109375" bestFit="1" customWidth="1"/>
  </cols>
  <sheetData>
    <row r="1" spans="1:4" ht="29.1">
      <c r="A1" s="1" t="s">
        <v>0</v>
      </c>
      <c r="B1" s="1" t="s">
        <v>1</v>
      </c>
      <c r="C1" s="2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1D4E-28F0-48DE-B648-DBABD8FCE75D}">
  <dimension ref="A1:D4"/>
  <sheetViews>
    <sheetView workbookViewId="0">
      <selection activeCell="F16" sqref="F16"/>
    </sheetView>
  </sheetViews>
  <sheetFormatPr defaultRowHeight="14.45"/>
  <cols>
    <col min="1" max="2" width="26.85546875" customWidth="1"/>
    <col min="3" max="3" width="18.42578125" customWidth="1"/>
    <col min="4" max="4" width="11.85546875" customWidth="1"/>
  </cols>
  <sheetData>
    <row r="1" spans="1:4" ht="29.1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68</v>
      </c>
      <c r="B2" t="s">
        <v>69</v>
      </c>
      <c r="C2" t="s">
        <v>70</v>
      </c>
      <c r="D2" t="s">
        <v>71</v>
      </c>
    </row>
    <row r="3" spans="1:4">
      <c r="A3" t="s">
        <v>68</v>
      </c>
      <c r="B3" t="s">
        <v>72</v>
      </c>
      <c r="C3" t="s">
        <v>70</v>
      </c>
      <c r="D3" t="s">
        <v>71</v>
      </c>
    </row>
    <row r="4" spans="1:4">
      <c r="A4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3426-06F2-480E-81FD-44FD67E6F398}">
  <dimension ref="A1:D1"/>
  <sheetViews>
    <sheetView workbookViewId="0">
      <selection activeCell="C8" sqref="C8"/>
    </sheetView>
  </sheetViews>
  <sheetFormatPr defaultRowHeight="14.45"/>
  <cols>
    <col min="1" max="2" width="26.85546875" customWidth="1"/>
    <col min="3" max="3" width="18.42578125" customWidth="1"/>
    <col min="4" max="4" width="11.85546875" customWidth="1"/>
  </cols>
  <sheetData>
    <row r="1" spans="1:4" ht="29.1">
      <c r="A1" s="1" t="s">
        <v>0</v>
      </c>
      <c r="B1" s="1" t="s">
        <v>1</v>
      </c>
      <c r="C1" s="2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D4CD-20FD-48E9-BE34-285D96E7C9AC}">
  <dimension ref="A2:G10"/>
  <sheetViews>
    <sheetView workbookViewId="0">
      <selection activeCell="E9" sqref="B7:E9"/>
    </sheetView>
  </sheetViews>
  <sheetFormatPr defaultColWidth="9.140625" defaultRowHeight="14.45"/>
  <cols>
    <col min="1" max="1" width="9.140625" style="1"/>
    <col min="2" max="2" width="19.7109375" style="1" customWidth="1"/>
    <col min="3" max="3" width="19.140625" style="1" customWidth="1"/>
    <col min="4" max="4" width="18.140625" style="1" customWidth="1"/>
    <col min="5" max="5" width="17.85546875" style="1" customWidth="1"/>
    <col min="6" max="16384" width="9.140625" style="1"/>
  </cols>
  <sheetData>
    <row r="2" spans="1:7" ht="27" customHeight="1">
      <c r="B2" s="1" t="s">
        <v>0</v>
      </c>
      <c r="C2" s="1" t="s">
        <v>1</v>
      </c>
      <c r="D2" s="2" t="s">
        <v>2</v>
      </c>
      <c r="E2" s="1" t="s">
        <v>3</v>
      </c>
    </row>
    <row r="3" spans="1:7">
      <c r="B3" s="6"/>
      <c r="C3" s="6"/>
      <c r="D3" s="6"/>
      <c r="E3" s="6"/>
      <c r="F3" s="6"/>
    </row>
    <row r="4" spans="1:7">
      <c r="A4" s="3"/>
      <c r="B4" s="5" t="s">
        <v>68</v>
      </c>
      <c r="C4" s="5" t="s">
        <v>69</v>
      </c>
      <c r="D4" s="5" t="s">
        <v>70</v>
      </c>
      <c r="E4" s="5" t="s">
        <v>71</v>
      </c>
      <c r="G4" s="4"/>
    </row>
    <row r="5" spans="1:7">
      <c r="A5" s="3"/>
      <c r="B5" s="5" t="s">
        <v>68</v>
      </c>
      <c r="C5" s="5" t="s">
        <v>72</v>
      </c>
      <c r="D5" s="5" t="s">
        <v>70</v>
      </c>
      <c r="E5" s="5" t="s">
        <v>71</v>
      </c>
      <c r="G5" s="4"/>
    </row>
    <row r="6" spans="1:7">
      <c r="B6" s="8"/>
      <c r="C6" s="8"/>
      <c r="D6" s="9"/>
      <c r="E6" s="8"/>
      <c r="F6" s="7"/>
    </row>
    <row r="7" spans="1:7">
      <c r="A7" s="3"/>
      <c r="B7" s="5"/>
      <c r="C7" s="5"/>
      <c r="D7" s="5"/>
      <c r="E7" s="5"/>
      <c r="F7" s="4"/>
    </row>
    <row r="8" spans="1:7">
      <c r="A8" s="3"/>
      <c r="B8" s="5"/>
      <c r="C8" s="5"/>
      <c r="D8" s="5"/>
      <c r="E8" s="5"/>
      <c r="F8" s="4"/>
    </row>
    <row r="9" spans="1:7">
      <c r="A9" s="3"/>
      <c r="F9" s="4"/>
    </row>
    <row r="10" spans="1:7">
      <c r="B10" s="7"/>
      <c r="C10" s="7"/>
      <c r="D10" s="7"/>
      <c r="E10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DC0D-954A-4AAE-8A95-7ACB347DDEED}">
  <dimension ref="A1:D5"/>
  <sheetViews>
    <sheetView workbookViewId="0">
      <selection activeCell="A5" sqref="A5"/>
    </sheetView>
  </sheetViews>
  <sheetFormatPr defaultColWidth="11.42578125" defaultRowHeight="14.45"/>
  <cols>
    <col min="1" max="1" width="24.85546875" customWidth="1"/>
    <col min="2" max="2" width="20.28515625" customWidth="1"/>
    <col min="3" max="3" width="31.85546875" customWidth="1"/>
  </cols>
  <sheetData>
    <row r="1" spans="1:4" ht="29.1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74</v>
      </c>
      <c r="B2" t="s">
        <v>75</v>
      </c>
      <c r="C2" t="s">
        <v>76</v>
      </c>
      <c r="D2" t="s">
        <v>7</v>
      </c>
    </row>
    <row r="3" spans="1:4">
      <c r="A3" t="s">
        <v>74</v>
      </c>
      <c r="B3" t="s">
        <v>77</v>
      </c>
      <c r="C3" t="s">
        <v>76</v>
      </c>
      <c r="D3" t="s">
        <v>50</v>
      </c>
    </row>
    <row r="4" spans="1:4">
      <c r="A4" t="s">
        <v>74</v>
      </c>
      <c r="B4" t="s">
        <v>78</v>
      </c>
      <c r="C4" t="s">
        <v>79</v>
      </c>
      <c r="D4" t="s">
        <v>7</v>
      </c>
    </row>
    <row r="5" spans="1:4">
      <c r="A5" t="s">
        <v>74</v>
      </c>
      <c r="B5" t="s">
        <v>80</v>
      </c>
      <c r="C5" t="s">
        <v>79</v>
      </c>
      <c r="D5" t="s">
        <v>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373C-95D8-481D-86FB-93322DC7A020}">
  <dimension ref="A1:D1"/>
  <sheetViews>
    <sheetView workbookViewId="0">
      <selection activeCell="D8" sqref="D8"/>
    </sheetView>
  </sheetViews>
  <sheetFormatPr defaultColWidth="11.42578125" defaultRowHeight="14.45"/>
  <cols>
    <col min="1" max="1" width="24.85546875" customWidth="1"/>
    <col min="2" max="2" width="20.28515625" customWidth="1"/>
    <col min="3" max="3" width="31.85546875" customWidth="1"/>
  </cols>
  <sheetData>
    <row r="1" spans="1:4" ht="29.1">
      <c r="A1" s="1" t="s">
        <v>0</v>
      </c>
      <c r="B1" s="1" t="s">
        <v>1</v>
      </c>
      <c r="C1" s="2" t="s">
        <v>2</v>
      </c>
      <c r="D1" s="1" t="s">
        <v>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98BF-31C8-4BAB-92C6-73B8B4123A2A}">
  <dimension ref="A1:D3"/>
  <sheetViews>
    <sheetView workbookViewId="0">
      <selection activeCell="G5" sqref="G5"/>
    </sheetView>
  </sheetViews>
  <sheetFormatPr defaultColWidth="11.42578125" defaultRowHeight="14.45"/>
  <cols>
    <col min="1" max="1" width="24.85546875" customWidth="1"/>
    <col min="2" max="2" width="20.28515625" customWidth="1"/>
    <col min="3" max="3" width="31.85546875" customWidth="1"/>
  </cols>
  <sheetData>
    <row r="1" spans="1:4" ht="29.1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68</v>
      </c>
      <c r="B2" t="s">
        <v>81</v>
      </c>
      <c r="C2" t="s">
        <v>82</v>
      </c>
      <c r="D2" t="s">
        <v>83</v>
      </c>
    </row>
    <row r="3" spans="1:4">
      <c r="A3" t="s">
        <v>68</v>
      </c>
      <c r="B3" t="s">
        <v>84</v>
      </c>
      <c r="C3" t="s">
        <v>82</v>
      </c>
      <c r="D3" t="s">
        <v>85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23BD-44CF-4759-B878-8676F9A67E2B}">
  <dimension ref="A1:D1"/>
  <sheetViews>
    <sheetView tabSelected="1" workbookViewId="0">
      <selection activeCell="J20" sqref="J20"/>
    </sheetView>
  </sheetViews>
  <sheetFormatPr defaultColWidth="11.42578125" defaultRowHeight="14.45"/>
  <cols>
    <col min="1" max="1" width="24.85546875" customWidth="1"/>
    <col min="2" max="2" width="20.28515625" customWidth="1"/>
    <col min="3" max="3" width="31.85546875" customWidth="1"/>
  </cols>
  <sheetData>
    <row r="1" spans="1:4" ht="29.1">
      <c r="A1" s="1" t="s">
        <v>0</v>
      </c>
      <c r="B1" s="1" t="s">
        <v>1</v>
      </c>
      <c r="C1" s="2" t="s">
        <v>2</v>
      </c>
      <c r="D1" s="1" t="s">
        <v>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B2E0FCFA-55EA-499A-9223-58493FD1C831}"/>
</file>

<file path=customXml/itemProps2.xml><?xml version="1.0" encoding="utf-8"?>
<ds:datastoreItem xmlns:ds="http://schemas.openxmlformats.org/officeDocument/2006/customXml" ds:itemID="{9C3DCC7C-3B70-4675-A76B-185277E61C30}"/>
</file>

<file path=customXml/itemProps3.xml><?xml version="1.0" encoding="utf-8"?>
<ds:datastoreItem xmlns:ds="http://schemas.openxmlformats.org/officeDocument/2006/customXml" ds:itemID="{E67BD6EC-3F50-4316-A024-B78303A158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Natalie Abegesah</cp:lastModifiedBy>
  <cp:revision/>
  <dcterms:created xsi:type="dcterms:W3CDTF">2022-10-25T19:07:42Z</dcterms:created>
  <dcterms:modified xsi:type="dcterms:W3CDTF">2022-11-11T09:20:12Z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