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80" yWindow="75" windowWidth="27795" windowHeight="12075"/>
  </bookViews>
  <sheets>
    <sheet name="Sheet1" sheetId="1" r:id="rId1"/>
    <sheet name="Sheet2" sheetId="2" r:id="rId2"/>
    <sheet name="Sheet3" sheetId="3" r:id="rId3"/>
  </sheets>
  <definedNames>
    <definedName name="Goal01" localSheetId="0">Sheet1!$C$29</definedName>
    <definedName name="Goal02" localSheetId="0">Sheet1!$C$36</definedName>
    <definedName name="Goal03" localSheetId="0">Sheet1!$C$42</definedName>
    <definedName name="_xlnm.Print_Area" localSheetId="0">Sheet1!$B$8:$G$95</definedName>
  </definedNames>
  <calcPr calcId="145621"/>
</workbook>
</file>

<file path=xl/calcChain.xml><?xml version="1.0" encoding="utf-8"?>
<calcChain xmlns="http://schemas.openxmlformats.org/spreadsheetml/2006/main">
  <c r="H47" i="1" l="1"/>
  <c r="H52" i="1"/>
  <c r="H77" i="1"/>
  <c r="H72" i="1"/>
  <c r="H67" i="1"/>
  <c r="H62" i="1"/>
  <c r="H57" i="1"/>
  <c r="H32" i="1"/>
  <c r="H25" i="1"/>
  <c r="H18" i="1"/>
  <c r="G39" i="1" l="1"/>
  <c r="G82" i="1"/>
  <c r="F85" i="1" s="1"/>
</calcChain>
</file>

<file path=xl/sharedStrings.xml><?xml version="1.0" encoding="utf-8"?>
<sst xmlns="http://schemas.openxmlformats.org/spreadsheetml/2006/main" count="108" uniqueCount="59">
  <si>
    <t>GOAL #1</t>
  </si>
  <si>
    <t>ACTUAL PERFORMANCE</t>
  </si>
  <si>
    <t>Strategic Goals Addressed:</t>
  </si>
  <si>
    <t>Rating:</t>
  </si>
  <si>
    <t>GOAL #2</t>
  </si>
  <si>
    <t>GOAL #3</t>
  </si>
  <si>
    <t>Supervisor Comments</t>
  </si>
  <si>
    <t>Employee Name:</t>
  </si>
  <si>
    <t>Supervisor Name:</t>
  </si>
  <si>
    <t>Position Title:</t>
  </si>
  <si>
    <t>Date of Review:</t>
  </si>
  <si>
    <t>Build a Financially Stable Organization</t>
  </si>
  <si>
    <t>Strengthen Network of Volunteers, Programs &amp; Projects</t>
  </si>
  <si>
    <t>Well-Governed, Accountable &amp; Transparent Organization</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</si>
  <si>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</si>
  <si>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</si>
  <si>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</si>
  <si>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</si>
  <si>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</si>
  <si>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</si>
  <si>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</si>
  <si>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</si>
  <si>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</si>
  <si>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</si>
  <si>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</si>
  <si>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</si>
  <si>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</si>
  <si>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</si>
  <si>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Internal &amp; External Communication</t>
  </si>
  <si>
    <t>Comments</t>
  </si>
  <si>
    <t>• Responds promptly and accurately to requests.
• Communicates program/unit activities and accomplishments appropriately.</t>
  </si>
  <si>
    <t>A. 2012 Goals Review - 75%</t>
  </si>
  <si>
    <t>B. Performance Expectations - 25%</t>
  </si>
  <si>
    <t>Time Management</t>
  </si>
  <si>
    <t>• Prioritizes effectively according to program/unit goals, based on outside feedback and own judgment. 
• Consistently meets deadlines and program/unit goals with quality and accuracy.</t>
  </si>
  <si>
    <t>Financial Management</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</si>
  <si>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</si>
  <si>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</si>
  <si>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</si>
  <si>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</si>
  <si>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</si>
  <si>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</si>
  <si>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SECTION B</t>
  </si>
  <si>
    <t>OVERALL SCORE</t>
  </si>
  <si>
    <t>C. OVERALL PERFORMANCE</t>
  </si>
  <si>
    <r>
      <t xml:space="preserve">Supervisory Functions </t>
    </r>
    <r>
      <rPr>
        <i/>
        <sz val="11"/>
        <color theme="0"/>
        <rFont val="Calibri"/>
        <family val="2"/>
        <scheme val="minor"/>
      </rPr>
      <t>(if applicable)</t>
    </r>
  </si>
  <si>
    <t>Supervisor Signature                                Date</t>
  </si>
  <si>
    <t>President Signature                                Date</t>
  </si>
  <si>
    <r>
      <t>Vice President Signature</t>
    </r>
    <r>
      <rPr>
        <i/>
        <sz val="11"/>
        <color theme="1"/>
        <rFont val="Calibri"/>
        <family val="2"/>
        <scheme val="minor"/>
      </rPr>
      <t xml:space="preserve"> (if applicable)             </t>
    </r>
    <r>
      <rPr>
        <b/>
        <sz val="11"/>
        <color theme="1"/>
        <rFont val="Calibri"/>
        <family val="2"/>
        <scheme val="minor"/>
      </rPr>
      <t xml:space="preserve"> Date</t>
    </r>
  </si>
  <si>
    <t>• Provides leadership to staff and organization. Manages conflict successfully. 
• Sets clear expectations, gives effective feedback and provides strong oversight.
• Follows and enforces policies and procedures.</t>
  </si>
  <si>
    <r>
      <t>Vice President Comments</t>
    </r>
    <r>
      <rPr>
        <i/>
        <sz val="11"/>
        <rFont val="Calibri"/>
        <family val="2"/>
        <scheme val="minor"/>
      </rPr>
      <t xml:space="preserve"> (if applicable)</t>
    </r>
  </si>
  <si>
    <r>
      <t>President Comments</t>
    </r>
    <r>
      <rPr>
        <sz val="11"/>
        <rFont val="Calibri"/>
        <family val="2"/>
        <scheme val="minor"/>
      </rPr>
      <t xml:space="preserve"> </t>
    </r>
    <r>
      <rPr>
        <i/>
        <sz val="11"/>
        <rFont val="Calibri"/>
        <family val="2"/>
        <scheme val="minor"/>
      </rPr>
      <t>(if applicable)</t>
    </r>
  </si>
  <si>
    <t>• Manages funds and resources responsibly and judiciously within area of responsibility.  
• Works proactively to improve program/unit financial oversight and sustainability.</t>
  </si>
  <si>
    <r>
      <t>Employee Comments</t>
    </r>
    <r>
      <rPr>
        <sz val="11"/>
        <rFont val="Calibri"/>
        <family val="2"/>
        <scheme val="minor"/>
      </rPr>
      <t xml:space="preserve"> </t>
    </r>
    <r>
      <rPr>
        <i/>
        <sz val="11"/>
        <rFont val="Calibri"/>
        <family val="2"/>
        <scheme val="minor"/>
      </rPr>
      <t>(optional)</t>
    </r>
  </si>
  <si>
    <r>
      <t>Employee Comments</t>
    </r>
    <r>
      <rPr>
        <i/>
        <sz val="11"/>
        <rFont val="Calibri"/>
        <family val="2"/>
        <scheme val="minor"/>
      </rPr>
      <t xml:space="preserve"> (optional)</t>
    </r>
  </si>
  <si>
    <r>
      <t>Employee Comments</t>
    </r>
    <r>
      <rPr>
        <b/>
        <i/>
        <sz val="11"/>
        <rFont val="Calibri"/>
        <family val="2"/>
        <scheme val="minor"/>
      </rPr>
      <t xml:space="preserve"> </t>
    </r>
    <r>
      <rPr>
        <i/>
        <sz val="11"/>
        <rFont val="Calibri"/>
        <family val="2"/>
        <scheme val="minor"/>
      </rPr>
      <t>(optional)</t>
    </r>
  </si>
  <si>
    <t>^^ THIS TOP SECTION DOES NOT PRINT ^^</t>
  </si>
  <si>
    <t>If necessary, additional goals and details may be included as an attachment.</t>
  </si>
  <si>
    <t>Employee Signature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</si>
</sst>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1"/>
      <name val="Calibri"/>
      <family val="2"/>
      <scheme val="minor"/>
    </font>
    <font>
      <i/>
      <sz val="11"/>
      <color theme="0"/>
      <name val="Calibri"/>
      <family val="2"/>
      <scheme val="minor"/>
    </font>
    <font>
      <i/>
      <sz val="11"/>
      <name val="Calibri"/>
      <family val="2"/>
      <scheme val="minor"/>
    </font>
    <font>
      <sz val="11"/>
      <name val="Calibri"/>
      <family val="2"/>
      <scheme val="minor"/>
    </font>
    <font>
      <b/>
      <i/>
      <sz val="11"/>
      <name val="Calibri"/>
      <family val="2"/>
      <scheme val="minor"/>
    </font>
  </fonts>
  <fills count="15">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3"/>
        <bgColor indexed="64"/>
      </patternFill>
    </fill>
    <fill>
      <patternFill patternType="solid">
        <fgColor theme="7" tint="-0.249977111117893"/>
        <bgColor indexed="64"/>
      </patternFill>
    </fill>
    <fill>
      <patternFill patternType="solid">
        <fgColor theme="5" tint="0.79998168889431442"/>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style="thin">
        <color rgb="FFB2B2B2"/>
      </right>
      <top style="thin">
        <color rgb="FFB2B2B2"/>
      </top>
      <bottom style="thin">
        <color rgb="FFB2B2B2"/>
      </bottom>
      <diagonal/>
    </border>
    <border>
      <left/>
      <right/>
      <top/>
      <bottom style="thin">
        <color rgb="FFB2B2B2"/>
      </bottom>
      <diagonal/>
    </border>
    <border>
      <left/>
      <right/>
      <top/>
      <bottom style="medium">
        <color indexed="64"/>
      </bottom>
      <diagonal/>
    </border>
    <border>
      <left/>
      <right/>
      <top style="thin">
        <color indexed="64"/>
      </top>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48">
    <xf numFmtId="0" fontId="0" fillId="0" borderId="0" xfId="0"/>
    <xf numFmtId="0" fontId="6" fillId="0" borderId="0" xfId="0" applyFont="1"/>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0" fontId="2" fillId="3" borderId="3" xfId="2" applyFont="1" applyBorder="1" applyAlignment="1">
      <alignment horizontal="center" vertical="center"/>
    </xf>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6"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1" borderId="0" xfId="0" applyFill="1"/>
    <xf numFmtId="0" fontId="5" fillId="11" borderId="0" xfId="0" applyFont="1" applyFill="1"/>
    <xf numFmtId="0" fontId="0" fillId="9" borderId="1" xfId="8" applyFont="1" applyAlignment="1" applyProtection="1">
      <alignment horizontal="left" vertical="center"/>
      <protection locked="0"/>
    </xf>
    <xf numFmtId="0" fontId="3" fillId="9" borderId="1" xfId="8" applyFont="1" applyAlignment="1" applyProtection="1">
      <alignment horizontal="center" vertical="center"/>
      <protection locked="0"/>
    </xf>
    <xf numFmtId="0" fontId="0" fillId="9" borderId="1" xfId="8" applyFont="1" applyAlignment="1" applyProtection="1">
      <alignment horizontal="left" vertical="center"/>
      <protection locked="0"/>
    </xf>
    <xf numFmtId="0" fontId="1" fillId="9" borderId="1" xfId="8" applyAlignment="1" applyProtection="1">
      <alignment horizontal="left" vertical="center"/>
      <protection locked="0"/>
    </xf>
    <xf numFmtId="0" fontId="2" fillId="2" borderId="0" xfId="1" applyFont="1" applyAlignment="1">
      <alignment horizontal="center"/>
    </xf>
    <xf numFmtId="0" fontId="2" fillId="8" borderId="5" xfId="7" applyFont="1" applyBorder="1" applyAlignment="1">
      <alignment horizontal="center"/>
    </xf>
    <xf numFmtId="0" fontId="6" fillId="0" borderId="8" xfId="8" applyFont="1" applyFill="1" applyBorder="1" applyAlignment="1" applyProtection="1">
      <alignment horizontal="left" vertical="top" wrapText="1"/>
      <protection locked="0"/>
    </xf>
    <xf numFmtId="0" fontId="6" fillId="0" borderId="9" xfId="8" applyFont="1" applyFill="1" applyBorder="1" applyAlignment="1" applyProtection="1">
      <alignment horizontal="left" vertical="top"/>
      <protection locked="0"/>
    </xf>
    <xf numFmtId="0" fontId="6" fillId="0" borderId="10" xfId="8" applyFont="1" applyFill="1" applyBorder="1" applyAlignment="1" applyProtection="1">
      <alignment horizontal="left" vertical="top"/>
      <protection locked="0"/>
    </xf>
    <xf numFmtId="0" fontId="2" fillId="13" borderId="0" xfId="6" applyFont="1" applyFill="1" applyAlignment="1">
      <alignment horizontal="center"/>
    </xf>
    <xf numFmtId="0" fontId="2" fillId="3" borderId="0" xfId="2" applyFont="1" applyAlignment="1">
      <alignment horizontal="center"/>
    </xf>
    <xf numFmtId="0" fontId="6" fillId="0" borderId="0" xfId="0" applyFont="1" applyAlignment="1">
      <alignment horizontal="left"/>
    </xf>
    <xf numFmtId="0" fontId="1" fillId="9" borderId="1" xfId="8" applyProtection="1">
      <protection locked="0"/>
    </xf>
    <xf numFmtId="0" fontId="0" fillId="9" borderId="1" xfId="8" applyFont="1" applyAlignment="1" applyProtection="1">
      <alignment horizontal="left" vertical="top" wrapText="1"/>
      <protection locked="0"/>
    </xf>
    <xf numFmtId="0" fontId="1" fillId="9" borderId="1" xfId="8" applyFont="1" applyAlignment="1" applyProtection="1">
      <alignment horizontal="left" vertical="top"/>
      <protection locked="0"/>
    </xf>
    <xf numFmtId="0" fontId="2" fillId="2" borderId="3" xfId="1" applyFont="1" applyBorder="1" applyAlignment="1">
      <alignment horizontal="left"/>
    </xf>
    <xf numFmtId="0" fontId="11" fillId="3" borderId="0" xfId="2" applyFont="1" applyAlignment="1">
      <alignment horizontal="left" vertical="center" indent="1"/>
    </xf>
    <xf numFmtId="0" fontId="10" fillId="14" borderId="0" xfId="4" applyFont="1" applyFill="1" applyAlignment="1">
      <alignment horizontal="center"/>
    </xf>
    <xf numFmtId="0" fontId="2" fillId="13" borderId="3" xfId="6" applyFont="1" applyFill="1" applyBorder="1" applyAlignment="1">
      <alignment horizontal="left"/>
    </xf>
    <xf numFmtId="0" fontId="7" fillId="0" borderId="0" xfId="0" applyFont="1" applyAlignment="1">
      <alignment horizontal="left"/>
    </xf>
    <xf numFmtId="0" fontId="2" fillId="6" borderId="5" xfId="5" applyFont="1" applyBorder="1" applyAlignment="1">
      <alignment horizontal="center" wrapText="1"/>
    </xf>
    <xf numFmtId="0" fontId="2" fillId="6" borderId="0" xfId="5" applyFont="1" applyAlignment="1">
      <alignment horizontal="center"/>
    </xf>
    <xf numFmtId="0" fontId="2" fillId="6" borderId="3" xfId="5" applyFont="1" applyBorder="1" applyAlignment="1">
      <alignment horizontal="left"/>
    </xf>
    <xf numFmtId="0" fontId="2" fillId="8" borderId="0" xfId="7" applyFont="1" applyBorder="1" applyAlignment="1">
      <alignment horizontal="center"/>
    </xf>
    <xf numFmtId="0" fontId="0" fillId="0" borderId="0" xfId="0"/>
    <xf numFmtId="0" fontId="0" fillId="0" borderId="0" xfId="0" applyAlignment="1">
      <alignment horizontal="center"/>
    </xf>
    <xf numFmtId="0" fontId="10" fillId="10" borderId="0" xfId="1" applyFont="1" applyFill="1" applyAlignment="1">
      <alignment horizontal="center"/>
    </xf>
    <xf numFmtId="0" fontId="0" fillId="9" borderId="1" xfId="8" applyFont="1" applyAlignment="1" applyProtection="1">
      <alignment horizontal="left" vertical="top"/>
      <protection locked="0"/>
    </xf>
    <xf numFmtId="0" fontId="2" fillId="12" borderId="0" xfId="1" applyFont="1" applyFill="1" applyAlignment="1">
      <alignment horizontal="center"/>
    </xf>
    <xf numFmtId="0" fontId="10" fillId="14" borderId="0" xfId="1" applyFont="1" applyFill="1" applyAlignment="1">
      <alignment horizontal="center"/>
    </xf>
    <xf numFmtId="0" fontId="10" fillId="14" borderId="0" xfId="2" applyFont="1" applyFill="1" applyAlignment="1">
      <alignment horizontal="center"/>
    </xf>
    <xf numFmtId="0" fontId="5" fillId="0" borderId="0" xfId="0" applyFont="1" applyAlignment="1">
      <alignment horizontal="left" wrapText="1"/>
    </xf>
    <xf numFmtId="0" fontId="3" fillId="0" borderId="7" xfId="0" applyFont="1" applyBorder="1" applyAlignment="1">
      <alignment horizontal="center"/>
    </xf>
    <xf numFmtId="0" fontId="1" fillId="9" borderId="4" xfId="8" applyFont="1" applyBorder="1" applyAlignment="1" applyProtection="1">
      <alignment horizontal="left" vertical="top"/>
      <protection locked="0"/>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91109</xdr:colOff>
      <xdr:row>7</xdr:row>
      <xdr:rowOff>49696</xdr:rowOff>
    </xdr:from>
    <xdr:to>
      <xdr:col>3</xdr:col>
      <xdr:colOff>1178486</xdr:colOff>
      <xdr:row>7</xdr:row>
      <xdr:rowOff>687457</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92" y="5002696"/>
          <a:ext cx="2851572" cy="637761"/>
        </a:xfrm>
        <a:prstGeom prst="rect">
          <a:avLst/>
        </a:prstGeom>
      </xdr:spPr>
    </xdr:pic>
    <xdr:clientData/>
  </xdr:twoCellAnchor>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kern="1400" spc="150">
              <a:solidFill>
                <a:srgbClr val="474822"/>
              </a:solidFill>
              <a:effectLst/>
              <a:latin typeface="Cambria"/>
              <a:ea typeface="Times New Roman"/>
              <a:cs typeface="Times New Roman"/>
            </a:rPr>
            <a:t>2012 Review &amp; 2013 Preview</a:t>
          </a:r>
        </a:p>
        <a:p>
          <a:pPr marL="0" marR="0" algn="r">
            <a:lnSpc>
              <a:spcPct val="114000"/>
            </a:lnSpc>
            <a:spcBef>
              <a:spcPts val="0"/>
            </a:spcBef>
            <a:spcAft>
              <a:spcPts val="900"/>
            </a:spcAft>
          </a:pPr>
          <a:r>
            <a:rPr lang="en-US" sz="1400">
              <a:solidFill>
                <a:srgbClr val="474822"/>
              </a:solidFill>
              <a:effectLst/>
              <a:latin typeface="Calibri"/>
              <a:ea typeface="Times New Roman"/>
              <a:cs typeface="Times New Roman"/>
            </a:rPr>
            <a:t>2012 Goals &amp; Performance Evaluation</a:t>
          </a:r>
        </a:p>
      </xdr:txBody>
    </xdr:sp>
    <xdr:clientData/>
  </xdr:twoCellAnchor>
  <xdr:twoCellAnchor>
    <xdr:from>
      <xdr:col>1</xdr:col>
      <xdr:colOff>91108</xdr:colOff>
      <xdr:row>2</xdr:row>
      <xdr:rowOff>33130</xdr:rowOff>
    </xdr:from>
    <xdr:to>
      <xdr:col>6</xdr:col>
      <xdr:colOff>1308652</xdr:colOff>
      <xdr:row>2</xdr:row>
      <xdr:rowOff>2592457</xdr:rowOff>
    </xdr:to>
    <xdr:sp macro="" textlink="">
      <xdr:nvSpPr>
        <xdr:cNvPr id="5" name="TextBox 4"/>
        <xdr:cNvSpPr txBox="1"/>
      </xdr:nvSpPr>
      <xdr:spPr>
        <a:xfrm>
          <a:off x="289891" y="960782"/>
          <a:ext cx="8796131" cy="2559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2011-2013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ensure supporters that their contributions are wisely invested and buttress our reputation among competitors and members alike.</a:t>
          </a:r>
        </a:p>
        <a:p>
          <a:endParaRPr lang="en-US" sz="1100"/>
        </a:p>
      </xdr:txBody>
    </xdr:sp>
    <xdr:clientData/>
  </xdr:twoCellAnchor>
  <xdr:twoCellAnchor>
    <xdr:from>
      <xdr:col>2</xdr:col>
      <xdr:colOff>579782</xdr:colOff>
      <xdr:row>3</xdr:row>
      <xdr:rowOff>1</xdr:rowOff>
    </xdr:from>
    <xdr:to>
      <xdr:col>6</xdr:col>
      <xdr:colOff>289890</xdr:colOff>
      <xdr:row>5</xdr:row>
      <xdr:rowOff>0</xdr:rowOff>
    </xdr:to>
    <xdr:sp macro="" textlink="">
      <xdr:nvSpPr>
        <xdr:cNvPr id="6" name="TextBox 5"/>
        <xdr:cNvSpPr txBox="1"/>
      </xdr:nvSpPr>
      <xdr:spPr>
        <a:xfrm>
          <a:off x="1159565" y="3139110"/>
          <a:ext cx="6907695" cy="143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a:p>
          <a:pPr algn="ctr"/>
          <a:r>
            <a:rPr lang="en-US" sz="1100" b="1">
              <a:solidFill>
                <a:srgbClr val="FF0000"/>
              </a:solidFill>
              <a:effectLst/>
              <a:latin typeface="+mn-lt"/>
              <a:ea typeface="+mn-ea"/>
              <a:cs typeface="+mn-cs"/>
            </a:rPr>
            <a:t>Note</a:t>
          </a:r>
          <a:r>
            <a:rPr lang="en-US" sz="1100">
              <a:solidFill>
                <a:srgbClr val="FF0000"/>
              </a:solidFill>
              <a:effectLst/>
              <a:latin typeface="+mn-lt"/>
              <a:ea typeface="+mn-ea"/>
              <a:cs typeface="+mn-cs"/>
            </a:rPr>
            <a:t>: In using this new format, you will need to adapt the goals from our earlier format to insert in this template. This is the new simplified standard for reporting and evaluating goals that we’ll be using for 2013 and beyond.</a:t>
          </a:r>
        </a:p>
        <a:p>
          <a:pPr algn="ctr"/>
          <a:endParaRPr lang="en-US" sz="900">
            <a:solidFill>
              <a:sysClr val="windowText" lastClr="000000"/>
            </a:solidFill>
          </a:endParaRPr>
        </a:p>
        <a:p>
          <a:pPr algn="ctr"/>
          <a:r>
            <a:rPr lang="en-US" sz="900">
              <a:solidFill>
                <a:sysClr val="windowText" lastClr="000000"/>
              </a:solidFill>
            </a:rPr>
            <a:t>Tip:</a:t>
          </a:r>
          <a:r>
            <a:rPr lang="en-US" sz="900" baseline="0">
              <a:solidFill>
                <a:sysClr val="windowText" lastClr="000000"/>
              </a:solidFill>
            </a:rPr>
            <a:t> To add a line break while typing text in a cell, use [Alt+Enter].</a:t>
          </a:r>
          <a:endParaRPr lang="en-US" sz="900">
            <a:solidFill>
              <a:sysClr val="windowText" lastClr="000000"/>
            </a:solidFill>
          </a:endParaRPr>
        </a:p>
      </xdr:txBody>
    </xdr:sp>
    <xdr:clientData/>
  </xdr:twoCellAnchor>
  <xdr:twoCellAnchor editAs="oneCell">
    <xdr:from>
      <xdr:col>1</xdr:col>
      <xdr:colOff>149087</xdr:colOff>
      <xdr:row>1</xdr:row>
      <xdr:rowOff>107675</xdr:rowOff>
    </xdr:from>
    <xdr:to>
      <xdr:col>3</xdr:col>
      <xdr:colOff>999822</xdr:colOff>
      <xdr:row>1</xdr:row>
      <xdr:rowOff>692510</xdr:rowOff>
    </xdr:to>
    <xdr:pic>
      <xdr:nvPicPr>
        <xdr:cNvPr id="7" name="Picture 6"/>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870" y="3652632"/>
          <a:ext cx="2614930" cy="584835"/>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5"/>
  <sheetViews>
    <sheetView tabSelected="1" zoomScale="115" zoomScaleNormal="115" workbookViewId="0">
      <selection activeCell="B95" sqref="B95:D95"/>
    </sheetView>
  </sheetViews>
  <sheetFormatPr defaultRowHeight="15" x14ac:dyDescent="0.25"/>
  <cols>
    <col min="1" max="1" width="3" customWidth="1"/>
    <col min="2" max="2" width="5.7109375" customWidth="1"/>
    <col min="3" max="3" width="20.7109375" customWidth="1"/>
    <col min="4" max="4" width="40.7109375" customWidth="1"/>
    <col min="5" max="5" width="25.7109375" customWidth="1"/>
    <col min="6" max="7" width="20.7109375" customWidth="1"/>
    <col min="8" max="8" width="3.140625" style="3" bestFit="1" customWidth="1"/>
  </cols>
  <sheetData>
    <row r="1" spans="1:8"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84" customHeight="1" x14ac:dyDescent="0.25">
      <c r="A5" s="12"/>
      <c r="H5" s="13"/>
    </row>
    <row r="6" spans="1:8" x14ac:dyDescent="0.25">
      <c r="A6" s="12"/>
      <c r="B6" s="39" t="s">
        <v>56</v>
      </c>
      <c r="C6" s="39"/>
      <c r="D6" s="39"/>
      <c r="E6" s="39"/>
      <c r="F6" s="39"/>
      <c r="G6" s="39"/>
      <c r="H6" s="13"/>
    </row>
    <row r="7" spans="1:8" x14ac:dyDescent="0.25">
      <c r="A7" s="12"/>
      <c r="B7" s="12"/>
      <c r="C7" s="12"/>
      <c r="D7" s="12"/>
      <c r="E7" s="12"/>
      <c r="F7" s="12"/>
      <c r="G7" s="12"/>
      <c r="H7" s="13"/>
    </row>
    <row r="8" spans="1:8" ht="60.75" customHeight="1" x14ac:dyDescent="0.25"/>
    <row r="9" spans="1:8" ht="7.5" customHeight="1" x14ac:dyDescent="0.25"/>
    <row r="10" spans="1:8" x14ac:dyDescent="0.25">
      <c r="C10" s="2" t="s">
        <v>7</v>
      </c>
      <c r="D10" s="14"/>
      <c r="E10" s="2" t="s">
        <v>9</v>
      </c>
      <c r="F10" s="16"/>
      <c r="G10" s="17"/>
    </row>
    <row r="11" spans="1:8" x14ac:dyDescent="0.25">
      <c r="C11" s="2" t="s">
        <v>8</v>
      </c>
      <c r="D11" s="14"/>
      <c r="E11" s="2" t="s">
        <v>10</v>
      </c>
      <c r="F11" s="16"/>
      <c r="G11" s="17"/>
    </row>
    <row r="13" spans="1:8" ht="22.5" customHeight="1" x14ac:dyDescent="0.25">
      <c r="B13" s="30" t="s">
        <v>31</v>
      </c>
      <c r="C13" s="30"/>
      <c r="D13" s="30"/>
      <c r="E13" s="45" t="s">
        <v>57</v>
      </c>
      <c r="F13" s="45"/>
      <c r="G13" s="45"/>
    </row>
    <row r="14" spans="1:8" ht="7.5" customHeight="1" x14ac:dyDescent="0.25">
      <c r="H14"/>
    </row>
    <row r="15" spans="1:8" x14ac:dyDescent="0.25">
      <c r="B15" s="18" t="s">
        <v>0</v>
      </c>
      <c r="C15" s="18"/>
      <c r="D15" s="18"/>
      <c r="E15" s="18" t="s">
        <v>1</v>
      </c>
      <c r="F15" s="18"/>
      <c r="G15" s="18"/>
    </row>
    <row r="16" spans="1:8" ht="124.5" customHeight="1" x14ac:dyDescent="0.25">
      <c r="B16" s="27"/>
      <c r="C16" s="28"/>
      <c r="D16" s="28"/>
      <c r="E16" s="28"/>
      <c r="F16" s="28"/>
      <c r="G16" s="28"/>
    </row>
    <row r="17" spans="2:8" x14ac:dyDescent="0.25">
      <c r="B17" s="29" t="s">
        <v>2</v>
      </c>
      <c r="C17" s="29"/>
      <c r="D17" s="29"/>
      <c r="F17" s="6" t="s">
        <v>3</v>
      </c>
    </row>
    <row r="18" spans="2:8" x14ac:dyDescent="0.25">
      <c r="B18" s="15"/>
      <c r="C18" s="25" t="s">
        <v>11</v>
      </c>
      <c r="D18" s="25"/>
      <c r="F18" s="26" t="s">
        <v>14</v>
      </c>
      <c r="G18" s="26"/>
      <c r="H18" s="4">
        <f>VLOOKUP(F18,Sheet2!$B$1:$C$12,2)</f>
        <v>9.9999999999999995E-7</v>
      </c>
    </row>
    <row r="19" spans="2:8" x14ac:dyDescent="0.25">
      <c r="B19" s="15"/>
      <c r="C19" s="1" t="s">
        <v>12</v>
      </c>
      <c r="D19" s="1"/>
    </row>
    <row r="20" spans="2:8" x14ac:dyDescent="0.25">
      <c r="B20" s="15"/>
      <c r="C20" s="1" t="s">
        <v>13</v>
      </c>
      <c r="D20" s="1"/>
    </row>
    <row r="21" spans="2:8" ht="7.5" customHeight="1" x14ac:dyDescent="0.25"/>
    <row r="22" spans="2:8" x14ac:dyDescent="0.25">
      <c r="B22" s="34" t="s">
        <v>4</v>
      </c>
      <c r="C22" s="34"/>
      <c r="D22" s="34"/>
      <c r="E22" s="35" t="s">
        <v>1</v>
      </c>
      <c r="F22" s="35"/>
      <c r="G22" s="35"/>
    </row>
    <row r="23" spans="2:8" ht="125.1" customHeight="1" x14ac:dyDescent="0.25">
      <c r="B23" s="28"/>
      <c r="C23" s="28"/>
      <c r="D23" s="28"/>
      <c r="E23" s="28"/>
      <c r="F23" s="28"/>
      <c r="G23" s="28"/>
    </row>
    <row r="24" spans="2:8" x14ac:dyDescent="0.25">
      <c r="B24" s="36" t="s">
        <v>2</v>
      </c>
      <c r="C24" s="36"/>
      <c r="D24" s="36"/>
      <c r="F24" s="6" t="s">
        <v>3</v>
      </c>
    </row>
    <row r="25" spans="2:8" x14ac:dyDescent="0.25">
      <c r="B25" s="15"/>
      <c r="C25" s="25" t="s">
        <v>11</v>
      </c>
      <c r="D25" s="25"/>
      <c r="F25" s="26" t="s">
        <v>14</v>
      </c>
      <c r="G25" s="26"/>
      <c r="H25" s="4">
        <f>VLOOKUP(F25,Sheet2!$B$1:$C$12,2)</f>
        <v>9.9999999999999995E-7</v>
      </c>
    </row>
    <row r="26" spans="2:8" x14ac:dyDescent="0.25">
      <c r="B26" s="15"/>
      <c r="C26" s="1" t="s">
        <v>12</v>
      </c>
      <c r="D26" s="1"/>
    </row>
    <row r="27" spans="2:8" x14ac:dyDescent="0.25">
      <c r="B27" s="15"/>
      <c r="C27" s="1" t="s">
        <v>13</v>
      </c>
      <c r="D27" s="1"/>
    </row>
    <row r="28" spans="2:8" ht="7.5" customHeight="1" x14ac:dyDescent="0.25"/>
    <row r="29" spans="2:8" x14ac:dyDescent="0.25">
      <c r="B29" s="23" t="s">
        <v>5</v>
      </c>
      <c r="C29" s="23"/>
      <c r="D29" s="23"/>
      <c r="E29" s="23" t="s">
        <v>1</v>
      </c>
      <c r="F29" s="23"/>
      <c r="G29" s="23"/>
    </row>
    <row r="30" spans="2:8" ht="125.1" customHeight="1" x14ac:dyDescent="0.25">
      <c r="B30" s="28"/>
      <c r="C30" s="28"/>
      <c r="D30" s="28"/>
      <c r="E30" s="28"/>
      <c r="F30" s="28"/>
      <c r="G30" s="28"/>
    </row>
    <row r="31" spans="2:8" x14ac:dyDescent="0.25">
      <c r="B31" s="32" t="s">
        <v>2</v>
      </c>
      <c r="C31" s="32"/>
      <c r="D31" s="32"/>
      <c r="F31" s="6" t="s">
        <v>3</v>
      </c>
    </row>
    <row r="32" spans="2:8" x14ac:dyDescent="0.25">
      <c r="B32" s="15"/>
      <c r="C32" s="33" t="s">
        <v>11</v>
      </c>
      <c r="D32" s="33"/>
      <c r="F32" s="26" t="s">
        <v>14</v>
      </c>
      <c r="G32" s="26"/>
      <c r="H32" s="4">
        <f>VLOOKUP(F32,Sheet2!$B$1:$C$12,2)</f>
        <v>9.9999999999999995E-7</v>
      </c>
    </row>
    <row r="33" spans="2:8" x14ac:dyDescent="0.25">
      <c r="B33" s="15"/>
      <c r="C33" s="5" t="s">
        <v>12</v>
      </c>
      <c r="D33" s="5"/>
    </row>
    <row r="34" spans="2:8" x14ac:dyDescent="0.25">
      <c r="B34" s="15"/>
      <c r="C34" s="5" t="s">
        <v>13</v>
      </c>
      <c r="D34" s="5"/>
    </row>
    <row r="35" spans="2:8" ht="7.5" customHeight="1" x14ac:dyDescent="0.25"/>
    <row r="36" spans="2:8" x14ac:dyDescent="0.25">
      <c r="B36" s="24" t="s">
        <v>6</v>
      </c>
      <c r="C36" s="24"/>
      <c r="D36" s="24"/>
      <c r="E36" s="31" t="s">
        <v>54</v>
      </c>
      <c r="F36" s="31"/>
      <c r="G36" s="31"/>
    </row>
    <row r="37" spans="2:8" ht="125.1" customHeight="1" x14ac:dyDescent="0.25">
      <c r="B37" s="28"/>
      <c r="C37" s="28"/>
      <c r="D37" s="28"/>
      <c r="E37" s="28"/>
      <c r="F37" s="28"/>
      <c r="G37" s="28"/>
    </row>
    <row r="38" spans="2:8" ht="15.75" thickBot="1" x14ac:dyDescent="0.3">
      <c r="G38" s="7" t="s">
        <v>27</v>
      </c>
    </row>
    <row r="39" spans="2:8" ht="15.75" thickBot="1" x14ac:dyDescent="0.3">
      <c r="G39" s="8">
        <f>AVERAGEIF(H18:H32,"&gt;0")</f>
        <v>9.9999999999999995E-7</v>
      </c>
    </row>
    <row r="41" spans="2:8" x14ac:dyDescent="0.25">
      <c r="B41" s="38"/>
      <c r="C41" s="38"/>
      <c r="D41" s="38"/>
      <c r="E41" s="38"/>
      <c r="F41" s="38"/>
      <c r="G41" s="38"/>
      <c r="H41"/>
    </row>
    <row r="42" spans="2:8" ht="22.5" customHeight="1" x14ac:dyDescent="0.25">
      <c r="B42" s="30" t="s">
        <v>32</v>
      </c>
      <c r="C42" s="30"/>
      <c r="D42" s="30"/>
    </row>
    <row r="43" spans="2:8" x14ac:dyDescent="0.25">
      <c r="H43"/>
    </row>
    <row r="44" spans="2:8" x14ac:dyDescent="0.25">
      <c r="B44" s="37" t="s">
        <v>35</v>
      </c>
      <c r="C44" s="37"/>
      <c r="D44" s="37"/>
      <c r="E44" s="19" t="s">
        <v>29</v>
      </c>
      <c r="F44" s="19"/>
      <c r="G44" s="19"/>
    </row>
    <row r="45" spans="2:8" ht="50.1" customHeight="1" x14ac:dyDescent="0.25">
      <c r="B45" s="20" t="s">
        <v>52</v>
      </c>
      <c r="C45" s="21"/>
      <c r="D45" s="22"/>
      <c r="E45" s="47"/>
      <c r="F45" s="28"/>
      <c r="G45" s="28"/>
    </row>
    <row r="46" spans="2:8" x14ac:dyDescent="0.25">
      <c r="F46" s="6" t="s">
        <v>3</v>
      </c>
    </row>
    <row r="47" spans="2:8" x14ac:dyDescent="0.25">
      <c r="F47" s="26" t="s">
        <v>14</v>
      </c>
      <c r="G47" s="26"/>
      <c r="H47" s="4">
        <f>VLOOKUP(F47,Sheet2!$B$1:$C$12,2)</f>
        <v>9.9999999999999995E-7</v>
      </c>
    </row>
    <row r="48" spans="2:8" ht="7.5" customHeight="1" x14ac:dyDescent="0.25"/>
    <row r="49" spans="2:8" x14ac:dyDescent="0.25">
      <c r="B49" s="19" t="s">
        <v>33</v>
      </c>
      <c r="C49" s="19"/>
      <c r="D49" s="19"/>
      <c r="E49" s="19" t="s">
        <v>29</v>
      </c>
      <c r="F49" s="19"/>
      <c r="G49" s="19"/>
    </row>
    <row r="50" spans="2:8" ht="50.1" customHeight="1" x14ac:dyDescent="0.25">
      <c r="B50" s="20" t="s">
        <v>34</v>
      </c>
      <c r="C50" s="21"/>
      <c r="D50" s="22"/>
      <c r="E50" s="28"/>
      <c r="F50" s="28"/>
      <c r="G50" s="28"/>
    </row>
    <row r="51" spans="2:8" x14ac:dyDescent="0.25">
      <c r="F51" s="6" t="s">
        <v>3</v>
      </c>
    </row>
    <row r="52" spans="2:8" x14ac:dyDescent="0.25">
      <c r="F52" s="26" t="s">
        <v>14</v>
      </c>
      <c r="G52" s="26"/>
      <c r="H52" s="4">
        <f>VLOOKUP(F52,Sheet2!$B$1:$C$12,2)</f>
        <v>9.9999999999999995E-7</v>
      </c>
    </row>
    <row r="53" spans="2:8" ht="7.5" customHeight="1" x14ac:dyDescent="0.25"/>
    <row r="54" spans="2:8" x14ac:dyDescent="0.25">
      <c r="B54" s="19" t="s">
        <v>28</v>
      </c>
      <c r="C54" s="19"/>
      <c r="D54" s="19"/>
      <c r="E54" s="19" t="s">
        <v>29</v>
      </c>
      <c r="F54" s="19"/>
      <c r="G54" s="19"/>
    </row>
    <row r="55" spans="2:8" ht="50.1" customHeight="1" x14ac:dyDescent="0.25">
      <c r="B55" s="20" t="s">
        <v>30</v>
      </c>
      <c r="C55" s="21"/>
      <c r="D55" s="22"/>
      <c r="E55" s="28"/>
      <c r="F55" s="28"/>
      <c r="G55" s="28"/>
    </row>
    <row r="56" spans="2:8" x14ac:dyDescent="0.25">
      <c r="F56" s="6" t="s">
        <v>3</v>
      </c>
    </row>
    <row r="57" spans="2:8" x14ac:dyDescent="0.25">
      <c r="F57" s="26" t="s">
        <v>14</v>
      </c>
      <c r="G57" s="26"/>
      <c r="H57" s="4">
        <f>VLOOKUP(F57,Sheet2!$B$1:$C$12,2)</f>
        <v>9.9999999999999995E-7</v>
      </c>
    </row>
    <row r="58" spans="2:8" ht="7.5" customHeight="1" x14ac:dyDescent="0.25"/>
    <row r="59" spans="2:8" x14ac:dyDescent="0.25">
      <c r="B59" s="19" t="s">
        <v>36</v>
      </c>
      <c r="C59" s="19"/>
      <c r="D59" s="19"/>
      <c r="E59" s="19" t="s">
        <v>29</v>
      </c>
      <c r="F59" s="19"/>
      <c r="G59" s="19"/>
    </row>
    <row r="60" spans="2:8" ht="50.1" customHeight="1" x14ac:dyDescent="0.25">
      <c r="B60" s="20" t="s">
        <v>37</v>
      </c>
      <c r="C60" s="21"/>
      <c r="D60" s="22"/>
      <c r="E60" s="28"/>
      <c r="F60" s="28"/>
      <c r="G60" s="28"/>
    </row>
    <row r="61" spans="2:8" x14ac:dyDescent="0.25">
      <c r="F61" s="6" t="s">
        <v>3</v>
      </c>
    </row>
    <row r="62" spans="2:8" x14ac:dyDescent="0.25">
      <c r="F62" s="26" t="s">
        <v>14</v>
      </c>
      <c r="G62" s="26"/>
      <c r="H62" s="4">
        <f>VLOOKUP(F62,Sheet2!$B$1:$C$12,2)</f>
        <v>9.9999999999999995E-7</v>
      </c>
    </row>
    <row r="63" spans="2:8" ht="7.5" customHeight="1" x14ac:dyDescent="0.25"/>
    <row r="64" spans="2:8" x14ac:dyDescent="0.25">
      <c r="B64" s="19" t="s">
        <v>38</v>
      </c>
      <c r="C64" s="19"/>
      <c r="D64" s="19"/>
      <c r="E64" s="19" t="s">
        <v>29</v>
      </c>
      <c r="F64" s="19"/>
      <c r="G64" s="19"/>
    </row>
    <row r="65" spans="2:8" ht="50.1" customHeight="1" x14ac:dyDescent="0.25">
      <c r="B65" s="20" t="s">
        <v>39</v>
      </c>
      <c r="C65" s="21"/>
      <c r="D65" s="22"/>
      <c r="E65" s="28"/>
      <c r="F65" s="28"/>
      <c r="G65" s="28"/>
    </row>
    <row r="66" spans="2:8" x14ac:dyDescent="0.25">
      <c r="F66" s="6" t="s">
        <v>3</v>
      </c>
    </row>
    <row r="67" spans="2:8" x14ac:dyDescent="0.25">
      <c r="F67" s="26" t="s">
        <v>14</v>
      </c>
      <c r="G67" s="26"/>
      <c r="H67" s="4">
        <f>VLOOKUP(F67,Sheet2!$B$1:$C$12,2)</f>
        <v>9.9999999999999995E-7</v>
      </c>
    </row>
    <row r="68" spans="2:8" ht="7.5" customHeight="1" x14ac:dyDescent="0.25"/>
    <row r="69" spans="2:8" x14ac:dyDescent="0.25">
      <c r="B69" s="19" t="s">
        <v>40</v>
      </c>
      <c r="C69" s="19"/>
      <c r="D69" s="19"/>
      <c r="E69" s="19" t="s">
        <v>29</v>
      </c>
      <c r="F69" s="19"/>
      <c r="G69" s="19"/>
    </row>
    <row r="70" spans="2:8" ht="50.1" customHeight="1" x14ac:dyDescent="0.25">
      <c r="B70" s="20" t="s">
        <v>41</v>
      </c>
      <c r="C70" s="21"/>
      <c r="D70" s="22"/>
      <c r="E70" s="28"/>
      <c r="F70" s="28"/>
      <c r="G70" s="28"/>
    </row>
    <row r="71" spans="2:8" x14ac:dyDescent="0.25">
      <c r="F71" s="6" t="s">
        <v>3</v>
      </c>
    </row>
    <row r="72" spans="2:8" x14ac:dyDescent="0.25">
      <c r="F72" s="26" t="s">
        <v>14</v>
      </c>
      <c r="G72" s="26"/>
      <c r="H72" s="4">
        <f>VLOOKUP(F72,Sheet2!$B$1:$C$12,2)</f>
        <v>9.9999999999999995E-7</v>
      </c>
    </row>
    <row r="73" spans="2:8" ht="7.5" customHeight="1" x14ac:dyDescent="0.25"/>
    <row r="74" spans="2:8" x14ac:dyDescent="0.25">
      <c r="B74" s="19" t="s">
        <v>45</v>
      </c>
      <c r="C74" s="19"/>
      <c r="D74" s="19"/>
      <c r="E74" s="19" t="s">
        <v>29</v>
      </c>
      <c r="F74" s="19"/>
      <c r="G74" s="19"/>
    </row>
    <row r="75" spans="2:8" ht="50.1" customHeight="1" x14ac:dyDescent="0.25">
      <c r="B75" s="20" t="s">
        <v>49</v>
      </c>
      <c r="C75" s="21"/>
      <c r="D75" s="22"/>
      <c r="E75" s="28"/>
      <c r="F75" s="28"/>
      <c r="G75" s="28"/>
    </row>
    <row r="76" spans="2:8" x14ac:dyDescent="0.25">
      <c r="F76" s="6" t="s">
        <v>3</v>
      </c>
    </row>
    <row r="77" spans="2:8" x14ac:dyDescent="0.25">
      <c r="F77" s="26" t="s">
        <v>25</v>
      </c>
      <c r="G77" s="26"/>
      <c r="H77" s="4" t="str">
        <f>VLOOKUP(F77,Sheet2!$B$1:$C$12,2)</f>
        <v>n/a</v>
      </c>
    </row>
    <row r="79" spans="2:8" x14ac:dyDescent="0.25">
      <c r="B79" s="24" t="s">
        <v>6</v>
      </c>
      <c r="C79" s="24"/>
      <c r="D79" s="24"/>
      <c r="E79" s="44" t="s">
        <v>55</v>
      </c>
      <c r="F79" s="44"/>
      <c r="G79" s="44"/>
    </row>
    <row r="80" spans="2:8" ht="99.95" customHeight="1" x14ac:dyDescent="0.25">
      <c r="B80" s="28"/>
      <c r="C80" s="28"/>
      <c r="D80" s="28"/>
      <c r="E80" s="28"/>
      <c r="F80" s="28"/>
      <c r="G80" s="28"/>
    </row>
    <row r="81" spans="2:8" ht="15.75" thickBot="1" x14ac:dyDescent="0.3">
      <c r="G81" s="7" t="s">
        <v>42</v>
      </c>
    </row>
    <row r="82" spans="2:8" ht="15.75" thickBot="1" x14ac:dyDescent="0.3">
      <c r="G82" s="8">
        <f>AVERAGEIF(H44:H80,"&gt;0")</f>
        <v>9.9999999999999995E-7</v>
      </c>
    </row>
    <row r="83" spans="2:8" x14ac:dyDescent="0.25">
      <c r="G83" s="9"/>
    </row>
    <row r="84" spans="2:8" ht="22.5" customHeight="1" thickBot="1" x14ac:dyDescent="0.3">
      <c r="B84" s="30" t="s">
        <v>44</v>
      </c>
      <c r="C84" s="30"/>
      <c r="D84" s="30"/>
      <c r="F84" s="10" t="s">
        <v>43</v>
      </c>
    </row>
    <row r="85" spans="2:8" ht="19.5" thickBot="1" x14ac:dyDescent="0.3">
      <c r="F85" s="11">
        <f>(G39*0.75)+(G82*0.25)</f>
        <v>9.9999999999999995E-7</v>
      </c>
    </row>
    <row r="86" spans="2:8" ht="20.25" customHeight="1" x14ac:dyDescent="0.25"/>
    <row r="88" spans="2:8" x14ac:dyDescent="0.25">
      <c r="B88" s="42" t="s">
        <v>6</v>
      </c>
      <c r="C88" s="42"/>
      <c r="D88" s="42"/>
      <c r="E88" s="43" t="s">
        <v>53</v>
      </c>
      <c r="F88" s="43"/>
      <c r="G88" s="43"/>
    </row>
    <row r="89" spans="2:8" ht="99.95" customHeight="1" x14ac:dyDescent="0.25">
      <c r="B89" s="41"/>
      <c r="C89" s="28"/>
      <c r="D89" s="28"/>
      <c r="E89" s="41"/>
      <c r="F89" s="28"/>
      <c r="G89" s="28"/>
    </row>
    <row r="90" spans="2:8" x14ac:dyDescent="0.25">
      <c r="B90" s="40" t="s">
        <v>50</v>
      </c>
      <c r="C90" s="40"/>
      <c r="D90" s="40"/>
      <c r="E90" s="40" t="s">
        <v>51</v>
      </c>
      <c r="F90" s="40"/>
      <c r="G90" s="40"/>
    </row>
    <row r="91" spans="2:8" ht="99.95" customHeight="1" x14ac:dyDescent="0.25">
      <c r="B91" s="41"/>
      <c r="C91" s="28"/>
      <c r="D91" s="28"/>
      <c r="E91" s="41"/>
      <c r="F91" s="28"/>
      <c r="G91" s="28"/>
    </row>
    <row r="92" spans="2:8" ht="44.25" customHeight="1" x14ac:dyDescent="0.25">
      <c r="H92"/>
    </row>
    <row r="93" spans="2:8" x14ac:dyDescent="0.25">
      <c r="B93" s="46" t="s">
        <v>46</v>
      </c>
      <c r="C93" s="46"/>
      <c r="D93" s="46"/>
      <c r="E93" s="46" t="s">
        <v>48</v>
      </c>
      <c r="F93" s="46"/>
      <c r="G93" s="46"/>
    </row>
    <row r="94" spans="2:8" ht="46.5" customHeight="1" x14ac:dyDescent="0.25"/>
    <row r="95" spans="2:8" x14ac:dyDescent="0.25">
      <c r="B95" s="46" t="s">
        <v>58</v>
      </c>
      <c r="C95" s="46"/>
      <c r="D95" s="46"/>
      <c r="E95" s="46" t="s">
        <v>47</v>
      </c>
      <c r="F95" s="46"/>
      <c r="G95" s="46"/>
    </row>
  </sheetData>
  <sheetProtection password="CC50" sheet="1" objects="1" scenarios="1" formatCells="0" formatColumns="0" formatRows="0"/>
  <mergeCells count="84">
    <mergeCell ref="E13:G13"/>
    <mergeCell ref="B93:D93"/>
    <mergeCell ref="E93:G93"/>
    <mergeCell ref="B95:D95"/>
    <mergeCell ref="E95:G95"/>
    <mergeCell ref="E69:G69"/>
    <mergeCell ref="B70:D70"/>
    <mergeCell ref="E70:G70"/>
    <mergeCell ref="F72:G72"/>
    <mergeCell ref="B74:D74"/>
    <mergeCell ref="E74:G74"/>
    <mergeCell ref="B75:D75"/>
    <mergeCell ref="F67:G67"/>
    <mergeCell ref="E45:G45"/>
    <mergeCell ref="F47:G47"/>
    <mergeCell ref="B59:D59"/>
    <mergeCell ref="B6:G6"/>
    <mergeCell ref="B90:D90"/>
    <mergeCell ref="E90:G90"/>
    <mergeCell ref="B91:D91"/>
    <mergeCell ref="E91:G91"/>
    <mergeCell ref="B88:D88"/>
    <mergeCell ref="E88:G88"/>
    <mergeCell ref="B89:D89"/>
    <mergeCell ref="E89:G89"/>
    <mergeCell ref="B84:D84"/>
    <mergeCell ref="E75:G75"/>
    <mergeCell ref="F77:G77"/>
    <mergeCell ref="B79:D79"/>
    <mergeCell ref="E79:G79"/>
    <mergeCell ref="B80:D80"/>
    <mergeCell ref="E80:G80"/>
    <mergeCell ref="E59:G59"/>
    <mergeCell ref="B60:D60"/>
    <mergeCell ref="E60:G60"/>
    <mergeCell ref="E49:G49"/>
    <mergeCell ref="B50:D50"/>
    <mergeCell ref="E50:G50"/>
    <mergeCell ref="F52:G52"/>
    <mergeCell ref="F62:G62"/>
    <mergeCell ref="B64:D64"/>
    <mergeCell ref="E64:G64"/>
    <mergeCell ref="B65:D65"/>
    <mergeCell ref="E65:G65"/>
    <mergeCell ref="B24:D24"/>
    <mergeCell ref="B44:D44"/>
    <mergeCell ref="E44:G44"/>
    <mergeCell ref="E55:G55"/>
    <mergeCell ref="F57:G57"/>
    <mergeCell ref="B41:G41"/>
    <mergeCell ref="B54:D54"/>
    <mergeCell ref="E54:G54"/>
    <mergeCell ref="F18:G18"/>
    <mergeCell ref="B13:D13"/>
    <mergeCell ref="B42:D42"/>
    <mergeCell ref="E36:G36"/>
    <mergeCell ref="B37:D37"/>
    <mergeCell ref="E37:G37"/>
    <mergeCell ref="E29:G29"/>
    <mergeCell ref="B30:D30"/>
    <mergeCell ref="E30:G30"/>
    <mergeCell ref="B31:D31"/>
    <mergeCell ref="C32:D32"/>
    <mergeCell ref="F32:G32"/>
    <mergeCell ref="B22:D22"/>
    <mergeCell ref="E22:G22"/>
    <mergeCell ref="B23:D23"/>
    <mergeCell ref="E23:G23"/>
    <mergeCell ref="F10:G10"/>
    <mergeCell ref="F11:G11"/>
    <mergeCell ref="B15:D15"/>
    <mergeCell ref="E15:G15"/>
    <mergeCell ref="B69:D69"/>
    <mergeCell ref="B45:D45"/>
    <mergeCell ref="B55:D55"/>
    <mergeCell ref="B49:D49"/>
    <mergeCell ref="B29:D29"/>
    <mergeCell ref="B36:D36"/>
    <mergeCell ref="C25:D25"/>
    <mergeCell ref="F25:G25"/>
    <mergeCell ref="B16:D16"/>
    <mergeCell ref="E16:G16"/>
    <mergeCell ref="B17:D17"/>
    <mergeCell ref="C18:D18"/>
  </mergeCells>
  <pageMargins left="0.7" right="0.7" top="0.75" bottom="0.75" header="0.3" footer="0.3"/>
  <pageSetup scale="91" fitToHeight="0" orientation="landscape" r:id="rId1"/>
  <headerFooter>
    <oddHeader>&amp;LPARTNERS of the AMERICAS&amp;C2012 Review &amp; 2013 Preview
&amp;R2012 Goals &amp; Performance Evaluation</oddHeader>
    <oddFooter>&amp;L&amp;D &amp;T&amp;RPage &amp;P of &amp;N</oddFooter>
  </headerFooter>
  <rowBreaks count="2" manualBreakCount="2">
    <brk id="40" max="16383" man="1"/>
    <brk id="82"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Sheet2!$A$1:$A$12</xm:f>
          </x14:formula1>
          <xm:sqref>F18:G18 F25:G25 F32:G32 F57:G57 F52:G52 F47:G47 F62:G62 F67:G67 F72:G72 F77:G77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5" x14ac:dyDescent="0.25"/>
  <cols>
    <col min="1" max="2" width="22.7109375" bestFit="1" customWidth="1"/>
    <col min="3" max="3" width="4" bestFit="1" customWidth="1"/>
  </cols>
  <sheetData>
    <row r="1" spans="1:3" x14ac:dyDescent="0.25">
      <c r="A1" t="s">
        <v>14</v>
      </c>
      <c r="B1" t="s">
        <v>24</v>
      </c>
      <c r="C1">
        <v>9.9999999999999995E-7</v>
      </c>
    </row>
    <row r="2" spans="1:3" x14ac:dyDescent="0.25">
      <c r="A2" t="s">
        <v>15</v>
      </c>
      <c r="B2" t="s">
        <v>23</v>
      </c>
      <c r="C2">
        <v>1</v>
      </c>
    </row>
    <row r="3" spans="1:3" x14ac:dyDescent="0.25">
      <c r="A3" t="s">
        <v>16</v>
      </c>
      <c r="B3" t="s">
        <v>22</v>
      </c>
      <c r="C3">
        <v>1.5</v>
      </c>
    </row>
    <row r="4" spans="1:3" x14ac:dyDescent="0.25">
      <c r="A4" t="s">
        <v>17</v>
      </c>
      <c r="B4" t="s">
        <v>21</v>
      </c>
      <c r="C4">
        <v>2</v>
      </c>
    </row>
    <row r="5" spans="1:3" x14ac:dyDescent="0.25">
      <c r="A5" t="s">
        <v>19</v>
      </c>
      <c r="B5" t="s">
        <v>20</v>
      </c>
      <c r="C5">
        <v>2.5</v>
      </c>
    </row>
    <row r="6" spans="1:3" x14ac:dyDescent="0.25">
      <c r="A6" t="s">
        <v>18</v>
      </c>
      <c r="B6" t="s">
        <v>18</v>
      </c>
      <c r="C6">
        <v>3</v>
      </c>
    </row>
    <row r="7" spans="1:3" x14ac:dyDescent="0.25">
      <c r="A7" t="s">
        <v>20</v>
      </c>
      <c r="B7" t="s">
        <v>19</v>
      </c>
      <c r="C7">
        <v>3.5</v>
      </c>
    </row>
    <row r="8" spans="1:3" x14ac:dyDescent="0.25">
      <c r="A8" t="s">
        <v>21</v>
      </c>
      <c r="B8" t="s">
        <v>17</v>
      </c>
      <c r="C8">
        <v>4</v>
      </c>
    </row>
    <row r="9" spans="1:3" x14ac:dyDescent="0.25">
      <c r="A9" t="s">
        <v>22</v>
      </c>
      <c r="B9" t="s">
        <v>16</v>
      </c>
      <c r="C9">
        <v>4.5</v>
      </c>
    </row>
    <row r="10" spans="1:3" x14ac:dyDescent="0.25">
      <c r="A10" t="s">
        <v>23</v>
      </c>
      <c r="B10" t="s">
        <v>15</v>
      </c>
      <c r="C10">
        <v>5</v>
      </c>
    </row>
    <row r="11" spans="1:3" x14ac:dyDescent="0.25">
      <c r="A11" t="s">
        <v>24</v>
      </c>
      <c r="B11" t="s">
        <v>14</v>
      </c>
      <c r="C11">
        <v>9.9999999999999995E-7</v>
      </c>
    </row>
    <row r="12" spans="1:3" x14ac:dyDescent="0.25">
      <c r="A12" t="s">
        <v>25</v>
      </c>
      <c r="B12" t="s">
        <v>25</v>
      </c>
      <c r="C12" t="s">
        <v>26</v>
      </c>
    </row>
  </sheetData>
  <sheetProtection password="CC50" sheet="1" objects="1" scenarios="1"/>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2" ma:contentTypeDescription="Create a new document." ma:contentTypeScope="" ma:versionID="b9b9115c0a7ba5ac1a4f71ca19fa2a6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ee5f6545d17dbae8f4c99dcf00b8be7"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BB4BDB-CA3A-4F25-A8E2-8672CE5096C3}"/>
</file>

<file path=customXml/itemProps2.xml><?xml version="1.0" encoding="utf-8"?>
<ds:datastoreItem xmlns:ds="http://schemas.openxmlformats.org/officeDocument/2006/customXml" ds:itemID="{F28FDF8C-E12F-45BB-8CE4-88FD84C6799E}"/>
</file>

<file path=customXml/itemProps3.xml><?xml version="1.0" encoding="utf-8"?>
<ds:datastoreItem xmlns:ds="http://schemas.openxmlformats.org/officeDocument/2006/customXml" ds:itemID="{31ED4178-F31B-48E8-83D1-E15E0179A7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Jamie M. Trimarchi</cp:lastModifiedBy>
  <cp:lastPrinted>2012-12-12T19:43:07Z</cp:lastPrinted>
  <dcterms:created xsi:type="dcterms:W3CDTF">2012-12-10T15:40:14Z</dcterms:created>
  <dcterms:modified xsi:type="dcterms:W3CDTF">2012-12-12T19:50:45Z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511600</vt:r8>
  </property>
</Properties>
</file>