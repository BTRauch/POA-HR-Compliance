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240" yWindow="105" windowWidth="20115" windowHeight="8505"/>
  </bookViews>
  <sheets>
    <sheet name="Evaluation" sheetId="1" r:id="rId1"/>
    <sheet name="Ratings" sheetId="3" r:id="rId2"/>
  </sheets>
  <definedNames>
    <definedName name="Descriptions">Ratings!$A$1:$A$10</definedName>
    <definedName name="_xlnm.Print_Titles" localSheetId="0">Evaluation!$1:$4</definedName>
    <definedName name="Ratings">Ratings!$C$1:$D$10</definedName>
  </definedNames>
  <calcPr calcId="144525"/>
</workbook>
</file>

<file path=xl/calcChain.xml><?xml version="1.0" encoding="utf-8"?>
<calcChain xmlns="http://schemas.openxmlformats.org/spreadsheetml/2006/main">
  <c r="C14" i="1" l="1"/>
  <c r="C18" i="1"/>
  <c r="C22" i="1"/>
  <c r="C26" i="1"/>
  <c r="C66" i="1" l="1"/>
  <c r="C128" i="1"/>
  <c r="C153" i="1"/>
  <c r="C174" i="1"/>
  <c r="C91" i="1" l="1"/>
  <c r="C42" i="1"/>
  <c r="C186" i="1"/>
  <c r="C182" i="1"/>
  <c r="C178" i="1"/>
  <c r="C170" i="1"/>
  <c r="C161" i="1"/>
  <c r="C157" i="1"/>
  <c r="C149" i="1"/>
  <c r="C145" i="1"/>
  <c r="C136" i="1"/>
  <c r="C132" i="1"/>
  <c r="C124" i="1"/>
  <c r="C120" i="1"/>
  <c r="C116" i="1"/>
  <c r="C112" i="1"/>
  <c r="C108" i="1"/>
  <c r="C104" i="1"/>
  <c r="C100" i="1"/>
  <c r="C87" i="1"/>
  <c r="C83" i="1"/>
  <c r="C79" i="1"/>
  <c r="C75" i="1"/>
  <c r="C70" i="1"/>
  <c r="C58" i="1"/>
  <c r="C54" i="1"/>
  <c r="C50" i="1"/>
  <c r="C46" i="1"/>
  <c r="C38" i="1"/>
  <c r="C34" i="1"/>
  <c r="C30" i="1"/>
  <c r="C62" i="1"/>
  <c r="C140" i="1" l="1"/>
  <c r="C139" i="1" s="1"/>
  <c r="C165" i="1"/>
  <c r="C164" i="1" s="1"/>
  <c r="C190" i="1"/>
  <c r="C189" i="1" s="1"/>
  <c r="C95" i="1"/>
  <c r="C94" i="1" s="1"/>
  <c r="C193" i="1" l="1"/>
</calcChain>
</file>

<file path=xl/sharedStrings.xml><?xml version="1.0" encoding="utf-8"?>
<sst xmlns="http://schemas.openxmlformats.org/spreadsheetml/2006/main" count="126" uniqueCount="71">
  <si>
    <t>Key Job Functions and Skills – 60%</t>
  </si>
  <si>
    <t xml:space="preserve">Executes responsibilities competently, consistently, and in accordance with job description and expectations.  </t>
  </si>
  <si>
    <t xml:space="preserve">Responds promptly and dutifully to inquiries and requests, both internal and external.  </t>
  </si>
  <si>
    <t>Communicates internally regarding program/unit activities in a timely and comprehensive manner.</t>
  </si>
  <si>
    <t>Promotes program/unit activities and accomplishments to stakeholders and outsiders with positivity and accuracy.</t>
  </si>
  <si>
    <t>Defines and follows clear long- and short-terms objectives, aligned with program/unit goals, organizational priorities and strategic plan.</t>
  </si>
  <si>
    <t xml:space="preserve">Manages time and prioritizes efficiently, adjusting appropriately based on others’ feedback and own judgment.  </t>
  </si>
  <si>
    <t>Meets objectives and deadlines with focus, quality and accuracy.</t>
  </si>
  <si>
    <t>Demonstrates resilience, resourcefulness and innovation when responding to unexpected demands.</t>
  </si>
  <si>
    <t xml:space="preserve">Identifies and investigations problems effectively, seeking solutions in the best interest of the program/unit and organization.  </t>
  </si>
  <si>
    <t>Works proactively to avoid problems and improve productivity, efficiency and morale.</t>
  </si>
  <si>
    <t>Completes expense reports, timesheets, approvals and other mandatory items in a timely and accurate manner.</t>
  </si>
  <si>
    <t xml:space="preserve">Complies with funder and organizational requirements when submitting and maintaining records.   </t>
  </si>
  <si>
    <t xml:space="preserve">Provides direction, leadership, and expertise to staff and overall organization.  </t>
  </si>
  <si>
    <t>Delegates tasks in a prudent and efficient manner.  Monitors progress and results effectively.</t>
  </si>
  <si>
    <t xml:space="preserve">Sets clear expectations.  Gives effective feedback and recognizes individual accomplishments.  </t>
  </si>
  <si>
    <t>Manages internal and external conflict successfully.</t>
  </si>
  <si>
    <t>Consistently follows and enforces company policies and procedures. Expects honest and ethical behavior of self and others.</t>
  </si>
  <si>
    <t>Organizational Development – 20%</t>
  </si>
  <si>
    <t xml:space="preserve">Demonstrates commitment to strengthening and developing the Partners network including its volunteers, programs, and projects.  </t>
  </si>
  <si>
    <t>Exemplifies Partners’ mission and incorporates it into own area of responsibility.</t>
  </si>
  <si>
    <t>Strives to understand and meet the needs of colleagues and stakeholders.  Values the importance of serving and assisting others.</t>
  </si>
  <si>
    <t xml:space="preserve">Takes initiative and follows through on tasks that improve the functionality and efficiency of the organization.  </t>
  </si>
  <si>
    <t xml:space="preserve">Actively seeks new relationships and explores new opportunities.    </t>
  </si>
  <si>
    <t>Represents and promotes Partners programs/work with a vibrant and positive approach.  Presents a unified, branded image of Partners to outsiders.</t>
  </si>
  <si>
    <t xml:space="preserve">Manages funds and resources responsibly and judiciously within area of responsibility.  </t>
  </si>
  <si>
    <t>Makes timely, clear decisions within area of responsibility.  Acts with accountability, integrity and transparency in decision-making.</t>
  </si>
  <si>
    <t>Values collaboration and works in partnership with others within and outside of the organization.</t>
  </si>
  <si>
    <t>Personal Development – 10%</t>
  </si>
  <si>
    <t>Open and flexible to new ideas and points of view.  Works to understand and recognize others’ perspectives.</t>
  </si>
  <si>
    <t>Professional Development – 10%</t>
  </si>
  <si>
    <t>Exercises leadership regularly within area of responsibility.</t>
  </si>
  <si>
    <t>Provides effective feedback to peers and recognizes others’ achievements.  Coaches and motivates fellow colleagues.</t>
  </si>
  <si>
    <t>Acts responsibly and has earned others’ trust and credibility.</t>
  </si>
  <si>
    <t>Works to mitigate conflict and resolve disagreements in a constructive manner.</t>
  </si>
  <si>
    <t xml:space="preserve">Takes initiative to improve knowledge and performance of self and program/unit.  Continually adds value to the program/unit and Partners as an organization.    </t>
  </si>
  <si>
    <t>Choose rating from list.</t>
  </si>
  <si>
    <t>Demonstrates strong knowledge and proficiency within area of responsibility.</t>
  </si>
  <si>
    <t xml:space="preserve">Demonstrates accountability and consistency in adhering to policies, procedures and guidelines. </t>
  </si>
  <si>
    <t>Weighted Score</t>
  </si>
  <si>
    <t xml:space="preserve">Demonstrates commitment to making Partners a financially sustainable organization.  Contributes to the development and execution of concept papers, proposals and/or entrepreneurial initiatives within area of responsibility.    </t>
  </si>
  <si>
    <t xml:space="preserve">Section Average </t>
  </si>
  <si>
    <t>Final Score</t>
  </si>
  <si>
    <t>Continually strives to achieve a high level of quality and performance within area of responsibility.</t>
  </si>
  <si>
    <t>Supervisory Functions (only if applicable)</t>
  </si>
  <si>
    <t>2.5 - Needs Improvement/Satisfactory</t>
  </si>
  <si>
    <t>1.5 - Seriously Deficient/Needs Improvement</t>
  </si>
  <si>
    <t>3.5 - Satisfactory/Solid Performance</t>
  </si>
  <si>
    <t>4.5 - Solid Performance/Exemplary</t>
  </si>
  <si>
    <t>Rating Definitions</t>
  </si>
  <si>
    <t xml:space="preserve">Employee Name - </t>
  </si>
  <si>
    <t xml:space="preserve">Supervisor Name - </t>
  </si>
  <si>
    <t xml:space="preserve">2011 Performance Evaluation </t>
  </si>
  <si>
    <r>
      <rPr>
        <b/>
        <sz val="10"/>
        <rFont val="Calibri"/>
        <family val="2"/>
        <scheme val="minor"/>
      </rPr>
      <t xml:space="preserve">Exemplary - </t>
    </r>
    <r>
      <rPr>
        <sz val="10"/>
        <rFont val="Calibri"/>
        <family val="2"/>
        <scheme val="minor"/>
      </rPr>
      <t>Consistently achieves at high level.  Exceeds expectations.</t>
    </r>
  </si>
  <si>
    <r>
      <rPr>
        <b/>
        <sz val="10"/>
        <rFont val="Calibri"/>
        <family val="2"/>
        <scheme val="minor"/>
      </rPr>
      <t xml:space="preserve">Solid Performance - </t>
    </r>
    <r>
      <rPr>
        <sz val="10"/>
        <rFont val="Calibri"/>
        <family val="2"/>
        <scheme val="minor"/>
      </rPr>
      <t>Completes all requirements above the satisfactory level in a consistent and excellent manner.  Meets all expectations.</t>
    </r>
  </si>
  <si>
    <r>
      <rPr>
        <b/>
        <sz val="10"/>
        <rFont val="Calibri"/>
        <family val="2"/>
        <scheme val="minor"/>
      </rPr>
      <t xml:space="preserve">Satisfactory - </t>
    </r>
    <r>
      <rPr>
        <sz val="10"/>
        <rFont val="Calibri"/>
        <family val="2"/>
        <scheme val="minor"/>
      </rPr>
      <t>Accomplishes the task in a satisfactory manner.  Meets most expectations.</t>
    </r>
  </si>
  <si>
    <r>
      <rPr>
        <b/>
        <sz val="10"/>
        <rFont val="Calibri"/>
        <family val="2"/>
        <scheme val="minor"/>
      </rPr>
      <t xml:space="preserve">Needs Improvement - </t>
    </r>
    <r>
      <rPr>
        <sz val="10"/>
        <rFont val="Calibri"/>
        <family val="2"/>
        <scheme val="minor"/>
      </rPr>
      <t>Improvement is necessary to more consistently meet expectations. Further understanding or training may be required.</t>
    </r>
  </si>
  <si>
    <r>
      <rPr>
        <b/>
        <sz val="10"/>
        <rFont val="Calibri"/>
        <family val="2"/>
        <scheme val="minor"/>
      </rPr>
      <t xml:space="preserve">Seriously Deficient - </t>
    </r>
    <r>
      <rPr>
        <sz val="10"/>
        <rFont val="Calibri"/>
        <family val="2"/>
        <scheme val="minor"/>
      </rPr>
      <t>Serious problems with approach or execution.  Expectations are generally not met.</t>
    </r>
  </si>
  <si>
    <t>Vice President's Signature (if applicable)                                                       Date</t>
  </si>
  <si>
    <t>President's Signature                                                                                               Date</t>
  </si>
  <si>
    <t>Employee Signature                                                                                                Date</t>
  </si>
  <si>
    <t>Supervisor Signature                                                                                                 Date</t>
  </si>
  <si>
    <t xml:space="preserve">Exhibits effective oral and written communication skills.  Listens actively and demonstrates understanding.    </t>
  </si>
  <si>
    <t>Brings a positive attitude to the workplace.  Expresses a spirit of cooperation and willingness to help others within and outside area of responsibility.</t>
  </si>
  <si>
    <t>5.0 - Exemplary</t>
  </si>
  <si>
    <t>4.0 - Solid Peformance</t>
  </si>
  <si>
    <t>3.0 - Satisfactory</t>
  </si>
  <si>
    <t>2.0 - Needs Improvement</t>
  </si>
  <si>
    <t>1.0 - Seriously Deficient</t>
  </si>
  <si>
    <t xml:space="preserve">Promotes fairness and equality.  Demonstrates empathy and respect for people and their differences.    </t>
  </si>
  <si>
    <t>Encourages cooperation and teamwork.  Works to bring out the best in others and to build a collaborative working environment.</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</si>
</sst>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15"/>
      <color theme="3"/>
      <name val="Calibri"/>
      <family val="2"/>
      <scheme val="minor"/>
    </font>
    <font>
      <b/>
      <sz val="13"/>
      <color theme="3"/>
      <name val="Calibri"/>
      <family val="2"/>
      <scheme val="minor"/>
    </font>
    <font>
      <sz val="12"/>
      <name val="Calibri"/>
      <family val="2"/>
      <scheme val="minor"/>
    </font>
    <font>
      <b/>
      <sz val="12"/>
      <name val="Calibri"/>
      <family val="2"/>
      <scheme val="minor"/>
    </font>
    <font>
      <b/>
      <sz val="14"/>
      <name val="Calibri"/>
      <family val="2"/>
      <scheme val="minor"/>
    </font>
    <font>
      <sz val="10"/>
      <name val="Calibri"/>
      <family val="2"/>
      <scheme val="minor"/>
    </font>
    <font>
      <b/>
      <sz val="10"/>
      <name val="Calibri"/>
      <family val="2"/>
      <scheme val="minor"/>
    </font>
    <font>
      <sz val="11"/>
      <name val="Calibri"/>
      <family val="2"/>
      <scheme val="minor"/>
    </font>
    <font>
      <b/>
      <sz val="11"/>
      <name val="Calibri"/>
      <family val="2"/>
      <scheme val="minor"/>
    </font>
    <font>
      <b/>
      <sz val="10"/>
      <name val="Cambria"/>
      <family val="1"/>
      <scheme val="major"/>
    </font>
    <font>
      <b/>
      <sz val="16"/>
      <name val="Calibri"/>
      <family val="2"/>
      <scheme val="minor"/>
    </font>
    <font>
      <b/>
      <sz val="10"/>
      <color theme="2" tint="-0.749992370372631"/>
      <name val="Calibri"/>
      <family val="2"/>
      <scheme val="minor"/>
    </font>
    <font>
      <i/>
      <sz val="14"/>
      <name val="Calibri"/>
      <family val="2"/>
      <scheme val="minor"/>
    </font>
    <font>
      <b/>
      <sz val="10"/>
      <color theme="4" tint="-0.499984740745262"/>
      <name val="Calibri"/>
      <family val="2"/>
      <scheme val="minor"/>
    </font>
    <font>
      <b/>
      <sz val="10"/>
      <color theme="8" tint="-0.499984740745262"/>
      <name val="Calibri"/>
      <family val="2"/>
      <scheme val="minor"/>
    </font>
    <font>
      <b/>
      <sz val="10"/>
      <color theme="6" tint="-0.499984740745262"/>
      <name val="Calibri"/>
      <family val="2"/>
      <scheme val="minor"/>
    </font>
    <font>
      <b/>
      <sz val="10"/>
      <color theme="1" tint="0.34998626667073579"/>
      <name val="Calibri"/>
      <family val="2"/>
      <scheme val="minor"/>
    </font>
    <font>
      <b/>
      <sz val="14"/>
      <color theme="2" tint="-0.749992370372631"/>
      <name val="Cambria"/>
      <family val="1"/>
      <scheme val="major"/>
    </font>
    <font>
      <b/>
      <sz val="12"/>
      <name val="Cambria"/>
      <family val="1"/>
      <scheme val="major"/>
    </font>
    <font>
      <b/>
      <sz val="14"/>
      <name val="Cambria"/>
      <family val="1"/>
      <scheme val="major"/>
    </font>
  </fonts>
  <fills count="10">
    <fill>
      <patternFill patternType="none"/>
    </fill>
    <fill>
      <patternFill patternType="gray125"/>
    </fill>
    <fill>
      <patternFill patternType="solid">
        <fgColor theme="2"/>
        <bgColor indexed="64"/>
      </patternFill>
    </fill>
    <fill>
      <patternFill patternType="solid">
        <fgColor rgb="FFFFFFFF"/>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0" tint="-0.149998474074526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style="medium">
        <color theme="4"/>
      </left>
      <right style="medium">
        <color theme="4"/>
      </right>
      <top style="medium">
        <color theme="4"/>
      </top>
      <bottom style="medium">
        <color theme="4"/>
      </bottom>
      <diagonal/>
    </border>
    <border>
      <left style="medium">
        <color theme="2" tint="-0.499984740745262"/>
      </left>
      <right style="medium">
        <color theme="2" tint="-0.499984740745262"/>
      </right>
      <top style="medium">
        <color theme="2" tint="-0.499984740745262"/>
      </top>
      <bottom style="medium">
        <color theme="2" tint="-0.499984740745262"/>
      </bottom>
      <diagonal/>
    </border>
    <border>
      <left/>
      <right/>
      <top/>
      <bottom style="thin">
        <color indexed="64"/>
      </bottom>
      <diagonal/>
    </border>
    <border>
      <left style="thin">
        <color indexed="64"/>
      </left>
      <right/>
      <top style="thin">
        <color indexed="64"/>
      </top>
      <bottom style="double">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double">
        <color indexed="64"/>
      </bottom>
      <diagonal/>
    </border>
    <border>
      <left/>
      <right/>
      <top/>
      <bottom style="medium">
        <color indexed="64"/>
      </bottom>
      <diagonal/>
    </border>
    <border>
      <left style="medium">
        <color theme="8"/>
      </left>
      <right style="medium">
        <color theme="8"/>
      </right>
      <top style="medium">
        <color theme="8"/>
      </top>
      <bottom style="medium">
        <color theme="8"/>
      </bottom>
      <diagonal/>
    </border>
    <border>
      <left/>
      <right style="thin">
        <color indexed="64"/>
      </right>
      <top/>
      <bottom style="double">
        <color indexed="64"/>
      </bottom>
      <diagonal/>
    </border>
    <border>
      <left style="medium">
        <color theme="6"/>
      </left>
      <right style="medium">
        <color theme="6"/>
      </right>
      <top style="medium">
        <color theme="6"/>
      </top>
      <bottom style="medium">
        <color theme="6"/>
      </bottom>
      <diagonal/>
    </border>
    <border>
      <left/>
      <right/>
      <top style="thin">
        <color indexed="64"/>
      </top>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78">
    <xf numFmtId="0" fontId="0" fillId="0" borderId="0" xfId="0"/>
    <xf numFmtId="0" fontId="0" fillId="0" borderId="0" xfId="0" applyFont="1" applyFill="1" applyBorder="1"/>
    <xf numFmtId="2" fontId="0" fillId="0" borderId="0" xfId="0" applyNumberFormat="1" applyFont="1" applyFill="1" applyBorder="1"/>
    <xf numFmtId="0" fontId="0" fillId="0" borderId="0" xfId="0" applyFont="1" applyFill="1" applyBorder="1" applyAlignment="1">
      <alignment vertical="center" wrapText="1"/>
    </xf>
    <xf numFmtId="0" fontId="6" fillId="0" borderId="0" xfId="0" applyFont="1" applyFill="1" applyBorder="1" applyProtection="1"/>
    <xf numFmtId="0" fontId="6" fillId="0" borderId="0" xfId="0" applyFont="1" applyFill="1" applyBorder="1"/>
    <xf numFmtId="0" fontId="7" fillId="0" borderId="0" xfId="0" applyFont="1" applyFill="1" applyBorder="1" applyAlignment="1" applyProtection="1">
      <alignment vertical="center" wrapText="1"/>
    </xf>
    <xf numFmtId="0" fontId="0" fillId="0" borderId="0" xfId="0"/>
    <xf numFmtId="2" fontId="3" fillId="0" borderId="0" xfId="0" applyNumberFormat="1" applyFont="1" applyFill="1" applyBorder="1" applyAlignment="1" applyProtection="1">
      <alignment horizontal="center" vertical="center"/>
    </xf>
    <xf numFmtId="2" fontId="6" fillId="0" borderId="0" xfId="0" applyNumberFormat="1" applyFont="1" applyFill="1" applyBorder="1" applyAlignment="1" applyProtection="1">
      <alignment horizontal="center" vertical="center"/>
    </xf>
    <xf numFmtId="2" fontId="4" fillId="0" borderId="9" xfId="0" applyNumberFormat="1" applyFont="1" applyFill="1" applyBorder="1" applyAlignment="1" applyProtection="1">
      <alignment horizontal="center" vertical="center"/>
    </xf>
    <xf numFmtId="2" fontId="5" fillId="0" borderId="4" xfId="0" applyNumberFormat="1" applyFont="1" applyFill="1" applyBorder="1" applyAlignment="1" applyProtection="1">
      <alignment horizontal="center" vertical="center"/>
    </xf>
    <xf numFmtId="0" fontId="6" fillId="0" borderId="0" xfId="0" applyFont="1" applyFill="1" applyBorder="1" applyAlignment="1" applyProtection="1">
      <alignment vertical="top"/>
    </xf>
    <xf numFmtId="0" fontId="7" fillId="0" borderId="5" xfId="0" applyFont="1" applyFill="1" applyBorder="1" applyAlignment="1" applyProtection="1">
      <alignment horizontal="left" vertical="top" wrapText="1" indent="1"/>
    </xf>
    <xf numFmtId="0" fontId="6" fillId="0" borderId="0" xfId="0" applyFont="1" applyFill="1" applyBorder="1" applyAlignment="1" applyProtection="1">
      <alignment horizontal="right" vertical="top" wrapText="1"/>
    </xf>
    <xf numFmtId="0" fontId="4" fillId="0" borderId="0" xfId="0" applyFont="1" applyFill="1" applyBorder="1" applyAlignment="1" applyProtection="1">
      <alignment horizontal="right" vertical="top" wrapText="1"/>
    </xf>
    <xf numFmtId="0" fontId="6" fillId="0" borderId="0" xfId="0" applyFont="1" applyFill="1" applyBorder="1" applyAlignment="1" applyProtection="1">
      <alignment horizontal="left" vertical="top" wrapText="1"/>
    </xf>
    <xf numFmtId="0" fontId="6" fillId="0" borderId="0" xfId="0" applyFont="1" applyFill="1" applyBorder="1" applyAlignment="1">
      <alignment horizontal="left" vertical="top"/>
    </xf>
    <xf numFmtId="0" fontId="4" fillId="0" borderId="8" xfId="0" applyFont="1" applyFill="1" applyBorder="1" applyAlignment="1" applyProtection="1">
      <alignment horizontal="center" vertical="center" wrapText="1"/>
    </xf>
    <xf numFmtId="2" fontId="3" fillId="0" borderId="8" xfId="0" applyNumberFormat="1" applyFont="1" applyFill="1" applyBorder="1" applyAlignment="1" applyProtection="1">
      <alignment horizontal="center" vertical="center"/>
    </xf>
    <xf numFmtId="2" fontId="4" fillId="0" borderId="10" xfId="0" applyNumberFormat="1" applyFont="1" applyFill="1" applyBorder="1" applyAlignment="1" applyProtection="1">
      <alignment horizontal="center" vertical="center"/>
    </xf>
    <xf numFmtId="2" fontId="4" fillId="0" borderId="13" xfId="0" applyNumberFormat="1" applyFont="1" applyFill="1" applyBorder="1" applyAlignment="1" applyProtection="1">
      <alignment horizontal="center" vertical="center"/>
    </xf>
    <xf numFmtId="0" fontId="3" fillId="0" borderId="0" xfId="0" applyFont="1" applyFill="1" applyBorder="1" applyAlignment="1" applyProtection="1">
      <alignment horizontal="center" vertical="center"/>
    </xf>
    <xf numFmtId="2" fontId="4" fillId="0" borderId="4" xfId="0" applyNumberFormat="1" applyFont="1" applyFill="1" applyBorder="1" applyAlignment="1" applyProtection="1">
      <alignment horizontal="center" vertical="center"/>
    </xf>
    <xf numFmtId="0" fontId="7" fillId="0" borderId="15" xfId="0" applyFont="1" applyBorder="1" applyAlignment="1" applyProtection="1">
      <alignment horizontal="left"/>
      <protection locked="0"/>
    </xf>
    <xf numFmtId="0" fontId="8" fillId="0" borderId="0" xfId="0" applyFont="1" applyProtection="1"/>
    <xf numFmtId="0" fontId="6" fillId="0" borderId="15" xfId="0" applyFont="1" applyBorder="1" applyAlignment="1" applyProtection="1">
      <alignment horizontal="left"/>
      <protection locked="0"/>
    </xf>
    <xf numFmtId="0" fontId="8" fillId="0" borderId="15" xfId="0" applyFont="1" applyBorder="1" applyProtection="1"/>
    <xf numFmtId="0" fontId="9" fillId="0" borderId="0" xfId="0" applyFont="1" applyBorder="1" applyProtection="1">
      <protection locked="0"/>
    </xf>
    <xf numFmtId="2" fontId="4" fillId="0" borderId="4" xfId="0" applyNumberFormat="1" applyFont="1" applyBorder="1" applyAlignment="1" applyProtection="1">
      <alignment horizontal="center" vertical="center"/>
    </xf>
    <xf numFmtId="0" fontId="6" fillId="0" borderId="7" xfId="0" applyFont="1" applyFill="1" applyBorder="1" applyAlignment="1" applyProtection="1">
      <alignment horizontal="right" vertical="top" wrapText="1"/>
      <protection locked="0"/>
    </xf>
    <xf numFmtId="0" fontId="6" fillId="4" borderId="0" xfId="0" applyFont="1" applyFill="1" applyBorder="1" applyProtection="1"/>
    <xf numFmtId="0" fontId="6" fillId="2" borderId="0" xfId="0" applyFont="1" applyFill="1" applyBorder="1" applyProtection="1"/>
    <xf numFmtId="0" fontId="6" fillId="2" borderId="0" xfId="0" applyFont="1" applyFill="1" applyBorder="1"/>
    <xf numFmtId="0" fontId="6" fillId="2" borderId="0" xfId="0" applyFont="1" applyFill="1" applyBorder="1" applyAlignment="1" applyProtection="1">
      <alignment vertical="top"/>
    </xf>
    <xf numFmtId="0" fontId="11" fillId="2" borderId="0" xfId="1" applyFont="1" applyFill="1" applyBorder="1" applyAlignment="1" applyProtection="1">
      <alignment vertical="top" wrapText="1"/>
    </xf>
    <xf numFmtId="0" fontId="4" fillId="4" borderId="0" xfId="2" applyFont="1" applyFill="1" applyBorder="1" applyAlignment="1" applyProtection="1">
      <alignment vertical="top" wrapText="1"/>
    </xf>
    <xf numFmtId="0" fontId="7" fillId="5" borderId="5" xfId="0" applyFont="1" applyFill="1" applyBorder="1" applyAlignment="1" applyProtection="1">
      <alignment horizontal="left" vertical="top" wrapText="1" indent="1"/>
    </xf>
    <xf numFmtId="2" fontId="3" fillId="5" borderId="8" xfId="0" applyNumberFormat="1" applyFont="1" applyFill="1" applyBorder="1" applyAlignment="1" applyProtection="1">
      <alignment horizontal="center" vertical="center"/>
    </xf>
    <xf numFmtId="0" fontId="6" fillId="5" borderId="7" xfId="0" applyFont="1" applyFill="1" applyBorder="1" applyAlignment="1" applyProtection="1">
      <alignment horizontal="right" vertical="top" wrapText="1"/>
      <protection locked="0"/>
    </xf>
    <xf numFmtId="2" fontId="4" fillId="5" borderId="4" xfId="0" applyNumberFormat="1" applyFont="1" applyFill="1" applyBorder="1" applyAlignment="1" applyProtection="1">
      <alignment horizontal="center" vertical="center"/>
    </xf>
    <xf numFmtId="0" fontId="11" fillId="6" borderId="11" xfId="1" applyFont="1" applyFill="1" applyBorder="1" applyAlignment="1" applyProtection="1">
      <alignment vertical="top" wrapText="1"/>
    </xf>
    <xf numFmtId="0" fontId="6" fillId="6" borderId="0" xfId="0" applyFont="1" applyFill="1" applyBorder="1" applyProtection="1"/>
    <xf numFmtId="0" fontId="11" fillId="7" borderId="11" xfId="1" applyFont="1" applyFill="1" applyBorder="1" applyAlignment="1" applyProtection="1">
      <alignment vertical="top" wrapText="1"/>
    </xf>
    <xf numFmtId="0" fontId="6" fillId="7" borderId="0" xfId="0" applyFont="1" applyFill="1" applyBorder="1" applyProtection="1"/>
    <xf numFmtId="2" fontId="4" fillId="0" borderId="16" xfId="0" applyNumberFormat="1" applyFont="1" applyFill="1" applyBorder="1" applyAlignment="1" applyProtection="1">
      <alignment horizontal="center" vertical="center"/>
    </xf>
    <xf numFmtId="0" fontId="11" fillId="8" borderId="11" xfId="1" applyFont="1" applyFill="1" applyBorder="1" applyAlignment="1" applyProtection="1">
      <alignment vertical="top"/>
    </xf>
    <xf numFmtId="0" fontId="6" fillId="8" borderId="0" xfId="0" applyFont="1" applyFill="1" applyBorder="1" applyProtection="1"/>
    <xf numFmtId="2" fontId="4" fillId="0" borderId="18" xfId="0" applyNumberFormat="1" applyFont="1" applyFill="1" applyBorder="1" applyAlignment="1" applyProtection="1">
      <alignment horizontal="center" vertical="center"/>
    </xf>
    <xf numFmtId="0" fontId="8" fillId="5" borderId="0" xfId="0" applyFont="1" applyFill="1" applyProtection="1"/>
    <xf numFmtId="0" fontId="0" fillId="0" borderId="0" xfId="0" applyFont="1"/>
    <xf numFmtId="0" fontId="0" fillId="5" borderId="0" xfId="0" applyFont="1" applyFill="1"/>
    <xf numFmtId="0" fontId="0" fillId="2" borderId="0" xfId="0" applyFont="1" applyFill="1"/>
    <xf numFmtId="0" fontId="0" fillId="4" borderId="0" xfId="0" applyFont="1" applyFill="1"/>
    <xf numFmtId="0" fontId="13" fillId="0" borderId="0" xfId="0" applyFont="1" applyAlignment="1" applyProtection="1">
      <alignment vertical="center"/>
    </xf>
    <xf numFmtId="0" fontId="6" fillId="3" borderId="3" xfId="0" applyFont="1" applyFill="1" applyBorder="1" applyAlignment="1">
      <alignment vertical="center" wrapText="1"/>
    </xf>
    <xf numFmtId="0" fontId="12" fillId="0" borderId="12" xfId="0" applyFont="1" applyFill="1" applyBorder="1" applyAlignment="1" applyProtection="1">
      <alignment horizontal="left" vertical="top" wrapText="1"/>
      <protection locked="0"/>
    </xf>
    <xf numFmtId="0" fontId="3" fillId="0" borderId="14" xfId="0" applyFont="1" applyFill="1" applyBorder="1" applyAlignment="1" applyProtection="1">
      <alignment horizontal="center" vertical="center" wrapText="1"/>
    </xf>
    <xf numFmtId="0" fontId="6" fillId="0" borderId="0" xfId="0" applyFont="1" applyFill="1" applyBorder="1" applyAlignment="1" applyProtection="1">
      <alignment horizontal="left" vertical="top" wrapText="1"/>
      <protection locked="0"/>
    </xf>
    <xf numFmtId="0" fontId="3" fillId="0" borderId="0" xfId="0" applyFont="1" applyFill="1" applyBorder="1" applyAlignment="1" applyProtection="1">
      <alignment horizontal="center" vertical="center" wrapText="1"/>
    </xf>
    <xf numFmtId="0" fontId="3" fillId="0" borderId="6" xfId="0" applyFont="1" applyFill="1" applyBorder="1" applyAlignment="1" applyProtection="1">
      <alignment horizontal="center" vertical="center" wrapText="1"/>
    </xf>
    <xf numFmtId="0" fontId="3" fillId="0" borderId="17" xfId="0" applyFont="1" applyFill="1" applyBorder="1" applyAlignment="1" applyProtection="1">
      <alignment horizontal="center" vertical="center" wrapText="1"/>
    </xf>
    <xf numFmtId="0" fontId="7" fillId="0" borderId="12" xfId="0" applyFont="1" applyFill="1" applyBorder="1" applyAlignment="1" applyProtection="1">
      <alignment horizontal="left" vertical="top" wrapText="1"/>
      <protection locked="0"/>
    </xf>
    <xf numFmtId="0" fontId="14" fillId="0" borderId="12" xfId="0" applyFont="1" applyFill="1" applyBorder="1" applyAlignment="1" applyProtection="1">
      <alignment horizontal="left" vertical="top" wrapText="1"/>
      <protection locked="0"/>
    </xf>
    <xf numFmtId="0" fontId="15" fillId="0" borderId="12" xfId="0" applyFont="1" applyFill="1" applyBorder="1" applyAlignment="1" applyProtection="1">
      <alignment horizontal="left" vertical="top" wrapText="1"/>
      <protection locked="0"/>
    </xf>
    <xf numFmtId="0" fontId="16" fillId="0" borderId="12" xfId="0" applyFont="1" applyFill="1" applyBorder="1" applyAlignment="1" applyProtection="1">
      <alignment horizontal="left" vertical="top" wrapText="1"/>
      <protection locked="0"/>
    </xf>
    <xf numFmtId="0" fontId="17" fillId="0" borderId="12" xfId="0" applyFont="1" applyFill="1" applyBorder="1" applyAlignment="1" applyProtection="1">
      <alignment horizontal="left" vertical="top" wrapText="1"/>
      <protection locked="0"/>
    </xf>
    <xf numFmtId="0" fontId="6" fillId="9" borderId="0" xfId="0" applyFont="1" applyFill="1" applyBorder="1" applyProtection="1"/>
    <xf numFmtId="0" fontId="18" fillId="0" borderId="0" xfId="0" applyFont="1" applyAlignment="1">
      <alignment horizontal="left" vertical="center"/>
    </xf>
    <xf numFmtId="0" fontId="19" fillId="5" borderId="0" xfId="0" applyFont="1" applyFill="1" applyBorder="1" applyAlignment="1" applyProtection="1">
      <alignment vertical="center"/>
      <protection locked="0"/>
    </xf>
    <xf numFmtId="0" fontId="19" fillId="2" borderId="0" xfId="1" applyFont="1" applyFill="1" applyBorder="1" applyAlignment="1" applyProtection="1">
      <alignment vertical="center"/>
    </xf>
    <xf numFmtId="0" fontId="10" fillId="4" borderId="0" xfId="2" applyFont="1" applyFill="1" applyBorder="1" applyAlignment="1" applyProtection="1">
      <alignment vertical="center" wrapText="1"/>
    </xf>
    <xf numFmtId="0" fontId="19" fillId="6" borderId="11" xfId="1" applyFont="1" applyFill="1" applyBorder="1" applyAlignment="1" applyProtection="1">
      <alignment vertical="center" wrapText="1"/>
    </xf>
    <xf numFmtId="0" fontId="19" fillId="7" borderId="11" xfId="1" applyFont="1" applyFill="1" applyBorder="1" applyAlignment="1" applyProtection="1">
      <alignment vertical="center" wrapText="1"/>
    </xf>
    <xf numFmtId="0" fontId="19" fillId="8" borderId="11" xfId="1" applyFont="1" applyFill="1" applyBorder="1" applyAlignment="1" applyProtection="1">
      <alignment vertical="center"/>
    </xf>
    <xf numFmtId="0" fontId="20" fillId="9" borderId="0" xfId="0" applyFont="1" applyFill="1" applyBorder="1" applyAlignment="1" applyProtection="1">
      <alignment horizontal="left" vertical="top" wrapText="1"/>
    </xf>
    <xf numFmtId="0" fontId="7" fillId="0" borderId="19" xfId="0" applyFont="1" applyFill="1" applyBorder="1" applyAlignment="1" applyProtection="1">
      <alignment horizontal="left" vertical="top" wrapText="1"/>
    </xf>
    <xf numFmtId="0" fontId="7" fillId="0" borderId="0" xfId="0" applyFont="1" applyFill="1" applyBorder="1" applyAlignment="1" applyProtection="1">
      <alignment horizontal="left" vertical="top" wrapText="1"/>
    </xf>
  </cellXfs>
  <cellStyles count="3">
    <cellStyle name="Heading 1" xfId="1" builtinId="16"/>
    <cellStyle name="Heading 2" xfId="2" builtinId="1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2862493</xdr:colOff>
      <xdr:row>0</xdr:row>
      <xdr:rowOff>74543</xdr:rowOff>
    </xdr:from>
    <xdr:to>
      <xdr:col>2</xdr:col>
      <xdr:colOff>637761</xdr:colOff>
      <xdr:row>2</xdr:row>
      <xdr:rowOff>8282</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02689" y="74543"/>
          <a:ext cx="2711702" cy="4224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202"/>
  <sheetViews>
    <sheetView tabSelected="1" topLeftCell="B1" zoomScale="115" zoomScaleNormal="115" workbookViewId="0">
      <selection activeCell="B2" sqref="B2"/>
    </sheetView>
  </sheetViews>
  <sheetFormatPr defaultRowHeight="15.75" x14ac:dyDescent="0.2"/>
  <cols>
    <col min="1" max="1" width="3.5703125" style="4" customWidth="1"/>
    <col min="2" max="2" width="74" style="16" customWidth="1"/>
    <col min="3" max="3" width="10" style="8" bestFit="1" customWidth="1"/>
    <col min="4" max="4" width="10" style="4" bestFit="1" customWidth="1"/>
    <col min="5" max="16384" width="9.140625" style="4"/>
  </cols>
  <sheetData>
    <row r="1" spans="1:3" ht="18.75" x14ac:dyDescent="0.2">
      <c r="B1" s="68" t="s">
        <v>52</v>
      </c>
      <c r="C1" s="54"/>
    </row>
    <row r="2" spans="1:3" s="7" customFormat="1" ht="20.100000000000001" customHeight="1" thickBot="1" x14ac:dyDescent="0.3">
      <c r="A2" s="50"/>
      <c r="B2" s="24" t="s">
        <v>50</v>
      </c>
      <c r="C2" s="25"/>
    </row>
    <row r="3" spans="1:3" s="7" customFormat="1" ht="20.100000000000001" customHeight="1" thickBot="1" x14ac:dyDescent="0.3">
      <c r="A3" s="50"/>
      <c r="B3" s="26" t="s">
        <v>51</v>
      </c>
      <c r="C3" s="27"/>
    </row>
    <row r="4" spans="1:3" s="7" customFormat="1" ht="15" x14ac:dyDescent="0.25">
      <c r="A4" s="50"/>
      <c r="B4" s="28"/>
      <c r="C4" s="25"/>
    </row>
    <row r="5" spans="1:3" s="7" customFormat="1" ht="16.5" thickBot="1" x14ac:dyDescent="0.3">
      <c r="A5" s="51"/>
      <c r="B5" s="69" t="s">
        <v>49</v>
      </c>
      <c r="C5" s="49"/>
    </row>
    <row r="6" spans="1:3" s="7" customFormat="1" ht="27" customHeight="1" thickBot="1" x14ac:dyDescent="0.3">
      <c r="A6" s="51"/>
      <c r="B6" s="55" t="s">
        <v>53</v>
      </c>
      <c r="C6" s="29">
        <v>5</v>
      </c>
    </row>
    <row r="7" spans="1:3" s="7" customFormat="1" ht="27" customHeight="1" thickBot="1" x14ac:dyDescent="0.3">
      <c r="A7" s="51"/>
      <c r="B7" s="55" t="s">
        <v>54</v>
      </c>
      <c r="C7" s="29">
        <v>4</v>
      </c>
    </row>
    <row r="8" spans="1:3" s="7" customFormat="1" ht="27" customHeight="1" thickBot="1" x14ac:dyDescent="0.3">
      <c r="A8" s="51"/>
      <c r="B8" s="55" t="s">
        <v>55</v>
      </c>
      <c r="C8" s="29">
        <v>3</v>
      </c>
    </row>
    <row r="9" spans="1:3" s="7" customFormat="1" ht="27" customHeight="1" thickBot="1" x14ac:dyDescent="0.3">
      <c r="A9" s="51"/>
      <c r="B9" s="55" t="s">
        <v>56</v>
      </c>
      <c r="C9" s="23">
        <v>2</v>
      </c>
    </row>
    <row r="10" spans="1:3" s="7" customFormat="1" ht="27" customHeight="1" thickBot="1" x14ac:dyDescent="0.3">
      <c r="A10" s="51"/>
      <c r="B10" s="55" t="s">
        <v>57</v>
      </c>
      <c r="C10" s="23">
        <v>1</v>
      </c>
    </row>
    <row r="12" spans="1:3" ht="21" x14ac:dyDescent="0.2">
      <c r="A12" s="32"/>
      <c r="B12" s="70" t="s">
        <v>0</v>
      </c>
      <c r="C12" s="35"/>
    </row>
    <row r="13" spans="1:3" s="7" customFormat="1" ht="15" customHeight="1" thickBot="1" x14ac:dyDescent="0.3">
      <c r="A13" s="52"/>
      <c r="B13" s="13" t="s">
        <v>1</v>
      </c>
      <c r="C13" s="18"/>
    </row>
    <row r="14" spans="1:3" x14ac:dyDescent="0.2">
      <c r="A14" s="32"/>
      <c r="B14" s="30" t="s">
        <v>36</v>
      </c>
      <c r="C14" s="21">
        <f>VLOOKUP(B14,Ratings,2,FALSE)</f>
        <v>0</v>
      </c>
    </row>
    <row r="15" spans="1:3" ht="16.5" thickBot="1" x14ac:dyDescent="0.25">
      <c r="A15" s="32"/>
      <c r="B15" s="56"/>
      <c r="C15" s="57"/>
    </row>
    <row r="16" spans="1:3" ht="16.5" thickTop="1" x14ac:dyDescent="0.2">
      <c r="A16" s="32"/>
      <c r="B16" s="17"/>
      <c r="C16" s="22"/>
    </row>
    <row r="17" spans="1:4" s="5" customFormat="1" ht="16.5" thickBot="1" x14ac:dyDescent="0.25">
      <c r="A17" s="33"/>
      <c r="B17" s="13" t="s">
        <v>37</v>
      </c>
      <c r="C17" s="18"/>
    </row>
    <row r="18" spans="1:4" x14ac:dyDescent="0.2">
      <c r="A18" s="32"/>
      <c r="B18" s="30" t="s">
        <v>36</v>
      </c>
      <c r="C18" s="21">
        <f>VLOOKUP(B18,Ratings,2,FALSE)</f>
        <v>0</v>
      </c>
      <c r="D18" s="6"/>
    </row>
    <row r="19" spans="1:4" ht="16.5" thickBot="1" x14ac:dyDescent="0.25">
      <c r="A19" s="32"/>
      <c r="B19" s="56"/>
      <c r="C19" s="57"/>
    </row>
    <row r="20" spans="1:4" ht="16.5" thickTop="1" x14ac:dyDescent="0.2">
      <c r="A20" s="32"/>
      <c r="B20" s="58"/>
      <c r="C20" s="59"/>
    </row>
    <row r="21" spans="1:4" ht="26.25" thickBot="1" x14ac:dyDescent="0.25">
      <c r="A21" s="32"/>
      <c r="B21" s="13" t="s">
        <v>43</v>
      </c>
      <c r="C21" s="19"/>
    </row>
    <row r="22" spans="1:4" s="12" customFormat="1" ht="16.5" thickBot="1" x14ac:dyDescent="0.3">
      <c r="A22" s="34"/>
      <c r="B22" s="30" t="s">
        <v>36</v>
      </c>
      <c r="C22" s="23">
        <f>VLOOKUP(B22,Ratings,2,FALSE)</f>
        <v>0</v>
      </c>
    </row>
    <row r="23" spans="1:4" ht="16.5" thickBot="1" x14ac:dyDescent="0.25">
      <c r="A23" s="32"/>
      <c r="B23" s="56"/>
      <c r="C23" s="57"/>
    </row>
    <row r="24" spans="1:4" ht="16.5" thickTop="1" x14ac:dyDescent="0.2">
      <c r="A24" s="32"/>
      <c r="B24" s="58"/>
      <c r="C24" s="59"/>
    </row>
    <row r="25" spans="1:4" ht="16.5" thickBot="1" x14ac:dyDescent="0.25">
      <c r="A25" s="32"/>
      <c r="B25" s="13" t="s">
        <v>2</v>
      </c>
      <c r="C25" s="19"/>
    </row>
    <row r="26" spans="1:4" ht="16.5" thickBot="1" x14ac:dyDescent="0.25">
      <c r="A26" s="32"/>
      <c r="B26" s="30" t="s">
        <v>36</v>
      </c>
      <c r="C26" s="23">
        <f>VLOOKUP(B26,Ratings,2,FALSE)</f>
        <v>0</v>
      </c>
    </row>
    <row r="27" spans="1:4" ht="16.5" thickBot="1" x14ac:dyDescent="0.25">
      <c r="A27" s="32"/>
      <c r="B27" s="56"/>
      <c r="C27" s="57"/>
    </row>
    <row r="28" spans="1:4" ht="16.5" thickTop="1" x14ac:dyDescent="0.2">
      <c r="A28" s="32"/>
      <c r="B28" s="58"/>
      <c r="C28" s="59"/>
    </row>
    <row r="29" spans="1:4" ht="26.25" thickBot="1" x14ac:dyDescent="0.25">
      <c r="A29" s="32"/>
      <c r="B29" s="13" t="s">
        <v>3</v>
      </c>
      <c r="C29" s="19"/>
    </row>
    <row r="30" spans="1:4" ht="16.5" thickBot="1" x14ac:dyDescent="0.25">
      <c r="A30" s="32"/>
      <c r="B30" s="30" t="s">
        <v>36</v>
      </c>
      <c r="C30" s="23">
        <f>VLOOKUP(B30,Ratings,2,FALSE)</f>
        <v>0</v>
      </c>
    </row>
    <row r="31" spans="1:4" ht="16.5" thickBot="1" x14ac:dyDescent="0.25">
      <c r="A31" s="32"/>
      <c r="B31" s="56"/>
      <c r="C31" s="57"/>
    </row>
    <row r="32" spans="1:4" ht="16.5" thickTop="1" x14ac:dyDescent="0.2">
      <c r="A32" s="32"/>
      <c r="B32" s="58"/>
      <c r="C32" s="59"/>
    </row>
    <row r="33" spans="1:3" ht="26.25" thickBot="1" x14ac:dyDescent="0.25">
      <c r="A33" s="32"/>
      <c r="B33" s="13" t="s">
        <v>4</v>
      </c>
      <c r="C33" s="19"/>
    </row>
    <row r="34" spans="1:3" ht="16.5" thickBot="1" x14ac:dyDescent="0.25">
      <c r="A34" s="32"/>
      <c r="B34" s="30" t="s">
        <v>36</v>
      </c>
      <c r="C34" s="23">
        <f>VLOOKUP(B34,Ratings,2,FALSE)</f>
        <v>0</v>
      </c>
    </row>
    <row r="35" spans="1:3" ht="16.5" thickBot="1" x14ac:dyDescent="0.25">
      <c r="A35" s="32"/>
      <c r="B35" s="56"/>
      <c r="C35" s="57"/>
    </row>
    <row r="36" spans="1:3" ht="16.5" thickTop="1" x14ac:dyDescent="0.2">
      <c r="A36" s="32"/>
      <c r="B36" s="58"/>
      <c r="C36" s="59"/>
    </row>
    <row r="37" spans="1:3" ht="26.25" thickBot="1" x14ac:dyDescent="0.25">
      <c r="A37" s="32"/>
      <c r="B37" s="13" t="s">
        <v>5</v>
      </c>
      <c r="C37" s="19"/>
    </row>
    <row r="38" spans="1:3" ht="16.5" thickBot="1" x14ac:dyDescent="0.25">
      <c r="A38" s="32"/>
      <c r="B38" s="30" t="s">
        <v>36</v>
      </c>
      <c r="C38" s="23">
        <f>VLOOKUP(B38,Ratings,2,FALSE)</f>
        <v>0</v>
      </c>
    </row>
    <row r="39" spans="1:3" ht="16.5" thickBot="1" x14ac:dyDescent="0.25">
      <c r="A39" s="32"/>
      <c r="B39" s="56"/>
      <c r="C39" s="57"/>
    </row>
    <row r="40" spans="1:3" ht="16.5" thickTop="1" x14ac:dyDescent="0.2">
      <c r="A40" s="32"/>
      <c r="B40" s="58"/>
      <c r="C40" s="59"/>
    </row>
    <row r="41" spans="1:3" ht="26.25" thickBot="1" x14ac:dyDescent="0.25">
      <c r="A41" s="32"/>
      <c r="B41" s="13" t="s">
        <v>6</v>
      </c>
      <c r="C41" s="19"/>
    </row>
    <row r="42" spans="1:3" ht="16.5" thickBot="1" x14ac:dyDescent="0.25">
      <c r="A42" s="32"/>
      <c r="B42" s="30" t="s">
        <v>36</v>
      </c>
      <c r="C42" s="23">
        <f>VLOOKUP(B42,Ratings,2,FALSE)</f>
        <v>0</v>
      </c>
    </row>
    <row r="43" spans="1:3" ht="16.5" thickBot="1" x14ac:dyDescent="0.25">
      <c r="A43" s="32"/>
      <c r="B43" s="56"/>
      <c r="C43" s="57"/>
    </row>
    <row r="44" spans="1:3" ht="16.5" thickTop="1" x14ac:dyDescent="0.2">
      <c r="A44" s="32"/>
      <c r="B44" s="58"/>
      <c r="C44" s="59"/>
    </row>
    <row r="45" spans="1:3" ht="16.5" thickBot="1" x14ac:dyDescent="0.25">
      <c r="A45" s="32"/>
      <c r="B45" s="13" t="s">
        <v>7</v>
      </c>
      <c r="C45" s="19"/>
    </row>
    <row r="46" spans="1:3" ht="16.5" thickBot="1" x14ac:dyDescent="0.25">
      <c r="A46" s="32"/>
      <c r="B46" s="30" t="s">
        <v>36</v>
      </c>
      <c r="C46" s="23">
        <f>VLOOKUP(B46,Ratings,2,FALSE)</f>
        <v>0</v>
      </c>
    </row>
    <row r="47" spans="1:3" ht="16.5" thickBot="1" x14ac:dyDescent="0.25">
      <c r="A47" s="32"/>
      <c r="B47" s="56"/>
      <c r="C47" s="57"/>
    </row>
    <row r="48" spans="1:3" ht="16.5" thickTop="1" x14ac:dyDescent="0.2">
      <c r="A48" s="32"/>
      <c r="B48" s="58"/>
      <c r="C48" s="59"/>
    </row>
    <row r="49" spans="1:3" ht="26.25" thickBot="1" x14ac:dyDescent="0.25">
      <c r="A49" s="32"/>
      <c r="B49" s="13" t="s">
        <v>8</v>
      </c>
      <c r="C49" s="19"/>
    </row>
    <row r="50" spans="1:3" ht="16.5" thickBot="1" x14ac:dyDescent="0.25">
      <c r="A50" s="32"/>
      <c r="B50" s="30" t="s">
        <v>36</v>
      </c>
      <c r="C50" s="23">
        <f>VLOOKUP(B50,Ratings,2,FALSE)</f>
        <v>0</v>
      </c>
    </row>
    <row r="51" spans="1:3" ht="16.5" thickBot="1" x14ac:dyDescent="0.25">
      <c r="A51" s="32"/>
      <c r="B51" s="56"/>
      <c r="C51" s="57"/>
    </row>
    <row r="52" spans="1:3" ht="16.5" thickTop="1" x14ac:dyDescent="0.2">
      <c r="A52" s="32"/>
      <c r="B52" s="58"/>
      <c r="C52" s="59"/>
    </row>
    <row r="53" spans="1:3" ht="26.25" thickBot="1" x14ac:dyDescent="0.25">
      <c r="A53" s="32"/>
      <c r="B53" s="13" t="s">
        <v>9</v>
      </c>
      <c r="C53" s="19"/>
    </row>
    <row r="54" spans="1:3" ht="16.5" thickBot="1" x14ac:dyDescent="0.25">
      <c r="A54" s="32"/>
      <c r="B54" s="30" t="s">
        <v>36</v>
      </c>
      <c r="C54" s="23">
        <f>VLOOKUP(B54,Ratings,2,FALSE)</f>
        <v>0</v>
      </c>
    </row>
    <row r="55" spans="1:3" ht="16.5" thickBot="1" x14ac:dyDescent="0.25">
      <c r="A55" s="32"/>
      <c r="B55" s="56"/>
      <c r="C55" s="57"/>
    </row>
    <row r="56" spans="1:3" ht="16.5" thickTop="1" x14ac:dyDescent="0.2">
      <c r="A56" s="32"/>
      <c r="C56" s="59"/>
    </row>
    <row r="57" spans="1:3" ht="16.5" thickBot="1" x14ac:dyDescent="0.25">
      <c r="A57" s="32"/>
      <c r="B57" s="13" t="s">
        <v>10</v>
      </c>
      <c r="C57" s="19"/>
    </row>
    <row r="58" spans="1:3" ht="16.5" thickBot="1" x14ac:dyDescent="0.25">
      <c r="A58" s="32"/>
      <c r="B58" s="30" t="s">
        <v>36</v>
      </c>
      <c r="C58" s="23">
        <f>VLOOKUP(B58,Ratings,2,FALSE)</f>
        <v>0</v>
      </c>
    </row>
    <row r="59" spans="1:3" ht="16.5" thickBot="1" x14ac:dyDescent="0.25">
      <c r="A59" s="32"/>
      <c r="B59" s="56"/>
      <c r="C59" s="57"/>
    </row>
    <row r="60" spans="1:3" ht="16.5" thickTop="1" x14ac:dyDescent="0.2">
      <c r="A60" s="32"/>
      <c r="C60" s="59"/>
    </row>
    <row r="61" spans="1:3" ht="26.25" thickBot="1" x14ac:dyDescent="0.25">
      <c r="A61" s="32"/>
      <c r="B61" s="13" t="s">
        <v>38</v>
      </c>
      <c r="C61" s="19"/>
    </row>
    <row r="62" spans="1:3" ht="16.5" thickBot="1" x14ac:dyDescent="0.25">
      <c r="A62" s="32"/>
      <c r="B62" s="30" t="s">
        <v>36</v>
      </c>
      <c r="C62" s="23">
        <f>VLOOKUP(B62,Ratings,2,FALSE)</f>
        <v>0</v>
      </c>
    </row>
    <row r="63" spans="1:3" ht="16.5" thickBot="1" x14ac:dyDescent="0.25">
      <c r="A63" s="32"/>
      <c r="B63" s="56"/>
      <c r="C63" s="57"/>
    </row>
    <row r="64" spans="1:3" ht="16.5" thickTop="1" x14ac:dyDescent="0.2">
      <c r="A64" s="32"/>
      <c r="C64" s="59"/>
    </row>
    <row r="65" spans="1:3" ht="26.25" thickBot="1" x14ac:dyDescent="0.25">
      <c r="A65" s="32"/>
      <c r="B65" s="13" t="s">
        <v>11</v>
      </c>
      <c r="C65" s="19"/>
    </row>
    <row r="66" spans="1:3" ht="16.5" thickBot="1" x14ac:dyDescent="0.25">
      <c r="A66" s="32"/>
      <c r="B66" s="30" t="s">
        <v>36</v>
      </c>
      <c r="C66" s="23">
        <f>VLOOKUP(B66,Ratings,2,FALSE)</f>
        <v>0</v>
      </c>
    </row>
    <row r="67" spans="1:3" ht="16.5" thickBot="1" x14ac:dyDescent="0.25">
      <c r="A67" s="32"/>
      <c r="B67" s="56"/>
      <c r="C67" s="57"/>
    </row>
    <row r="68" spans="1:3" ht="16.5" thickTop="1" x14ac:dyDescent="0.2">
      <c r="A68" s="32"/>
      <c r="C68" s="59"/>
    </row>
    <row r="69" spans="1:3" ht="26.25" thickBot="1" x14ac:dyDescent="0.25">
      <c r="A69" s="32"/>
      <c r="B69" s="13" t="s">
        <v>12</v>
      </c>
      <c r="C69" s="19"/>
    </row>
    <row r="70" spans="1:3" ht="16.5" thickBot="1" x14ac:dyDescent="0.25">
      <c r="A70" s="32"/>
      <c r="B70" s="30" t="s">
        <v>36</v>
      </c>
      <c r="C70" s="23">
        <f>VLOOKUP(B70,Ratings,2,FALSE)</f>
        <v>0</v>
      </c>
    </row>
    <row r="71" spans="1:3" ht="16.5" thickBot="1" x14ac:dyDescent="0.25">
      <c r="A71" s="32"/>
      <c r="B71" s="56"/>
      <c r="C71" s="57"/>
    </row>
    <row r="72" spans="1:3" ht="16.5" thickTop="1" x14ac:dyDescent="0.2">
      <c r="A72" s="32"/>
      <c r="C72" s="59"/>
    </row>
    <row r="73" spans="1:3" x14ac:dyDescent="0.2">
      <c r="A73" s="31"/>
      <c r="B73" s="71" t="s">
        <v>44</v>
      </c>
      <c r="C73" s="36"/>
    </row>
    <row r="74" spans="1:3" ht="16.5" thickBot="1" x14ac:dyDescent="0.25">
      <c r="A74" s="31"/>
      <c r="B74" s="37" t="s">
        <v>13</v>
      </c>
      <c r="C74" s="38"/>
    </row>
    <row r="75" spans="1:3" s="7" customFormat="1" ht="16.5" thickBot="1" x14ac:dyDescent="0.3">
      <c r="A75" s="53"/>
      <c r="B75" s="39" t="s">
        <v>36</v>
      </c>
      <c r="C75" s="40">
        <f>VLOOKUP(B75,Ratings,2,FALSE)</f>
        <v>0</v>
      </c>
    </row>
    <row r="76" spans="1:3" ht="16.5" thickBot="1" x14ac:dyDescent="0.25">
      <c r="A76" s="31"/>
      <c r="B76" s="62"/>
      <c r="C76" s="57"/>
    </row>
    <row r="77" spans="1:3" ht="16.5" thickTop="1" x14ac:dyDescent="0.2">
      <c r="A77" s="31"/>
      <c r="B77" s="58"/>
      <c r="C77" s="59"/>
    </row>
    <row r="78" spans="1:3" ht="26.25" thickBot="1" x14ac:dyDescent="0.25">
      <c r="A78" s="31"/>
      <c r="B78" s="37" t="s">
        <v>14</v>
      </c>
      <c r="C78" s="38"/>
    </row>
    <row r="79" spans="1:3" ht="16.5" thickBot="1" x14ac:dyDescent="0.25">
      <c r="A79" s="31"/>
      <c r="B79" s="39" t="s">
        <v>36</v>
      </c>
      <c r="C79" s="40">
        <f>VLOOKUP(B79,Ratings,2,FALSE)</f>
        <v>0</v>
      </c>
    </row>
    <row r="80" spans="1:3" ht="16.5" thickBot="1" x14ac:dyDescent="0.25">
      <c r="A80" s="31"/>
      <c r="B80" s="62"/>
      <c r="C80" s="57"/>
    </row>
    <row r="81" spans="1:3" ht="16.5" thickTop="1" x14ac:dyDescent="0.2">
      <c r="A81" s="31"/>
      <c r="B81" s="58"/>
      <c r="C81" s="59"/>
    </row>
    <row r="82" spans="1:3" ht="26.25" thickBot="1" x14ac:dyDescent="0.25">
      <c r="A82" s="31"/>
      <c r="B82" s="37" t="s">
        <v>15</v>
      </c>
      <c r="C82" s="38"/>
    </row>
    <row r="83" spans="1:3" ht="16.5" thickBot="1" x14ac:dyDescent="0.25">
      <c r="A83" s="31"/>
      <c r="B83" s="39" t="s">
        <v>36</v>
      </c>
      <c r="C83" s="40">
        <f>VLOOKUP(B83,Ratings,2,FALSE)</f>
        <v>0</v>
      </c>
    </row>
    <row r="84" spans="1:3" ht="16.5" thickBot="1" x14ac:dyDescent="0.25">
      <c r="A84" s="31"/>
      <c r="B84" s="62"/>
      <c r="C84" s="57"/>
    </row>
    <row r="85" spans="1:3" ht="16.5" thickTop="1" x14ac:dyDescent="0.2">
      <c r="A85" s="31"/>
      <c r="B85" s="58"/>
      <c r="C85" s="59"/>
    </row>
    <row r="86" spans="1:3" ht="16.5" thickBot="1" x14ac:dyDescent="0.25">
      <c r="A86" s="31"/>
      <c r="B86" s="37" t="s">
        <v>16</v>
      </c>
      <c r="C86" s="38"/>
    </row>
    <row r="87" spans="1:3" ht="16.5" thickBot="1" x14ac:dyDescent="0.25">
      <c r="A87" s="31"/>
      <c r="B87" s="39" t="s">
        <v>36</v>
      </c>
      <c r="C87" s="40">
        <f>VLOOKUP(B87,Ratings,2,FALSE)</f>
        <v>0</v>
      </c>
    </row>
    <row r="88" spans="1:3" ht="16.5" thickBot="1" x14ac:dyDescent="0.25">
      <c r="A88" s="31"/>
      <c r="B88" s="62"/>
      <c r="C88" s="57"/>
    </row>
    <row r="89" spans="1:3" ht="16.5" thickTop="1" x14ac:dyDescent="0.2">
      <c r="A89" s="31"/>
      <c r="C89" s="59"/>
    </row>
    <row r="90" spans="1:3" ht="26.25" thickBot="1" x14ac:dyDescent="0.25">
      <c r="A90" s="31"/>
      <c r="B90" s="37" t="s">
        <v>17</v>
      </c>
      <c r="C90" s="38"/>
    </row>
    <row r="91" spans="1:3" ht="16.5" thickBot="1" x14ac:dyDescent="0.25">
      <c r="A91" s="31"/>
      <c r="B91" s="39" t="s">
        <v>36</v>
      </c>
      <c r="C91" s="40">
        <f>VLOOKUP(B91,Ratings,2,FALSE)</f>
        <v>0</v>
      </c>
    </row>
    <row r="92" spans="1:3" ht="16.5" thickBot="1" x14ac:dyDescent="0.25">
      <c r="A92" s="31"/>
      <c r="B92" s="62"/>
      <c r="C92" s="57"/>
    </row>
    <row r="93" spans="1:3" ht="16.5" thickTop="1" x14ac:dyDescent="0.2">
      <c r="A93" s="31"/>
      <c r="C93" s="59"/>
    </row>
    <row r="94" spans="1:3" ht="13.5" thickBot="1" x14ac:dyDescent="0.25">
      <c r="A94" s="31"/>
      <c r="B94" s="14" t="s">
        <v>39</v>
      </c>
      <c r="C94" s="9" t="e">
        <f>ROUND(C95*0.6,2)</f>
        <v>#DIV/0!</v>
      </c>
    </row>
    <row r="95" spans="1:3" ht="16.5" thickBot="1" x14ac:dyDescent="0.25">
      <c r="A95" s="31"/>
      <c r="B95" s="15" t="s">
        <v>41</v>
      </c>
      <c r="C95" s="20" t="e">
        <f>AVERAGEIF(C12:C92,"&gt;0")</f>
        <v>#DIV/0!</v>
      </c>
    </row>
    <row r="96" spans="1:3" ht="16.5" thickBot="1" x14ac:dyDescent="0.25">
      <c r="A96" s="31"/>
      <c r="B96" s="62"/>
      <c r="C96" s="57"/>
    </row>
    <row r="97" spans="1:3" ht="16.5" thickTop="1" x14ac:dyDescent="0.2"/>
    <row r="98" spans="1:3" ht="21" x14ac:dyDescent="0.2">
      <c r="A98" s="42"/>
      <c r="B98" s="72" t="s">
        <v>18</v>
      </c>
      <c r="C98" s="41"/>
    </row>
    <row r="99" spans="1:3" ht="26.25" thickBot="1" x14ac:dyDescent="0.25">
      <c r="A99" s="42"/>
      <c r="B99" s="13" t="s">
        <v>19</v>
      </c>
      <c r="C99" s="19"/>
    </row>
    <row r="100" spans="1:3" ht="16.5" thickBot="1" x14ac:dyDescent="0.25">
      <c r="A100" s="42"/>
      <c r="B100" s="30" t="s">
        <v>36</v>
      </c>
      <c r="C100" s="23">
        <f>VLOOKUP(B100,Ratings,2,FALSE)</f>
        <v>0</v>
      </c>
    </row>
    <row r="101" spans="1:3" ht="16.5" thickBot="1" x14ac:dyDescent="0.25">
      <c r="A101" s="42"/>
      <c r="B101" s="63"/>
      <c r="C101" s="57"/>
    </row>
    <row r="102" spans="1:3" ht="16.5" thickTop="1" x14ac:dyDescent="0.2">
      <c r="A102" s="42"/>
      <c r="C102" s="59"/>
    </row>
    <row r="103" spans="1:3" ht="16.5" thickBot="1" x14ac:dyDescent="0.25">
      <c r="A103" s="42"/>
      <c r="B103" s="13" t="s">
        <v>20</v>
      </c>
      <c r="C103" s="19"/>
    </row>
    <row r="104" spans="1:3" ht="16.5" thickBot="1" x14ac:dyDescent="0.25">
      <c r="A104" s="42"/>
      <c r="B104" s="30" t="s">
        <v>36</v>
      </c>
      <c r="C104" s="23">
        <f>VLOOKUP(B104,Ratings,2,FALSE)</f>
        <v>0</v>
      </c>
    </row>
    <row r="105" spans="1:3" ht="16.5" thickBot="1" x14ac:dyDescent="0.25">
      <c r="A105" s="42"/>
      <c r="B105" s="63"/>
      <c r="C105" s="57"/>
    </row>
    <row r="106" spans="1:3" ht="16.5" thickTop="1" x14ac:dyDescent="0.2">
      <c r="A106" s="42"/>
      <c r="C106" s="59"/>
    </row>
    <row r="107" spans="1:3" ht="26.25" thickBot="1" x14ac:dyDescent="0.25">
      <c r="A107" s="42"/>
      <c r="B107" s="13" t="s">
        <v>21</v>
      </c>
      <c r="C107" s="19"/>
    </row>
    <row r="108" spans="1:3" ht="16.5" thickBot="1" x14ac:dyDescent="0.25">
      <c r="A108" s="42"/>
      <c r="B108" s="30" t="s">
        <v>36</v>
      </c>
      <c r="C108" s="23">
        <f>VLOOKUP(B108,Ratings,2,FALSE)</f>
        <v>0</v>
      </c>
    </row>
    <row r="109" spans="1:3" ht="16.5" thickBot="1" x14ac:dyDescent="0.25">
      <c r="A109" s="42"/>
      <c r="B109" s="63"/>
      <c r="C109" s="57"/>
    </row>
    <row r="110" spans="1:3" ht="16.5" thickTop="1" x14ac:dyDescent="0.2">
      <c r="A110" s="42"/>
      <c r="C110" s="59"/>
    </row>
    <row r="111" spans="1:3" ht="26.25" thickBot="1" x14ac:dyDescent="0.25">
      <c r="A111" s="42"/>
      <c r="B111" s="13" t="s">
        <v>22</v>
      </c>
      <c r="C111" s="19"/>
    </row>
    <row r="112" spans="1:3" ht="16.5" thickBot="1" x14ac:dyDescent="0.25">
      <c r="A112" s="42"/>
      <c r="B112" s="30" t="s">
        <v>36</v>
      </c>
      <c r="C112" s="23">
        <f>VLOOKUP(B112,Ratings,2,FALSE)</f>
        <v>0</v>
      </c>
    </row>
    <row r="113" spans="1:3" ht="16.5" thickBot="1" x14ac:dyDescent="0.25">
      <c r="A113" s="42"/>
      <c r="B113" s="63"/>
      <c r="C113" s="57"/>
    </row>
    <row r="114" spans="1:3" ht="16.5" thickTop="1" x14ac:dyDescent="0.2">
      <c r="A114" s="42"/>
      <c r="C114" s="59"/>
    </row>
    <row r="115" spans="1:3" ht="16.5" thickBot="1" x14ac:dyDescent="0.25">
      <c r="A115" s="42"/>
      <c r="B115" s="13" t="s">
        <v>23</v>
      </c>
      <c r="C115" s="19"/>
    </row>
    <row r="116" spans="1:3" ht="16.5" thickBot="1" x14ac:dyDescent="0.25">
      <c r="A116" s="42"/>
      <c r="B116" s="30" t="s">
        <v>36</v>
      </c>
      <c r="C116" s="23">
        <f>VLOOKUP(B116,Ratings,2,FALSE)</f>
        <v>0</v>
      </c>
    </row>
    <row r="117" spans="1:3" ht="16.5" thickBot="1" x14ac:dyDescent="0.25">
      <c r="A117" s="42"/>
      <c r="B117" s="63"/>
      <c r="C117" s="57"/>
    </row>
    <row r="118" spans="1:3" ht="16.5" thickTop="1" x14ac:dyDescent="0.2">
      <c r="A118" s="42"/>
      <c r="C118" s="59"/>
    </row>
    <row r="119" spans="1:3" ht="26.25" thickBot="1" x14ac:dyDescent="0.25">
      <c r="A119" s="42"/>
      <c r="B119" s="13" t="s">
        <v>24</v>
      </c>
      <c r="C119" s="19"/>
    </row>
    <row r="120" spans="1:3" ht="16.5" thickBot="1" x14ac:dyDescent="0.25">
      <c r="A120" s="42"/>
      <c r="B120" s="30" t="s">
        <v>36</v>
      </c>
      <c r="C120" s="23">
        <f>VLOOKUP(B120,Ratings,2,FALSE)</f>
        <v>0</v>
      </c>
    </row>
    <row r="121" spans="1:3" ht="16.5" thickBot="1" x14ac:dyDescent="0.25">
      <c r="A121" s="42"/>
      <c r="B121" s="63"/>
      <c r="C121" s="57"/>
    </row>
    <row r="122" spans="1:3" ht="16.5" thickTop="1" x14ac:dyDescent="0.2">
      <c r="A122" s="42"/>
      <c r="C122" s="59"/>
    </row>
    <row r="123" spans="1:3" ht="39" thickBot="1" x14ac:dyDescent="0.25">
      <c r="A123" s="42"/>
      <c r="B123" s="13" t="s">
        <v>40</v>
      </c>
      <c r="C123" s="19"/>
    </row>
    <row r="124" spans="1:3" ht="16.5" thickBot="1" x14ac:dyDescent="0.25">
      <c r="A124" s="42"/>
      <c r="B124" s="30" t="s">
        <v>36</v>
      </c>
      <c r="C124" s="23">
        <f>VLOOKUP(B124,Ratings,2,FALSE)</f>
        <v>0</v>
      </c>
    </row>
    <row r="125" spans="1:3" ht="16.5" thickBot="1" x14ac:dyDescent="0.25">
      <c r="A125" s="42"/>
      <c r="B125" s="63"/>
      <c r="C125" s="57"/>
    </row>
    <row r="126" spans="1:3" ht="16.5" thickTop="1" x14ac:dyDescent="0.2">
      <c r="A126" s="42"/>
      <c r="C126" s="59"/>
    </row>
    <row r="127" spans="1:3" ht="16.5" thickBot="1" x14ac:dyDescent="0.25">
      <c r="A127" s="42"/>
      <c r="B127" s="13" t="s">
        <v>25</v>
      </c>
      <c r="C127" s="19"/>
    </row>
    <row r="128" spans="1:3" ht="16.5" thickBot="1" x14ac:dyDescent="0.25">
      <c r="A128" s="42"/>
      <c r="B128" s="30" t="s">
        <v>36</v>
      </c>
      <c r="C128" s="23">
        <f>VLOOKUP(B128,Ratings,2,FALSE)</f>
        <v>0</v>
      </c>
    </row>
    <row r="129" spans="1:3" ht="16.5" thickBot="1" x14ac:dyDescent="0.25">
      <c r="A129" s="42"/>
      <c r="B129" s="63"/>
      <c r="C129" s="57"/>
    </row>
    <row r="130" spans="1:3" ht="16.5" thickTop="1" x14ac:dyDescent="0.2">
      <c r="A130" s="42"/>
      <c r="C130" s="59"/>
    </row>
    <row r="131" spans="1:3" ht="26.25" thickBot="1" x14ac:dyDescent="0.25">
      <c r="A131" s="42"/>
      <c r="B131" s="13" t="s">
        <v>26</v>
      </c>
      <c r="C131" s="19"/>
    </row>
    <row r="132" spans="1:3" ht="16.5" thickBot="1" x14ac:dyDescent="0.25">
      <c r="A132" s="42"/>
      <c r="B132" s="30" t="s">
        <v>36</v>
      </c>
      <c r="C132" s="23">
        <f>VLOOKUP(B132,Ratings,2,FALSE)</f>
        <v>0</v>
      </c>
    </row>
    <row r="133" spans="1:3" ht="16.5" thickBot="1" x14ac:dyDescent="0.25">
      <c r="A133" s="42"/>
      <c r="B133" s="63"/>
      <c r="C133" s="57"/>
    </row>
    <row r="134" spans="1:3" ht="16.5" thickTop="1" x14ac:dyDescent="0.2">
      <c r="A134" s="42"/>
      <c r="C134" s="59"/>
    </row>
    <row r="135" spans="1:3" ht="26.25" thickBot="1" x14ac:dyDescent="0.25">
      <c r="A135" s="42"/>
      <c r="B135" s="13" t="s">
        <v>27</v>
      </c>
      <c r="C135" s="19"/>
    </row>
    <row r="136" spans="1:3" ht="16.5" thickBot="1" x14ac:dyDescent="0.25">
      <c r="A136" s="42"/>
      <c r="B136" s="30" t="s">
        <v>36</v>
      </c>
      <c r="C136" s="23">
        <f>VLOOKUP(B136,Ratings,2,FALSE)</f>
        <v>0</v>
      </c>
    </row>
    <row r="137" spans="1:3" ht="16.5" thickBot="1" x14ac:dyDescent="0.25">
      <c r="A137" s="42"/>
      <c r="B137" s="63"/>
      <c r="C137" s="57"/>
    </row>
    <row r="138" spans="1:3" ht="16.5" thickTop="1" x14ac:dyDescent="0.2">
      <c r="A138" s="42"/>
      <c r="B138" s="58"/>
      <c r="C138" s="59"/>
    </row>
    <row r="139" spans="1:3" ht="13.5" thickBot="1" x14ac:dyDescent="0.25">
      <c r="A139" s="42"/>
      <c r="B139" s="14" t="s">
        <v>39</v>
      </c>
      <c r="C139" s="9" t="e">
        <f>ROUND(C140*0.2,2)</f>
        <v>#DIV/0!</v>
      </c>
    </row>
    <row r="140" spans="1:3" ht="16.5" thickBot="1" x14ac:dyDescent="0.25">
      <c r="A140" s="42"/>
      <c r="B140" s="15" t="s">
        <v>41</v>
      </c>
      <c r="C140" s="10" t="e">
        <f>AVERAGEIF(C98:C137,"&gt;0")</f>
        <v>#DIV/0!</v>
      </c>
    </row>
    <row r="141" spans="1:3" ht="16.5" thickBot="1" x14ac:dyDescent="0.25">
      <c r="A141" s="42"/>
      <c r="B141" s="63"/>
      <c r="C141" s="60"/>
    </row>
    <row r="142" spans="1:3" ht="16.5" thickTop="1" x14ac:dyDescent="0.2">
      <c r="B142" s="58"/>
      <c r="C142" s="59"/>
    </row>
    <row r="143" spans="1:3" ht="21" x14ac:dyDescent="0.2">
      <c r="A143" s="44"/>
      <c r="B143" s="73" t="s">
        <v>28</v>
      </c>
      <c r="C143" s="43"/>
    </row>
    <row r="144" spans="1:3" ht="26.25" thickBot="1" x14ac:dyDescent="0.25">
      <c r="A144" s="44"/>
      <c r="B144" s="13" t="s">
        <v>62</v>
      </c>
      <c r="C144" s="19"/>
    </row>
    <row r="145" spans="1:3" ht="16.5" thickBot="1" x14ac:dyDescent="0.25">
      <c r="A145" s="44"/>
      <c r="B145" s="30" t="s">
        <v>36</v>
      </c>
      <c r="C145" s="23">
        <f>VLOOKUP(B145,Ratings,2,FALSE)</f>
        <v>0</v>
      </c>
    </row>
    <row r="146" spans="1:3" ht="16.5" thickBot="1" x14ac:dyDescent="0.25">
      <c r="A146" s="44"/>
      <c r="B146" s="64"/>
      <c r="C146" s="57"/>
    </row>
    <row r="147" spans="1:3" ht="16.5" thickTop="1" x14ac:dyDescent="0.2">
      <c r="A147" s="44"/>
      <c r="C147" s="59"/>
    </row>
    <row r="148" spans="1:3" ht="26.25" thickBot="1" x14ac:dyDescent="0.25">
      <c r="A148" s="44"/>
      <c r="B148" s="13" t="s">
        <v>29</v>
      </c>
      <c r="C148" s="19"/>
    </row>
    <row r="149" spans="1:3" ht="16.5" thickBot="1" x14ac:dyDescent="0.25">
      <c r="A149" s="44"/>
      <c r="B149" s="30" t="s">
        <v>36</v>
      </c>
      <c r="C149" s="23">
        <f>VLOOKUP(B149,Ratings,2,FALSE)</f>
        <v>0</v>
      </c>
    </row>
    <row r="150" spans="1:3" ht="16.5" thickBot="1" x14ac:dyDescent="0.25">
      <c r="A150" s="44"/>
      <c r="B150" s="64"/>
      <c r="C150" s="57"/>
    </row>
    <row r="151" spans="1:3" ht="16.5" thickTop="1" x14ac:dyDescent="0.2">
      <c r="A151" s="44"/>
      <c r="C151" s="59"/>
    </row>
    <row r="152" spans="1:3" ht="26.25" thickBot="1" x14ac:dyDescent="0.25">
      <c r="A152" s="44"/>
      <c r="B152" s="13" t="s">
        <v>69</v>
      </c>
      <c r="C152" s="19"/>
    </row>
    <row r="153" spans="1:3" ht="16.5" thickBot="1" x14ac:dyDescent="0.25">
      <c r="A153" s="44"/>
      <c r="B153" s="30" t="s">
        <v>36</v>
      </c>
      <c r="C153" s="23">
        <f>VLOOKUP(B153,Ratings,2,FALSE)</f>
        <v>0</v>
      </c>
    </row>
    <row r="154" spans="1:3" ht="16.5" thickBot="1" x14ac:dyDescent="0.25">
      <c r="A154" s="44"/>
      <c r="B154" s="64"/>
      <c r="C154" s="57"/>
    </row>
    <row r="155" spans="1:3" ht="16.5" thickTop="1" x14ac:dyDescent="0.2">
      <c r="A155" s="44"/>
      <c r="C155" s="59"/>
    </row>
    <row r="156" spans="1:3" ht="26.25" thickBot="1" x14ac:dyDescent="0.25">
      <c r="A156" s="44"/>
      <c r="B156" s="13" t="s">
        <v>70</v>
      </c>
      <c r="C156" s="19"/>
    </row>
    <row r="157" spans="1:3" ht="16.5" thickBot="1" x14ac:dyDescent="0.25">
      <c r="A157" s="44"/>
      <c r="B157" s="30" t="s">
        <v>36</v>
      </c>
      <c r="C157" s="23">
        <f>VLOOKUP(B157,Ratings,2,FALSE)</f>
        <v>0</v>
      </c>
    </row>
    <row r="158" spans="1:3" ht="16.5" thickBot="1" x14ac:dyDescent="0.25">
      <c r="A158" s="44"/>
      <c r="B158" s="64"/>
      <c r="C158" s="57"/>
    </row>
    <row r="159" spans="1:3" ht="16.5" thickTop="1" x14ac:dyDescent="0.2">
      <c r="A159" s="44"/>
      <c r="C159" s="59"/>
    </row>
    <row r="160" spans="1:3" ht="26.25" thickBot="1" x14ac:dyDescent="0.25">
      <c r="A160" s="44"/>
      <c r="B160" s="13" t="s">
        <v>63</v>
      </c>
      <c r="C160" s="19"/>
    </row>
    <row r="161" spans="1:3" ht="16.5" thickBot="1" x14ac:dyDescent="0.25">
      <c r="A161" s="44"/>
      <c r="B161" s="30" t="s">
        <v>36</v>
      </c>
      <c r="C161" s="23">
        <f>VLOOKUP(B161,Ratings,2,FALSE)</f>
        <v>0</v>
      </c>
    </row>
    <row r="162" spans="1:3" ht="16.5" thickBot="1" x14ac:dyDescent="0.25">
      <c r="A162" s="44"/>
      <c r="B162" s="64"/>
      <c r="C162" s="57"/>
    </row>
    <row r="163" spans="1:3" ht="16.5" thickTop="1" x14ac:dyDescent="0.2">
      <c r="A163" s="44"/>
    </row>
    <row r="164" spans="1:3" ht="13.5" thickBot="1" x14ac:dyDescent="0.25">
      <c r="A164" s="44"/>
      <c r="B164" s="14" t="s">
        <v>39</v>
      </c>
      <c r="C164" s="9" t="e">
        <f>ROUND(C165*0.1,2)</f>
        <v>#DIV/0!</v>
      </c>
    </row>
    <row r="165" spans="1:3" ht="16.5" thickBot="1" x14ac:dyDescent="0.25">
      <c r="A165" s="44"/>
      <c r="B165" s="15" t="s">
        <v>41</v>
      </c>
      <c r="C165" s="45" t="e">
        <f>AVERAGEIF(C143:C162,"&gt;0")</f>
        <v>#DIV/0!</v>
      </c>
    </row>
    <row r="166" spans="1:3" ht="16.5" thickBot="1" x14ac:dyDescent="0.25">
      <c r="A166" s="44"/>
      <c r="B166" s="64"/>
      <c r="C166" s="61"/>
    </row>
    <row r="167" spans="1:3" ht="16.5" thickTop="1" x14ac:dyDescent="0.2"/>
    <row r="168" spans="1:3" ht="21" x14ac:dyDescent="0.2">
      <c r="A168" s="47"/>
      <c r="B168" s="74" t="s">
        <v>30</v>
      </c>
      <c r="C168" s="46"/>
    </row>
    <row r="169" spans="1:3" ht="16.5" thickBot="1" x14ac:dyDescent="0.25">
      <c r="A169" s="47"/>
      <c r="B169" s="13" t="s">
        <v>31</v>
      </c>
      <c r="C169" s="19"/>
    </row>
    <row r="170" spans="1:3" ht="16.5" thickBot="1" x14ac:dyDescent="0.25">
      <c r="A170" s="47"/>
      <c r="B170" s="30" t="s">
        <v>36</v>
      </c>
      <c r="C170" s="23">
        <f>VLOOKUP(B170,Ratings,2,FALSE)</f>
        <v>0</v>
      </c>
    </row>
    <row r="171" spans="1:3" ht="16.5" thickBot="1" x14ac:dyDescent="0.25">
      <c r="A171" s="47"/>
      <c r="B171" s="65"/>
      <c r="C171" s="57"/>
    </row>
    <row r="172" spans="1:3" ht="16.5" thickTop="1" x14ac:dyDescent="0.2">
      <c r="A172" s="47"/>
      <c r="C172" s="59"/>
    </row>
    <row r="173" spans="1:3" ht="26.25" thickBot="1" x14ac:dyDescent="0.25">
      <c r="A173" s="47"/>
      <c r="B173" s="13" t="s">
        <v>32</v>
      </c>
      <c r="C173" s="19"/>
    </row>
    <row r="174" spans="1:3" ht="16.5" thickBot="1" x14ac:dyDescent="0.25">
      <c r="A174" s="47"/>
      <c r="B174" s="30" t="s">
        <v>36</v>
      </c>
      <c r="C174" s="23">
        <f>VLOOKUP(B174,Ratings,2,FALSE)</f>
        <v>0</v>
      </c>
    </row>
    <row r="175" spans="1:3" ht="16.5" thickBot="1" x14ac:dyDescent="0.25">
      <c r="A175" s="47"/>
      <c r="B175" s="65"/>
      <c r="C175" s="57"/>
    </row>
    <row r="176" spans="1:3" ht="16.5" thickTop="1" x14ac:dyDescent="0.2">
      <c r="A176" s="47"/>
      <c r="C176" s="59"/>
    </row>
    <row r="177" spans="1:3" ht="16.5" thickBot="1" x14ac:dyDescent="0.25">
      <c r="A177" s="47"/>
      <c r="B177" s="13" t="s">
        <v>33</v>
      </c>
      <c r="C177" s="19"/>
    </row>
    <row r="178" spans="1:3" ht="16.5" thickBot="1" x14ac:dyDescent="0.25">
      <c r="A178" s="47"/>
      <c r="B178" s="30" t="s">
        <v>36</v>
      </c>
      <c r="C178" s="23">
        <f>VLOOKUP(B178,Ratings,2,FALSE)</f>
        <v>0</v>
      </c>
    </row>
    <row r="179" spans="1:3" ht="16.5" thickBot="1" x14ac:dyDescent="0.25">
      <c r="A179" s="47"/>
      <c r="B179" s="65"/>
      <c r="C179" s="57"/>
    </row>
    <row r="180" spans="1:3" ht="16.5" thickTop="1" x14ac:dyDescent="0.2">
      <c r="A180" s="47"/>
      <c r="C180" s="59"/>
    </row>
    <row r="181" spans="1:3" ht="16.5" thickBot="1" x14ac:dyDescent="0.25">
      <c r="A181" s="47"/>
      <c r="B181" s="13" t="s">
        <v>34</v>
      </c>
      <c r="C181" s="19"/>
    </row>
    <row r="182" spans="1:3" ht="16.5" thickBot="1" x14ac:dyDescent="0.25">
      <c r="A182" s="47"/>
      <c r="B182" s="30" t="s">
        <v>36</v>
      </c>
      <c r="C182" s="23">
        <f>VLOOKUP(B182,Ratings,2,FALSE)</f>
        <v>0</v>
      </c>
    </row>
    <row r="183" spans="1:3" ht="16.5" thickBot="1" x14ac:dyDescent="0.25">
      <c r="A183" s="47"/>
      <c r="B183" s="65"/>
      <c r="C183" s="57"/>
    </row>
    <row r="184" spans="1:3" ht="16.5" thickTop="1" x14ac:dyDescent="0.2">
      <c r="A184" s="47"/>
      <c r="C184" s="59"/>
    </row>
    <row r="185" spans="1:3" ht="26.25" thickBot="1" x14ac:dyDescent="0.25">
      <c r="A185" s="47"/>
      <c r="B185" s="13" t="s">
        <v>35</v>
      </c>
      <c r="C185" s="19"/>
    </row>
    <row r="186" spans="1:3" ht="16.5" thickBot="1" x14ac:dyDescent="0.25">
      <c r="A186" s="47"/>
      <c r="B186" s="30" t="s">
        <v>36</v>
      </c>
      <c r="C186" s="23">
        <f>VLOOKUP(B186,Ratings,2,FALSE)</f>
        <v>0</v>
      </c>
    </row>
    <row r="187" spans="1:3" ht="16.5" thickBot="1" x14ac:dyDescent="0.25">
      <c r="A187" s="47"/>
      <c r="B187" s="65"/>
      <c r="C187" s="57"/>
    </row>
    <row r="188" spans="1:3" ht="16.5" thickTop="1" x14ac:dyDescent="0.2">
      <c r="A188" s="47"/>
    </row>
    <row r="189" spans="1:3" ht="13.5" thickBot="1" x14ac:dyDescent="0.25">
      <c r="A189" s="47"/>
      <c r="B189" s="14" t="s">
        <v>39</v>
      </c>
      <c r="C189" s="9" t="e">
        <f>ROUND(C190*0.1,2)</f>
        <v>#DIV/0!</v>
      </c>
    </row>
    <row r="190" spans="1:3" ht="16.5" thickBot="1" x14ac:dyDescent="0.25">
      <c r="A190" s="47"/>
      <c r="B190" s="15" t="s">
        <v>41</v>
      </c>
      <c r="C190" s="48" t="e">
        <f>AVERAGEIF(C168:C187,"&gt;0")</f>
        <v>#DIV/0!</v>
      </c>
    </row>
    <row r="191" spans="1:3" ht="16.5" thickBot="1" x14ac:dyDescent="0.25">
      <c r="A191" s="47"/>
      <c r="B191" s="65"/>
      <c r="C191" s="61"/>
    </row>
    <row r="192" spans="1:3" ht="17.25" thickTop="1" thickBot="1" x14ac:dyDescent="0.25">
      <c r="B192" s="58"/>
      <c r="C192" s="59"/>
    </row>
    <row r="193" spans="1:3" ht="19.5" thickBot="1" x14ac:dyDescent="0.25">
      <c r="A193" s="67"/>
      <c r="B193" s="75" t="s">
        <v>42</v>
      </c>
      <c r="C193" s="11" t="e">
        <f>C94+C139+C164+C189</f>
        <v>#DIV/0!</v>
      </c>
    </row>
    <row r="194" spans="1:3" ht="16.5" thickBot="1" x14ac:dyDescent="0.25">
      <c r="A194" s="67"/>
      <c r="B194" s="66"/>
      <c r="C194" s="57"/>
    </row>
    <row r="195" spans="1:3" ht="39.950000000000003" customHeight="1" thickTop="1" x14ac:dyDescent="0.2"/>
    <row r="196" spans="1:3" x14ac:dyDescent="0.2">
      <c r="B196" s="76" t="s">
        <v>60</v>
      </c>
    </row>
    <row r="197" spans="1:3" ht="39.950000000000003" customHeight="1" x14ac:dyDescent="0.2">
      <c r="B197" s="77"/>
    </row>
    <row r="198" spans="1:3" x14ac:dyDescent="0.2">
      <c r="B198" s="76" t="s">
        <v>61</v>
      </c>
    </row>
    <row r="199" spans="1:3" ht="39.950000000000003" customHeight="1" x14ac:dyDescent="0.2">
      <c r="B199" s="77"/>
    </row>
    <row r="200" spans="1:3" x14ac:dyDescent="0.2">
      <c r="B200" s="76" t="s">
        <v>58</v>
      </c>
    </row>
    <row r="201" spans="1:3" ht="39.950000000000003" customHeight="1" x14ac:dyDescent="0.2">
      <c r="B201" s="77"/>
    </row>
    <row r="202" spans="1:3" x14ac:dyDescent="0.2">
      <c r="B202" s="76" t="s">
        <v>59</v>
      </c>
    </row>
  </sheetData>
  <sheetProtection password="CC50" sheet="1" objects="1" scenarios="1"/>
  <dataValidations count="2">
    <dataValidation type="list" allowBlank="1" showInputMessage="1" showErrorMessage="1" sqref="B182 B157 B136 B178 B112 B161 B174 B153 B170 B149 B132 B128 B145 B124 B116 B120 B108 B91 B104 B75 B87 B79 B100 B83 B186">
      <formula1>Descriptions</formula1>
    </dataValidation>
    <dataValidation type="list" allowBlank="1" showErrorMessage="1" sqref="B14 B18 B22 B26 B30 B34 B38 B42 B46 B50 B54 B58 B62 B66 B70">
      <formula1>Descriptions</formula1>
    </dataValidation>
  </dataValidations>
  <pageMargins left="0.7" right="0.7" top="0.75" bottom="0.75" header="0.3" footer="0.3"/>
  <pageSetup fitToHeight="0" orientation="portrait" r:id="rId1"/>
  <headerFooter>
    <oddFooter>Page &amp;P of &amp;N</oddFooter>
  </headerFooter>
  <ignoredErrors>
    <ignoredError sqref="C22 C18 C26 C30 C34 C38 C42 C46 C50 C54 C58 C62 C66 C70 C75 C79 C83 C87 C91 C100 C104 C108 C112 C116 C120 C124 C128 C132 C136 C145 C149 C153 C157 C161 C170 C174 C178 C182 C186 C14" unlockedFormula="1"/>
    <ignoredError sqref="C94:C95 C139:C140 C164:C165 C189:C190 C19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10"/>
  <sheetViews>
    <sheetView workbookViewId="0">
      <selection activeCell="G6" sqref="G6"/>
    </sheetView>
  </sheetViews>
  <sheetFormatPr defaultColWidth="10.5703125" defaultRowHeight="15" x14ac:dyDescent="0.25"/>
  <cols>
    <col min="1" max="1" width="30.5703125" style="1" bestFit="1" customWidth="1"/>
    <col min="2" max="2" width="2.85546875" style="1" customWidth="1"/>
    <col min="3" max="3" width="28.28515625" style="1" bestFit="1" customWidth="1"/>
    <col min="4" max="4" width="4.5703125" style="2" bestFit="1" customWidth="1"/>
    <col min="5" max="16384" width="10.5703125" style="1"/>
  </cols>
  <sheetData>
    <row r="1" spans="1:4" x14ac:dyDescent="0.25">
      <c r="A1" s="3" t="s">
        <v>36</v>
      </c>
      <c r="B1" s="3"/>
      <c r="C1" s="3" t="s">
        <v>68</v>
      </c>
      <c r="D1" s="2">
        <v>1</v>
      </c>
    </row>
    <row r="2" spans="1:4" ht="45" x14ac:dyDescent="0.25">
      <c r="A2" s="3" t="s">
        <v>64</v>
      </c>
      <c r="B2" s="3"/>
      <c r="C2" s="3" t="s">
        <v>46</v>
      </c>
      <c r="D2" s="2">
        <v>1.5</v>
      </c>
    </row>
    <row r="3" spans="1:4" ht="30" x14ac:dyDescent="0.25">
      <c r="A3" s="3" t="s">
        <v>48</v>
      </c>
      <c r="B3" s="3"/>
      <c r="C3" s="3" t="s">
        <v>67</v>
      </c>
      <c r="D3" s="2">
        <v>2</v>
      </c>
    </row>
    <row r="4" spans="1:4" ht="30" x14ac:dyDescent="0.25">
      <c r="A4" s="3" t="s">
        <v>65</v>
      </c>
      <c r="B4" s="3"/>
      <c r="C4" s="3" t="s">
        <v>45</v>
      </c>
      <c r="D4" s="2">
        <v>2.5</v>
      </c>
    </row>
    <row r="5" spans="1:4" ht="30" x14ac:dyDescent="0.25">
      <c r="A5" s="3" t="s">
        <v>47</v>
      </c>
      <c r="B5" s="3"/>
      <c r="C5" s="3" t="s">
        <v>66</v>
      </c>
      <c r="D5" s="2">
        <v>3</v>
      </c>
    </row>
    <row r="6" spans="1:4" ht="30" x14ac:dyDescent="0.25">
      <c r="A6" s="3" t="s">
        <v>66</v>
      </c>
      <c r="B6" s="3"/>
      <c r="C6" s="3" t="s">
        <v>47</v>
      </c>
      <c r="D6" s="2">
        <v>3.5</v>
      </c>
    </row>
    <row r="7" spans="1:4" ht="30" x14ac:dyDescent="0.25">
      <c r="A7" s="3" t="s">
        <v>45</v>
      </c>
      <c r="B7" s="3"/>
      <c r="C7" s="3" t="s">
        <v>65</v>
      </c>
      <c r="D7" s="2">
        <v>4</v>
      </c>
    </row>
    <row r="8" spans="1:4" ht="30" x14ac:dyDescent="0.25">
      <c r="A8" s="3" t="s">
        <v>67</v>
      </c>
      <c r="B8" s="3"/>
      <c r="C8" s="3" t="s">
        <v>48</v>
      </c>
      <c r="D8" s="2">
        <v>4.5</v>
      </c>
    </row>
    <row r="9" spans="1:4" customFormat="1" ht="30" x14ac:dyDescent="0.25">
      <c r="A9" s="3" t="s">
        <v>46</v>
      </c>
      <c r="C9" s="3" t="s">
        <v>64</v>
      </c>
      <c r="D9" s="2">
        <v>5</v>
      </c>
    </row>
    <row r="10" spans="1:4" x14ac:dyDescent="0.25">
      <c r="C10" s="3" t="s">
        <v>36</v>
      </c>
      <c r="D10" s="2">
        <v>0</v>
      </c>
    </row>
  </sheetData>
  <sheetProtection password="CC50" sheet="1" objects="1" scenarios="1"/>
  <sortState ref="C1:D10">
    <sortCondition ref="C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2" ma:contentTypeDescription="Create a new document." ma:contentTypeScope="" ma:versionID="b9b9115c0a7ba5ac1a4f71ca19fa2a6b">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ee5f6545d17dbae8f4c99dcf00b8be7"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D454325-4216-4CDC-89AD-F50F28E3D4EF}"/>
</file>

<file path=customXml/itemProps2.xml><?xml version="1.0" encoding="utf-8"?>
<ds:datastoreItem xmlns:ds="http://schemas.openxmlformats.org/officeDocument/2006/customXml" ds:itemID="{A6CAAF90-E7BC-4C35-9312-01C445E6B782}"/>
</file>

<file path=customXml/itemProps3.xml><?xml version="1.0" encoding="utf-8"?>
<ds:datastoreItem xmlns:ds="http://schemas.openxmlformats.org/officeDocument/2006/customXml" ds:itemID="{967AD4AB-C3CB-43DC-B79E-354FD04A15C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Evaluation</vt:lpstr>
      <vt:lpstr>Ratings</vt:lpstr>
      <vt:lpstr>Descriptions</vt:lpstr>
      <vt:lpstr>Evaluation!Print_Titles</vt:lpstr>
      <vt:lpstr>Ratings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Jamie M. Trimarchi</cp:lastModifiedBy>
  <cp:lastPrinted>2011-12-14T19:27:45Z</cp:lastPrinted>
  <dcterms:created xsi:type="dcterms:W3CDTF">2011-12-13T18:23:43Z</dcterms:created>
  <dcterms:modified xsi:type="dcterms:W3CDTF">2011-12-16T15:34:14Z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510000</vt:r8>
  </property>
</Properties>
</file>