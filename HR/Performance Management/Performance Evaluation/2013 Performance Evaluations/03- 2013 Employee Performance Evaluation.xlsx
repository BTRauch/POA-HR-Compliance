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11"/>
  <workbookPr/>
  <xr:revisionPtr revIDLastSave="0" documentId="11_F9769815672A27255112E6A43D2F89D12FB83ADA" xr6:coauthVersionLast="47" xr6:coauthVersionMax="47" xr10:uidLastSave="{00000000-0000-0000-0000-000000000000}"/>
  <bookViews>
    <workbookView xWindow="480" yWindow="75" windowWidth="27795" windowHeight="12075" xr2:uid="{00000000-000D-0000-FFFF-FFFF00000000}"/>
  </bookViews>
  <sheets>
    <sheet name="Sheet1" sheetId="1" r:id="rId1"/>
    <sheet name="Sheet2" sheetId="2" r:id="rId2"/>
    <sheet name="Sheet3" sheetId="3" r:id="rId3"/>
  </sheets>
  <definedNames>
    <definedName name="_xlnm.Print_Area" localSheetId="0">Sheet1!$A$1:$H$7</definedName>
    <definedName name="Goal01" localSheetId="0">Sheet1!$C$29</definedName>
    <definedName name="Goal02" localSheetId="0">Sheet1!$C$36</definedName>
    <definedName name="Goal03" localSheetId="0">Sheet1!$C$42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1" l="1"/>
  <c r="H52" i="1"/>
  <c r="H77" i="1"/>
  <c r="H72" i="1"/>
  <c r="H67" i="1"/>
  <c r="H62" i="1"/>
  <c r="H57" i="1"/>
  <c r="H32" i="1"/>
  <c r="H25" i="1"/>
  <c r="H18" i="1"/>
  <c r="G39" i="1" l="1"/>
  <c r="G82" i="1"/>
  <c r="F85" i="1" s="1"/>
</calcChain>
</file>

<file path=xl/sharedStrings.xml><?xml version="1.0" encoding="utf-8"?>
<sst xmlns="http://schemas.openxmlformats.org/spreadsheetml/2006/main" count="107" uniqueCount="59">
  <si>
    <t>^^ THIS TOP SECTION DOES NOT PRINT ^^</t>
  </si>
  <si>
    <t>Employee Name:</t>
  </si>
  <si>
    <t>Position Title:</t>
  </si>
  <si>
    <t>Supervisor Name:</t>
  </si>
  <si>
    <t>Date of Review:</t>
  </si>
  <si>
    <t>A. 2013 Goals Review - 75%</t>
  </si>
  <si>
    <t>If necessary, additionals goals and details may be included as an attachment.</t>
  </si>
  <si>
    <t>GOAL #1</t>
  </si>
  <si>
    <t>ACTUAL PERFORMANCE</t>
  </si>
  <si>
    <t>Rating:</t>
  </si>
  <si>
    <t>Build a Financially Stable Organization</t>
  </si>
  <si>
    <t>Choose one.</t>
  </si>
  <si>
    <t>Strengthen Network of Volunteers, Programs &amp; Projects</t>
  </si>
  <si>
    <t>Well-Governed, Accountable &amp; Transparent Organization</t>
  </si>
  <si>
    <t>GOAL #2</t>
  </si>
  <si>
    <t>Strategic Goals Addressed:</t>
  </si>
  <si>
    <t>GOAL #3</t>
  </si>
  <si>
    <t>Supervisor Comments</t>
  </si>
  <si>
    <r>
      <t>Employee Comments</t>
    </r>
    <r>
      <rPr>
        <i/>
        <sz val="11"/>
        <rFont val="Calibri"/>
        <family val="2"/>
        <scheme val="minor"/>
      </rPr>
      <t xml:space="preserve"> (optional)</t>
    </r>
  </si>
  <si>
    <t>SECTION A</t>
  </si>
  <si>
    <t>B. Performance Expectations - 25%</t>
  </si>
  <si>
    <t>Financial Management</t>
  </si>
  <si>
    <t>Comments</t>
  </si>
  <si>
    <t>• Manages funds and resources responsibly and judiciously within area of responsibility.  
• Works proactively to improve program/unit financial oversight and sustainability.</t>
  </si>
  <si>
    <t>Time Management</t>
  </si>
  <si>
    <t>• Prioritizes effectively according to program/unit goals, based on outside feedback and own judgment. 
• Consistently meets deadlines and program/unit goals with quality and accuracy.</t>
  </si>
  <si>
    <t>Internal &amp; External Communication</t>
  </si>
  <si>
    <t>• Responds promptly and accurately to requests.
• Communicates program/unit activities and accomplishments appropriately.</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</si>
  <si>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</si>
  <si>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</si>
  <si>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</si>
  <si>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</si>
  <si>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</si>
  <si>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</si>
  <si>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r>
      <t xml:space="preserve">Supervisory Functions </t>
    </r>
    <r>
      <rPr>
        <i/>
        <sz val="11"/>
        <color theme="0"/>
        <rFont val="Calibri"/>
        <family val="2"/>
        <scheme val="minor"/>
      </rPr>
      <t>(if applicable)</t>
    </r>
  </si>
  <si>
    <t>• Provides leadership to staff and organization. Manages conflict successfully. 
• Sets clear expectations, gives effective feedback and provides strong oversight.
• Follows and enforces policies and procedures.</t>
  </si>
  <si>
    <r>
      <t>Employee Comments</t>
    </r>
    <r>
      <rPr>
        <b/>
        <i/>
        <sz val="11"/>
        <rFont val="Calibri"/>
        <family val="2"/>
        <scheme val="minor"/>
      </rPr>
      <t xml:space="preserve"> </t>
    </r>
    <r>
      <rPr>
        <i/>
        <sz val="11"/>
        <rFont val="Calibri"/>
        <family val="2"/>
        <scheme val="minor"/>
      </rPr>
      <t>(optional)</t>
    </r>
  </si>
  <si>
    <t>SECTION B</t>
  </si>
  <si>
    <t>C. OVERALL PERFORMANCE</t>
  </si>
  <si>
    <t>OVERALL SCORE</t>
  </si>
  <si>
    <r>
      <t>Employee Comments</t>
    </r>
    <r>
      <rPr>
        <sz val="11"/>
        <rFont val="Calibri"/>
        <family val="2"/>
        <scheme val="minor"/>
      </rPr>
      <t xml:space="preserve"> </t>
    </r>
    <r>
      <rPr>
        <i/>
        <sz val="11"/>
        <rFont val="Calibri"/>
        <family val="2"/>
        <scheme val="minor"/>
      </rPr>
      <t>(optional)</t>
    </r>
  </si>
  <si>
    <r>
      <t>Vice President Comments</t>
    </r>
    <r>
      <rPr>
        <i/>
        <sz val="11"/>
        <rFont val="Calibri"/>
        <family val="2"/>
        <scheme val="minor"/>
      </rPr>
      <t xml:space="preserve"> (if applicable)</t>
    </r>
  </si>
  <si>
    <r>
      <t>President Comments</t>
    </r>
    <r>
      <rPr>
        <sz val="11"/>
        <rFont val="Calibri"/>
        <family val="2"/>
        <scheme val="minor"/>
      </rPr>
      <t xml:space="preserve"> </t>
    </r>
    <r>
      <rPr>
        <i/>
        <sz val="11"/>
        <rFont val="Calibri"/>
        <family val="2"/>
        <scheme val="minor"/>
      </rPr>
      <t>(if applicable)</t>
    </r>
  </si>
  <si>
    <t>Supervisor Signature                                Date</t>
  </si>
  <si>
    <r>
      <t>Vice President Signature</t>
    </r>
    <r>
      <rPr>
        <i/>
        <sz val="11"/>
        <color theme="1"/>
        <rFont val="Calibri"/>
        <family val="2"/>
        <scheme val="minor"/>
      </rPr>
      <t xml:space="preserve"> (if applicable)             </t>
    </r>
    <r>
      <rPr>
        <b/>
        <sz val="11"/>
        <color theme="1"/>
        <rFont val="Calibri"/>
        <family val="2"/>
        <scheme val="minor"/>
      </rPr>
      <t xml:space="preserve"> Date</t>
    </r>
  </si>
  <si>
    <t>Empoyee Signature                                Date</t>
  </si>
  <si>
    <t>President Signature                                Date</t>
  </si>
  <si>
    <t>0.0 Seriously Deficient</t>
  </si>
  <si>
    <t>5.0 Exemplary</t>
  </si>
  <si>
    <t>1.0 Seriously Deficient</t>
  </si>
  <si>
    <t>4.5 Solid Performance</t>
  </si>
  <si>
    <t>1.5 Seriously Deficient</t>
  </si>
  <si>
    <t>4.0 Solid Performance</t>
  </si>
  <si>
    <t>2.0 Needs Improvement</t>
  </si>
  <si>
    <t>3.5 Satisfactory</t>
  </si>
  <si>
    <t>2.5 Needs Improvement</t>
  </si>
  <si>
    <t>3.0 Satisfactory</t>
  </si>
  <si>
    <t>n/a Not Applicable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</si>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</sst>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1"/>
      <name val="Calibri"/>
      <family val="2"/>
      <scheme val="minor"/>
    </font>
    <font>
      <i/>
      <sz val="11"/>
      <color theme="0"/>
      <name val="Calibri"/>
      <family val="2"/>
      <scheme val="minor"/>
    </font>
    <font>
      <i/>
      <sz val="11"/>
      <name val="Calibri"/>
      <family val="2"/>
      <scheme val="minor"/>
    </font>
    <font>
      <sz val="11"/>
      <name val="Calibri"/>
      <family val="2"/>
      <scheme val="minor"/>
    </font>
    <font>
      <b/>
      <i/>
      <sz val="11"/>
      <name val="Calibri"/>
      <family val="2"/>
      <scheme val="minor"/>
    </font>
    <font>
      <b/>
      <sz val="11"/>
      <color rgb="FF0070C0"/>
      <name val="Calibri"/>
      <family val="2"/>
      <scheme val="minor"/>
    </font>
  </fonts>
  <fills count="15">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3"/>
        <bgColor indexed="64"/>
      </patternFill>
    </fill>
    <fill>
      <patternFill patternType="solid">
        <fgColor theme="7" tint="-0.249977111117893"/>
        <bgColor indexed="64"/>
      </patternFill>
    </fill>
    <fill>
      <patternFill patternType="solid">
        <fgColor theme="5" tint="0.79998168889431442"/>
        <bgColor indexed="64"/>
      </patternFill>
    </fill>
  </fills>
  <borders count="14">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style="thin">
        <color rgb="FFB2B2B2"/>
      </right>
      <top style="thin">
        <color rgb="FFB2B2B2"/>
      </top>
      <bottom style="thin">
        <color rgb="FFB2B2B2"/>
      </bottom>
      <diagonal/>
    </border>
    <border>
      <left/>
      <right/>
      <top/>
      <bottom style="thin">
        <color rgb="FFB2B2B2"/>
      </bottom>
      <diagonal/>
    </border>
    <border>
      <left/>
      <right/>
      <top/>
      <bottom style="medium">
        <color indexed="64"/>
      </bottom>
      <diagonal/>
    </border>
    <border>
      <left/>
      <right/>
      <top style="thin">
        <color indexed="64"/>
      </top>
      <bottom/>
      <diagonal/>
    </border>
    <border>
      <left style="thin">
        <color indexed="64"/>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style="thin">
        <color indexed="64"/>
      </left>
      <right/>
      <top style="thin">
        <color rgb="FFB2B2B2"/>
      </top>
      <bottom style="thin">
        <color rgb="FFB2B2B2"/>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53">
    <xf numFmtId="0" fontId="0" fillId="0" borderId="0" xfId="0"/>
    <xf numFmtId="0" fontId="6" fillId="0" borderId="0" xfId="0" applyFont="1"/>
    <xf numFmtId="0" fontId="1" fillId="9" borderId="1" xfId="8" applyAlignment="1">
      <alignment horizontal="left" vertical="center"/>
    </xf>
    <xf numFmtId="0" fontId="0" fillId="9" borderId="1" xfId="8" applyFont="1" applyAlignment="1">
      <alignment horizontal="left" vertical="center"/>
    </xf>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0" fontId="3" fillId="9" borderId="1" xfId="8" applyFont="1" applyAlignment="1">
      <alignment horizontal="center" vertical="center"/>
    </xf>
    <xf numFmtId="0" fontId="2" fillId="3" borderId="3" xfId="2" applyFont="1" applyBorder="1" applyAlignment="1">
      <alignment horizontal="center" vertical="center"/>
    </xf>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6"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1" borderId="0" xfId="0" applyFill="1"/>
    <xf numFmtId="0" fontId="5" fillId="11" borderId="0" xfId="0" applyFont="1" applyFill="1"/>
    <xf numFmtId="0" fontId="17" fillId="0" borderId="0" xfId="0" applyFont="1" applyAlignment="1">
      <alignment horizontal="center"/>
    </xf>
    <xf numFmtId="0" fontId="5" fillId="0" borderId="0" xfId="0" applyFont="1" applyAlignment="1">
      <alignment horizontal="left" wrapText="1"/>
    </xf>
    <xf numFmtId="0" fontId="3" fillId="0" borderId="7" xfId="0" applyFont="1" applyBorder="1" applyAlignment="1">
      <alignment horizontal="center"/>
    </xf>
    <xf numFmtId="0" fontId="2" fillId="8" borderId="5" xfId="7" applyFont="1" applyBorder="1" applyAlignment="1">
      <alignment horizontal="center"/>
    </xf>
    <xf numFmtId="0" fontId="6" fillId="0" borderId="8" xfId="8" applyFont="1" applyFill="1" applyBorder="1" applyAlignment="1">
      <alignment horizontal="left" vertical="top" wrapText="1"/>
    </xf>
    <xf numFmtId="0" fontId="6" fillId="0" borderId="9" xfId="8" applyFont="1" applyFill="1" applyBorder="1" applyAlignment="1">
      <alignment horizontal="left" vertical="top"/>
    </xf>
    <xf numFmtId="0" fontId="6" fillId="0" borderId="10" xfId="8" applyFont="1" applyFill="1" applyBorder="1" applyAlignment="1">
      <alignment horizontal="left" vertical="top"/>
    </xf>
    <xf numFmtId="0" fontId="1" fillId="9" borderId="13" xfId="8" applyBorder="1" applyAlignment="1">
      <alignment horizontal="left" vertical="top" wrapText="1"/>
    </xf>
    <xf numFmtId="0" fontId="1" fillId="9" borderId="12" xfId="8" applyBorder="1" applyAlignment="1">
      <alignment horizontal="left" vertical="top" wrapText="1"/>
    </xf>
    <xf numFmtId="0" fontId="1" fillId="9" borderId="4" xfId="8" applyBorder="1" applyAlignment="1">
      <alignment horizontal="left" vertical="top" wrapText="1"/>
    </xf>
    <xf numFmtId="0" fontId="0" fillId="0" borderId="0" xfId="0" applyAlignment="1">
      <alignment horizontal="center"/>
    </xf>
    <xf numFmtId="0" fontId="10" fillId="10" borderId="0" xfId="1" applyFont="1" applyFill="1" applyAlignment="1">
      <alignment horizontal="center"/>
    </xf>
    <xf numFmtId="0" fontId="1" fillId="9" borderId="11" xfId="8" applyBorder="1" applyAlignment="1">
      <alignment horizontal="left" vertical="top" wrapText="1"/>
    </xf>
    <xf numFmtId="0" fontId="2" fillId="12" borderId="0" xfId="1" applyFont="1" applyFill="1" applyAlignment="1">
      <alignment horizontal="center"/>
    </xf>
    <xf numFmtId="0" fontId="10" fillId="14" borderId="0" xfId="1" applyFont="1" applyFill="1" applyAlignment="1">
      <alignment horizontal="center"/>
    </xf>
    <xf numFmtId="0" fontId="11" fillId="3" borderId="0" xfId="2" applyFont="1" applyAlignment="1">
      <alignment horizontal="left" vertical="center" indent="1"/>
    </xf>
    <xf numFmtId="0" fontId="2" fillId="3" borderId="0" xfId="2" applyFont="1" applyAlignment="1">
      <alignment horizontal="center"/>
    </xf>
    <xf numFmtId="0" fontId="10" fillId="14" borderId="0" xfId="2" applyFont="1" applyFill="1" applyAlignment="1">
      <alignment horizontal="center"/>
    </xf>
    <xf numFmtId="0" fontId="2" fillId="6" borderId="3" xfId="5" applyFont="1" applyBorder="1" applyAlignment="1">
      <alignment horizontal="left"/>
    </xf>
    <xf numFmtId="0" fontId="2" fillId="8" borderId="0" xfId="7" applyFont="1" applyBorder="1" applyAlignment="1">
      <alignment horizontal="center"/>
    </xf>
    <xf numFmtId="0" fontId="10" fillId="14" borderId="0" xfId="4" applyFont="1" applyFill="1" applyAlignment="1">
      <alignment horizontal="center"/>
    </xf>
    <xf numFmtId="0" fontId="2" fillId="13" borderId="0" xfId="6" applyFont="1" applyFill="1" applyAlignment="1">
      <alignment horizontal="center"/>
    </xf>
    <xf numFmtId="0" fontId="2" fillId="13" borderId="3" xfId="6" applyFont="1" applyFill="1" applyBorder="1" applyAlignment="1">
      <alignment horizontal="left"/>
    </xf>
    <xf numFmtId="0" fontId="7" fillId="0" borderId="0" xfId="0" applyFont="1" applyAlignment="1">
      <alignment horizontal="left"/>
    </xf>
    <xf numFmtId="0" fontId="2" fillId="6" borderId="5" xfId="5" applyFont="1" applyBorder="1" applyAlignment="1">
      <alignment horizontal="center" wrapText="1"/>
    </xf>
    <xf numFmtId="0" fontId="2" fillId="6" borderId="0" xfId="5" applyFont="1" applyAlignment="1">
      <alignment horizontal="center"/>
    </xf>
    <xf numFmtId="0" fontId="1" fillId="9" borderId="1" xfId="8" applyAlignment="1">
      <alignment horizontal="left" vertical="center"/>
    </xf>
    <xf numFmtId="0" fontId="2" fillId="2" borderId="0" xfId="1" applyFont="1" applyAlignment="1">
      <alignment horizontal="center"/>
    </xf>
    <xf numFmtId="0" fontId="6" fillId="0" borderId="0" xfId="0" applyFont="1" applyAlignment="1">
      <alignment horizontal="left"/>
    </xf>
    <xf numFmtId="0" fontId="0" fillId="9" borderId="11" xfId="8" applyFont="1" applyBorder="1" applyAlignment="1">
      <alignment horizontal="left" vertical="top" wrapText="1"/>
    </xf>
    <xf numFmtId="49" fontId="0" fillId="9" borderId="11" xfId="8" applyNumberFormat="1" applyFont="1" applyBorder="1" applyAlignment="1">
      <alignment horizontal="left" vertical="top" wrapText="1"/>
    </xf>
    <xf numFmtId="49" fontId="1" fillId="9" borderId="12" xfId="8" applyNumberFormat="1" applyBorder="1" applyAlignment="1">
      <alignment horizontal="left" vertical="top" wrapText="1"/>
    </xf>
    <xf numFmtId="49" fontId="1" fillId="9" borderId="4" xfId="8" applyNumberFormat="1" applyBorder="1" applyAlignment="1">
      <alignment horizontal="left" vertical="top" wrapText="1"/>
    </xf>
    <xf numFmtId="0" fontId="2" fillId="2" borderId="3" xfId="1" applyFont="1" applyBorder="1" applyAlignment="1">
      <alignment horizontal="left"/>
    </xf>
    <xf numFmtId="0" fontId="1" fillId="9" borderId="1" xfId="8" applyAlignment="1"/>
    <xf numFmtId="0" fontId="0" fillId="0" borderId="0" xfId="0" applyAlignment="1"/>
  </cellXfs>
  <cellStyles count="9">
    <cellStyle name="40% - Énfasis2" xfId="3" builtinId="35"/>
    <cellStyle name="60% - Énfasis2" xfId="4" builtinId="36"/>
    <cellStyle name="Énfasis1" xfId="1" builtinId="29"/>
    <cellStyle name="Énfasis2" xfId="2" builtinId="33"/>
    <cellStyle name="Énfasis3" xfId="5" builtinId="37"/>
    <cellStyle name="Énfasis4" xfId="6" builtinId="41"/>
    <cellStyle name="Énfasis5" xfId="7" builtinId="45"/>
    <cellStyle name="Normal" xfId="0" builtinId="0"/>
    <cellStyle name="Style 1" xfId="8" xr:uid="{00000000-0005-0000-0000-000008000000}"/>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91109</xdr:colOff>
      <xdr:row>7</xdr:row>
      <xdr:rowOff>49696</xdr:rowOff>
    </xdr:from>
    <xdr:to>
      <xdr:col>3</xdr:col>
      <xdr:colOff>1178486</xdr:colOff>
      <xdr:row>7</xdr:row>
      <xdr:rowOff>687457</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892" y="5002696"/>
          <a:ext cx="2851572" cy="637761"/>
        </a:xfrm>
        <a:prstGeom prst="rect">
          <a:avLst/>
        </a:prstGeom>
      </xdr:spPr>
    </xdr:pic>
    <xdr:clientData/>
  </xdr:twoCellAnchor>
  <xdr:twoCellAnchor>
    <xdr:from>
      <xdr:col>4</xdr:col>
      <xdr:colOff>82826</xdr:colOff>
      <xdr:row>7</xdr:row>
      <xdr:rowOff>66259</xdr:rowOff>
    </xdr:from>
    <xdr:to>
      <xdr:col>6</xdr:col>
      <xdr:colOff>1242391</xdr:colOff>
      <xdr:row>7</xdr:row>
      <xdr:rowOff>753716</xdr:rowOff>
    </xdr:to>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a:solidFill>
                <a:srgbClr val="474822"/>
              </a:solidFill>
              <a:effectLst/>
              <a:latin typeface="+mj-lt"/>
              <a:ea typeface="Times New Roman"/>
              <a:cs typeface="Times New Roman"/>
            </a:rPr>
            <a:t>2013 Goals &amp; Performance Evaluation</a:t>
          </a:r>
        </a:p>
      </xdr:txBody>
    </xdr:sp>
    <xdr:clientData/>
  </xdr:twoCellAnchor>
  <xdr:twoCellAnchor>
    <xdr:from>
      <xdr:col>1</xdr:col>
      <xdr:colOff>91108</xdr:colOff>
      <xdr:row>2</xdr:row>
      <xdr:rowOff>33130</xdr:rowOff>
    </xdr:from>
    <xdr:to>
      <xdr:col>6</xdr:col>
      <xdr:colOff>1308652</xdr:colOff>
      <xdr:row>2</xdr:row>
      <xdr:rowOff>2592457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89891" y="960782"/>
          <a:ext cx="8796131" cy="2559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2011-2013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ensure supporters that their contributions are wisely invested and buttress our reputation among competitors and members alike.</a:t>
          </a:r>
        </a:p>
        <a:p>
          <a:endParaRPr lang="en-US" sz="1100"/>
        </a:p>
      </xdr:txBody>
    </xdr:sp>
    <xdr:clientData/>
  </xdr:twoCellAnchor>
  <xdr:twoCellAnchor>
    <xdr:from>
      <xdr:col>2</xdr:col>
      <xdr:colOff>579782</xdr:colOff>
      <xdr:row>3</xdr:row>
      <xdr:rowOff>1</xdr:rowOff>
    </xdr:from>
    <xdr:to>
      <xdr:col>6</xdr:col>
      <xdr:colOff>289890</xdr:colOff>
      <xdr:row>5</xdr:row>
      <xdr:rowOff>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159565" y="3139110"/>
          <a:ext cx="6907695" cy="1432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a:p>
          <a:pPr algn="ctr"/>
          <a:r>
            <a:rPr lang="en-US" sz="1100" b="1">
              <a:solidFill>
                <a:srgbClr val="FF0000"/>
              </a:solidFill>
              <a:effectLst/>
              <a:latin typeface="+mn-lt"/>
              <a:ea typeface="+mn-ea"/>
              <a:cs typeface="+mn-cs"/>
            </a:rPr>
            <a:t>Note</a:t>
          </a:r>
          <a:r>
            <a:rPr lang="en-US" sz="1100">
              <a:solidFill>
                <a:srgbClr val="FF0000"/>
              </a:solidFill>
              <a:effectLst/>
              <a:latin typeface="+mn-lt"/>
              <a:ea typeface="+mn-ea"/>
              <a:cs typeface="+mn-cs"/>
            </a:rPr>
            <a:t>: In using this new format, you will need to adapt the goals from our earlier format to insert in this template. This is the new simplified standard for reporting and evaluating goals that we’ll be using for 2013 and beyond.</a:t>
          </a:r>
          <a:endParaRPr lang="en-US" sz="1100">
            <a:solidFill>
              <a:srgbClr val="FF0000"/>
            </a:solidFill>
          </a:endParaRPr>
        </a:p>
      </xdr:txBody>
    </xdr:sp>
    <xdr:clientData/>
  </xdr:twoCellAnchor>
  <xdr:twoCellAnchor editAs="oneCell">
    <xdr:from>
      <xdr:col>1</xdr:col>
      <xdr:colOff>149087</xdr:colOff>
      <xdr:row>1</xdr:row>
      <xdr:rowOff>107675</xdr:rowOff>
    </xdr:from>
    <xdr:to>
      <xdr:col>3</xdr:col>
      <xdr:colOff>999822</xdr:colOff>
      <xdr:row>1</xdr:row>
      <xdr:rowOff>692510</xdr:rowOff>
    </xdr:to>
    <xdr:pic>
      <xdr:nvPicPr>
        <xdr:cNvPr id="7" name="Picture 6">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7870" y="3652632"/>
          <a:ext cx="2614930" cy="584835"/>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95"/>
  <sheetViews>
    <sheetView tabSelected="1" zoomScale="110" zoomScaleNormal="110" workbookViewId="0">
      <selection activeCell="I4" sqref="I4"/>
    </sheetView>
  </sheetViews>
  <sheetFormatPr defaultRowHeight="15"/>
  <cols>
    <col min="1" max="1" width="3" customWidth="1"/>
    <col min="2" max="2" width="5.7109375" customWidth="1"/>
    <col min="3" max="3" width="20.7109375" customWidth="1"/>
    <col min="4" max="4" width="40.7109375" customWidth="1"/>
    <col min="5" max="5" width="25.7109375" customWidth="1"/>
    <col min="6" max="7" width="20.7109375" customWidth="1"/>
    <col min="8" max="8" width="3.140625" style="5" bestFit="1" customWidth="1"/>
  </cols>
  <sheetData>
    <row r="1" spans="1:8">
      <c r="A1" s="15"/>
      <c r="B1" s="15"/>
      <c r="C1" s="15"/>
      <c r="D1" s="15"/>
      <c r="E1" s="15"/>
      <c r="F1" s="15"/>
      <c r="G1" s="15"/>
      <c r="H1" s="16"/>
    </row>
    <row r="2" spans="1:8" ht="57.75" customHeight="1">
      <c r="A2" s="15"/>
      <c r="H2" s="16"/>
    </row>
    <row r="3" spans="1:8" ht="206.25" customHeight="1">
      <c r="A3" s="15"/>
      <c r="H3" s="16"/>
    </row>
    <row r="4" spans="1:8" ht="97.5" customHeight="1">
      <c r="A4" s="15"/>
      <c r="H4" s="16"/>
    </row>
    <row r="5" spans="1:8" ht="69" customHeight="1">
      <c r="A5" s="15"/>
      <c r="H5" s="16"/>
    </row>
    <row r="6" spans="1:8">
      <c r="A6" s="15"/>
      <c r="B6" s="27" t="s">
        <v>0</v>
      </c>
      <c r="C6" s="27"/>
      <c r="D6" s="27"/>
      <c r="E6" s="27"/>
      <c r="F6" s="27"/>
      <c r="G6" s="27"/>
      <c r="H6" s="16"/>
    </row>
    <row r="7" spans="1:8">
      <c r="A7" s="15"/>
      <c r="B7" s="15"/>
      <c r="C7" s="15"/>
      <c r="D7" s="15"/>
      <c r="E7" s="15"/>
      <c r="F7" s="15"/>
      <c r="G7" s="15"/>
      <c r="H7" s="16"/>
    </row>
    <row r="8" spans="1:8" ht="60.75" customHeight="1"/>
    <row r="9" spans="1:8" ht="7.5" customHeight="1"/>
    <row r="10" spans="1:8">
      <c r="C10" s="4" t="s">
        <v>1</v>
      </c>
      <c r="D10" s="3"/>
      <c r="E10" s="4" t="s">
        <v>2</v>
      </c>
      <c r="F10" s="43"/>
      <c r="G10" s="43"/>
    </row>
    <row r="11" spans="1:8">
      <c r="C11" s="4" t="s">
        <v>3</v>
      </c>
      <c r="D11" s="2"/>
      <c r="E11" s="4" t="s">
        <v>4</v>
      </c>
      <c r="F11" s="43"/>
      <c r="G11" s="43"/>
    </row>
    <row r="13" spans="1:8" ht="22.5" customHeight="1">
      <c r="B13" s="32" t="s">
        <v>5</v>
      </c>
      <c r="C13" s="32"/>
      <c r="D13" s="32"/>
      <c r="E13" s="18" t="s">
        <v>6</v>
      </c>
      <c r="F13" s="18"/>
      <c r="G13" s="18"/>
    </row>
    <row r="14" spans="1:8" ht="7.5" customHeight="1">
      <c r="H14"/>
    </row>
    <row r="15" spans="1:8">
      <c r="B15" s="44" t="s">
        <v>7</v>
      </c>
      <c r="C15" s="44"/>
      <c r="D15" s="44"/>
      <c r="E15" s="44" t="s">
        <v>8</v>
      </c>
      <c r="F15" s="44"/>
      <c r="G15" s="44"/>
    </row>
    <row r="16" spans="1:8" ht="125.1" customHeight="1">
      <c r="B16" s="46"/>
      <c r="C16" s="25"/>
      <c r="D16" s="26"/>
      <c r="E16" s="47"/>
      <c r="F16" s="48"/>
      <c r="G16" s="49"/>
    </row>
    <row r="17" spans="2:8">
      <c r="B17" s="50"/>
      <c r="C17" s="50"/>
      <c r="D17" s="50"/>
      <c r="F17" s="8" t="s">
        <v>9</v>
      </c>
    </row>
    <row r="18" spans="2:8">
      <c r="B18" s="9"/>
      <c r="C18" s="45" t="s">
        <v>10</v>
      </c>
      <c r="D18" s="45"/>
      <c r="F18" s="51" t="s">
        <v>11</v>
      </c>
      <c r="G18" s="51"/>
      <c r="H18" s="6">
        <f>VLOOKUP(F18,Sheet2!$B$1:$C$12,2)</f>
        <v>9.9999999999999995E-7</v>
      </c>
    </row>
    <row r="19" spans="2:8">
      <c r="B19" s="9"/>
      <c r="C19" s="1" t="s">
        <v>12</v>
      </c>
      <c r="D19" s="1"/>
      <c r="E19" s="17"/>
    </row>
    <row r="20" spans="2:8">
      <c r="B20" s="9"/>
      <c r="C20" s="1" t="s">
        <v>13</v>
      </c>
      <c r="D20" s="1"/>
    </row>
    <row r="21" spans="2:8" ht="7.5" customHeight="1"/>
    <row r="22" spans="2:8">
      <c r="B22" s="41" t="s">
        <v>14</v>
      </c>
      <c r="C22" s="41"/>
      <c r="D22" s="41"/>
      <c r="E22" s="42" t="s">
        <v>8</v>
      </c>
      <c r="F22" s="42"/>
      <c r="G22" s="42"/>
    </row>
    <row r="23" spans="2:8" ht="125.1" customHeight="1">
      <c r="B23" s="29"/>
      <c r="C23" s="25"/>
      <c r="D23" s="26"/>
      <c r="E23" s="29"/>
      <c r="F23" s="25"/>
      <c r="G23" s="26"/>
    </row>
    <row r="24" spans="2:8">
      <c r="B24" s="35" t="s">
        <v>15</v>
      </c>
      <c r="C24" s="35"/>
      <c r="D24" s="35"/>
      <c r="F24" s="8" t="s">
        <v>9</v>
      </c>
    </row>
    <row r="25" spans="2:8">
      <c r="B25" s="9"/>
      <c r="C25" s="45" t="s">
        <v>10</v>
      </c>
      <c r="D25" s="45"/>
      <c r="F25" s="51" t="s">
        <v>11</v>
      </c>
      <c r="G25" s="51"/>
      <c r="H25" s="6">
        <f>VLOOKUP(F25,Sheet2!$B$1:$C$12,2)</f>
        <v>9.9999999999999995E-7</v>
      </c>
    </row>
    <row r="26" spans="2:8">
      <c r="B26" s="9"/>
      <c r="C26" s="1" t="s">
        <v>12</v>
      </c>
      <c r="D26" s="1"/>
    </row>
    <row r="27" spans="2:8">
      <c r="B27" s="9"/>
      <c r="C27" s="1" t="s">
        <v>13</v>
      </c>
      <c r="D27" s="1"/>
    </row>
    <row r="28" spans="2:8" ht="7.5" customHeight="1"/>
    <row r="29" spans="2:8">
      <c r="B29" s="38" t="s">
        <v>16</v>
      </c>
      <c r="C29" s="38"/>
      <c r="D29" s="38"/>
      <c r="E29" s="38" t="s">
        <v>8</v>
      </c>
      <c r="F29" s="38"/>
      <c r="G29" s="38"/>
    </row>
    <row r="30" spans="2:8" ht="125.1" customHeight="1">
      <c r="B30" s="29"/>
      <c r="C30" s="25"/>
      <c r="D30" s="26"/>
      <c r="E30" s="29"/>
      <c r="F30" s="25"/>
      <c r="G30" s="26"/>
    </row>
    <row r="31" spans="2:8">
      <c r="B31" s="39" t="s">
        <v>15</v>
      </c>
      <c r="C31" s="39"/>
      <c r="D31" s="39"/>
      <c r="F31" s="8" t="s">
        <v>9</v>
      </c>
    </row>
    <row r="32" spans="2:8">
      <c r="B32" s="9"/>
      <c r="C32" s="40" t="s">
        <v>10</v>
      </c>
      <c r="D32" s="40"/>
      <c r="F32" s="51" t="s">
        <v>11</v>
      </c>
      <c r="G32" s="51"/>
      <c r="H32" s="6">
        <f>VLOOKUP(F32,Sheet2!$B$1:$C$12,2)</f>
        <v>9.9999999999999995E-7</v>
      </c>
    </row>
    <row r="33" spans="2:8">
      <c r="B33" s="9"/>
      <c r="C33" s="7" t="s">
        <v>12</v>
      </c>
      <c r="D33" s="7"/>
    </row>
    <row r="34" spans="2:8">
      <c r="B34" s="9"/>
      <c r="C34" s="7" t="s">
        <v>13</v>
      </c>
      <c r="D34" s="7"/>
    </row>
    <row r="35" spans="2:8" ht="7.5" customHeight="1"/>
    <row r="36" spans="2:8">
      <c r="B36" s="33" t="s">
        <v>17</v>
      </c>
      <c r="C36" s="33"/>
      <c r="D36" s="33"/>
      <c r="E36" s="37" t="s">
        <v>18</v>
      </c>
      <c r="F36" s="37"/>
      <c r="G36" s="37"/>
    </row>
    <row r="37" spans="2:8" ht="125.1" customHeight="1">
      <c r="B37" s="29"/>
      <c r="C37" s="25"/>
      <c r="D37" s="26"/>
      <c r="E37" s="29"/>
      <c r="F37" s="25"/>
      <c r="G37" s="26"/>
    </row>
    <row r="38" spans="2:8" ht="15.75" thickBot="1">
      <c r="G38" s="10" t="s">
        <v>19</v>
      </c>
    </row>
    <row r="39" spans="2:8" ht="15.75" thickBot="1">
      <c r="G39" s="11">
        <f>AVERAGEIF(H18:H32,"&gt;0")</f>
        <v>9.9999999999999995E-7</v>
      </c>
    </row>
    <row r="41" spans="2:8">
      <c r="B41" s="52"/>
      <c r="C41" s="52"/>
      <c r="D41" s="52"/>
      <c r="E41" s="52"/>
      <c r="F41" s="52"/>
      <c r="G41" s="52"/>
      <c r="H41"/>
    </row>
    <row r="42" spans="2:8" ht="22.5" customHeight="1">
      <c r="B42" s="32" t="s">
        <v>20</v>
      </c>
      <c r="C42" s="32"/>
      <c r="D42" s="32"/>
    </row>
    <row r="43" spans="2:8">
      <c r="H43"/>
    </row>
    <row r="44" spans="2:8">
      <c r="B44" s="36" t="s">
        <v>21</v>
      </c>
      <c r="C44" s="36"/>
      <c r="D44" s="36"/>
      <c r="E44" s="20" t="s">
        <v>22</v>
      </c>
      <c r="F44" s="20"/>
      <c r="G44" s="20"/>
    </row>
    <row r="45" spans="2:8" ht="50.1" customHeight="1">
      <c r="B45" s="21" t="s">
        <v>23</v>
      </c>
      <c r="C45" s="22"/>
      <c r="D45" s="23"/>
      <c r="E45" s="24"/>
      <c r="F45" s="25"/>
      <c r="G45" s="26"/>
    </row>
    <row r="46" spans="2:8">
      <c r="F46" s="8" t="s">
        <v>9</v>
      </c>
    </row>
    <row r="47" spans="2:8">
      <c r="F47" s="51" t="s">
        <v>11</v>
      </c>
      <c r="G47" s="51"/>
      <c r="H47" s="6">
        <f>VLOOKUP(F47,Sheet2!$B$1:$C$12,2)</f>
        <v>9.9999999999999995E-7</v>
      </c>
    </row>
    <row r="48" spans="2:8" ht="7.5" customHeight="1"/>
    <row r="49" spans="2:8">
      <c r="B49" s="20" t="s">
        <v>24</v>
      </c>
      <c r="C49" s="20"/>
      <c r="D49" s="20"/>
      <c r="E49" s="20" t="s">
        <v>22</v>
      </c>
      <c r="F49" s="20"/>
      <c r="G49" s="20"/>
    </row>
    <row r="50" spans="2:8" ht="50.1" customHeight="1">
      <c r="B50" s="21" t="s">
        <v>25</v>
      </c>
      <c r="C50" s="22"/>
      <c r="D50" s="23"/>
      <c r="E50" s="24"/>
      <c r="F50" s="25"/>
      <c r="G50" s="26"/>
    </row>
    <row r="51" spans="2:8">
      <c r="F51" s="8" t="s">
        <v>9</v>
      </c>
    </row>
    <row r="52" spans="2:8">
      <c r="F52" s="51" t="s">
        <v>11</v>
      </c>
      <c r="G52" s="51"/>
      <c r="H52" s="6">
        <f>VLOOKUP(F52,Sheet2!$B$1:$C$12,2)</f>
        <v>9.9999999999999995E-7</v>
      </c>
    </row>
    <row r="53" spans="2:8" ht="7.5" customHeight="1"/>
    <row r="54" spans="2:8">
      <c r="B54" s="20" t="s">
        <v>26</v>
      </c>
      <c r="C54" s="20"/>
      <c r="D54" s="20"/>
      <c r="E54" s="20" t="s">
        <v>22</v>
      </c>
      <c r="F54" s="20"/>
      <c r="G54" s="20"/>
    </row>
    <row r="55" spans="2:8" ht="50.1" customHeight="1">
      <c r="B55" s="21" t="s">
        <v>27</v>
      </c>
      <c r="C55" s="22"/>
      <c r="D55" s="23"/>
      <c r="E55" s="24"/>
      <c r="F55" s="25"/>
      <c r="G55" s="26"/>
    </row>
    <row r="56" spans="2:8">
      <c r="F56" s="8" t="s">
        <v>9</v>
      </c>
    </row>
    <row r="57" spans="2:8">
      <c r="F57" s="51" t="s">
        <v>11</v>
      </c>
      <c r="G57" s="51"/>
      <c r="H57" s="6">
        <f>VLOOKUP(F57,Sheet2!$B$1:$C$12,2)</f>
        <v>9.9999999999999995E-7</v>
      </c>
    </row>
    <row r="58" spans="2:8" ht="7.5" customHeight="1"/>
    <row r="59" spans="2:8">
      <c r="B59" s="20" t="s">
        <v>28</v>
      </c>
      <c r="C59" s="20"/>
      <c r="D59" s="20"/>
      <c r="E59" s="20" t="s">
        <v>22</v>
      </c>
      <c r="F59" s="20"/>
      <c r="G59" s="20"/>
    </row>
    <row r="60" spans="2:8" ht="50.1" customHeight="1">
      <c r="B60" s="21" t="s">
        <v>29</v>
      </c>
      <c r="C60" s="22"/>
      <c r="D60" s="23"/>
      <c r="E60" s="24"/>
      <c r="F60" s="25"/>
      <c r="G60" s="26"/>
    </row>
    <row r="61" spans="2:8">
      <c r="F61" s="8" t="s">
        <v>9</v>
      </c>
    </row>
    <row r="62" spans="2:8">
      <c r="F62" s="51" t="s">
        <v>11</v>
      </c>
      <c r="G62" s="51"/>
      <c r="H62" s="6">
        <f>VLOOKUP(F62,Sheet2!$B$1:$C$12,2)</f>
        <v>9.9999999999999995E-7</v>
      </c>
    </row>
    <row r="63" spans="2:8" ht="7.5" customHeight="1"/>
    <row r="64" spans="2:8">
      <c r="B64" s="20" t="s">
        <v>30</v>
      </c>
      <c r="C64" s="20"/>
      <c r="D64" s="20"/>
      <c r="E64" s="20" t="s">
        <v>22</v>
      </c>
      <c r="F64" s="20"/>
      <c r="G64" s="20"/>
    </row>
    <row r="65" spans="2:8" ht="50.1" customHeight="1">
      <c r="B65" s="21" t="s">
        <v>31</v>
      </c>
      <c r="C65" s="22"/>
      <c r="D65" s="23"/>
      <c r="E65" s="24"/>
      <c r="F65" s="25"/>
      <c r="G65" s="26"/>
    </row>
    <row r="66" spans="2:8">
      <c r="F66" s="8" t="s">
        <v>9</v>
      </c>
    </row>
    <row r="67" spans="2:8">
      <c r="F67" s="51" t="s">
        <v>11</v>
      </c>
      <c r="G67" s="51"/>
      <c r="H67" s="6">
        <f>VLOOKUP(F67,Sheet2!$B$1:$C$12,2)</f>
        <v>9.9999999999999995E-7</v>
      </c>
    </row>
    <row r="68" spans="2:8" ht="7.5" customHeight="1"/>
    <row r="69" spans="2:8">
      <c r="B69" s="20" t="s">
        <v>32</v>
      </c>
      <c r="C69" s="20"/>
      <c r="D69" s="20"/>
      <c r="E69" s="20" t="s">
        <v>22</v>
      </c>
      <c r="F69" s="20"/>
      <c r="G69" s="20"/>
    </row>
    <row r="70" spans="2:8" ht="50.1" customHeight="1">
      <c r="B70" s="21" t="s">
        <v>33</v>
      </c>
      <c r="C70" s="22"/>
      <c r="D70" s="23"/>
      <c r="E70" s="24"/>
      <c r="F70" s="25"/>
      <c r="G70" s="26"/>
    </row>
    <row r="71" spans="2:8">
      <c r="F71" s="8" t="s">
        <v>9</v>
      </c>
    </row>
    <row r="72" spans="2:8">
      <c r="F72" s="51" t="s">
        <v>11</v>
      </c>
      <c r="G72" s="51"/>
      <c r="H72" s="6">
        <f>VLOOKUP(F72,Sheet2!$B$1:$C$12,2)</f>
        <v>9.9999999999999995E-7</v>
      </c>
    </row>
    <row r="73" spans="2:8" ht="7.5" customHeight="1"/>
    <row r="74" spans="2:8">
      <c r="B74" s="20" t="s">
        <v>34</v>
      </c>
      <c r="C74" s="20"/>
      <c r="D74" s="20"/>
      <c r="E74" s="20" t="s">
        <v>22</v>
      </c>
      <c r="F74" s="20"/>
      <c r="G74" s="20"/>
    </row>
    <row r="75" spans="2:8" ht="50.1" customHeight="1">
      <c r="B75" s="21" t="s">
        <v>35</v>
      </c>
      <c r="C75" s="22"/>
      <c r="D75" s="23"/>
      <c r="E75" s="24"/>
      <c r="F75" s="25"/>
      <c r="G75" s="26"/>
    </row>
    <row r="76" spans="2:8">
      <c r="F76" s="8" t="s">
        <v>9</v>
      </c>
    </row>
    <row r="77" spans="2:8">
      <c r="F77" s="51" t="s">
        <v>11</v>
      </c>
      <c r="G77" s="51"/>
      <c r="H77" s="6">
        <f>VLOOKUP(F77,Sheet2!$B$1:$C$12,2)</f>
        <v>9.9999999999999995E-7</v>
      </c>
    </row>
    <row r="79" spans="2:8">
      <c r="B79" s="33" t="s">
        <v>17</v>
      </c>
      <c r="C79" s="33"/>
      <c r="D79" s="33"/>
      <c r="E79" s="34" t="s">
        <v>36</v>
      </c>
      <c r="F79" s="34"/>
      <c r="G79" s="34"/>
    </row>
    <row r="80" spans="2:8" ht="99.95" customHeight="1">
      <c r="B80" s="29"/>
      <c r="C80" s="25"/>
      <c r="D80" s="26"/>
      <c r="E80" s="29"/>
      <c r="F80" s="25"/>
      <c r="G80" s="26"/>
    </row>
    <row r="81" spans="2:8" ht="15.75" thickBot="1">
      <c r="G81" s="10" t="s">
        <v>37</v>
      </c>
    </row>
    <row r="82" spans="2:8" ht="15.75" thickBot="1">
      <c r="G82" s="11">
        <f>AVERAGEIF(H44:H80,"&gt;0")</f>
        <v>9.9999999999999995E-7</v>
      </c>
    </row>
    <row r="83" spans="2:8">
      <c r="G83" s="12"/>
    </row>
    <row r="84" spans="2:8" ht="22.5" customHeight="1" thickBot="1">
      <c r="B84" s="32" t="s">
        <v>38</v>
      </c>
      <c r="C84" s="32"/>
      <c r="D84" s="32"/>
      <c r="F84" s="13" t="s">
        <v>39</v>
      </c>
    </row>
    <row r="85" spans="2:8" ht="19.5" thickBot="1">
      <c r="F85" s="14">
        <f>(G39*0.75)+(G82*0.25)</f>
        <v>9.9999999999999995E-7</v>
      </c>
    </row>
    <row r="86" spans="2:8" ht="20.25" customHeight="1"/>
    <row r="88" spans="2:8">
      <c r="B88" s="30" t="s">
        <v>17</v>
      </c>
      <c r="C88" s="30"/>
      <c r="D88" s="30"/>
      <c r="E88" s="31" t="s">
        <v>40</v>
      </c>
      <c r="F88" s="31"/>
      <c r="G88" s="31"/>
    </row>
    <row r="89" spans="2:8" ht="99.95" customHeight="1">
      <c r="B89" s="29"/>
      <c r="C89" s="25"/>
      <c r="D89" s="26"/>
      <c r="E89" s="29"/>
      <c r="F89" s="25"/>
      <c r="G89" s="26"/>
    </row>
    <row r="90" spans="2:8">
      <c r="B90" s="28" t="s">
        <v>41</v>
      </c>
      <c r="C90" s="28"/>
      <c r="D90" s="28"/>
      <c r="E90" s="28" t="s">
        <v>42</v>
      </c>
      <c r="F90" s="28"/>
      <c r="G90" s="28"/>
    </row>
    <row r="91" spans="2:8" ht="99.95" customHeight="1">
      <c r="B91" s="29"/>
      <c r="C91" s="25"/>
      <c r="D91" s="26"/>
      <c r="E91" s="29"/>
      <c r="F91" s="25"/>
      <c r="G91" s="26"/>
    </row>
    <row r="92" spans="2:8" ht="44.25" customHeight="1">
      <c r="H92"/>
    </row>
    <row r="93" spans="2:8">
      <c r="B93" s="19" t="s">
        <v>43</v>
      </c>
      <c r="C93" s="19"/>
      <c r="D93" s="19"/>
      <c r="E93" s="19" t="s">
        <v>44</v>
      </c>
      <c r="F93" s="19"/>
      <c r="G93" s="19"/>
    </row>
    <row r="94" spans="2:8" ht="46.5" customHeight="1"/>
    <row r="95" spans="2:8">
      <c r="B95" s="19" t="s">
        <v>45</v>
      </c>
      <c r="C95" s="19"/>
      <c r="D95" s="19"/>
      <c r="E95" s="19" t="s">
        <v>46</v>
      </c>
      <c r="F95" s="19"/>
      <c r="G95" s="19"/>
    </row>
  </sheetData>
  <mergeCells count="84">
    <mergeCell ref="F10:G10"/>
    <mergeCell ref="F11:G11"/>
    <mergeCell ref="B15:D15"/>
    <mergeCell ref="E15:G15"/>
    <mergeCell ref="B69:D69"/>
    <mergeCell ref="B45:D45"/>
    <mergeCell ref="B55:D55"/>
    <mergeCell ref="B49:D49"/>
    <mergeCell ref="B29:D29"/>
    <mergeCell ref="B36:D36"/>
    <mergeCell ref="C25:D25"/>
    <mergeCell ref="F25:G25"/>
    <mergeCell ref="B16:D16"/>
    <mergeCell ref="E16:G16"/>
    <mergeCell ref="B17:D17"/>
    <mergeCell ref="C18:D18"/>
    <mergeCell ref="F18:G18"/>
    <mergeCell ref="B13:D13"/>
    <mergeCell ref="B42:D42"/>
    <mergeCell ref="E36:G36"/>
    <mergeCell ref="B37:D37"/>
    <mergeCell ref="E37:G37"/>
    <mergeCell ref="E29:G29"/>
    <mergeCell ref="B30:D30"/>
    <mergeCell ref="E30:G30"/>
    <mergeCell ref="B31:D31"/>
    <mergeCell ref="C32:D32"/>
    <mergeCell ref="F32:G32"/>
    <mergeCell ref="B22:D22"/>
    <mergeCell ref="E22:G22"/>
    <mergeCell ref="B23:D23"/>
    <mergeCell ref="E23:G23"/>
    <mergeCell ref="B24:D24"/>
    <mergeCell ref="B44:D44"/>
    <mergeCell ref="E44:G44"/>
    <mergeCell ref="E55:G55"/>
    <mergeCell ref="F57:G57"/>
    <mergeCell ref="B41:G41"/>
    <mergeCell ref="B54:D54"/>
    <mergeCell ref="E54:G54"/>
    <mergeCell ref="F62:G62"/>
    <mergeCell ref="B64:D64"/>
    <mergeCell ref="E64:G64"/>
    <mergeCell ref="B65:D65"/>
    <mergeCell ref="E65:G65"/>
    <mergeCell ref="E59:G59"/>
    <mergeCell ref="B60:D60"/>
    <mergeCell ref="E60:G60"/>
    <mergeCell ref="E49:G49"/>
    <mergeCell ref="B50:D50"/>
    <mergeCell ref="E50:G50"/>
    <mergeCell ref="F52:G52"/>
    <mergeCell ref="B6:G6"/>
    <mergeCell ref="B90:D90"/>
    <mergeCell ref="E90:G90"/>
    <mergeCell ref="B91:D91"/>
    <mergeCell ref="E91:G91"/>
    <mergeCell ref="B88:D88"/>
    <mergeCell ref="E88:G88"/>
    <mergeCell ref="B89:D89"/>
    <mergeCell ref="E89:G89"/>
    <mergeCell ref="B84:D84"/>
    <mergeCell ref="E75:G75"/>
    <mergeCell ref="F77:G77"/>
    <mergeCell ref="B79:D79"/>
    <mergeCell ref="E79:G79"/>
    <mergeCell ref="B80:D80"/>
    <mergeCell ref="E80:G80"/>
    <mergeCell ref="E13:G13"/>
    <mergeCell ref="B93:D93"/>
    <mergeCell ref="E93:G93"/>
    <mergeCell ref="B95:D95"/>
    <mergeCell ref="E95:G95"/>
    <mergeCell ref="E69:G69"/>
    <mergeCell ref="B70:D70"/>
    <mergeCell ref="E70:G70"/>
    <mergeCell ref="F72:G72"/>
    <mergeCell ref="B74:D74"/>
    <mergeCell ref="E74:G74"/>
    <mergeCell ref="B75:D75"/>
    <mergeCell ref="F67:G67"/>
    <mergeCell ref="E45:G45"/>
    <mergeCell ref="F47:G47"/>
    <mergeCell ref="B59:D59"/>
  </mergeCells>
  <pageMargins left="0.7" right="0.7" top="0.75" bottom="0.75" header="0.3" footer="0.3"/>
  <pageSetup scale="87" fitToHeight="0" orientation="landscape" r:id="rId1"/>
  <headerFooter>
    <oddHeader>&amp;LPARTNERS of the AMERICAS&amp;C2012 Review &amp; 2013 Preview
&amp;R2012 Goals &amp; Performance Evaluation</oddHeader>
    <oddFooter>&amp;L&amp;D &amp;T&amp;RPage &amp;P of &amp;N</oddFooter>
  </headerFooter>
  <rowBreaks count="2" manualBreakCount="2">
    <brk id="40" max="16383" man="1"/>
    <brk id="82" max="16383"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Sheet2!$A$1:$A$12</xm:f>
          </x14:formula1>
          <xm:sqref>F18:G18 F25:G25 F32:G32 F57:G57 F52:G52 F47:G47 F62:G62 F67:G67 F72:G72 F77:G77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activeCell="E8" sqref="E8"/>
    </sheetView>
  </sheetViews>
  <sheetFormatPr defaultRowHeight="15"/>
  <cols>
    <col min="1" max="2" width="22.7109375" bestFit="1" customWidth="1"/>
    <col min="3" max="3" width="4" bestFit="1" customWidth="1"/>
  </cols>
  <sheetData>
    <row r="1" spans="1:3">
      <c r="A1" t="s">
        <v>11</v>
      </c>
      <c r="B1" t="s">
        <v>47</v>
      </c>
      <c r="C1">
        <v>9.9999999999999995E-7</v>
      </c>
    </row>
    <row r="2" spans="1:3">
      <c r="A2" t="s">
        <v>48</v>
      </c>
      <c r="B2" t="s">
        <v>49</v>
      </c>
      <c r="C2">
        <v>1</v>
      </c>
    </row>
    <row r="3" spans="1:3">
      <c r="A3" t="s">
        <v>50</v>
      </c>
      <c r="B3" t="s">
        <v>51</v>
      </c>
      <c r="C3">
        <v>1.5</v>
      </c>
    </row>
    <row r="4" spans="1:3">
      <c r="A4" t="s">
        <v>52</v>
      </c>
      <c r="B4" t="s">
        <v>53</v>
      </c>
      <c r="C4">
        <v>2</v>
      </c>
    </row>
    <row r="5" spans="1:3">
      <c r="A5" t="s">
        <v>54</v>
      </c>
      <c r="B5" t="s">
        <v>55</v>
      </c>
      <c r="C5">
        <v>2.5</v>
      </c>
    </row>
    <row r="6" spans="1:3">
      <c r="A6" t="s">
        <v>56</v>
      </c>
      <c r="B6" t="s">
        <v>56</v>
      </c>
      <c r="C6">
        <v>3</v>
      </c>
    </row>
    <row r="7" spans="1:3">
      <c r="A7" t="s">
        <v>55</v>
      </c>
      <c r="B7" t="s">
        <v>54</v>
      </c>
      <c r="C7">
        <v>3.5</v>
      </c>
    </row>
    <row r="8" spans="1:3">
      <c r="A8" t="s">
        <v>53</v>
      </c>
      <c r="B8" t="s">
        <v>52</v>
      </c>
      <c r="C8">
        <v>4</v>
      </c>
    </row>
    <row r="9" spans="1:3">
      <c r="A9" t="s">
        <v>51</v>
      </c>
      <c r="B9" t="s">
        <v>50</v>
      </c>
      <c r="C9">
        <v>4.5</v>
      </c>
    </row>
    <row r="10" spans="1:3">
      <c r="A10" t="s">
        <v>49</v>
      </c>
      <c r="B10" t="s">
        <v>48</v>
      </c>
      <c r="C10">
        <v>5</v>
      </c>
    </row>
    <row r="11" spans="1:3">
      <c r="A11" t="s">
        <v>47</v>
      </c>
      <c r="B11" t="s">
        <v>11</v>
      </c>
      <c r="C11">
        <v>9.9999999999999995E-7</v>
      </c>
    </row>
    <row r="12" spans="1:3">
      <c r="A12" t="s">
        <v>57</v>
      </c>
      <c r="B12" t="s">
        <v>57</v>
      </c>
      <c r="C12" t="s">
        <v>58</v>
      </c>
    </row>
  </sheetData>
  <sortState xmlns:xlrd2="http://schemas.microsoft.com/office/spreadsheetml/2017/richdata2"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7CD2CB-F2CC-41CE-ACB9-A28FBD306563}"/>
</file>

<file path=customXml/itemProps2.xml><?xml version="1.0" encoding="utf-8"?>
<ds:datastoreItem xmlns:ds="http://schemas.openxmlformats.org/officeDocument/2006/customXml" ds:itemID="{2C2E35B4-1389-42AE-8551-3BCB08F60EC3}"/>
</file>

<file path=customXml/itemProps3.xml><?xml version="1.0" encoding="utf-8"?>
<ds:datastoreItem xmlns:ds="http://schemas.openxmlformats.org/officeDocument/2006/customXml" ds:itemID="{6091D0CD-C34F-4986-95D3-088A55929511}"/>
</file>

<file path=docProps/app.xml><?xml version="1.0" encoding="utf-8"?>
<Properties xmlns="http://schemas.openxmlformats.org/officeDocument/2006/extended-properties" xmlns:vt="http://schemas.openxmlformats.org/officeDocument/2006/docPropsVTypes">
  <Application>Microsoft Excel Online</Application>
  <Manager/>
  <Company>Partners of the Americas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Jamie M. Trimarchi</dc:creator>
  <cp:keywords/>
  <dc:description/>
  <cp:lastModifiedBy>Luis Alfredo Portilla Montero</cp:lastModifiedBy>
  <cp:revision/>
  <dcterms:created xsi:type="dcterms:W3CDTF">2012-12-10T15:40:14Z</dcterms:created>
  <dcterms:modified xsi:type="dcterms:W3CDTF">2024-02-14T15:44:49Z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513600</vt:r8>
  </property>
  <property fmtid="{D5CDD505-2E9C-101B-9397-08002B2CF9AE}" pid="4" name="MediaServiceImageTags">
    <vt:lpwstr/>
  </property>
</Properties>
</file>