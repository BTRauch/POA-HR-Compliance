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charts/chart1.xml" ContentType="application/vnd.openxmlformats-officedocument.drawingml.chart+xml"/>
  <Override PartName="/xl/worksheets/sheet1.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40" windowWidth="25440" windowHeight="12465" activeTab="1"/>
  </bookViews>
  <sheets>
    <sheet name="Summary" sheetId="4" r:id="rId1"/>
    <sheet name="Section A- Goals Review" sheetId="1" r:id="rId2"/>
    <sheet name="Section B-Perf. Expectations" sheetId="3" r:id="rId3"/>
  </sheets>
  <externalReferences>
    <externalReference r:id="rId4"/>
  </externalReferences>
  <definedNames>
    <definedName name="Descriptions" localSheetId="2">#REF!</definedName>
    <definedName name="Descriptions" localSheetId="0">#REF!</definedName>
    <definedName name="Descriptions">#REF!</definedName>
    <definedName name="_xlnm.Print_Area" localSheetId="1">'Section A- Goals Review'!$A$1:$E$11</definedName>
    <definedName name="_xlnm.Print_Area" localSheetId="2">'Section B-Perf. Expectations'!$A$7:$N$57</definedName>
    <definedName name="_xlnm.Print_Area" localSheetId="0">Summary!$A$2:$N$33</definedName>
    <definedName name="Ratings" localSheetId="2">#REF!</definedName>
    <definedName name="Ratings" localSheetId="0">#REF!</definedName>
    <definedName name="Ratings">#REF!</definedName>
  </definedNames>
  <calcPr calcId="145621"/>
</workbook>
</file>

<file path=xl/calcChain.xml><?xml version="1.0" encoding="utf-8"?>
<calcChain xmlns="http://schemas.openxmlformats.org/spreadsheetml/2006/main">
  <c r="M51" i="3" l="1"/>
  <c r="M48" i="3" l="1"/>
  <c r="E10" i="1" l="1"/>
</calcChain>
</file>

<file path=xl/sharedStrings.xml><?xml version="1.0" encoding="utf-8"?>
<sst xmlns="http://schemas.openxmlformats.org/spreadsheetml/2006/main" count="65" uniqueCount="53">
  <si>
    <t>Communications</t>
  </si>
  <si>
    <t>Actual Performance to Date:</t>
  </si>
  <si>
    <t>Department Total</t>
  </si>
  <si>
    <t xml:space="preserve">
Summary</t>
  </si>
  <si>
    <t>Rating Definitions</t>
  </si>
  <si>
    <r>
      <t xml:space="preserve">Exemplary: </t>
    </r>
    <r>
      <rPr>
        <sz val="10"/>
        <rFont val="Verdana"/>
        <family val="2"/>
      </rPr>
      <t>Consistently achieves at a high level. Exceeds expectations.</t>
    </r>
  </si>
  <si>
    <r>
      <t xml:space="preserve">Solid: </t>
    </r>
    <r>
      <rPr>
        <sz val="10"/>
        <rFont val="Verdana"/>
        <family val="2"/>
      </rPr>
      <t>Consistently achieves above the satisfactory level. Meets all expectations</t>
    </r>
  </si>
  <si>
    <r>
      <t xml:space="preserve">Satisfactory: </t>
    </r>
    <r>
      <rPr>
        <sz val="10"/>
        <rFont val="Verdana"/>
        <family val="2"/>
      </rPr>
      <t>Accomplishes tasks in a satisfactory manner. Meets most expectations.</t>
    </r>
  </si>
  <si>
    <r>
      <rPr>
        <b/>
        <sz val="10"/>
        <rFont val="Verdana"/>
        <family val="2"/>
      </rPr>
      <t xml:space="preserve">Needs Improvement: </t>
    </r>
    <r>
      <rPr>
        <sz val="10"/>
        <rFont val="Verdana"/>
        <family val="2"/>
      </rPr>
      <t xml:space="preserve">Improvement is necesssary to more consistently meet expectations. </t>
    </r>
  </si>
  <si>
    <r>
      <rPr>
        <b/>
        <sz val="10"/>
        <rFont val="Verdana"/>
        <family val="2"/>
      </rPr>
      <t xml:space="preserve">Seriously Deficient: </t>
    </r>
    <r>
      <rPr>
        <sz val="10"/>
        <rFont val="Verdana"/>
        <family val="2"/>
      </rPr>
      <t>Problems with approach or execution. Expectations are generally not met.</t>
    </r>
  </si>
  <si>
    <t>Major Corrective Actions</t>
  </si>
  <si>
    <r>
      <t xml:space="preserve">Goal 2 - Strengthen Network of Volunteers, Programs &amp; Projects
Communicate effectively around Partners’ 50th Anniversary
</t>
    </r>
    <r>
      <rPr>
        <sz val="12"/>
        <rFont val="Verdana"/>
        <family val="2"/>
      </rPr>
      <t xml:space="preserve">• Implement 50th Comm Campaign and storyboard idea
• Complete official 50th publication “The Power of Partnerships” by the time of the 50th Anniversary
• Improve understanding in the Partners Network of what the essence of Partners really is through storytelling (measured by storyboard submissions from at least ½ of chapters), better information sharing (measured by bounce rate staying under 3% and open rate above 20%), and a commitment to providing comm resources to chapters (measured by comm providing templates for membership and fundraising).  </t>
    </r>
    <r>
      <rPr>
        <b/>
        <sz val="12"/>
        <rFont val="Verdana"/>
        <family val="2"/>
      </rPr>
      <t xml:space="preserve">
</t>
    </r>
  </si>
  <si>
    <r>
      <rPr>
        <b/>
        <sz val="12"/>
        <rFont val="Verdana"/>
        <family val="2"/>
      </rPr>
      <t>Goal 3 - Well-Governed, Accountable &amp; Transparent Organization</t>
    </r>
    <r>
      <rPr>
        <sz val="12"/>
        <rFont val="Verdana"/>
        <family val="2"/>
      </rPr>
      <t xml:space="preserve">
Develop 2013 Annual Report
• Report complies with BBB standards for annual reports
</t>
    </r>
  </si>
  <si>
    <r>
      <t xml:space="preserve">Goal 1 - Build a Financially Stable Organization                                                                                                                                                                                         </t>
    </r>
    <r>
      <rPr>
        <sz val="12"/>
        <rFont val="Verdana"/>
        <family val="2"/>
      </rPr>
      <t>Build a Stronger and Better-Known Partners by working with Kosovo-Addis 
• Develop overarching communications strategy for Partners
• Develop and begin implementation of “big concept” campaign and run one other fundraising campaign in 2014
• Achieve goal of $45,000 in unrestricted income through above campaigns and other activities</t>
    </r>
    <r>
      <rPr>
        <b/>
        <sz val="12"/>
        <rFont val="Verdana"/>
        <family val="2"/>
      </rPr>
      <t xml:space="preserve">
</t>
    </r>
  </si>
  <si>
    <t xml:space="preserve">This activity is on schedule to be completed as planned.  Partners has developed a theme and production schedule and engaged staff in the writing process.  Additionally, Partners plans to produce a special e-supplement in celebration of the 50th Anniversary.  </t>
  </si>
  <si>
    <t xml:space="preserve">The building of a new website for the 100KStrong initiative set the timeline for work on Partners' own website back a few months, but the upgrades described in these annual goals are still possible by year end.  In order to make donation processing easier, Partners has completed the transition to a new payment processor.  So far, this payment processor has met with our expectations and gone a long way to remediating the issues that we were facing previously with accepting payments online.  On top of the processor change, Partners has also moved key online forms off of the ESX platform and over to BSD, our new email management platform.  </t>
  </si>
  <si>
    <t xml:space="preserve">Although it was not anticipated at the time that these goals were written, one of the key ways in which Comm has worked with Kosovo-Addis (KA) to ensure Financial Sustainability has been through our involvement with the 100,000 Strong (100k) program.  In February, the White House began to get much more involved in the 100k program, and they expected a high level of communications support, including the development of a new website for the initiative on a very compressed timeline.  Without KA's support, it would have been impossible to live up to the expectations of the White House.  At the same time as KA worked with Partners to satisfy the burgeoning demands of the WH and State Department for Communications services around 100KStrong, we began the development of our first unrestricted campaign for the year, called "Soccer Saved My Life".  We decided on this approach after a long series of meetings to decide on a "big concept idea" failed to arrive at a concensus in terms of the approach that we should take.  This first campaign, which began in March, concludes following the World Cup.  This campaign has illuminated various obstacles that Partners still has to overcome before we will be more effective at unrestricted fundraising.  Due to a budgeting error resulting from the fact that the calendar year basis used in the KA proposal is different than Partners' fiscal year basis, our unrestricted goal for the year was revised to $45k.  It will be a challenge to meet this goal this year, despite the revised total.                                                                                                                                                                                              Through Comm's work with KA around 100KStrong, we completed some strategic concepts which will directly play into an overall comm strategy for the organization.  On top of this, with KA, Comm advanced a planned giving strategy.  Finally, Comm secured the Guidestar certification to lend additional credibility to our overall online fundraising presence.  </t>
  </si>
  <si>
    <t xml:space="preserve">Comm worked closely with the P&amp;P team to produce messages to the network.  Additionally, we designed promotional materials (pins, t-shirts) and managed the development of the 50th video.  We also promoted the 50th on the website and social media.
For the "Storyboard": Comm shot 19 video interviews for dissemination to the network through the blog and social media.   
Oral History Project - Comm planned a total of more than 50 interviews for Dr. Dave Corcoran so that he had the raw material to produce a draft of the "Power of Partnerships" book.  The first draft of this book has been received and is undergoing edits; publication by the time of the 50th Anniversary will be tight but is still very much possible.  </t>
  </si>
  <si>
    <r>
      <t xml:space="preserve">                                                                                                                   </t>
    </r>
    <r>
      <rPr>
        <b/>
        <sz val="12"/>
        <color theme="1"/>
        <rFont val="Calibri"/>
        <family val="2"/>
        <scheme val="minor"/>
      </rPr>
      <t>Rating Definitions (This portion will not print).</t>
    </r>
    <r>
      <rPr>
        <b/>
        <sz val="11"/>
        <color theme="1"/>
        <rFont val="Calibri"/>
        <family val="2"/>
        <scheme val="minor"/>
      </rPr>
      <t xml:space="preserve">
5.0 Exemplary  Consistently achieves at a high level. Exceeds expectations.
4.0 – 4.5 Solid Performance Consistently achieves above the satisfactory level. Meets all expectations. 
3.0 – 3.5 Satisfactory  Accomplishes the task in a satisfactory manner.  Meets most expectations.
1.5 – 2.5 Needs Improvement Improvement is necessary to more consistently meet expectations.
0.0 – 1.0 Seriously Deficient Problems with approach or execution.  Expectations are generally not met.
</t>
    </r>
  </si>
  <si>
    <t>B. Performance Expectations - 25%</t>
  </si>
  <si>
    <t>Financial Management</t>
  </si>
  <si>
    <t>Comments</t>
  </si>
  <si>
    <t>• Manages funds and resources responsibly and judiciously within area of responsibility.  
• Works proactively to improve program/unit financial oversight and sustainability.</t>
  </si>
  <si>
    <t>Rating:</t>
  </si>
  <si>
    <t>Time Management</t>
  </si>
  <si>
    <t>• Prioritizes effectively according to program/unit goals, based on outside feedback and own judgment. 
• Consistently meets deadlines and program/unit goals with quality and accuracy.</t>
  </si>
  <si>
    <t>Internal &amp; External Communication</t>
  </si>
  <si>
    <t>• Responds promptly and accurately to requests.
• Communicates program/unit activities and accomplishments appropriately.</t>
  </si>
  <si>
    <t>Problem Solving</t>
  </si>
  <si>
    <t>• Responds to unexpected demands and problems with resilience and resourcefulness. 
• Works proactively to improve program/unit functions and efficiency.</t>
  </si>
  <si>
    <t>Accountability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</si>
  <si>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</si>
  <si>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</si>
  <si>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</si>
  <si>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t>Supervisory Functions</t>
  </si>
  <si>
    <t>• Provides leadership to staff and organization. Manages conflict successfully. 
• Sets clear expectations, gives effective feedback and provides strong oversight.
• Follows and enforces policies and procedures.</t>
  </si>
  <si>
    <r>
      <t>Section B- Supervisor Comments (</t>
    </r>
    <r>
      <rPr>
        <i/>
        <sz val="11"/>
        <color theme="1"/>
        <rFont val="Calibri"/>
        <family val="2"/>
        <scheme val="minor"/>
      </rPr>
      <t>optional</t>
    </r>
    <r>
      <rPr>
        <b/>
        <sz val="11"/>
        <color theme="1"/>
        <rFont val="Calibri"/>
        <family val="2"/>
        <scheme val="minor"/>
      </rPr>
      <t>):</t>
    </r>
  </si>
  <si>
    <r>
      <t>Section B- Employee Comments (</t>
    </r>
    <r>
      <rPr>
        <i/>
        <sz val="11"/>
        <color theme="1"/>
        <rFont val="Calibri"/>
        <family val="2"/>
        <scheme val="minor"/>
      </rPr>
      <t>optional</t>
    </r>
    <r>
      <rPr>
        <b/>
        <sz val="11"/>
        <color theme="1"/>
        <rFont val="Calibri"/>
        <family val="2"/>
        <scheme val="minor"/>
      </rPr>
      <t>):</t>
    </r>
  </si>
  <si>
    <t>SECTION B</t>
  </si>
  <si>
    <t>C. OVERALL PERFORMANCE</t>
  </si>
  <si>
    <t>OVERALL SCORE</t>
  </si>
  <si>
    <t>Supervisor Signature                            Date</t>
  </si>
  <si>
    <t>President Signature                                     Date</t>
  </si>
  <si>
    <t>Employee Signature                              Date</t>
  </si>
  <si>
    <t>Vice President Signature ( if applicable)    Date</t>
  </si>
  <si>
    <r>
      <rPr>
        <b/>
        <u/>
        <sz val="11"/>
        <color indexed="8"/>
        <rFont val="Calibri"/>
        <family val="2"/>
      </rPr>
      <t>Corrective Actions in 2014:</t>
    </r>
    <r>
      <rPr>
        <sz val="11"/>
        <color theme="1"/>
        <rFont val="Calibri"/>
        <family val="2"/>
        <scheme val="minor"/>
      </rPr>
      <t xml:space="preserve">
1) Budget &amp; NICRA - Internal restructuring to allow VP of Operations to directly oversee the Program Managers for our largest grants to ensure timely execution of operations and spending. As a result, the Corporation should successfully avoid significant program underspending and lower NICRA to the competitive rate of 25%
2) PartnersConnect &amp; Rechartering - Established Engagement Strategy Working Group to strengthen Chapter Network and improve the overall affiliations strategy.
3) A Ganar now fully staffed and procedures in place to fulfill donor requirements and hit program spending targets
4) Inter-American Development Bank (IDB) reimbursement and audit will recieve additional technical support
</t>
    </r>
    <r>
      <rPr>
        <b/>
        <u/>
        <sz val="11"/>
        <color indexed="8"/>
        <rFont val="Calibri"/>
        <family val="2"/>
      </rPr>
      <t xml:space="preserve">Corrective Actions Outlined for 2015:
</t>
    </r>
    <r>
      <rPr>
        <sz val="11"/>
        <color theme="1"/>
        <rFont val="Calibri"/>
        <family val="2"/>
        <scheme val="minor"/>
      </rPr>
      <t xml:space="preserve">
</t>
    </r>
    <r>
      <rPr>
        <b/>
        <sz val="11"/>
        <color indexed="8"/>
        <rFont val="Calibri"/>
        <family val="2"/>
      </rPr>
      <t/>
    </r>
  </si>
  <si>
    <t xml:space="preserve">Communications 2014 Goals 
Performance Evaluation </t>
  </si>
  <si>
    <t>Pre-filled based on information provided during Mid-Year Performance Evaluation.</t>
  </si>
  <si>
    <t>A. Goals Review - 75%</t>
  </si>
  <si>
    <t>2014 Corporate Performance Evaluation Ratings</t>
  </si>
  <si>
    <r>
      <t xml:space="preserve">Comments:
Regarding Goal 1-Build a Stronger and Better-Known Partners by Working with Kosovo-Addis:    </t>
    </r>
    <r>
      <rPr>
        <sz val="12"/>
        <rFont val="Verdana"/>
        <family val="2"/>
      </rPr>
      <t xml:space="preserve">Partners needs to revisit the impact of the 100KStrong work on the Soccer Saved My Life campaign as a part of the debrief for that activity.  Additionally, for this goal to be successful, Partners will need to choose a "big concept" yet this year.  It is very likely that Partners will need to successfully execute at least one other campaign in 2014 to try to hit our revised goal of raising $45k.             </t>
    </r>
    <r>
      <rPr>
        <b/>
        <sz val="12"/>
        <rFont val="Verdana"/>
        <family val="2"/>
      </rPr>
      <t xml:space="preserve">                                                                                                                                  Regarding Goal 2- Communicate Effectively Around Partners' 50th Anniversary: </t>
    </r>
    <r>
      <rPr>
        <sz val="12"/>
        <rFont val="Verdana"/>
        <family val="2"/>
      </rPr>
      <t xml:space="preserve"> It has been challenging to communicate as planned around the 50th Anniversary becuase the development of agendas, communications materials through Arruda, etc. have all been behind schedule or poorly done.  Comm has spent a fair amount of time correcting materials rather than developing effective communications vehicles to carry them.  </t>
    </r>
    <r>
      <rPr>
        <b/>
        <sz val="12"/>
        <rFont val="Verdana"/>
        <family val="2"/>
      </rPr>
      <t xml:space="preserve"> Regarding Goal 3-Develop Partners' Annual Report:  </t>
    </r>
    <r>
      <rPr>
        <sz val="12"/>
        <rFont val="Verdana"/>
        <family val="2"/>
      </rPr>
      <t xml:space="preserve"> We are very optimistic about the approach that we've taken to the development of the annual report this year and feel that we are on target for an excellent product.                 </t>
    </r>
    <r>
      <rPr>
        <b/>
        <sz val="12"/>
        <rFont val="Verdana"/>
        <family val="2"/>
      </rPr>
      <t xml:space="preserve">                                                                                                                                                                                                                                                         Regarding Goal 4-Upgrade the Partners Website:</t>
    </r>
    <r>
      <rPr>
        <sz val="12"/>
        <rFont val="Verdana"/>
        <family val="2"/>
      </rPr>
      <t xml:space="preserve"> Positioning this project for success will take a combination of strategic internal re-alignment as well as the development of clear timelines and success indicators.  </t>
    </r>
  </si>
  <si>
    <r>
      <rPr>
        <b/>
        <sz val="12"/>
        <rFont val="Verdana"/>
        <family val="2"/>
      </rPr>
      <t>Corrective Action(s):  
For Goal 1:</t>
    </r>
    <r>
      <rPr>
        <sz val="12"/>
        <rFont val="Verdana"/>
        <family val="2"/>
      </rPr>
      <t xml:space="preserve">  Overall financial goal for the year was adjusted to $45; KA given permission to prioritize Comm support of 100KStrong in order to meet requirements of WH and State Department; development of "Soccer Saved My Life Campaign" when "big concept" failed to pan out; development of raffle when other tactics for SSML campaign failed to produce. </t>
    </r>
    <r>
      <rPr>
        <b/>
        <sz val="12"/>
        <rFont val="Verdana"/>
        <family val="2"/>
      </rPr>
      <t>For Goal 2</t>
    </r>
    <r>
      <rPr>
        <sz val="12"/>
        <rFont val="Verdana"/>
        <family val="2"/>
      </rPr>
      <t xml:space="preserve">:   The execution of the "storyboard" tactic has largely transfered over to being a blog strategy, not a messaging strategy.  This has helped to grow the blog traffic and is easier from a management standpoint to implement.  </t>
    </r>
    <r>
      <rPr>
        <b/>
        <sz val="12"/>
        <rFont val="Verdana"/>
        <family val="2"/>
      </rPr>
      <t xml:space="preserve">For Goal 3:  </t>
    </r>
    <r>
      <rPr>
        <sz val="12"/>
        <rFont val="Verdana"/>
        <family val="2"/>
      </rPr>
      <t xml:space="preserve">Hired external writer (Garfinkel &amp; Associates) to manage the writing process to ease workload for staff </t>
    </r>
    <r>
      <rPr>
        <b/>
        <sz val="12"/>
        <rFont val="Verdana"/>
        <family val="2"/>
      </rPr>
      <t xml:space="preserve">For Goal 4: </t>
    </r>
    <r>
      <rPr>
        <sz val="12"/>
        <rFont val="Verdana"/>
        <family val="2"/>
      </rPr>
      <t xml:space="preserve"> Partners contracted with consultant Sterlicia Rodney in part to straighten out financial issues that resulted from a variety of fraudulent transactions and misclassifications of online payment activities and developed new systems to ensure that these problems do not replicate themselves this year.                                                                                                                               </t>
    </r>
    <r>
      <rPr>
        <b/>
        <sz val="10"/>
        <rFont val="Calibri"/>
        <family val="2"/>
      </rPr>
      <t xml:space="preserve">
</t>
    </r>
  </si>
  <si>
    <r>
      <t xml:space="preserve">Goal 4 - Evaluate and Communicate Our Impact and Value
</t>
    </r>
    <r>
      <rPr>
        <sz val="12"/>
        <rFont val="Verdana"/>
        <family val="2"/>
      </rPr>
      <t xml:space="preserve">Upgrade the Partners’ website
• Partners website is interactive and successfully makes the case for why Partners is relevant and vital at its 50th Anniversary
• Donations are easier to make and payments are easier to process
• Website is viewed as more user friendly by chapters and other stakeholders
• All of the above assessed via pre and post surveys </t>
    </r>
    <r>
      <rPr>
        <b/>
        <sz val="12"/>
        <rFont val="Verdana"/>
        <family val="2"/>
      </rPr>
      <t xml:space="preserve">
</t>
    </r>
    <r>
      <rPr>
        <sz val="12"/>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</si>
</sst>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fonts count="34" x14ac:knownFonts="1">
    <font>
      <sz val="11"/>
      <color theme="1"/>
      <name val="Calibri"/>
      <family val="2"/>
      <scheme val="minor"/>
    </font>
    <font>
      <sz val="11"/>
      <color theme="1"/>
      <name val="Calibri"/>
      <family val="2"/>
      <scheme val="minor"/>
    </font>
    <font>
      <b/>
      <sz val="15"/>
      <color theme="3"/>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28"/>
      <color theme="2" tint="-0.749992370372631"/>
      <name val="Cambria"/>
      <family val="1"/>
      <scheme val="major"/>
    </font>
    <font>
      <sz val="11"/>
      <name val="Calibri"/>
      <family val="2"/>
      <scheme val="minor"/>
    </font>
    <font>
      <sz val="14"/>
      <name val="Cambria"/>
      <family val="1"/>
      <scheme val="major"/>
    </font>
    <font>
      <b/>
      <sz val="14"/>
      <color theme="0"/>
      <name val="Cambria"/>
      <family val="1"/>
      <scheme val="major"/>
    </font>
    <font>
      <b/>
      <sz val="14"/>
      <name val="Cambria"/>
      <family val="1"/>
      <scheme val="major"/>
    </font>
    <font>
      <sz val="12"/>
      <name val="Verdana"/>
      <family val="2"/>
    </font>
    <font>
      <b/>
      <sz val="12"/>
      <name val="Verdana"/>
      <family val="2"/>
    </font>
    <font>
      <sz val="12"/>
      <color theme="1"/>
      <name val="Verdana"/>
      <family val="2"/>
    </font>
    <font>
      <b/>
      <sz val="10"/>
      <name val="Calibri"/>
      <family val="2"/>
    </font>
    <font>
      <b/>
      <sz val="10"/>
      <name val="Calibri"/>
      <family val="2"/>
      <scheme val="minor"/>
    </font>
    <font>
      <b/>
      <sz val="12"/>
      <name val="Calibri"/>
      <family val="2"/>
      <scheme val="minor"/>
    </font>
    <font>
      <sz val="12"/>
      <name val="Calibri"/>
      <family val="2"/>
      <scheme val="minor"/>
    </font>
    <font>
      <b/>
      <sz val="22"/>
      <color theme="1"/>
      <name val="Cambria"/>
      <family val="1"/>
      <scheme val="major"/>
    </font>
    <font>
      <b/>
      <sz val="20"/>
      <color theme="1"/>
      <name val="Cambria"/>
      <family val="1"/>
      <scheme val="major"/>
    </font>
    <font>
      <b/>
      <sz val="12"/>
      <color theme="0"/>
      <name val="Cambria"/>
      <family val="1"/>
      <scheme val="major"/>
    </font>
    <font>
      <b/>
      <sz val="10"/>
      <name val="Verdana"/>
      <family val="2"/>
    </font>
    <font>
      <sz val="10"/>
      <name val="Verdana"/>
      <family val="2"/>
    </font>
    <font>
      <b/>
      <sz val="12"/>
      <color theme="0"/>
      <name val="Times New Roman"/>
      <family val="1"/>
    </font>
    <font>
      <b/>
      <u/>
      <sz val="11"/>
      <color indexed="8"/>
      <name val="Calibri"/>
      <family val="2"/>
    </font>
    <font>
      <b/>
      <sz val="11"/>
      <color indexed="8"/>
      <name val="Calibri"/>
      <family val="2"/>
    </font>
    <font>
      <b/>
      <sz val="11"/>
      <color theme="0"/>
      <name val="Calibri"/>
      <family val="2"/>
      <scheme val="minor"/>
    </font>
    <font>
      <b/>
      <sz val="12"/>
      <color theme="1"/>
      <name val="Calibri"/>
      <family val="2"/>
      <scheme val="minor"/>
    </font>
    <font>
      <b/>
      <sz val="14"/>
      <color theme="0"/>
      <name val="Calibri"/>
      <family val="2"/>
      <scheme val="minor"/>
    </font>
    <font>
      <sz val="10"/>
      <color theme="1"/>
      <name val="Calibri"/>
      <family val="2"/>
      <scheme val="minor"/>
    </font>
    <font>
      <i/>
      <sz val="11"/>
      <color theme="1"/>
      <name val="Calibri"/>
      <family val="2"/>
      <scheme val="minor"/>
    </font>
    <font>
      <b/>
      <sz val="12"/>
      <color theme="0"/>
      <name val="Calibri"/>
      <family val="2"/>
      <scheme val="minor"/>
    </font>
    <font>
      <b/>
      <sz val="14"/>
      <name val="Calibri"/>
      <family val="2"/>
      <scheme val="minor"/>
    </font>
  </fonts>
  <fills count="18">
    <fill>
      <patternFill patternType="none"/>
    </fill>
    <fill>
      <patternFill patternType="gray125"/>
    </fill>
    <fill>
      <patternFill patternType="solid">
        <fgColor rgb="FFF47914"/>
        <bgColor indexed="64"/>
      </patternFill>
    </fill>
    <fill>
      <patternFill patternType="solid">
        <fgColor theme="0" tint="-4.9989318521683403E-2"/>
        <bgColor indexed="64"/>
      </patternFill>
    </fill>
    <fill>
      <patternFill patternType="solid">
        <fgColor rgb="FFFEF6F4"/>
        <bgColor indexed="64"/>
      </patternFill>
    </fill>
    <fill>
      <patternFill patternType="solid">
        <fgColor rgb="FFF57B17"/>
        <bgColor indexed="64"/>
      </patternFill>
    </fill>
    <fill>
      <patternFill patternType="solid">
        <fgColor rgb="FFFFFFFF"/>
        <bgColor indexed="64"/>
      </patternFill>
    </fill>
    <fill>
      <patternFill patternType="solid">
        <fgColor theme="4"/>
      </patternFill>
    </fill>
    <fill>
      <patternFill patternType="solid">
        <fgColor theme="5"/>
      </patternFill>
    </fill>
    <fill>
      <patternFill patternType="solid">
        <fgColor theme="8"/>
      </patternFill>
    </fill>
    <fill>
      <patternFill patternType="solid">
        <fgColor theme="2" tint="-0.749992370372631"/>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rgb="FF00589A"/>
        <bgColor indexed="64"/>
      </patternFill>
    </fill>
    <fill>
      <patternFill patternType="solid">
        <fgColor theme="2" tint="-0.249977111117893"/>
        <bgColor indexed="64"/>
      </patternFill>
    </fill>
    <fill>
      <patternFill patternType="solid">
        <fgColor theme="2" tint="-0.749961851863155"/>
        <bgColor indexed="64"/>
      </patternFill>
    </fill>
    <fill>
      <patternFill patternType="solid">
        <fgColor rgb="FFDF4B2D"/>
        <bgColor indexed="64"/>
      </patternFill>
    </fill>
    <fill>
      <patternFill patternType="solid">
        <fgColor theme="2"/>
        <bgColor indexed="64"/>
      </patternFill>
    </fill>
  </fills>
  <borders count="31">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2" fillId="0" borderId="1" applyNumberFormat="0" applyFill="0" applyAlignment="0" applyProtection="0"/>
    <xf numFmtId="0" fontId="1" fillId="4" borderId="2"/>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cellStyleXfs>
  <cellXfs count="104">
    <xf numFmtId="0" fontId="0" fillId="0" borderId="0" xfId="0"/>
    <xf numFmtId="0" fontId="6" fillId="0" borderId="0" xfId="0" applyFont="1" applyFill="1" applyBorder="1" applyAlignment="1" applyProtection="1">
      <alignment wrapText="1"/>
    </xf>
    <xf numFmtId="0" fontId="7" fillId="0" borderId="0" xfId="0" applyFont="1" applyFill="1" applyBorder="1" applyAlignment="1" applyProtection="1">
      <alignment horizontal="center" vertical="center" wrapText="1"/>
    </xf>
    <xf numFmtId="0" fontId="8" fillId="0" borderId="0" xfId="0" applyFont="1" applyAlignment="1" applyProtection="1">
      <alignment wrapText="1"/>
    </xf>
    <xf numFmtId="0" fontId="0" fillId="0" borderId="0" xfId="0" applyAlignment="1">
      <alignment wrapText="1"/>
    </xf>
    <xf numFmtId="0" fontId="9" fillId="2" borderId="0" xfId="0" applyFont="1" applyFill="1" applyBorder="1" applyAlignment="1" applyProtection="1">
      <alignment wrapText="1"/>
    </xf>
    <xf numFmtId="0" fontId="10" fillId="2" borderId="0" xfId="1" applyFont="1" applyFill="1" applyBorder="1" applyAlignment="1" applyProtection="1">
      <alignment vertical="center" wrapText="1"/>
    </xf>
    <xf numFmtId="0" fontId="11" fillId="2" borderId="0" xfId="1" applyFont="1" applyFill="1" applyBorder="1" applyAlignment="1" applyProtection="1">
      <alignment vertical="top" wrapText="1"/>
    </xf>
    <xf numFmtId="0" fontId="9" fillId="0" borderId="0" xfId="0" applyFont="1" applyFill="1" applyBorder="1" applyAlignment="1" applyProtection="1">
      <alignment wrapText="1"/>
    </xf>
    <xf numFmtId="0" fontId="0" fillId="2" borderId="0" xfId="0" applyFont="1" applyFill="1" applyAlignment="1">
      <alignment wrapText="1"/>
    </xf>
    <xf numFmtId="0" fontId="12" fillId="0" borderId="3" xfId="0" applyFont="1" applyFill="1" applyBorder="1" applyAlignment="1" applyProtection="1">
      <alignment horizontal="left" vertical="center" wrapText="1" indent="1"/>
    </xf>
    <xf numFmtId="2" fontId="13" fillId="0" borderId="4" xfId="0" applyNumberFormat="1" applyFont="1" applyFill="1" applyBorder="1" applyAlignment="1" applyProtection="1">
      <alignment horizontal="center" vertical="center" wrapText="1"/>
    </xf>
    <xf numFmtId="0" fontId="6" fillId="2" borderId="0" xfId="0" applyFont="1" applyFill="1" applyBorder="1" applyAlignment="1" applyProtection="1">
      <alignment wrapText="1"/>
    </xf>
    <xf numFmtId="0" fontId="13" fillId="0" borderId="3" xfId="0" applyFont="1" applyFill="1" applyBorder="1" applyAlignment="1" applyProtection="1">
      <alignment horizontal="left" vertical="center" wrapText="1" indent="1"/>
    </xf>
    <xf numFmtId="2" fontId="13" fillId="0" borderId="5" xfId="0" applyNumberFormat="1" applyFont="1" applyFill="1" applyBorder="1" applyAlignment="1" applyProtection="1">
      <alignment horizontal="center" vertical="center" wrapText="1"/>
    </xf>
    <xf numFmtId="0" fontId="13" fillId="0" borderId="6" xfId="0" applyFont="1" applyFill="1" applyBorder="1" applyAlignment="1" applyProtection="1">
      <alignment horizontal="left" vertical="center" wrapText="1" indent="1"/>
    </xf>
    <xf numFmtId="0" fontId="12" fillId="0" borderId="7" xfId="0" applyFont="1" applyFill="1" applyBorder="1" applyAlignment="1" applyProtection="1">
      <alignment horizontal="left" vertical="center" wrapText="1" indent="1"/>
    </xf>
    <xf numFmtId="2" fontId="13" fillId="0" borderId="8" xfId="0" applyNumberFormat="1" applyFont="1" applyFill="1" applyBorder="1" applyAlignment="1" applyProtection="1">
      <alignment horizontal="center" vertical="center" wrapText="1"/>
    </xf>
    <xf numFmtId="0" fontId="15" fillId="3" borderId="9" xfId="0" applyFont="1" applyFill="1" applyBorder="1" applyAlignment="1" applyProtection="1">
      <alignment vertical="top" wrapText="1"/>
    </xf>
    <xf numFmtId="0" fontId="12" fillId="0" borderId="0" xfId="0" applyFont="1" applyFill="1" applyBorder="1" applyAlignment="1" applyProtection="1">
      <alignment wrapText="1"/>
    </xf>
    <xf numFmtId="0" fontId="13" fillId="0" borderId="0" xfId="0" applyFont="1" applyFill="1" applyBorder="1" applyAlignment="1" applyProtection="1">
      <alignment horizontal="right" vertical="center" wrapText="1" indent="1"/>
    </xf>
    <xf numFmtId="2" fontId="13" fillId="0" borderId="12" xfId="0" applyNumberFormat="1" applyFont="1" applyFill="1" applyBorder="1" applyAlignment="1" applyProtection="1">
      <alignment horizontal="center" vertical="center" wrapText="1"/>
    </xf>
    <xf numFmtId="0" fontId="16" fillId="0" borderId="0" xfId="0" applyFont="1" applyFill="1" applyBorder="1" applyAlignment="1" applyProtection="1">
      <alignment horizontal="right" vertical="center" wrapText="1" indent="1"/>
    </xf>
    <xf numFmtId="2" fontId="17" fillId="0" borderId="0" xfId="0" applyNumberFormat="1" applyFont="1" applyFill="1" applyBorder="1" applyAlignment="1" applyProtection="1">
      <alignment horizontal="center" vertical="center" wrapText="1"/>
    </xf>
    <xf numFmtId="2" fontId="18" fillId="0" borderId="0" xfId="0" applyNumberFormat="1" applyFont="1" applyFill="1" applyBorder="1" applyAlignment="1" applyProtection="1">
      <alignment horizontal="center" vertical="center" wrapText="1"/>
    </xf>
    <xf numFmtId="0" fontId="6" fillId="0" borderId="0" xfId="0" applyFont="1" applyFill="1" applyBorder="1" applyAlignment="1" applyProtection="1">
      <alignment horizontal="left" vertical="top" wrapText="1"/>
    </xf>
    <xf numFmtId="0" fontId="19" fillId="0" borderId="0" xfId="0" applyFont="1" applyAlignment="1">
      <alignment vertical="top" wrapText="1"/>
    </xf>
    <xf numFmtId="0" fontId="3" fillId="0" borderId="0" xfId="0" applyFont="1" applyFill="1"/>
    <xf numFmtId="0" fontId="0" fillId="5" borderId="0" xfId="0" applyFont="1" applyFill="1" applyAlignment="1">
      <alignment wrapText="1"/>
    </xf>
    <xf numFmtId="0" fontId="21" fillId="5" borderId="0" xfId="0" applyFont="1" applyFill="1" applyBorder="1" applyAlignment="1" applyProtection="1">
      <alignment vertical="center" wrapText="1"/>
      <protection locked="0"/>
    </xf>
    <xf numFmtId="0" fontId="8" fillId="5" borderId="13" xfId="0" applyFont="1" applyFill="1" applyBorder="1" applyAlignment="1" applyProtection="1">
      <alignment wrapText="1"/>
    </xf>
    <xf numFmtId="0" fontId="5" fillId="5" borderId="0" xfId="0" applyFont="1" applyFill="1"/>
    <xf numFmtId="0" fontId="24" fillId="5" borderId="0" xfId="0" applyFont="1" applyFill="1"/>
    <xf numFmtId="0" fontId="0" fillId="5" borderId="0" xfId="0" applyFill="1"/>
    <xf numFmtId="0" fontId="0" fillId="0" borderId="0" xfId="0" applyFill="1" applyBorder="1" applyAlignment="1">
      <alignment vertical="top"/>
    </xf>
    <xf numFmtId="2" fontId="17" fillId="12" borderId="4" xfId="0" applyNumberFormat="1" applyFont="1" applyFill="1" applyBorder="1" applyAlignment="1" applyProtection="1">
      <alignment horizontal="center" vertical="center" wrapText="1"/>
    </xf>
    <xf numFmtId="0" fontId="4" fillId="0" borderId="0" xfId="0" applyFont="1"/>
    <xf numFmtId="0" fontId="0" fillId="0" borderId="0" xfId="0" applyFill="1" applyBorder="1" applyAlignment="1"/>
    <xf numFmtId="0" fontId="0" fillId="0" borderId="0" xfId="0" applyFill="1" applyBorder="1" applyAlignment="1">
      <alignment horizontal="left" vertical="top" wrapText="1"/>
    </xf>
    <xf numFmtId="0" fontId="32" fillId="15" borderId="0" xfId="0" applyFont="1" applyFill="1" applyBorder="1" applyAlignment="1">
      <alignment horizontal="center" vertical="center" wrapText="1"/>
    </xf>
    <xf numFmtId="0" fontId="0" fillId="0" borderId="0" xfId="0" applyFill="1"/>
    <xf numFmtId="2" fontId="28" fillId="0" borderId="30" xfId="0" applyNumberFormat="1" applyFont="1" applyBorder="1" applyAlignment="1">
      <alignment horizontal="center"/>
    </xf>
    <xf numFmtId="0" fontId="0" fillId="0" borderId="0" xfId="0" applyBorder="1"/>
    <xf numFmtId="0" fontId="32" fillId="16" borderId="27" xfId="3" applyFont="1" applyFill="1" applyBorder="1" applyAlignment="1">
      <alignment horizontal="center" vertical="center"/>
    </xf>
    <xf numFmtId="2" fontId="0" fillId="0" borderId="30" xfId="0" applyNumberFormat="1" applyBorder="1"/>
    <xf numFmtId="0" fontId="12" fillId="0" borderId="3" xfId="0" applyFont="1" applyFill="1" applyBorder="1" applyAlignment="1" applyProtection="1">
      <alignment horizontal="left" vertical="top" wrapText="1" indent="1"/>
    </xf>
    <xf numFmtId="0" fontId="14" fillId="0" borderId="0" xfId="0" applyFont="1" applyAlignment="1">
      <alignment horizontal="left" vertical="top" wrapText="1" indent="1"/>
    </xf>
    <xf numFmtId="0" fontId="23" fillId="6" borderId="14" xfId="0" applyFont="1" applyFill="1" applyBorder="1" applyAlignment="1">
      <alignment horizontal="left" vertical="center" wrapText="1"/>
    </xf>
    <xf numFmtId="0" fontId="23" fillId="6" borderId="15" xfId="0" applyFont="1" applyFill="1" applyBorder="1" applyAlignment="1">
      <alignment horizontal="left" vertical="center" wrapText="1"/>
    </xf>
    <xf numFmtId="2" fontId="23" fillId="0" borderId="14" xfId="0" applyNumberFormat="1" applyFont="1" applyFill="1" applyBorder="1" applyAlignment="1" applyProtection="1">
      <alignment horizontal="center" vertical="center" wrapText="1"/>
    </xf>
    <xf numFmtId="2" fontId="23" fillId="0" borderId="15" xfId="0" applyNumberFormat="1" applyFont="1" applyFill="1" applyBorder="1" applyAlignment="1" applyProtection="1">
      <alignment horizontal="center" vertical="center" wrapText="1"/>
    </xf>
    <xf numFmtId="0" fontId="0" fillId="0" borderId="7" xfId="0" applyBorder="1" applyAlignment="1">
      <alignment horizontal="left" vertical="top" wrapText="1"/>
    </xf>
    <xf numFmtId="0" fontId="0" fillId="0" borderId="6"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0"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0" fillId="0" borderId="20" xfId="0" applyBorder="1" applyAlignment="1">
      <alignment horizontal="left" vertical="top"/>
    </xf>
    <xf numFmtId="0" fontId="22" fillId="6" borderId="14" xfId="0" applyFont="1" applyFill="1" applyBorder="1" applyAlignment="1">
      <alignment horizontal="left" vertical="center" wrapText="1"/>
    </xf>
    <xf numFmtId="0" fontId="22" fillId="6" borderId="15" xfId="0" applyFont="1" applyFill="1" applyBorder="1" applyAlignment="1">
      <alignment horizontal="left" vertical="center" wrapText="1"/>
    </xf>
    <xf numFmtId="2" fontId="23" fillId="0" borderId="14" xfId="0" applyNumberFormat="1" applyFont="1" applyBorder="1" applyAlignment="1" applyProtection="1">
      <alignment horizontal="center" vertical="center" wrapText="1"/>
    </xf>
    <xf numFmtId="2" fontId="23" fillId="0" borderId="15" xfId="0" applyNumberFormat="1" applyFont="1" applyBorder="1" applyAlignment="1" applyProtection="1">
      <alignment horizontal="center" vertical="center" wrapText="1"/>
    </xf>
    <xf numFmtId="0" fontId="20" fillId="0" borderId="0" xfId="0" applyFont="1" applyAlignment="1">
      <alignment horizontal="left" vertical="center" wrapText="1"/>
    </xf>
    <xf numFmtId="0" fontId="22" fillId="6" borderId="3" xfId="0" applyFont="1" applyFill="1" applyBorder="1" applyAlignment="1">
      <alignment horizontal="left" vertical="center" wrapText="1"/>
    </xf>
    <xf numFmtId="2" fontId="23" fillId="0" borderId="3" xfId="0" applyNumberFormat="1" applyFont="1" applyBorder="1" applyAlignment="1" applyProtection="1">
      <alignment horizontal="center" vertical="center" wrapText="1"/>
    </xf>
    <xf numFmtId="0" fontId="7" fillId="0" borderId="0" xfId="0" applyFont="1" applyAlignment="1">
      <alignment horizontal="center" vertical="center" wrapText="1"/>
    </xf>
    <xf numFmtId="0" fontId="33" fillId="17" borderId="0" xfId="0" applyFont="1" applyFill="1" applyBorder="1" applyAlignment="1" applyProtection="1">
      <alignment horizontal="left" wrapText="1"/>
      <protection locked="0"/>
    </xf>
    <xf numFmtId="0" fontId="29" fillId="10" borderId="0" xfId="4" applyFont="1" applyFill="1" applyAlignment="1">
      <alignment horizontal="left" vertical="center"/>
    </xf>
    <xf numFmtId="0" fontId="13" fillId="3" borderId="10" xfId="0" applyFont="1" applyFill="1" applyBorder="1" applyAlignment="1" applyProtection="1">
      <alignment horizontal="left" vertical="top" wrapText="1"/>
    </xf>
    <xf numFmtId="0" fontId="13" fillId="3" borderId="11" xfId="0" applyFont="1" applyFill="1" applyBorder="1" applyAlignment="1" applyProtection="1">
      <alignment horizontal="left" vertical="top" wrapText="1"/>
    </xf>
    <xf numFmtId="0" fontId="4" fillId="0" borderId="6" xfId="0" applyFont="1" applyBorder="1" applyAlignment="1">
      <alignment horizontal="left"/>
    </xf>
    <xf numFmtId="0" fontId="4" fillId="0" borderId="6" xfId="0" applyFont="1" applyBorder="1" applyAlignment="1">
      <alignment horizontal="left" vertical="top"/>
    </xf>
    <xf numFmtId="0" fontId="0" fillId="0" borderId="13" xfId="0" applyBorder="1" applyAlignment="1">
      <alignment horizontal="left"/>
    </xf>
    <xf numFmtId="0" fontId="27" fillId="11" borderId="13" xfId="5" applyFont="1" applyFill="1" applyBorder="1" applyAlignment="1">
      <alignment horizontal="center" vertical="top"/>
    </xf>
    <xf numFmtId="0" fontId="27" fillId="11" borderId="0" xfId="0" applyFont="1" applyFill="1" applyAlignment="1">
      <alignment horizontal="left" indent="7"/>
    </xf>
    <xf numFmtId="0" fontId="30" fillId="0" borderId="14" xfId="0" applyFont="1" applyBorder="1" applyAlignment="1">
      <alignment horizontal="left" vertical="top" wrapText="1"/>
    </xf>
    <xf numFmtId="0" fontId="30" fillId="0" borderId="29" xfId="0" applyFont="1" applyBorder="1" applyAlignment="1">
      <alignment horizontal="left" vertical="top"/>
    </xf>
    <xf numFmtId="0" fontId="30" fillId="0" borderId="15" xfId="0" applyFont="1" applyBorder="1" applyAlignment="1">
      <alignment horizontal="left" vertical="top"/>
    </xf>
    <xf numFmtId="0" fontId="30" fillId="12" borderId="14" xfId="0" applyFont="1" applyFill="1" applyBorder="1" applyAlignment="1">
      <alignment horizontal="left" vertical="top" wrapText="1"/>
    </xf>
    <xf numFmtId="0" fontId="30" fillId="12" borderId="29" xfId="0" applyFont="1" applyFill="1" applyBorder="1" applyAlignment="1">
      <alignment horizontal="left" vertical="top" wrapText="1"/>
    </xf>
    <xf numFmtId="0" fontId="30" fillId="12" borderId="15" xfId="0" applyFont="1" applyFill="1" applyBorder="1" applyAlignment="1">
      <alignment horizontal="left" vertical="top" wrapText="1"/>
    </xf>
    <xf numFmtId="0" fontId="4" fillId="14" borderId="14" xfId="0" applyFont="1" applyFill="1" applyBorder="1" applyAlignment="1">
      <alignment horizontal="left" vertical="top"/>
    </xf>
    <xf numFmtId="0" fontId="4" fillId="14" borderId="29" xfId="0" applyFont="1" applyFill="1" applyBorder="1" applyAlignment="1">
      <alignment horizontal="left" vertical="top"/>
    </xf>
    <xf numFmtId="0" fontId="4" fillId="14" borderId="15" xfId="0" applyFont="1" applyFill="1" applyBorder="1" applyAlignment="1">
      <alignment horizontal="left" vertical="top"/>
    </xf>
    <xf numFmtId="0" fontId="0" fillId="12" borderId="14" xfId="0" applyFill="1" applyBorder="1" applyAlignment="1">
      <alignment horizontal="left" vertical="top" wrapText="1"/>
    </xf>
    <xf numFmtId="0" fontId="0" fillId="12" borderId="29" xfId="0" applyFill="1" applyBorder="1" applyAlignment="1">
      <alignment horizontal="left" vertical="top" wrapText="1"/>
    </xf>
    <xf numFmtId="0" fontId="0" fillId="12" borderId="15" xfId="0" applyFill="1" applyBorder="1" applyAlignment="1">
      <alignment horizontal="left" vertical="top" wrapText="1"/>
    </xf>
    <xf numFmtId="0" fontId="5" fillId="10" borderId="0" xfId="0" applyFont="1" applyFill="1" applyAlignment="1">
      <alignment horizontal="left" vertical="top" wrapText="1"/>
    </xf>
    <xf numFmtId="0" fontId="4" fillId="0" borderId="0" xfId="0" applyFont="1" applyBorder="1" applyAlignment="1">
      <alignment horizontal="left"/>
    </xf>
    <xf numFmtId="0" fontId="5" fillId="11" borderId="13" xfId="0" applyFont="1" applyFill="1" applyBorder="1" applyAlignment="1">
      <alignment horizontal="center"/>
    </xf>
    <xf numFmtId="0" fontId="27" fillId="13" borderId="0" xfId="0" applyFont="1" applyFill="1" applyAlignment="1">
      <alignment horizontal="left" indent="7"/>
    </xf>
    <xf numFmtId="0" fontId="4" fillId="0" borderId="21"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4" fillId="0" borderId="0" xfId="0" applyFont="1" applyBorder="1" applyAlignment="1">
      <alignment horizontal="left" vertical="top" wrapText="1"/>
    </xf>
    <xf numFmtId="0" fontId="4" fillId="0" borderId="25" xfId="0" applyFont="1" applyBorder="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28" xfId="0" applyFont="1" applyBorder="1" applyAlignment="1">
      <alignment horizontal="left" vertical="top" wrapText="1"/>
    </xf>
    <xf numFmtId="0" fontId="0" fillId="0" borderId="29" xfId="0" applyBorder="1" applyAlignment="1">
      <alignment horizontal="left" vertical="top"/>
    </xf>
    <xf numFmtId="0" fontId="0" fillId="0" borderId="15" xfId="0" applyBorder="1" applyAlignment="1">
      <alignment horizontal="left" vertical="top"/>
    </xf>
  </cellXfs>
  <cellStyles count="6">
    <cellStyle name="Accent1" xfId="3" builtinId="29"/>
    <cellStyle name="Accent2" xfId="4" builtinId="33"/>
    <cellStyle name="Accent5" xfId="5" builtinId="45"/>
    <cellStyle name="Heading 1" xfId="1" builtinId="16"/>
    <cellStyle name="Normal" xfId="0" builtinId="0"/>
    <cellStyle name="Style 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
          <c:w val="1"/>
          <c:h val="1"/>
        </c:manualLayout>
      </c:layout>
      <c:scatterChart>
        <c:scatterStyle val="lineMarker"/>
        <c:varyColors val="0"/>
        <c:dLbls>
          <c:showLegendKey val="0"/>
          <c:showVal val="0"/>
          <c:showCatName val="0"/>
          <c:showSerName val="0"/>
          <c:showPercent val="0"/>
          <c:showBubbleSize val="0"/>
        </c:dLbls>
        <c:axId val="66567168"/>
        <c:axId val="48440064"/>
      </c:scatterChart>
      <c:valAx>
        <c:axId val="66567168"/>
        <c:scaling>
          <c:orientation val="minMax"/>
          <c:max val="100"/>
          <c:min val="0"/>
        </c:scaling>
        <c:delete val="1"/>
        <c:axPos val="b"/>
        <c:majorTickMark val="out"/>
        <c:minorTickMark val="none"/>
        <c:tickLblPos val="nextTo"/>
        <c:crossAx val="48440064"/>
        <c:crosses val="autoZero"/>
        <c:crossBetween val="midCat"/>
      </c:valAx>
      <c:valAx>
        <c:axId val="48440064"/>
        <c:scaling>
          <c:orientation val="minMax"/>
          <c:max val="60"/>
          <c:min val="-10"/>
        </c:scaling>
        <c:delete val="1"/>
        <c:axPos val="l"/>
        <c:majorTickMark val="out"/>
        <c:minorTickMark val="none"/>
        <c:tickLblPos val="nextTo"/>
        <c:crossAx val="66567168"/>
        <c:crosses val="autoZero"/>
        <c:crossBetween val="midCat"/>
      </c:valAx>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55" l="0.70000000000000062" r="0.70000000000000062" t="0.75000000000000355"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xdr:row>
      <xdr:rowOff>38100</xdr:rowOff>
    </xdr:from>
    <xdr:to>
      <xdr:col>3</xdr:col>
      <xdr:colOff>251460</xdr:colOff>
      <xdr:row>3</xdr:row>
      <xdr:rowOff>45720</xdr:rowOff>
    </xdr:to>
    <xdr:pic>
      <xdr:nvPicPr>
        <xdr:cNvPr id="2" name="Picture 6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610" y="228600"/>
          <a:ext cx="2638425" cy="636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19260</xdr:colOff>
      <xdr:row>5</xdr:row>
      <xdr:rowOff>18223</xdr:rowOff>
    </xdr:from>
    <xdr:to>
      <xdr:col>14</xdr:col>
      <xdr:colOff>41639</xdr:colOff>
      <xdr:row>5</xdr:row>
      <xdr:rowOff>18223</xdr:rowOff>
    </xdr:to>
    <xdr:sp macro="" textlink="">
      <xdr:nvSpPr>
        <xdr:cNvPr id="2" name="Text Box 11"/>
        <xdr:cNvSpPr txBox="1">
          <a:spLocks/>
        </xdr:cNvSpPr>
      </xdr:nvSpPr>
      <xdr:spPr bwMode="auto">
        <a:xfrm>
          <a:off x="21345735" y="6038023"/>
          <a:ext cx="612929"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4</a:t>
          </a:r>
        </a:p>
      </xdr:txBody>
    </xdr:sp>
    <xdr:clientData/>
  </xdr:twoCellAnchor>
  <xdr:twoCellAnchor>
    <xdr:from>
      <xdr:col>6</xdr:col>
      <xdr:colOff>11642</xdr:colOff>
      <xdr:row>5</xdr:row>
      <xdr:rowOff>15873</xdr:rowOff>
    </xdr:from>
    <xdr:to>
      <xdr:col>7</xdr:col>
      <xdr:colOff>145331</xdr:colOff>
      <xdr:row>5</xdr:row>
      <xdr:rowOff>16175</xdr:rowOff>
    </xdr:to>
    <xdr:sp macro="" textlink="">
      <xdr:nvSpPr>
        <xdr:cNvPr id="3" name="Text Box 11"/>
        <xdr:cNvSpPr txBox="1">
          <a:spLocks/>
        </xdr:cNvSpPr>
      </xdr:nvSpPr>
      <xdr:spPr bwMode="auto">
        <a:xfrm>
          <a:off x="17080442" y="6035673"/>
          <a:ext cx="724239" cy="302"/>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p>
      </xdr:txBody>
    </xdr:sp>
    <xdr:clientData/>
  </xdr:twoCellAnchor>
  <xdr:twoCellAnchor>
    <xdr:from>
      <xdr:col>4</xdr:col>
      <xdr:colOff>617220</xdr:colOff>
      <xdr:row>6</xdr:row>
      <xdr:rowOff>7620</xdr:rowOff>
    </xdr:from>
    <xdr:to>
      <xdr:col>5</xdr:col>
      <xdr:colOff>381000</xdr:colOff>
      <xdr:row>6</xdr:row>
      <xdr:rowOff>0</xdr:rowOff>
    </xdr:to>
    <xdr:sp macro="" textlink="">
      <xdr:nvSpPr>
        <xdr:cNvPr id="4" name="Text Box 11"/>
        <xdr:cNvSpPr txBox="1">
          <a:spLocks/>
        </xdr:cNvSpPr>
      </xdr:nvSpPr>
      <xdr:spPr bwMode="auto">
        <a:xfrm>
          <a:off x="16247745" y="8570595"/>
          <a:ext cx="611505"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endParaRPr lang="en-US"/>
        </a:p>
      </xdr:txBody>
    </xdr:sp>
    <xdr:clientData/>
  </xdr:twoCellAnchor>
  <xdr:twoCellAnchor>
    <xdr:from>
      <xdr:col>10</xdr:col>
      <xdr:colOff>379095</xdr:colOff>
      <xdr:row>6</xdr:row>
      <xdr:rowOff>2721</xdr:rowOff>
    </xdr:from>
    <xdr:to>
      <xdr:col>11</xdr:col>
      <xdr:colOff>76122</xdr:colOff>
      <xdr:row>6</xdr:row>
      <xdr:rowOff>2721</xdr:rowOff>
    </xdr:to>
    <xdr:sp macro="" textlink="">
      <xdr:nvSpPr>
        <xdr:cNvPr id="5" name="Text Box 11"/>
        <xdr:cNvSpPr txBox="1">
          <a:spLocks/>
        </xdr:cNvSpPr>
      </xdr:nvSpPr>
      <xdr:spPr bwMode="auto">
        <a:xfrm>
          <a:off x="19810095" y="8565696"/>
          <a:ext cx="411402"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5</a:t>
          </a:r>
          <a:endParaRPr lang="en-US"/>
        </a:p>
      </xdr:txBody>
    </xdr:sp>
    <xdr:clientData/>
  </xdr:twoCellAnchor>
  <xdr:twoCellAnchor>
    <xdr:from>
      <xdr:col>10</xdr:col>
      <xdr:colOff>503504</xdr:colOff>
      <xdr:row>21</xdr:row>
      <xdr:rowOff>114722</xdr:rowOff>
    </xdr:from>
    <xdr:to>
      <xdr:col>11</xdr:col>
      <xdr:colOff>27112</xdr:colOff>
      <xdr:row>23</xdr:row>
      <xdr:rowOff>126743</xdr:rowOff>
    </xdr:to>
    <xdr:sp macro="" textlink="">
      <xdr:nvSpPr>
        <xdr:cNvPr id="6" name="Text Box 11"/>
        <xdr:cNvSpPr txBox="1">
          <a:spLocks/>
        </xdr:cNvSpPr>
      </xdr:nvSpPr>
      <xdr:spPr bwMode="auto">
        <a:xfrm>
          <a:off x="19934504" y="18431297"/>
          <a:ext cx="237983" cy="412071"/>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endParaRPr lang="en-US" sz="1800" b="1" i="0" u="none" strike="noStrike" baseline="0">
            <a:solidFill>
              <a:srgbClr val="000000"/>
            </a:solidFill>
            <a:latin typeface="Courier"/>
          </a:endParaRPr>
        </a:p>
      </xdr:txBody>
    </xdr:sp>
    <xdr:clientData/>
  </xdr:twoCellAnchor>
  <xdr:twoCellAnchor>
    <xdr:from>
      <xdr:col>3</xdr:col>
      <xdr:colOff>2019300</xdr:colOff>
      <xdr:row>0</xdr:row>
      <xdr:rowOff>0</xdr:rowOff>
    </xdr:from>
    <xdr:to>
      <xdr:col>4</xdr:col>
      <xdr:colOff>45720</xdr:colOff>
      <xdr:row>1</xdr:row>
      <xdr:rowOff>38100</xdr:rowOff>
    </xdr:to>
    <xdr:grpSp>
      <xdr:nvGrpSpPr>
        <xdr:cNvPr id="7" name="Group 238"/>
        <xdr:cNvGrpSpPr>
          <a:grpSpLocks/>
        </xdr:cNvGrpSpPr>
      </xdr:nvGrpSpPr>
      <xdr:grpSpPr bwMode="auto">
        <a:xfrm>
          <a:off x="10469336" y="0"/>
          <a:ext cx="5265420" cy="2895600"/>
          <a:chOff x="33279" y="2690897"/>
          <a:chExt cx="6469945" cy="3769529"/>
        </a:xfrm>
      </xdr:grpSpPr>
      <xdr:sp macro="" textlink="">
        <xdr:nvSpPr>
          <xdr:cNvPr id="8" name="Rounded Rectangle 7"/>
          <xdr:cNvSpPr/>
        </xdr:nvSpPr>
        <xdr:spPr>
          <a:xfrm>
            <a:off x="187758" y="2690897"/>
            <a:ext cx="4252717" cy="3769529"/>
          </a:xfrm>
          <a:prstGeom prst="roundRect">
            <a:avLst>
              <a:gd name="adj" fmla="val 1072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pSp>
        <xdr:nvGrpSpPr>
          <xdr:cNvPr id="9" name="Group 427"/>
          <xdr:cNvGrpSpPr>
            <a:grpSpLocks/>
          </xdr:cNvGrpSpPr>
        </xdr:nvGrpSpPr>
        <xdr:grpSpPr bwMode="auto">
          <a:xfrm>
            <a:off x="443139" y="3753976"/>
            <a:ext cx="3680279" cy="1795402"/>
            <a:chOff x="193063" y="1155645"/>
            <a:chExt cx="3658893" cy="1807321"/>
          </a:xfrm>
        </xdr:grpSpPr>
        <xdr:sp macro="" textlink="">
          <xdr:nvSpPr>
            <xdr:cNvPr id="16" name="Freeform 362"/>
            <xdr:cNvSpPr>
              <a:spLocks/>
            </xdr:cNvSpPr>
          </xdr:nvSpPr>
          <xdr:spPr bwMode="auto">
            <a:xfrm>
              <a:off x="1495146" y="1155645"/>
              <a:ext cx="1054728" cy="663196"/>
            </a:xfrm>
            <a:custGeom>
              <a:avLst/>
              <a:gdLst>
                <a:gd name="T0" fmla="*/ 2147483647 w 2344"/>
                <a:gd name="T1" fmla="*/ 2147483647 h 1470"/>
                <a:gd name="T2" fmla="*/ 2147483647 w 2344"/>
                <a:gd name="T3" fmla="*/ 2147483647 h 1470"/>
                <a:gd name="T4" fmla="*/ 2147483647 w 2344"/>
                <a:gd name="T5" fmla="*/ 2147483647 h 1470"/>
                <a:gd name="T6" fmla="*/ 2147483647 w 2344"/>
                <a:gd name="T7" fmla="*/ 2147483647 h 1470"/>
                <a:gd name="T8" fmla="*/ 2147483647 w 2344"/>
                <a:gd name="T9" fmla="*/ 2147483647 h 1470"/>
                <a:gd name="T10" fmla="*/ 2147483647 w 2344"/>
                <a:gd name="T11" fmla="*/ 2147483647 h 1470"/>
                <a:gd name="T12" fmla="*/ 2147483647 w 2344"/>
                <a:gd name="T13" fmla="*/ 2147483647 h 1470"/>
                <a:gd name="T14" fmla="*/ 2147483647 w 2344"/>
                <a:gd name="T15" fmla="*/ 2147483647 h 1470"/>
                <a:gd name="T16" fmla="*/ 2147483647 w 2344"/>
                <a:gd name="T17" fmla="*/ 2147483647 h 1470"/>
                <a:gd name="T18" fmla="*/ 2147483647 w 2344"/>
                <a:gd name="T19" fmla="*/ 2147483647 h 1470"/>
                <a:gd name="T20" fmla="*/ 2147483647 w 2344"/>
                <a:gd name="T21" fmla="*/ 2147483647 h 1470"/>
                <a:gd name="T22" fmla="*/ 2147483647 w 2344"/>
                <a:gd name="T23" fmla="*/ 2147483647 h 1470"/>
                <a:gd name="T24" fmla="*/ 2147483647 w 2344"/>
                <a:gd name="T25" fmla="*/ 2147483647 h 1470"/>
                <a:gd name="T26" fmla="*/ 2147483647 w 2344"/>
                <a:gd name="T27" fmla="*/ 2147483647 h 1470"/>
                <a:gd name="T28" fmla="*/ 2147483647 w 2344"/>
                <a:gd name="T29" fmla="*/ 2147483647 h 1470"/>
                <a:gd name="T30" fmla="*/ 2147483647 w 2344"/>
                <a:gd name="T31" fmla="*/ 2147483647 h 1470"/>
                <a:gd name="T32" fmla="*/ 2147483647 w 2344"/>
                <a:gd name="T33" fmla="*/ 2147483647 h 1470"/>
                <a:gd name="T34" fmla="*/ 2147483647 w 2344"/>
                <a:gd name="T35" fmla="*/ 0 h 1470"/>
                <a:gd name="T36" fmla="*/ 2147483647 w 2344"/>
                <a:gd name="T37" fmla="*/ 0 h 1470"/>
                <a:gd name="T38" fmla="*/ 2147483647 w 2344"/>
                <a:gd name="T39" fmla="*/ 2147483647 h 1470"/>
                <a:gd name="T40" fmla="*/ 2147483647 w 2344"/>
                <a:gd name="T41" fmla="*/ 2147483647 h 1470"/>
                <a:gd name="T42" fmla="*/ 2147483647 w 2344"/>
                <a:gd name="T43" fmla="*/ 2147483647 h 1470"/>
                <a:gd name="T44" fmla="*/ 2147483647 w 2344"/>
                <a:gd name="T45" fmla="*/ 2147483647 h 1470"/>
                <a:gd name="T46" fmla="*/ 2147483647 w 2344"/>
                <a:gd name="T47" fmla="*/ 2147483647 h 1470"/>
                <a:gd name="T48" fmla="*/ 2147483647 w 2344"/>
                <a:gd name="T49" fmla="*/ 2147483647 h 1470"/>
                <a:gd name="T50" fmla="*/ 2147483647 w 2344"/>
                <a:gd name="T51" fmla="*/ 2147483647 h 1470"/>
                <a:gd name="T52" fmla="*/ 2147483647 w 2344"/>
                <a:gd name="T53" fmla="*/ 2147483647 h 1470"/>
                <a:gd name="T54" fmla="*/ 2147483647 w 2344"/>
                <a:gd name="T55" fmla="*/ 2147483647 h 1470"/>
                <a:gd name="T56" fmla="*/ 2147483647 w 2344"/>
                <a:gd name="T57" fmla="*/ 2147483647 h 1470"/>
                <a:gd name="T58" fmla="*/ 2147483647 w 2344"/>
                <a:gd name="T59" fmla="*/ 2147483647 h 1470"/>
                <a:gd name="T60" fmla="*/ 2147483647 w 2344"/>
                <a:gd name="T61" fmla="*/ 2147483647 h 1470"/>
                <a:gd name="T62" fmla="*/ 2147483647 w 2344"/>
                <a:gd name="T63" fmla="*/ 2147483647 h 1470"/>
                <a:gd name="T64" fmla="*/ 2147483647 w 2344"/>
                <a:gd name="T65" fmla="*/ 2147483647 h 1470"/>
                <a:gd name="T66" fmla="*/ 2147483647 w 2344"/>
                <a:gd name="T67" fmla="*/ 2147483647 h 1470"/>
                <a:gd name="T68" fmla="*/ 2147483647 w 2344"/>
                <a:gd name="T69" fmla="*/ 2147483647 h 1470"/>
                <a:gd name="T70" fmla="*/ 2147483647 w 2344"/>
                <a:gd name="T71" fmla="*/ 2147483647 h 1470"/>
                <a:gd name="T72" fmla="*/ 2147483647 w 2344"/>
                <a:gd name="T73" fmla="*/ 2147483647 h 1470"/>
                <a:gd name="T74" fmla="*/ 2147483647 w 2344"/>
                <a:gd name="T75" fmla="*/ 2147483647 h 1470"/>
                <a:gd name="T76" fmla="*/ 2147483647 w 2344"/>
                <a:gd name="T77" fmla="*/ 2147483647 h 1470"/>
                <a:gd name="T78" fmla="*/ 2147483647 w 2344"/>
                <a:gd name="T79" fmla="*/ 2147483647 h 1470"/>
                <a:gd name="T80" fmla="*/ 2147483647 w 2344"/>
                <a:gd name="T81" fmla="*/ 2147483647 h 1470"/>
                <a:gd name="T82" fmla="*/ 2147483647 w 2344"/>
                <a:gd name="T83" fmla="*/ 2147483647 h 1470"/>
                <a:gd name="T84" fmla="*/ 2147483647 w 2344"/>
                <a:gd name="T85" fmla="*/ 2147483647 h 1470"/>
                <a:gd name="T86" fmla="*/ 2147483647 w 2344"/>
                <a:gd name="T87" fmla="*/ 2147483647 h 1470"/>
                <a:gd name="T88" fmla="*/ 2147483647 w 2344"/>
                <a:gd name="T89" fmla="*/ 2147483647 h 1470"/>
                <a:gd name="T90" fmla="*/ 2147483647 w 2344"/>
                <a:gd name="T91" fmla="*/ 2147483647 h 1470"/>
                <a:gd name="T92" fmla="*/ 2147483647 w 2344"/>
                <a:gd name="T93" fmla="*/ 2147483647 h 1470"/>
                <a:gd name="T94" fmla="*/ 2147483647 w 2344"/>
                <a:gd name="T95" fmla="*/ 2147483647 h 1470"/>
                <a:gd name="T96" fmla="*/ 2147483647 w 2344"/>
                <a:gd name="T97" fmla="*/ 2147483647 h 1470"/>
                <a:gd name="T98" fmla="*/ 2147483647 w 2344"/>
                <a:gd name="T99" fmla="*/ 2147483647 h 1470"/>
                <a:gd name="T100" fmla="*/ 2147483647 w 2344"/>
                <a:gd name="T101" fmla="*/ 2147483647 h 1470"/>
                <a:gd name="T102" fmla="*/ 2147483647 w 2344"/>
                <a:gd name="T103" fmla="*/ 2147483647 h 1470"/>
                <a:gd name="T104" fmla="*/ 2147483647 w 2344"/>
                <a:gd name="T105" fmla="*/ 2147483647 h 1470"/>
                <a:gd name="T106" fmla="*/ 2147483647 w 2344"/>
                <a:gd name="T107" fmla="*/ 2147483647 h 1470"/>
                <a:gd name="T108" fmla="*/ 2147483647 w 2344"/>
                <a:gd name="T109" fmla="*/ 2147483647 h 1470"/>
                <a:gd name="T110" fmla="*/ 2147483647 w 2344"/>
                <a:gd name="T111" fmla="*/ 2147483647 h 1470"/>
                <a:gd name="T112" fmla="*/ 2147483647 w 2344"/>
                <a:gd name="T113" fmla="*/ 2147483647 h 1470"/>
                <a:gd name="T114" fmla="*/ 2147483647 w 2344"/>
                <a:gd name="T115" fmla="*/ 2147483647 h 1470"/>
                <a:gd name="T116" fmla="*/ 2147483647 w 2344"/>
                <a:gd name="T117" fmla="*/ 2147483647 h 1470"/>
                <a:gd name="T118" fmla="*/ 2147483647 w 2344"/>
                <a:gd name="T119" fmla="*/ 2147483647 h 1470"/>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4"/>
                <a:gd name="T181" fmla="*/ 0 h 1470"/>
                <a:gd name="T182" fmla="*/ 2344 w 2344"/>
                <a:gd name="T183" fmla="*/ 1470 h 1470"/>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4" h="1470">
                  <a:moveTo>
                    <a:pt x="1953" y="1470"/>
                  </a:moveTo>
                  <a:lnTo>
                    <a:pt x="1986" y="1362"/>
                  </a:lnTo>
                  <a:lnTo>
                    <a:pt x="2018" y="1254"/>
                  </a:lnTo>
                  <a:lnTo>
                    <a:pt x="2051" y="1146"/>
                  </a:lnTo>
                  <a:lnTo>
                    <a:pt x="2083" y="1038"/>
                  </a:lnTo>
                  <a:lnTo>
                    <a:pt x="2116" y="929"/>
                  </a:lnTo>
                  <a:lnTo>
                    <a:pt x="2149" y="821"/>
                  </a:lnTo>
                  <a:lnTo>
                    <a:pt x="2181" y="713"/>
                  </a:lnTo>
                  <a:lnTo>
                    <a:pt x="2214" y="605"/>
                  </a:lnTo>
                  <a:lnTo>
                    <a:pt x="2246" y="497"/>
                  </a:lnTo>
                  <a:lnTo>
                    <a:pt x="2279" y="389"/>
                  </a:lnTo>
                  <a:lnTo>
                    <a:pt x="2311" y="281"/>
                  </a:lnTo>
                  <a:lnTo>
                    <a:pt x="2344" y="172"/>
                  </a:lnTo>
                  <a:lnTo>
                    <a:pt x="2296" y="158"/>
                  </a:lnTo>
                  <a:lnTo>
                    <a:pt x="2249" y="145"/>
                  </a:lnTo>
                  <a:lnTo>
                    <a:pt x="2201" y="132"/>
                  </a:lnTo>
                  <a:lnTo>
                    <a:pt x="2153" y="120"/>
                  </a:lnTo>
                  <a:lnTo>
                    <a:pt x="2105" y="108"/>
                  </a:lnTo>
                  <a:lnTo>
                    <a:pt x="2057" y="97"/>
                  </a:lnTo>
                  <a:lnTo>
                    <a:pt x="2008" y="87"/>
                  </a:lnTo>
                  <a:lnTo>
                    <a:pt x="1960" y="77"/>
                  </a:lnTo>
                  <a:lnTo>
                    <a:pt x="1911" y="68"/>
                  </a:lnTo>
                  <a:lnTo>
                    <a:pt x="1862" y="59"/>
                  </a:lnTo>
                  <a:lnTo>
                    <a:pt x="1813" y="51"/>
                  </a:lnTo>
                  <a:lnTo>
                    <a:pt x="1764" y="43"/>
                  </a:lnTo>
                  <a:lnTo>
                    <a:pt x="1715" y="36"/>
                  </a:lnTo>
                  <a:lnTo>
                    <a:pt x="1666" y="30"/>
                  </a:lnTo>
                  <a:lnTo>
                    <a:pt x="1617" y="24"/>
                  </a:lnTo>
                  <a:lnTo>
                    <a:pt x="1568" y="19"/>
                  </a:lnTo>
                  <a:lnTo>
                    <a:pt x="1518" y="15"/>
                  </a:lnTo>
                  <a:lnTo>
                    <a:pt x="1469" y="11"/>
                  </a:lnTo>
                  <a:lnTo>
                    <a:pt x="1420" y="7"/>
                  </a:lnTo>
                  <a:lnTo>
                    <a:pt x="1370" y="5"/>
                  </a:lnTo>
                  <a:lnTo>
                    <a:pt x="1321" y="3"/>
                  </a:lnTo>
                  <a:lnTo>
                    <a:pt x="1271" y="1"/>
                  </a:lnTo>
                  <a:lnTo>
                    <a:pt x="1222" y="0"/>
                  </a:lnTo>
                  <a:lnTo>
                    <a:pt x="1172" y="0"/>
                  </a:lnTo>
                  <a:lnTo>
                    <a:pt x="1123" y="0"/>
                  </a:lnTo>
                  <a:lnTo>
                    <a:pt x="1073" y="1"/>
                  </a:lnTo>
                  <a:lnTo>
                    <a:pt x="1024" y="3"/>
                  </a:lnTo>
                  <a:lnTo>
                    <a:pt x="974" y="5"/>
                  </a:lnTo>
                  <a:lnTo>
                    <a:pt x="925" y="7"/>
                  </a:lnTo>
                  <a:lnTo>
                    <a:pt x="875" y="11"/>
                  </a:lnTo>
                  <a:lnTo>
                    <a:pt x="826" y="15"/>
                  </a:lnTo>
                  <a:lnTo>
                    <a:pt x="777" y="19"/>
                  </a:lnTo>
                  <a:lnTo>
                    <a:pt x="727" y="24"/>
                  </a:lnTo>
                  <a:lnTo>
                    <a:pt x="678" y="30"/>
                  </a:lnTo>
                  <a:lnTo>
                    <a:pt x="629" y="36"/>
                  </a:lnTo>
                  <a:lnTo>
                    <a:pt x="580" y="43"/>
                  </a:lnTo>
                  <a:lnTo>
                    <a:pt x="531" y="51"/>
                  </a:lnTo>
                  <a:lnTo>
                    <a:pt x="482" y="59"/>
                  </a:lnTo>
                  <a:lnTo>
                    <a:pt x="433" y="68"/>
                  </a:lnTo>
                  <a:lnTo>
                    <a:pt x="385" y="77"/>
                  </a:lnTo>
                  <a:lnTo>
                    <a:pt x="336" y="87"/>
                  </a:lnTo>
                  <a:lnTo>
                    <a:pt x="288" y="97"/>
                  </a:lnTo>
                  <a:lnTo>
                    <a:pt x="239" y="108"/>
                  </a:lnTo>
                  <a:lnTo>
                    <a:pt x="191" y="120"/>
                  </a:lnTo>
                  <a:lnTo>
                    <a:pt x="143" y="132"/>
                  </a:lnTo>
                  <a:lnTo>
                    <a:pt x="96" y="145"/>
                  </a:lnTo>
                  <a:lnTo>
                    <a:pt x="48" y="158"/>
                  </a:lnTo>
                  <a:lnTo>
                    <a:pt x="0" y="172"/>
                  </a:lnTo>
                  <a:lnTo>
                    <a:pt x="33" y="281"/>
                  </a:lnTo>
                  <a:lnTo>
                    <a:pt x="66" y="389"/>
                  </a:lnTo>
                  <a:lnTo>
                    <a:pt x="98" y="497"/>
                  </a:lnTo>
                  <a:lnTo>
                    <a:pt x="131" y="605"/>
                  </a:lnTo>
                  <a:lnTo>
                    <a:pt x="163" y="713"/>
                  </a:lnTo>
                  <a:lnTo>
                    <a:pt x="196" y="821"/>
                  </a:lnTo>
                  <a:lnTo>
                    <a:pt x="228" y="929"/>
                  </a:lnTo>
                  <a:lnTo>
                    <a:pt x="261" y="1038"/>
                  </a:lnTo>
                  <a:lnTo>
                    <a:pt x="293" y="1146"/>
                  </a:lnTo>
                  <a:lnTo>
                    <a:pt x="326" y="1254"/>
                  </a:lnTo>
                  <a:lnTo>
                    <a:pt x="358" y="1362"/>
                  </a:lnTo>
                  <a:lnTo>
                    <a:pt x="391" y="1470"/>
                  </a:lnTo>
                  <a:lnTo>
                    <a:pt x="423" y="1461"/>
                  </a:lnTo>
                  <a:lnTo>
                    <a:pt x="454" y="1452"/>
                  </a:lnTo>
                  <a:lnTo>
                    <a:pt x="486" y="1443"/>
                  </a:lnTo>
                  <a:lnTo>
                    <a:pt x="518" y="1435"/>
                  </a:lnTo>
                  <a:lnTo>
                    <a:pt x="550" y="1427"/>
                  </a:lnTo>
                  <a:lnTo>
                    <a:pt x="583" y="1420"/>
                  </a:lnTo>
                  <a:lnTo>
                    <a:pt x="615" y="1413"/>
                  </a:lnTo>
                  <a:lnTo>
                    <a:pt x="647" y="1406"/>
                  </a:lnTo>
                  <a:lnTo>
                    <a:pt x="680" y="1400"/>
                  </a:lnTo>
                  <a:lnTo>
                    <a:pt x="712" y="1394"/>
                  </a:lnTo>
                  <a:lnTo>
                    <a:pt x="745" y="1389"/>
                  </a:lnTo>
                  <a:lnTo>
                    <a:pt x="777" y="1384"/>
                  </a:lnTo>
                  <a:lnTo>
                    <a:pt x="810" y="1379"/>
                  </a:lnTo>
                  <a:lnTo>
                    <a:pt x="843" y="1375"/>
                  </a:lnTo>
                  <a:lnTo>
                    <a:pt x="876" y="1371"/>
                  </a:lnTo>
                  <a:lnTo>
                    <a:pt x="909" y="1368"/>
                  </a:lnTo>
                  <a:lnTo>
                    <a:pt x="941" y="1365"/>
                  </a:lnTo>
                  <a:lnTo>
                    <a:pt x="974" y="1362"/>
                  </a:lnTo>
                  <a:lnTo>
                    <a:pt x="1007" y="1360"/>
                  </a:lnTo>
                  <a:lnTo>
                    <a:pt x="1040" y="1358"/>
                  </a:lnTo>
                  <a:lnTo>
                    <a:pt x="1073" y="1357"/>
                  </a:lnTo>
                  <a:lnTo>
                    <a:pt x="1106" y="1356"/>
                  </a:lnTo>
                  <a:lnTo>
                    <a:pt x="1139" y="1355"/>
                  </a:lnTo>
                  <a:lnTo>
                    <a:pt x="1172" y="1355"/>
                  </a:lnTo>
                  <a:lnTo>
                    <a:pt x="1205" y="1355"/>
                  </a:lnTo>
                  <a:lnTo>
                    <a:pt x="1238" y="1356"/>
                  </a:lnTo>
                  <a:lnTo>
                    <a:pt x="1271" y="1357"/>
                  </a:lnTo>
                  <a:lnTo>
                    <a:pt x="1304" y="1358"/>
                  </a:lnTo>
                  <a:lnTo>
                    <a:pt x="1337" y="1360"/>
                  </a:lnTo>
                  <a:lnTo>
                    <a:pt x="1370" y="1362"/>
                  </a:lnTo>
                  <a:lnTo>
                    <a:pt x="1403" y="1365"/>
                  </a:lnTo>
                  <a:lnTo>
                    <a:pt x="1436" y="1368"/>
                  </a:lnTo>
                  <a:lnTo>
                    <a:pt x="1469" y="1371"/>
                  </a:lnTo>
                  <a:lnTo>
                    <a:pt x="1501" y="1375"/>
                  </a:lnTo>
                  <a:lnTo>
                    <a:pt x="1534" y="1379"/>
                  </a:lnTo>
                  <a:lnTo>
                    <a:pt x="1567" y="1384"/>
                  </a:lnTo>
                  <a:lnTo>
                    <a:pt x="1600" y="1389"/>
                  </a:lnTo>
                  <a:lnTo>
                    <a:pt x="1632" y="1394"/>
                  </a:lnTo>
                  <a:lnTo>
                    <a:pt x="1665" y="1400"/>
                  </a:lnTo>
                  <a:lnTo>
                    <a:pt x="1697" y="1406"/>
                  </a:lnTo>
                  <a:lnTo>
                    <a:pt x="1730" y="1413"/>
                  </a:lnTo>
                  <a:lnTo>
                    <a:pt x="1762" y="1420"/>
                  </a:lnTo>
                  <a:lnTo>
                    <a:pt x="1794" y="1427"/>
                  </a:lnTo>
                  <a:lnTo>
                    <a:pt x="1826" y="1435"/>
                  </a:lnTo>
                  <a:lnTo>
                    <a:pt x="1858" y="1443"/>
                  </a:lnTo>
                  <a:lnTo>
                    <a:pt x="1890" y="1452"/>
                  </a:lnTo>
                  <a:lnTo>
                    <a:pt x="1922" y="1461"/>
                  </a:lnTo>
                  <a:lnTo>
                    <a:pt x="1953" y="1470"/>
                  </a:lnTo>
                </a:path>
              </a:pathLst>
            </a:custGeom>
            <a:solidFill>
              <a:srgbClr val="FAC090"/>
            </a:solidFill>
            <a:ln w="25400">
              <a:solidFill>
                <a:srgbClr val="262626"/>
              </a:solidFill>
              <a:prstDash val="solid"/>
              <a:round/>
              <a:headEnd/>
              <a:tailEnd/>
            </a:ln>
          </xdr:spPr>
        </xdr:sp>
        <xdr:sp macro="" textlink="">
          <xdr:nvSpPr>
            <xdr:cNvPr id="17" name="Freeform 367"/>
            <xdr:cNvSpPr>
              <a:spLocks/>
            </xdr:cNvSpPr>
          </xdr:nvSpPr>
          <xdr:spPr bwMode="auto">
            <a:xfrm>
              <a:off x="2424832" y="1258057"/>
              <a:ext cx="1054247" cy="991636"/>
            </a:xfrm>
            <a:custGeom>
              <a:avLst/>
              <a:gdLst>
                <a:gd name="T0" fmla="*/ 2147483647 w 2342"/>
                <a:gd name="T1" fmla="*/ 2147483647 h 2198"/>
                <a:gd name="T2" fmla="*/ 2147483647 w 2342"/>
                <a:gd name="T3" fmla="*/ 2147483647 h 2198"/>
                <a:gd name="T4" fmla="*/ 2147483647 w 2342"/>
                <a:gd name="T5" fmla="*/ 2147483647 h 2198"/>
                <a:gd name="T6" fmla="*/ 2147483647 w 2342"/>
                <a:gd name="T7" fmla="*/ 2147483647 h 2198"/>
                <a:gd name="T8" fmla="*/ 2147483647 w 2342"/>
                <a:gd name="T9" fmla="*/ 2147483647 h 2198"/>
                <a:gd name="T10" fmla="*/ 2147483647 w 2342"/>
                <a:gd name="T11" fmla="*/ 2147483647 h 2198"/>
                <a:gd name="T12" fmla="*/ 2147483647 w 2342"/>
                <a:gd name="T13" fmla="*/ 2147483647 h 2198"/>
                <a:gd name="T14" fmla="*/ 2147483647 w 2342"/>
                <a:gd name="T15" fmla="*/ 2147483647 h 2198"/>
                <a:gd name="T16" fmla="*/ 2147483647 w 2342"/>
                <a:gd name="T17" fmla="*/ 2147483647 h 2198"/>
                <a:gd name="T18" fmla="*/ 2147483647 w 2342"/>
                <a:gd name="T19" fmla="*/ 2147483647 h 2198"/>
                <a:gd name="T20" fmla="*/ 2147483647 w 2342"/>
                <a:gd name="T21" fmla="*/ 2147483647 h 2198"/>
                <a:gd name="T22" fmla="*/ 2147483647 w 2342"/>
                <a:gd name="T23" fmla="*/ 2147483647 h 2198"/>
                <a:gd name="T24" fmla="*/ 2147483647 w 2342"/>
                <a:gd name="T25" fmla="*/ 2147483647 h 2198"/>
                <a:gd name="T26" fmla="*/ 2147483647 w 2342"/>
                <a:gd name="T27" fmla="*/ 2147483647 h 2198"/>
                <a:gd name="T28" fmla="*/ 2147483647 w 2342"/>
                <a:gd name="T29" fmla="*/ 2147483647 h 2198"/>
                <a:gd name="T30" fmla="*/ 2147483647 w 2342"/>
                <a:gd name="T31" fmla="*/ 2147483647 h 2198"/>
                <a:gd name="T32" fmla="*/ 2147483647 w 2342"/>
                <a:gd name="T33" fmla="*/ 2147483647 h 2198"/>
                <a:gd name="T34" fmla="*/ 2147483647 w 2342"/>
                <a:gd name="T35" fmla="*/ 2147483647 h 2198"/>
                <a:gd name="T36" fmla="*/ 2147483647 w 2342"/>
                <a:gd name="T37" fmla="*/ 2147483647 h 2198"/>
                <a:gd name="T38" fmla="*/ 2147483647 w 2342"/>
                <a:gd name="T39" fmla="*/ 2147483647 h 2198"/>
                <a:gd name="T40" fmla="*/ 2147483647 w 2342"/>
                <a:gd name="T41" fmla="*/ 2147483647 h 2198"/>
                <a:gd name="T42" fmla="*/ 2147483647 w 2342"/>
                <a:gd name="T43" fmla="*/ 2147483647 h 2198"/>
                <a:gd name="T44" fmla="*/ 2147483647 w 2342"/>
                <a:gd name="T45" fmla="*/ 2147483647 h 2198"/>
                <a:gd name="T46" fmla="*/ 2147483647 w 2342"/>
                <a:gd name="T47" fmla="*/ 2147483647 h 2198"/>
                <a:gd name="T48" fmla="*/ 2147483647 w 2342"/>
                <a:gd name="T49" fmla="*/ 2147483647 h 2198"/>
                <a:gd name="T50" fmla="*/ 2147483647 w 2342"/>
                <a:gd name="T51" fmla="*/ 2147483647 h 2198"/>
                <a:gd name="T52" fmla="*/ 2147483647 w 2342"/>
                <a:gd name="T53" fmla="*/ 2147483647 h 2198"/>
                <a:gd name="T54" fmla="*/ 2147483647 w 2342"/>
                <a:gd name="T55" fmla="*/ 2147483647 h 2198"/>
                <a:gd name="T56" fmla="*/ 2147483647 w 2342"/>
                <a:gd name="T57" fmla="*/ 2147483647 h 2198"/>
                <a:gd name="T58" fmla="*/ 2147483647 w 2342"/>
                <a:gd name="T59" fmla="*/ 2147483647 h 2198"/>
                <a:gd name="T60" fmla="*/ 2147483647 w 2342"/>
                <a:gd name="T61" fmla="*/ 2147483647 h 2198"/>
                <a:gd name="T62" fmla="*/ 2147483647 w 2342"/>
                <a:gd name="T63" fmla="*/ 2147483647 h 2198"/>
                <a:gd name="T64" fmla="*/ 2147483647 w 2342"/>
                <a:gd name="T65" fmla="*/ 2147483647 h 2198"/>
                <a:gd name="T66" fmla="*/ 2147483647 w 2342"/>
                <a:gd name="T67" fmla="*/ 2147483647 h 2198"/>
                <a:gd name="T68" fmla="*/ 2147483647 w 2342"/>
                <a:gd name="T69" fmla="*/ 2147483647 h 2198"/>
                <a:gd name="T70" fmla="*/ 2147483647 w 2342"/>
                <a:gd name="T71" fmla="*/ 2147483647 h 2198"/>
                <a:gd name="T72" fmla="*/ 2147483647 w 2342"/>
                <a:gd name="T73" fmla="*/ 2147483647 h 2198"/>
                <a:gd name="T74" fmla="*/ 2147483647 w 2342"/>
                <a:gd name="T75" fmla="*/ 2147483647 h 2198"/>
                <a:gd name="T76" fmla="*/ 2147483647 w 2342"/>
                <a:gd name="T77" fmla="*/ 2147483647 h 2198"/>
                <a:gd name="T78" fmla="*/ 2147483647 w 2342"/>
                <a:gd name="T79" fmla="*/ 2147483647 h 2198"/>
                <a:gd name="T80" fmla="*/ 2147483647 w 2342"/>
                <a:gd name="T81" fmla="*/ 2147483647 h 2198"/>
                <a:gd name="T82" fmla="*/ 2147483647 w 2342"/>
                <a:gd name="T83" fmla="*/ 2147483647 h 2198"/>
                <a:gd name="T84" fmla="*/ 2147483647 w 2342"/>
                <a:gd name="T85" fmla="*/ 2147483647 h 2198"/>
                <a:gd name="T86" fmla="*/ 2147483647 w 2342"/>
                <a:gd name="T87" fmla="*/ 2147483647 h 2198"/>
                <a:gd name="T88" fmla="*/ 2147483647 w 2342"/>
                <a:gd name="T89" fmla="*/ 2147483647 h 2198"/>
                <a:gd name="T90" fmla="*/ 2147483647 w 2342"/>
                <a:gd name="T91" fmla="*/ 2147483647 h 2198"/>
                <a:gd name="T92" fmla="*/ 2147483647 w 2342"/>
                <a:gd name="T93" fmla="*/ 2147483647 h 2198"/>
                <a:gd name="T94" fmla="*/ 2147483647 w 2342"/>
                <a:gd name="T95" fmla="*/ 2147483647 h 2198"/>
                <a:gd name="T96" fmla="*/ 2147483647 w 2342"/>
                <a:gd name="T97" fmla="*/ 2147483647 h 2198"/>
                <a:gd name="T98" fmla="*/ 2147483647 w 2342"/>
                <a:gd name="T99" fmla="*/ 2147483647 h 2198"/>
                <a:gd name="T100" fmla="*/ 2147483647 w 2342"/>
                <a:gd name="T101" fmla="*/ 2147483647 h 2198"/>
                <a:gd name="T102" fmla="*/ 2147483647 w 2342"/>
                <a:gd name="T103" fmla="*/ 2147483647 h 2198"/>
                <a:gd name="T104" fmla="*/ 2147483647 w 2342"/>
                <a:gd name="T105" fmla="*/ 2147483647 h 2198"/>
                <a:gd name="T106" fmla="*/ 2147483647 w 2342"/>
                <a:gd name="T107" fmla="*/ 2147483647 h 2198"/>
                <a:gd name="T108" fmla="*/ 2147483647 w 2342"/>
                <a:gd name="T109" fmla="*/ 2147483647 h 2198"/>
                <a:gd name="T110" fmla="*/ 2147483647 w 2342"/>
                <a:gd name="T111" fmla="*/ 2147483647 h 2198"/>
                <a:gd name="T112" fmla="*/ 2147483647 w 2342"/>
                <a:gd name="T113" fmla="*/ 2147483647 h 2198"/>
                <a:gd name="T114" fmla="*/ 2147483647 w 2342"/>
                <a:gd name="T115" fmla="*/ 2147483647 h 2198"/>
                <a:gd name="T116" fmla="*/ 2147483647 w 2342"/>
                <a:gd name="T117" fmla="*/ 2147483647 h 2198"/>
                <a:gd name="T118" fmla="*/ 2147483647 w 2342"/>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2"/>
                <a:gd name="T181" fmla="*/ 0 h 2198"/>
                <a:gd name="T182" fmla="*/ 2342 w 2342"/>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2" h="2198">
                  <a:moveTo>
                    <a:pt x="1264" y="2198"/>
                  </a:moveTo>
                  <a:lnTo>
                    <a:pt x="1354" y="2130"/>
                  </a:lnTo>
                  <a:lnTo>
                    <a:pt x="1443" y="2061"/>
                  </a:lnTo>
                  <a:lnTo>
                    <a:pt x="1533" y="1993"/>
                  </a:lnTo>
                  <a:lnTo>
                    <a:pt x="1623" y="1924"/>
                  </a:lnTo>
                  <a:lnTo>
                    <a:pt x="1713" y="1856"/>
                  </a:lnTo>
                  <a:lnTo>
                    <a:pt x="1803" y="1788"/>
                  </a:lnTo>
                  <a:lnTo>
                    <a:pt x="1893" y="1719"/>
                  </a:lnTo>
                  <a:lnTo>
                    <a:pt x="1983" y="1651"/>
                  </a:lnTo>
                  <a:lnTo>
                    <a:pt x="2073" y="1583"/>
                  </a:lnTo>
                  <a:lnTo>
                    <a:pt x="2163" y="1514"/>
                  </a:lnTo>
                  <a:lnTo>
                    <a:pt x="2252" y="1446"/>
                  </a:lnTo>
                  <a:lnTo>
                    <a:pt x="2342" y="1378"/>
                  </a:lnTo>
                  <a:lnTo>
                    <a:pt x="2312" y="1338"/>
                  </a:lnTo>
                  <a:lnTo>
                    <a:pt x="2282" y="1300"/>
                  </a:lnTo>
                  <a:lnTo>
                    <a:pt x="2250" y="1261"/>
                  </a:lnTo>
                  <a:lnTo>
                    <a:pt x="2219" y="1223"/>
                  </a:lnTo>
                  <a:lnTo>
                    <a:pt x="2187" y="1185"/>
                  </a:lnTo>
                  <a:lnTo>
                    <a:pt x="2154" y="1148"/>
                  </a:lnTo>
                  <a:lnTo>
                    <a:pt x="2121" y="1111"/>
                  </a:lnTo>
                  <a:lnTo>
                    <a:pt x="2088" y="1075"/>
                  </a:lnTo>
                  <a:lnTo>
                    <a:pt x="2054" y="1038"/>
                  </a:lnTo>
                  <a:lnTo>
                    <a:pt x="2019" y="1003"/>
                  </a:lnTo>
                  <a:lnTo>
                    <a:pt x="1985" y="967"/>
                  </a:lnTo>
                  <a:lnTo>
                    <a:pt x="1949" y="933"/>
                  </a:lnTo>
                  <a:lnTo>
                    <a:pt x="1914" y="898"/>
                  </a:lnTo>
                  <a:lnTo>
                    <a:pt x="1878" y="864"/>
                  </a:lnTo>
                  <a:lnTo>
                    <a:pt x="1841" y="831"/>
                  </a:lnTo>
                  <a:lnTo>
                    <a:pt x="1805" y="797"/>
                  </a:lnTo>
                  <a:lnTo>
                    <a:pt x="1767" y="765"/>
                  </a:lnTo>
                  <a:lnTo>
                    <a:pt x="1730" y="733"/>
                  </a:lnTo>
                  <a:lnTo>
                    <a:pt x="1692" y="701"/>
                  </a:lnTo>
                  <a:lnTo>
                    <a:pt x="1653" y="670"/>
                  </a:lnTo>
                  <a:lnTo>
                    <a:pt x="1614" y="639"/>
                  </a:lnTo>
                  <a:lnTo>
                    <a:pt x="1575" y="609"/>
                  </a:lnTo>
                  <a:lnTo>
                    <a:pt x="1536" y="579"/>
                  </a:lnTo>
                  <a:lnTo>
                    <a:pt x="1496" y="549"/>
                  </a:lnTo>
                  <a:lnTo>
                    <a:pt x="1456" y="521"/>
                  </a:lnTo>
                  <a:lnTo>
                    <a:pt x="1415" y="492"/>
                  </a:lnTo>
                  <a:lnTo>
                    <a:pt x="1374" y="464"/>
                  </a:lnTo>
                  <a:lnTo>
                    <a:pt x="1333" y="437"/>
                  </a:lnTo>
                  <a:lnTo>
                    <a:pt x="1291" y="410"/>
                  </a:lnTo>
                  <a:lnTo>
                    <a:pt x="1249" y="384"/>
                  </a:lnTo>
                  <a:lnTo>
                    <a:pt x="1207" y="358"/>
                  </a:lnTo>
                  <a:lnTo>
                    <a:pt x="1165" y="333"/>
                  </a:lnTo>
                  <a:lnTo>
                    <a:pt x="1122" y="308"/>
                  </a:lnTo>
                  <a:lnTo>
                    <a:pt x="1079" y="283"/>
                  </a:lnTo>
                  <a:lnTo>
                    <a:pt x="1035" y="260"/>
                  </a:lnTo>
                  <a:lnTo>
                    <a:pt x="991" y="236"/>
                  </a:lnTo>
                  <a:lnTo>
                    <a:pt x="947" y="214"/>
                  </a:lnTo>
                  <a:lnTo>
                    <a:pt x="903" y="192"/>
                  </a:lnTo>
                  <a:lnTo>
                    <a:pt x="858" y="170"/>
                  </a:lnTo>
                  <a:lnTo>
                    <a:pt x="813" y="149"/>
                  </a:lnTo>
                  <a:lnTo>
                    <a:pt x="768" y="128"/>
                  </a:lnTo>
                  <a:lnTo>
                    <a:pt x="723" y="108"/>
                  </a:lnTo>
                  <a:lnTo>
                    <a:pt x="678" y="89"/>
                  </a:lnTo>
                  <a:lnTo>
                    <a:pt x="632" y="70"/>
                  </a:lnTo>
                  <a:lnTo>
                    <a:pt x="586" y="52"/>
                  </a:lnTo>
                  <a:lnTo>
                    <a:pt x="540" y="34"/>
                  </a:lnTo>
                  <a:lnTo>
                    <a:pt x="493" y="17"/>
                  </a:lnTo>
                  <a:lnTo>
                    <a:pt x="447" y="0"/>
                  </a:lnTo>
                  <a:lnTo>
                    <a:pt x="409" y="107"/>
                  </a:lnTo>
                  <a:lnTo>
                    <a:pt x="372" y="213"/>
                  </a:lnTo>
                  <a:lnTo>
                    <a:pt x="335" y="320"/>
                  </a:lnTo>
                  <a:lnTo>
                    <a:pt x="298" y="427"/>
                  </a:lnTo>
                  <a:lnTo>
                    <a:pt x="260" y="533"/>
                  </a:lnTo>
                  <a:lnTo>
                    <a:pt x="223" y="640"/>
                  </a:lnTo>
                  <a:lnTo>
                    <a:pt x="186" y="747"/>
                  </a:lnTo>
                  <a:lnTo>
                    <a:pt x="149" y="853"/>
                  </a:lnTo>
                  <a:lnTo>
                    <a:pt x="111" y="960"/>
                  </a:lnTo>
                  <a:lnTo>
                    <a:pt x="74" y="1066"/>
                  </a:lnTo>
                  <a:lnTo>
                    <a:pt x="37" y="1173"/>
                  </a:lnTo>
                  <a:lnTo>
                    <a:pt x="0" y="1280"/>
                  </a:lnTo>
                  <a:lnTo>
                    <a:pt x="31" y="1291"/>
                  </a:lnTo>
                  <a:lnTo>
                    <a:pt x="62" y="1302"/>
                  </a:lnTo>
                  <a:lnTo>
                    <a:pt x="93" y="1314"/>
                  </a:lnTo>
                  <a:lnTo>
                    <a:pt x="123" y="1326"/>
                  </a:lnTo>
                  <a:lnTo>
                    <a:pt x="154" y="1339"/>
                  </a:lnTo>
                  <a:lnTo>
                    <a:pt x="184" y="1352"/>
                  </a:lnTo>
                  <a:lnTo>
                    <a:pt x="214" y="1365"/>
                  </a:lnTo>
                  <a:lnTo>
                    <a:pt x="244" y="1379"/>
                  </a:lnTo>
                  <a:lnTo>
                    <a:pt x="274" y="1393"/>
                  </a:lnTo>
                  <a:lnTo>
                    <a:pt x="304" y="1407"/>
                  </a:lnTo>
                  <a:lnTo>
                    <a:pt x="334" y="1422"/>
                  </a:lnTo>
                  <a:lnTo>
                    <a:pt x="363" y="1437"/>
                  </a:lnTo>
                  <a:lnTo>
                    <a:pt x="392" y="1453"/>
                  </a:lnTo>
                  <a:lnTo>
                    <a:pt x="421" y="1468"/>
                  </a:lnTo>
                  <a:lnTo>
                    <a:pt x="450" y="1485"/>
                  </a:lnTo>
                  <a:lnTo>
                    <a:pt x="478" y="1501"/>
                  </a:lnTo>
                  <a:lnTo>
                    <a:pt x="507" y="1518"/>
                  </a:lnTo>
                  <a:lnTo>
                    <a:pt x="535" y="1535"/>
                  </a:lnTo>
                  <a:lnTo>
                    <a:pt x="563" y="1553"/>
                  </a:lnTo>
                  <a:lnTo>
                    <a:pt x="591" y="1571"/>
                  </a:lnTo>
                  <a:lnTo>
                    <a:pt x="618" y="1589"/>
                  </a:lnTo>
                  <a:lnTo>
                    <a:pt x="645" y="1608"/>
                  </a:lnTo>
                  <a:lnTo>
                    <a:pt x="672" y="1626"/>
                  </a:lnTo>
                  <a:lnTo>
                    <a:pt x="699" y="1646"/>
                  </a:lnTo>
                  <a:lnTo>
                    <a:pt x="726" y="1665"/>
                  </a:lnTo>
                  <a:lnTo>
                    <a:pt x="752" y="1685"/>
                  </a:lnTo>
                  <a:lnTo>
                    <a:pt x="778" y="1705"/>
                  </a:lnTo>
                  <a:lnTo>
                    <a:pt x="804" y="1726"/>
                  </a:lnTo>
                  <a:lnTo>
                    <a:pt x="830" y="1747"/>
                  </a:lnTo>
                  <a:lnTo>
                    <a:pt x="855" y="1768"/>
                  </a:lnTo>
                  <a:lnTo>
                    <a:pt x="880" y="1789"/>
                  </a:lnTo>
                  <a:lnTo>
                    <a:pt x="905" y="1811"/>
                  </a:lnTo>
                  <a:lnTo>
                    <a:pt x="930" y="1833"/>
                  </a:lnTo>
                  <a:lnTo>
                    <a:pt x="954" y="1856"/>
                  </a:lnTo>
                  <a:lnTo>
                    <a:pt x="978" y="1878"/>
                  </a:lnTo>
                  <a:lnTo>
                    <a:pt x="1002" y="1901"/>
                  </a:lnTo>
                  <a:lnTo>
                    <a:pt x="1025" y="1924"/>
                  </a:lnTo>
                  <a:lnTo>
                    <a:pt x="1048" y="1948"/>
                  </a:lnTo>
                  <a:lnTo>
                    <a:pt x="1071" y="1972"/>
                  </a:lnTo>
                  <a:lnTo>
                    <a:pt x="1094" y="1996"/>
                  </a:lnTo>
                  <a:lnTo>
                    <a:pt x="1116" y="2020"/>
                  </a:lnTo>
                  <a:lnTo>
                    <a:pt x="1138" y="2045"/>
                  </a:lnTo>
                  <a:lnTo>
                    <a:pt x="1160" y="2070"/>
                  </a:lnTo>
                  <a:lnTo>
                    <a:pt x="1181" y="2095"/>
                  </a:lnTo>
                  <a:lnTo>
                    <a:pt x="1202" y="2120"/>
                  </a:lnTo>
                  <a:lnTo>
                    <a:pt x="1223" y="2146"/>
                  </a:lnTo>
                  <a:lnTo>
                    <a:pt x="1244" y="2172"/>
                  </a:lnTo>
                  <a:lnTo>
                    <a:pt x="1264" y="2198"/>
                  </a:lnTo>
                </a:path>
              </a:pathLst>
            </a:custGeom>
            <a:solidFill>
              <a:srgbClr val="FFFF57"/>
            </a:solidFill>
            <a:ln w="25400">
              <a:solidFill>
                <a:srgbClr val="262626"/>
              </a:solidFill>
              <a:prstDash val="solid"/>
              <a:round/>
              <a:headEnd/>
              <a:tailEnd/>
            </a:ln>
          </xdr:spPr>
        </xdr:sp>
        <xdr:sp macro="" textlink="">
          <xdr:nvSpPr>
            <xdr:cNvPr id="18" name="Freeform 372"/>
            <xdr:cNvSpPr>
              <a:spLocks/>
            </xdr:cNvSpPr>
          </xdr:nvSpPr>
          <xdr:spPr bwMode="auto">
            <a:xfrm>
              <a:off x="3024822"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483" y="2258"/>
                  </a:moveTo>
                  <a:lnTo>
                    <a:pt x="596" y="2256"/>
                  </a:lnTo>
                  <a:lnTo>
                    <a:pt x="709" y="2253"/>
                  </a:lnTo>
                  <a:lnTo>
                    <a:pt x="822" y="2251"/>
                  </a:lnTo>
                  <a:lnTo>
                    <a:pt x="935" y="2248"/>
                  </a:lnTo>
                  <a:lnTo>
                    <a:pt x="1047" y="2246"/>
                  </a:lnTo>
                  <a:lnTo>
                    <a:pt x="1160" y="2243"/>
                  </a:lnTo>
                  <a:lnTo>
                    <a:pt x="1273" y="2241"/>
                  </a:lnTo>
                  <a:lnTo>
                    <a:pt x="1386" y="2239"/>
                  </a:lnTo>
                  <a:lnTo>
                    <a:pt x="1499" y="2236"/>
                  </a:lnTo>
                  <a:lnTo>
                    <a:pt x="1612" y="2234"/>
                  </a:lnTo>
                  <a:lnTo>
                    <a:pt x="1725" y="2231"/>
                  </a:lnTo>
                  <a:lnTo>
                    <a:pt x="1838" y="2229"/>
                  </a:lnTo>
                  <a:lnTo>
                    <a:pt x="1836" y="2179"/>
                  </a:lnTo>
                  <a:lnTo>
                    <a:pt x="1834" y="2130"/>
                  </a:lnTo>
                  <a:lnTo>
                    <a:pt x="1832" y="2080"/>
                  </a:lnTo>
                  <a:lnTo>
                    <a:pt x="1829" y="2031"/>
                  </a:lnTo>
                  <a:lnTo>
                    <a:pt x="1825" y="1982"/>
                  </a:lnTo>
                  <a:lnTo>
                    <a:pt x="1820" y="1932"/>
                  </a:lnTo>
                  <a:lnTo>
                    <a:pt x="1815" y="1883"/>
                  </a:lnTo>
                  <a:lnTo>
                    <a:pt x="1810" y="1834"/>
                  </a:lnTo>
                  <a:lnTo>
                    <a:pt x="1804" y="1785"/>
                  </a:lnTo>
                  <a:lnTo>
                    <a:pt x="1797" y="1736"/>
                  </a:lnTo>
                  <a:lnTo>
                    <a:pt x="1789" y="1687"/>
                  </a:lnTo>
                  <a:lnTo>
                    <a:pt x="1782" y="1638"/>
                  </a:lnTo>
                  <a:lnTo>
                    <a:pt x="1773" y="1589"/>
                  </a:lnTo>
                  <a:lnTo>
                    <a:pt x="1764" y="1540"/>
                  </a:lnTo>
                  <a:lnTo>
                    <a:pt x="1754" y="1492"/>
                  </a:lnTo>
                  <a:lnTo>
                    <a:pt x="1744" y="1443"/>
                  </a:lnTo>
                  <a:lnTo>
                    <a:pt x="1733" y="1395"/>
                  </a:lnTo>
                  <a:lnTo>
                    <a:pt x="1721" y="1347"/>
                  </a:lnTo>
                  <a:lnTo>
                    <a:pt x="1709" y="1299"/>
                  </a:lnTo>
                  <a:lnTo>
                    <a:pt x="1696" y="1251"/>
                  </a:lnTo>
                  <a:lnTo>
                    <a:pt x="1683" y="1203"/>
                  </a:lnTo>
                  <a:lnTo>
                    <a:pt x="1669" y="1156"/>
                  </a:lnTo>
                  <a:lnTo>
                    <a:pt x="1655" y="1108"/>
                  </a:lnTo>
                  <a:lnTo>
                    <a:pt x="1640" y="1061"/>
                  </a:lnTo>
                  <a:lnTo>
                    <a:pt x="1624" y="1014"/>
                  </a:lnTo>
                  <a:lnTo>
                    <a:pt x="1608" y="967"/>
                  </a:lnTo>
                  <a:lnTo>
                    <a:pt x="1591" y="921"/>
                  </a:lnTo>
                  <a:lnTo>
                    <a:pt x="1574" y="874"/>
                  </a:lnTo>
                  <a:lnTo>
                    <a:pt x="1556" y="828"/>
                  </a:lnTo>
                  <a:lnTo>
                    <a:pt x="1538" y="782"/>
                  </a:lnTo>
                  <a:lnTo>
                    <a:pt x="1519" y="736"/>
                  </a:lnTo>
                  <a:lnTo>
                    <a:pt x="1499" y="691"/>
                  </a:lnTo>
                  <a:lnTo>
                    <a:pt x="1479" y="646"/>
                  </a:lnTo>
                  <a:lnTo>
                    <a:pt x="1458" y="601"/>
                  </a:lnTo>
                  <a:lnTo>
                    <a:pt x="1437" y="556"/>
                  </a:lnTo>
                  <a:lnTo>
                    <a:pt x="1416" y="511"/>
                  </a:lnTo>
                  <a:lnTo>
                    <a:pt x="1393" y="467"/>
                  </a:lnTo>
                  <a:lnTo>
                    <a:pt x="1370" y="423"/>
                  </a:lnTo>
                  <a:lnTo>
                    <a:pt x="1347" y="379"/>
                  </a:lnTo>
                  <a:lnTo>
                    <a:pt x="1323" y="336"/>
                  </a:lnTo>
                  <a:lnTo>
                    <a:pt x="1299" y="293"/>
                  </a:lnTo>
                  <a:lnTo>
                    <a:pt x="1274" y="250"/>
                  </a:lnTo>
                  <a:lnTo>
                    <a:pt x="1248" y="208"/>
                  </a:lnTo>
                  <a:lnTo>
                    <a:pt x="1222" y="165"/>
                  </a:lnTo>
                  <a:lnTo>
                    <a:pt x="1196" y="124"/>
                  </a:lnTo>
                  <a:lnTo>
                    <a:pt x="1169" y="82"/>
                  </a:lnTo>
                  <a:lnTo>
                    <a:pt x="1142" y="41"/>
                  </a:lnTo>
                  <a:lnTo>
                    <a:pt x="1114" y="0"/>
                  </a:lnTo>
                  <a:lnTo>
                    <a:pt x="1021" y="64"/>
                  </a:lnTo>
                  <a:lnTo>
                    <a:pt x="928" y="129"/>
                  </a:lnTo>
                  <a:lnTo>
                    <a:pt x="835" y="193"/>
                  </a:lnTo>
                  <a:lnTo>
                    <a:pt x="742" y="258"/>
                  </a:lnTo>
                  <a:lnTo>
                    <a:pt x="650" y="322"/>
                  </a:lnTo>
                  <a:lnTo>
                    <a:pt x="557" y="386"/>
                  </a:lnTo>
                  <a:lnTo>
                    <a:pt x="464" y="451"/>
                  </a:lnTo>
                  <a:lnTo>
                    <a:pt x="371" y="515"/>
                  </a:lnTo>
                  <a:lnTo>
                    <a:pt x="279" y="579"/>
                  </a:lnTo>
                  <a:lnTo>
                    <a:pt x="186" y="644"/>
                  </a:lnTo>
                  <a:lnTo>
                    <a:pt x="93" y="708"/>
                  </a:lnTo>
                  <a:lnTo>
                    <a:pt x="0" y="773"/>
                  </a:lnTo>
                  <a:lnTo>
                    <a:pt x="19" y="800"/>
                  </a:lnTo>
                  <a:lnTo>
                    <a:pt x="37" y="827"/>
                  </a:lnTo>
                  <a:lnTo>
                    <a:pt x="55" y="855"/>
                  </a:lnTo>
                  <a:lnTo>
                    <a:pt x="73" y="883"/>
                  </a:lnTo>
                  <a:lnTo>
                    <a:pt x="90" y="911"/>
                  </a:lnTo>
                  <a:lnTo>
                    <a:pt x="107" y="939"/>
                  </a:lnTo>
                  <a:lnTo>
                    <a:pt x="124" y="968"/>
                  </a:lnTo>
                  <a:lnTo>
                    <a:pt x="140" y="996"/>
                  </a:lnTo>
                  <a:lnTo>
                    <a:pt x="156" y="1025"/>
                  </a:lnTo>
                  <a:lnTo>
                    <a:pt x="171" y="1055"/>
                  </a:lnTo>
                  <a:lnTo>
                    <a:pt x="187" y="1084"/>
                  </a:lnTo>
                  <a:lnTo>
                    <a:pt x="201" y="1113"/>
                  </a:lnTo>
                  <a:lnTo>
                    <a:pt x="216" y="1143"/>
                  </a:lnTo>
                  <a:lnTo>
                    <a:pt x="230" y="1173"/>
                  </a:lnTo>
                  <a:lnTo>
                    <a:pt x="244" y="1203"/>
                  </a:lnTo>
                  <a:lnTo>
                    <a:pt x="257" y="1233"/>
                  </a:lnTo>
                  <a:lnTo>
                    <a:pt x="270" y="1263"/>
                  </a:lnTo>
                  <a:lnTo>
                    <a:pt x="283" y="1294"/>
                  </a:lnTo>
                  <a:lnTo>
                    <a:pt x="295" y="1325"/>
                  </a:lnTo>
                  <a:lnTo>
                    <a:pt x="307" y="1355"/>
                  </a:lnTo>
                  <a:lnTo>
                    <a:pt x="319" y="1386"/>
                  </a:lnTo>
                  <a:lnTo>
                    <a:pt x="330" y="1417"/>
                  </a:lnTo>
                  <a:lnTo>
                    <a:pt x="341" y="1449"/>
                  </a:lnTo>
                  <a:lnTo>
                    <a:pt x="351" y="1480"/>
                  </a:lnTo>
                  <a:lnTo>
                    <a:pt x="361" y="1511"/>
                  </a:lnTo>
                  <a:lnTo>
                    <a:pt x="371" y="1543"/>
                  </a:lnTo>
                  <a:lnTo>
                    <a:pt x="380" y="1575"/>
                  </a:lnTo>
                  <a:lnTo>
                    <a:pt x="389" y="1606"/>
                  </a:lnTo>
                  <a:lnTo>
                    <a:pt x="397" y="1638"/>
                  </a:lnTo>
                  <a:lnTo>
                    <a:pt x="405" y="1670"/>
                  </a:lnTo>
                  <a:lnTo>
                    <a:pt x="413" y="1702"/>
                  </a:lnTo>
                  <a:lnTo>
                    <a:pt x="420" y="1735"/>
                  </a:lnTo>
                  <a:lnTo>
                    <a:pt x="427" y="1767"/>
                  </a:lnTo>
                  <a:lnTo>
                    <a:pt x="434" y="1799"/>
                  </a:lnTo>
                  <a:lnTo>
                    <a:pt x="440" y="1832"/>
                  </a:lnTo>
                  <a:lnTo>
                    <a:pt x="445" y="1864"/>
                  </a:lnTo>
                  <a:lnTo>
                    <a:pt x="451" y="1897"/>
                  </a:lnTo>
                  <a:lnTo>
                    <a:pt x="456" y="1930"/>
                  </a:lnTo>
                  <a:lnTo>
                    <a:pt x="460" y="1962"/>
                  </a:lnTo>
                  <a:lnTo>
                    <a:pt x="464" y="1995"/>
                  </a:lnTo>
                  <a:lnTo>
                    <a:pt x="468" y="2028"/>
                  </a:lnTo>
                  <a:lnTo>
                    <a:pt x="471" y="2061"/>
                  </a:lnTo>
                  <a:lnTo>
                    <a:pt x="474" y="2094"/>
                  </a:lnTo>
                  <a:lnTo>
                    <a:pt x="477" y="2126"/>
                  </a:lnTo>
                  <a:lnTo>
                    <a:pt x="479" y="2159"/>
                  </a:lnTo>
                  <a:lnTo>
                    <a:pt x="481" y="2192"/>
                  </a:lnTo>
                  <a:lnTo>
                    <a:pt x="482" y="2225"/>
                  </a:lnTo>
                  <a:lnTo>
                    <a:pt x="483" y="2258"/>
                  </a:lnTo>
                </a:path>
              </a:pathLst>
            </a:custGeom>
            <a:solidFill>
              <a:srgbClr val="54E349"/>
            </a:solidFill>
            <a:ln w="25400">
              <a:solidFill>
                <a:srgbClr val="262626"/>
              </a:solidFill>
              <a:prstDash val="solid"/>
              <a:round/>
              <a:headEnd/>
              <a:tailEnd/>
            </a:ln>
          </xdr:spPr>
        </xdr:sp>
        <xdr:sp macro="" textlink="">
          <xdr:nvSpPr>
            <xdr:cNvPr id="19" name="Freeform 377"/>
            <xdr:cNvSpPr>
              <a:spLocks/>
            </xdr:cNvSpPr>
          </xdr:nvSpPr>
          <xdr:spPr bwMode="auto">
            <a:xfrm>
              <a:off x="193063"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1838" y="773"/>
                  </a:moveTo>
                  <a:lnTo>
                    <a:pt x="1745" y="708"/>
                  </a:lnTo>
                  <a:lnTo>
                    <a:pt x="1653" y="644"/>
                  </a:lnTo>
                  <a:lnTo>
                    <a:pt x="1560" y="579"/>
                  </a:lnTo>
                  <a:lnTo>
                    <a:pt x="1467" y="515"/>
                  </a:lnTo>
                  <a:lnTo>
                    <a:pt x="1374" y="451"/>
                  </a:lnTo>
                  <a:lnTo>
                    <a:pt x="1281" y="386"/>
                  </a:lnTo>
                  <a:lnTo>
                    <a:pt x="1189" y="322"/>
                  </a:lnTo>
                  <a:lnTo>
                    <a:pt x="1096" y="258"/>
                  </a:lnTo>
                  <a:lnTo>
                    <a:pt x="1003" y="193"/>
                  </a:lnTo>
                  <a:lnTo>
                    <a:pt x="910" y="129"/>
                  </a:lnTo>
                  <a:lnTo>
                    <a:pt x="817" y="64"/>
                  </a:lnTo>
                  <a:lnTo>
                    <a:pt x="725" y="0"/>
                  </a:lnTo>
                  <a:lnTo>
                    <a:pt x="697" y="41"/>
                  </a:lnTo>
                  <a:lnTo>
                    <a:pt x="669" y="82"/>
                  </a:lnTo>
                  <a:lnTo>
                    <a:pt x="642" y="124"/>
                  </a:lnTo>
                  <a:lnTo>
                    <a:pt x="616" y="165"/>
                  </a:lnTo>
                  <a:lnTo>
                    <a:pt x="590" y="208"/>
                  </a:lnTo>
                  <a:lnTo>
                    <a:pt x="564" y="250"/>
                  </a:lnTo>
                  <a:lnTo>
                    <a:pt x="540" y="293"/>
                  </a:lnTo>
                  <a:lnTo>
                    <a:pt x="515" y="336"/>
                  </a:lnTo>
                  <a:lnTo>
                    <a:pt x="491" y="379"/>
                  </a:lnTo>
                  <a:lnTo>
                    <a:pt x="468" y="423"/>
                  </a:lnTo>
                  <a:lnTo>
                    <a:pt x="445" y="467"/>
                  </a:lnTo>
                  <a:lnTo>
                    <a:pt x="423" y="511"/>
                  </a:lnTo>
                  <a:lnTo>
                    <a:pt x="401" y="556"/>
                  </a:lnTo>
                  <a:lnTo>
                    <a:pt x="380" y="601"/>
                  </a:lnTo>
                  <a:lnTo>
                    <a:pt x="359" y="646"/>
                  </a:lnTo>
                  <a:lnTo>
                    <a:pt x="339" y="691"/>
                  </a:lnTo>
                  <a:lnTo>
                    <a:pt x="320" y="736"/>
                  </a:lnTo>
                  <a:lnTo>
                    <a:pt x="301" y="782"/>
                  </a:lnTo>
                  <a:lnTo>
                    <a:pt x="282" y="828"/>
                  </a:lnTo>
                  <a:lnTo>
                    <a:pt x="264" y="874"/>
                  </a:lnTo>
                  <a:lnTo>
                    <a:pt x="247" y="921"/>
                  </a:lnTo>
                  <a:lnTo>
                    <a:pt x="230" y="967"/>
                  </a:lnTo>
                  <a:lnTo>
                    <a:pt x="214" y="1014"/>
                  </a:lnTo>
                  <a:lnTo>
                    <a:pt x="199" y="1061"/>
                  </a:lnTo>
                  <a:lnTo>
                    <a:pt x="183" y="1108"/>
                  </a:lnTo>
                  <a:lnTo>
                    <a:pt x="169" y="1156"/>
                  </a:lnTo>
                  <a:lnTo>
                    <a:pt x="155" y="1203"/>
                  </a:lnTo>
                  <a:lnTo>
                    <a:pt x="142" y="1251"/>
                  </a:lnTo>
                  <a:lnTo>
                    <a:pt x="129" y="1299"/>
                  </a:lnTo>
                  <a:lnTo>
                    <a:pt x="117" y="1347"/>
                  </a:lnTo>
                  <a:lnTo>
                    <a:pt x="106" y="1395"/>
                  </a:lnTo>
                  <a:lnTo>
                    <a:pt x="95" y="1443"/>
                  </a:lnTo>
                  <a:lnTo>
                    <a:pt x="84" y="1492"/>
                  </a:lnTo>
                  <a:lnTo>
                    <a:pt x="75" y="1540"/>
                  </a:lnTo>
                  <a:lnTo>
                    <a:pt x="65" y="1589"/>
                  </a:lnTo>
                  <a:lnTo>
                    <a:pt x="57" y="1638"/>
                  </a:lnTo>
                  <a:lnTo>
                    <a:pt x="49" y="1687"/>
                  </a:lnTo>
                  <a:lnTo>
                    <a:pt x="41" y="1736"/>
                  </a:lnTo>
                  <a:lnTo>
                    <a:pt x="35" y="1785"/>
                  </a:lnTo>
                  <a:lnTo>
                    <a:pt x="28" y="1834"/>
                  </a:lnTo>
                  <a:lnTo>
                    <a:pt x="23" y="1883"/>
                  </a:lnTo>
                  <a:lnTo>
                    <a:pt x="18" y="1932"/>
                  </a:lnTo>
                  <a:lnTo>
                    <a:pt x="13" y="1982"/>
                  </a:lnTo>
                  <a:lnTo>
                    <a:pt x="10" y="2031"/>
                  </a:lnTo>
                  <a:lnTo>
                    <a:pt x="6" y="2080"/>
                  </a:lnTo>
                  <a:lnTo>
                    <a:pt x="4" y="2130"/>
                  </a:lnTo>
                  <a:lnTo>
                    <a:pt x="2" y="2179"/>
                  </a:lnTo>
                  <a:lnTo>
                    <a:pt x="0" y="2229"/>
                  </a:lnTo>
                  <a:lnTo>
                    <a:pt x="113" y="2231"/>
                  </a:lnTo>
                  <a:lnTo>
                    <a:pt x="226" y="2234"/>
                  </a:lnTo>
                  <a:lnTo>
                    <a:pt x="339" y="2236"/>
                  </a:lnTo>
                  <a:lnTo>
                    <a:pt x="452" y="2239"/>
                  </a:lnTo>
                  <a:lnTo>
                    <a:pt x="565" y="2241"/>
                  </a:lnTo>
                  <a:lnTo>
                    <a:pt x="678" y="2243"/>
                  </a:lnTo>
                  <a:lnTo>
                    <a:pt x="791" y="2246"/>
                  </a:lnTo>
                  <a:lnTo>
                    <a:pt x="904" y="2248"/>
                  </a:lnTo>
                  <a:lnTo>
                    <a:pt x="1017" y="2251"/>
                  </a:lnTo>
                  <a:lnTo>
                    <a:pt x="1130" y="2253"/>
                  </a:lnTo>
                  <a:lnTo>
                    <a:pt x="1242" y="2256"/>
                  </a:lnTo>
                  <a:lnTo>
                    <a:pt x="1355" y="2258"/>
                  </a:lnTo>
                  <a:lnTo>
                    <a:pt x="1356" y="2225"/>
                  </a:lnTo>
                  <a:lnTo>
                    <a:pt x="1358" y="2192"/>
                  </a:lnTo>
                  <a:lnTo>
                    <a:pt x="1359" y="2159"/>
                  </a:lnTo>
                  <a:lnTo>
                    <a:pt x="1361" y="2126"/>
                  </a:lnTo>
                  <a:lnTo>
                    <a:pt x="1364" y="2094"/>
                  </a:lnTo>
                  <a:lnTo>
                    <a:pt x="1367" y="2061"/>
                  </a:lnTo>
                  <a:lnTo>
                    <a:pt x="1370" y="2028"/>
                  </a:lnTo>
                  <a:lnTo>
                    <a:pt x="1374" y="1995"/>
                  </a:lnTo>
                  <a:lnTo>
                    <a:pt x="1378" y="1962"/>
                  </a:lnTo>
                  <a:lnTo>
                    <a:pt x="1383" y="1930"/>
                  </a:lnTo>
                  <a:lnTo>
                    <a:pt x="1388" y="1897"/>
                  </a:lnTo>
                  <a:lnTo>
                    <a:pt x="1393" y="1864"/>
                  </a:lnTo>
                  <a:lnTo>
                    <a:pt x="1399" y="1832"/>
                  </a:lnTo>
                  <a:lnTo>
                    <a:pt x="1405" y="1799"/>
                  </a:lnTo>
                  <a:lnTo>
                    <a:pt x="1411" y="1767"/>
                  </a:lnTo>
                  <a:lnTo>
                    <a:pt x="1418" y="1735"/>
                  </a:lnTo>
                  <a:lnTo>
                    <a:pt x="1425" y="1702"/>
                  </a:lnTo>
                  <a:lnTo>
                    <a:pt x="1433" y="1670"/>
                  </a:lnTo>
                  <a:lnTo>
                    <a:pt x="1441" y="1638"/>
                  </a:lnTo>
                  <a:lnTo>
                    <a:pt x="1450" y="1606"/>
                  </a:lnTo>
                  <a:lnTo>
                    <a:pt x="1459" y="1575"/>
                  </a:lnTo>
                  <a:lnTo>
                    <a:pt x="1468" y="1543"/>
                  </a:lnTo>
                  <a:lnTo>
                    <a:pt x="1477" y="1511"/>
                  </a:lnTo>
                  <a:lnTo>
                    <a:pt x="1487" y="1480"/>
                  </a:lnTo>
                  <a:lnTo>
                    <a:pt x="1498" y="1449"/>
                  </a:lnTo>
                  <a:lnTo>
                    <a:pt x="1509" y="1417"/>
                  </a:lnTo>
                  <a:lnTo>
                    <a:pt x="1520" y="1386"/>
                  </a:lnTo>
                  <a:lnTo>
                    <a:pt x="1531" y="1355"/>
                  </a:lnTo>
                  <a:lnTo>
                    <a:pt x="1543" y="1325"/>
                  </a:lnTo>
                  <a:lnTo>
                    <a:pt x="1555" y="1294"/>
                  </a:lnTo>
                  <a:lnTo>
                    <a:pt x="1568" y="1263"/>
                  </a:lnTo>
                  <a:lnTo>
                    <a:pt x="1581" y="1233"/>
                  </a:lnTo>
                  <a:lnTo>
                    <a:pt x="1595" y="1203"/>
                  </a:lnTo>
                  <a:lnTo>
                    <a:pt x="1608" y="1173"/>
                  </a:lnTo>
                  <a:lnTo>
                    <a:pt x="1622" y="1143"/>
                  </a:lnTo>
                  <a:lnTo>
                    <a:pt x="1637" y="1113"/>
                  </a:lnTo>
                  <a:lnTo>
                    <a:pt x="1652" y="1084"/>
                  </a:lnTo>
                  <a:lnTo>
                    <a:pt x="1667" y="1055"/>
                  </a:lnTo>
                  <a:lnTo>
                    <a:pt x="1683" y="1025"/>
                  </a:lnTo>
                  <a:lnTo>
                    <a:pt x="1698" y="996"/>
                  </a:lnTo>
                  <a:lnTo>
                    <a:pt x="1715" y="968"/>
                  </a:lnTo>
                  <a:lnTo>
                    <a:pt x="1731" y="939"/>
                  </a:lnTo>
                  <a:lnTo>
                    <a:pt x="1748" y="911"/>
                  </a:lnTo>
                  <a:lnTo>
                    <a:pt x="1766" y="883"/>
                  </a:lnTo>
                  <a:lnTo>
                    <a:pt x="1783" y="855"/>
                  </a:lnTo>
                  <a:lnTo>
                    <a:pt x="1801" y="827"/>
                  </a:lnTo>
                  <a:lnTo>
                    <a:pt x="1820" y="800"/>
                  </a:lnTo>
                  <a:lnTo>
                    <a:pt x="1838" y="773"/>
                  </a:lnTo>
                </a:path>
              </a:pathLst>
            </a:custGeom>
            <a:solidFill>
              <a:srgbClr val="FF3333"/>
            </a:solidFill>
            <a:ln w="25400">
              <a:solidFill>
                <a:srgbClr val="262626"/>
              </a:solidFill>
              <a:prstDash val="solid"/>
              <a:round/>
              <a:headEnd/>
              <a:tailEnd/>
            </a:ln>
          </xdr:spPr>
        </xdr:sp>
        <xdr:sp macro="" textlink="">
          <xdr:nvSpPr>
            <xdr:cNvPr id="20" name="Freeform 383"/>
            <xdr:cNvSpPr>
              <a:spLocks/>
            </xdr:cNvSpPr>
          </xdr:nvSpPr>
          <xdr:spPr bwMode="auto">
            <a:xfrm>
              <a:off x="565940" y="1258057"/>
              <a:ext cx="1054698" cy="991636"/>
            </a:xfrm>
            <a:custGeom>
              <a:avLst/>
              <a:gdLst>
                <a:gd name="T0" fmla="*/ 2147483647 w 2343"/>
                <a:gd name="T1" fmla="*/ 2147483647 h 2198"/>
                <a:gd name="T2" fmla="*/ 2147483647 w 2343"/>
                <a:gd name="T3" fmla="*/ 2147483647 h 2198"/>
                <a:gd name="T4" fmla="*/ 2147483647 w 2343"/>
                <a:gd name="T5" fmla="*/ 2147483647 h 2198"/>
                <a:gd name="T6" fmla="*/ 2147483647 w 2343"/>
                <a:gd name="T7" fmla="*/ 2147483647 h 2198"/>
                <a:gd name="T8" fmla="*/ 2147483647 w 2343"/>
                <a:gd name="T9" fmla="*/ 2147483647 h 2198"/>
                <a:gd name="T10" fmla="*/ 2147483647 w 2343"/>
                <a:gd name="T11" fmla="*/ 2147483647 h 2198"/>
                <a:gd name="T12" fmla="*/ 2147483647 w 2343"/>
                <a:gd name="T13" fmla="*/ 2147483647 h 2198"/>
                <a:gd name="T14" fmla="*/ 2147483647 w 2343"/>
                <a:gd name="T15" fmla="*/ 2147483647 h 2198"/>
                <a:gd name="T16" fmla="*/ 2147483647 w 2343"/>
                <a:gd name="T17" fmla="*/ 2147483647 h 2198"/>
                <a:gd name="T18" fmla="*/ 2147483647 w 2343"/>
                <a:gd name="T19" fmla="*/ 2147483647 h 2198"/>
                <a:gd name="T20" fmla="*/ 2147483647 w 2343"/>
                <a:gd name="T21" fmla="*/ 2147483647 h 2198"/>
                <a:gd name="T22" fmla="*/ 2147483647 w 2343"/>
                <a:gd name="T23" fmla="*/ 2147483647 h 2198"/>
                <a:gd name="T24" fmla="*/ 2147483647 w 2343"/>
                <a:gd name="T25" fmla="*/ 2147483647 h 2198"/>
                <a:gd name="T26" fmla="*/ 2147483647 w 2343"/>
                <a:gd name="T27" fmla="*/ 2147483647 h 2198"/>
                <a:gd name="T28" fmla="*/ 2147483647 w 2343"/>
                <a:gd name="T29" fmla="*/ 2147483647 h 2198"/>
                <a:gd name="T30" fmla="*/ 2147483647 w 2343"/>
                <a:gd name="T31" fmla="*/ 2147483647 h 2198"/>
                <a:gd name="T32" fmla="*/ 2147483647 w 2343"/>
                <a:gd name="T33" fmla="*/ 2147483647 h 2198"/>
                <a:gd name="T34" fmla="*/ 2147483647 w 2343"/>
                <a:gd name="T35" fmla="*/ 2147483647 h 2198"/>
                <a:gd name="T36" fmla="*/ 2147483647 w 2343"/>
                <a:gd name="T37" fmla="*/ 2147483647 h 2198"/>
                <a:gd name="T38" fmla="*/ 2147483647 w 2343"/>
                <a:gd name="T39" fmla="*/ 2147483647 h 2198"/>
                <a:gd name="T40" fmla="*/ 2147483647 w 2343"/>
                <a:gd name="T41" fmla="*/ 2147483647 h 2198"/>
                <a:gd name="T42" fmla="*/ 2147483647 w 2343"/>
                <a:gd name="T43" fmla="*/ 2147483647 h 2198"/>
                <a:gd name="T44" fmla="*/ 2147483647 w 2343"/>
                <a:gd name="T45" fmla="*/ 2147483647 h 2198"/>
                <a:gd name="T46" fmla="*/ 2147483647 w 2343"/>
                <a:gd name="T47" fmla="*/ 2147483647 h 2198"/>
                <a:gd name="T48" fmla="*/ 2147483647 w 2343"/>
                <a:gd name="T49" fmla="*/ 2147483647 h 2198"/>
                <a:gd name="T50" fmla="*/ 2147483647 w 2343"/>
                <a:gd name="T51" fmla="*/ 2147483647 h 2198"/>
                <a:gd name="T52" fmla="*/ 2147483647 w 2343"/>
                <a:gd name="T53" fmla="*/ 2147483647 h 2198"/>
                <a:gd name="T54" fmla="*/ 2147483647 w 2343"/>
                <a:gd name="T55" fmla="*/ 2147483647 h 2198"/>
                <a:gd name="T56" fmla="*/ 2147483647 w 2343"/>
                <a:gd name="T57" fmla="*/ 2147483647 h 2198"/>
                <a:gd name="T58" fmla="*/ 2147483647 w 2343"/>
                <a:gd name="T59" fmla="*/ 2147483647 h 2198"/>
                <a:gd name="T60" fmla="*/ 2147483647 w 2343"/>
                <a:gd name="T61" fmla="*/ 2147483647 h 2198"/>
                <a:gd name="T62" fmla="*/ 2147483647 w 2343"/>
                <a:gd name="T63" fmla="*/ 2147483647 h 2198"/>
                <a:gd name="T64" fmla="*/ 2147483647 w 2343"/>
                <a:gd name="T65" fmla="*/ 2147483647 h 2198"/>
                <a:gd name="T66" fmla="*/ 2147483647 w 2343"/>
                <a:gd name="T67" fmla="*/ 2147483647 h 2198"/>
                <a:gd name="T68" fmla="*/ 2147483647 w 2343"/>
                <a:gd name="T69" fmla="*/ 2147483647 h 2198"/>
                <a:gd name="T70" fmla="*/ 2147483647 w 2343"/>
                <a:gd name="T71" fmla="*/ 2147483647 h 2198"/>
                <a:gd name="T72" fmla="*/ 2147483647 w 2343"/>
                <a:gd name="T73" fmla="*/ 2147483647 h 2198"/>
                <a:gd name="T74" fmla="*/ 2147483647 w 2343"/>
                <a:gd name="T75" fmla="*/ 2147483647 h 2198"/>
                <a:gd name="T76" fmla="*/ 2147483647 w 2343"/>
                <a:gd name="T77" fmla="*/ 2147483647 h 2198"/>
                <a:gd name="T78" fmla="*/ 2147483647 w 2343"/>
                <a:gd name="T79" fmla="*/ 2147483647 h 2198"/>
                <a:gd name="T80" fmla="*/ 2147483647 w 2343"/>
                <a:gd name="T81" fmla="*/ 2147483647 h 2198"/>
                <a:gd name="T82" fmla="*/ 2147483647 w 2343"/>
                <a:gd name="T83" fmla="*/ 2147483647 h 2198"/>
                <a:gd name="T84" fmla="*/ 2147483647 w 2343"/>
                <a:gd name="T85" fmla="*/ 2147483647 h 2198"/>
                <a:gd name="T86" fmla="*/ 2147483647 w 2343"/>
                <a:gd name="T87" fmla="*/ 2147483647 h 2198"/>
                <a:gd name="T88" fmla="*/ 2147483647 w 2343"/>
                <a:gd name="T89" fmla="*/ 2147483647 h 2198"/>
                <a:gd name="T90" fmla="*/ 2147483647 w 2343"/>
                <a:gd name="T91" fmla="*/ 2147483647 h 2198"/>
                <a:gd name="T92" fmla="*/ 2147483647 w 2343"/>
                <a:gd name="T93" fmla="*/ 2147483647 h 2198"/>
                <a:gd name="T94" fmla="*/ 2147483647 w 2343"/>
                <a:gd name="T95" fmla="*/ 2147483647 h 2198"/>
                <a:gd name="T96" fmla="*/ 2147483647 w 2343"/>
                <a:gd name="T97" fmla="*/ 2147483647 h 2198"/>
                <a:gd name="T98" fmla="*/ 2147483647 w 2343"/>
                <a:gd name="T99" fmla="*/ 2147483647 h 2198"/>
                <a:gd name="T100" fmla="*/ 2147483647 w 2343"/>
                <a:gd name="T101" fmla="*/ 2147483647 h 2198"/>
                <a:gd name="T102" fmla="*/ 2147483647 w 2343"/>
                <a:gd name="T103" fmla="*/ 2147483647 h 2198"/>
                <a:gd name="T104" fmla="*/ 2147483647 w 2343"/>
                <a:gd name="T105" fmla="*/ 2147483647 h 2198"/>
                <a:gd name="T106" fmla="*/ 2147483647 w 2343"/>
                <a:gd name="T107" fmla="*/ 2147483647 h 2198"/>
                <a:gd name="T108" fmla="*/ 2147483647 w 2343"/>
                <a:gd name="T109" fmla="*/ 2147483647 h 2198"/>
                <a:gd name="T110" fmla="*/ 2147483647 w 2343"/>
                <a:gd name="T111" fmla="*/ 2147483647 h 2198"/>
                <a:gd name="T112" fmla="*/ 2147483647 w 2343"/>
                <a:gd name="T113" fmla="*/ 2147483647 h 2198"/>
                <a:gd name="T114" fmla="*/ 2147483647 w 2343"/>
                <a:gd name="T115" fmla="*/ 2147483647 h 2198"/>
                <a:gd name="T116" fmla="*/ 2147483647 w 2343"/>
                <a:gd name="T117" fmla="*/ 2147483647 h 2198"/>
                <a:gd name="T118" fmla="*/ 2147483647 w 2343"/>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3"/>
                <a:gd name="T181" fmla="*/ 0 h 2198"/>
                <a:gd name="T182" fmla="*/ 2343 w 2343"/>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3" h="2198">
                  <a:moveTo>
                    <a:pt x="2343" y="1280"/>
                  </a:moveTo>
                  <a:lnTo>
                    <a:pt x="2305" y="1173"/>
                  </a:lnTo>
                  <a:lnTo>
                    <a:pt x="2268" y="1066"/>
                  </a:lnTo>
                  <a:lnTo>
                    <a:pt x="2231" y="960"/>
                  </a:lnTo>
                  <a:lnTo>
                    <a:pt x="2194" y="853"/>
                  </a:lnTo>
                  <a:lnTo>
                    <a:pt x="2156" y="747"/>
                  </a:lnTo>
                  <a:lnTo>
                    <a:pt x="2119" y="640"/>
                  </a:lnTo>
                  <a:lnTo>
                    <a:pt x="2082" y="533"/>
                  </a:lnTo>
                  <a:lnTo>
                    <a:pt x="2045" y="427"/>
                  </a:lnTo>
                  <a:lnTo>
                    <a:pt x="2007" y="320"/>
                  </a:lnTo>
                  <a:lnTo>
                    <a:pt x="1970" y="213"/>
                  </a:lnTo>
                  <a:lnTo>
                    <a:pt x="1933" y="107"/>
                  </a:lnTo>
                  <a:lnTo>
                    <a:pt x="1896" y="0"/>
                  </a:lnTo>
                  <a:lnTo>
                    <a:pt x="1849" y="17"/>
                  </a:lnTo>
                  <a:lnTo>
                    <a:pt x="1803" y="34"/>
                  </a:lnTo>
                  <a:lnTo>
                    <a:pt x="1757" y="52"/>
                  </a:lnTo>
                  <a:lnTo>
                    <a:pt x="1711" y="70"/>
                  </a:lnTo>
                  <a:lnTo>
                    <a:pt x="1665" y="89"/>
                  </a:lnTo>
                  <a:lnTo>
                    <a:pt x="1619" y="108"/>
                  </a:lnTo>
                  <a:lnTo>
                    <a:pt x="1574" y="128"/>
                  </a:lnTo>
                  <a:lnTo>
                    <a:pt x="1529" y="149"/>
                  </a:lnTo>
                  <a:lnTo>
                    <a:pt x="1484" y="170"/>
                  </a:lnTo>
                  <a:lnTo>
                    <a:pt x="1439" y="192"/>
                  </a:lnTo>
                  <a:lnTo>
                    <a:pt x="1395" y="214"/>
                  </a:lnTo>
                  <a:lnTo>
                    <a:pt x="1351" y="236"/>
                  </a:lnTo>
                  <a:lnTo>
                    <a:pt x="1307" y="260"/>
                  </a:lnTo>
                  <a:lnTo>
                    <a:pt x="1264" y="283"/>
                  </a:lnTo>
                  <a:lnTo>
                    <a:pt x="1221" y="308"/>
                  </a:lnTo>
                  <a:lnTo>
                    <a:pt x="1178" y="333"/>
                  </a:lnTo>
                  <a:lnTo>
                    <a:pt x="1135" y="358"/>
                  </a:lnTo>
                  <a:lnTo>
                    <a:pt x="1093" y="384"/>
                  </a:lnTo>
                  <a:lnTo>
                    <a:pt x="1051" y="410"/>
                  </a:lnTo>
                  <a:lnTo>
                    <a:pt x="1009" y="437"/>
                  </a:lnTo>
                  <a:lnTo>
                    <a:pt x="968" y="464"/>
                  </a:lnTo>
                  <a:lnTo>
                    <a:pt x="927" y="492"/>
                  </a:lnTo>
                  <a:lnTo>
                    <a:pt x="887" y="520"/>
                  </a:lnTo>
                  <a:lnTo>
                    <a:pt x="846" y="549"/>
                  </a:lnTo>
                  <a:lnTo>
                    <a:pt x="807" y="579"/>
                  </a:lnTo>
                  <a:lnTo>
                    <a:pt x="767" y="609"/>
                  </a:lnTo>
                  <a:lnTo>
                    <a:pt x="728" y="639"/>
                  </a:lnTo>
                  <a:lnTo>
                    <a:pt x="689" y="670"/>
                  </a:lnTo>
                  <a:lnTo>
                    <a:pt x="651" y="701"/>
                  </a:lnTo>
                  <a:lnTo>
                    <a:pt x="613" y="733"/>
                  </a:lnTo>
                  <a:lnTo>
                    <a:pt x="575" y="765"/>
                  </a:lnTo>
                  <a:lnTo>
                    <a:pt x="538" y="797"/>
                  </a:lnTo>
                  <a:lnTo>
                    <a:pt x="501" y="831"/>
                  </a:lnTo>
                  <a:lnTo>
                    <a:pt x="465" y="864"/>
                  </a:lnTo>
                  <a:lnTo>
                    <a:pt x="428" y="898"/>
                  </a:lnTo>
                  <a:lnTo>
                    <a:pt x="393" y="933"/>
                  </a:lnTo>
                  <a:lnTo>
                    <a:pt x="358" y="967"/>
                  </a:lnTo>
                  <a:lnTo>
                    <a:pt x="323" y="1003"/>
                  </a:lnTo>
                  <a:lnTo>
                    <a:pt x="289" y="1038"/>
                  </a:lnTo>
                  <a:lnTo>
                    <a:pt x="255" y="1075"/>
                  </a:lnTo>
                  <a:lnTo>
                    <a:pt x="221" y="1111"/>
                  </a:lnTo>
                  <a:lnTo>
                    <a:pt x="188" y="1148"/>
                  </a:lnTo>
                  <a:lnTo>
                    <a:pt x="156" y="1185"/>
                  </a:lnTo>
                  <a:lnTo>
                    <a:pt x="124" y="1223"/>
                  </a:lnTo>
                  <a:lnTo>
                    <a:pt x="92" y="1261"/>
                  </a:lnTo>
                  <a:lnTo>
                    <a:pt x="61" y="1300"/>
                  </a:lnTo>
                  <a:lnTo>
                    <a:pt x="30" y="1338"/>
                  </a:lnTo>
                  <a:lnTo>
                    <a:pt x="0" y="1378"/>
                  </a:lnTo>
                  <a:lnTo>
                    <a:pt x="90" y="1446"/>
                  </a:lnTo>
                  <a:lnTo>
                    <a:pt x="180" y="1514"/>
                  </a:lnTo>
                  <a:lnTo>
                    <a:pt x="270" y="1583"/>
                  </a:lnTo>
                  <a:lnTo>
                    <a:pt x="359" y="1651"/>
                  </a:lnTo>
                  <a:lnTo>
                    <a:pt x="449" y="1719"/>
                  </a:lnTo>
                  <a:lnTo>
                    <a:pt x="539" y="1788"/>
                  </a:lnTo>
                  <a:lnTo>
                    <a:pt x="629" y="1856"/>
                  </a:lnTo>
                  <a:lnTo>
                    <a:pt x="719" y="1924"/>
                  </a:lnTo>
                  <a:lnTo>
                    <a:pt x="809" y="1993"/>
                  </a:lnTo>
                  <a:lnTo>
                    <a:pt x="899" y="2061"/>
                  </a:lnTo>
                  <a:lnTo>
                    <a:pt x="989" y="2130"/>
                  </a:lnTo>
                  <a:lnTo>
                    <a:pt x="1079" y="2198"/>
                  </a:lnTo>
                  <a:lnTo>
                    <a:pt x="1099" y="2172"/>
                  </a:lnTo>
                  <a:lnTo>
                    <a:pt x="1119" y="2146"/>
                  </a:lnTo>
                  <a:lnTo>
                    <a:pt x="1140" y="2120"/>
                  </a:lnTo>
                  <a:lnTo>
                    <a:pt x="1161" y="2095"/>
                  </a:lnTo>
                  <a:lnTo>
                    <a:pt x="1182" y="2070"/>
                  </a:lnTo>
                  <a:lnTo>
                    <a:pt x="1204" y="2045"/>
                  </a:lnTo>
                  <a:lnTo>
                    <a:pt x="1226" y="2020"/>
                  </a:lnTo>
                  <a:lnTo>
                    <a:pt x="1248" y="1996"/>
                  </a:lnTo>
                  <a:lnTo>
                    <a:pt x="1271" y="1972"/>
                  </a:lnTo>
                  <a:lnTo>
                    <a:pt x="1294" y="1948"/>
                  </a:lnTo>
                  <a:lnTo>
                    <a:pt x="1317" y="1924"/>
                  </a:lnTo>
                  <a:lnTo>
                    <a:pt x="1341" y="1901"/>
                  </a:lnTo>
                  <a:lnTo>
                    <a:pt x="1364" y="1878"/>
                  </a:lnTo>
                  <a:lnTo>
                    <a:pt x="1388" y="1856"/>
                  </a:lnTo>
                  <a:lnTo>
                    <a:pt x="1413" y="1833"/>
                  </a:lnTo>
                  <a:lnTo>
                    <a:pt x="1437" y="1811"/>
                  </a:lnTo>
                  <a:lnTo>
                    <a:pt x="1462" y="1789"/>
                  </a:lnTo>
                  <a:lnTo>
                    <a:pt x="1487" y="1768"/>
                  </a:lnTo>
                  <a:lnTo>
                    <a:pt x="1513" y="1747"/>
                  </a:lnTo>
                  <a:lnTo>
                    <a:pt x="1538" y="1726"/>
                  </a:lnTo>
                  <a:lnTo>
                    <a:pt x="1564" y="1705"/>
                  </a:lnTo>
                  <a:lnTo>
                    <a:pt x="1590" y="1685"/>
                  </a:lnTo>
                  <a:lnTo>
                    <a:pt x="1616" y="1665"/>
                  </a:lnTo>
                  <a:lnTo>
                    <a:pt x="1643" y="1646"/>
                  </a:lnTo>
                  <a:lnTo>
                    <a:pt x="1670" y="1626"/>
                  </a:lnTo>
                  <a:lnTo>
                    <a:pt x="1697" y="1608"/>
                  </a:lnTo>
                  <a:lnTo>
                    <a:pt x="1724" y="1589"/>
                  </a:lnTo>
                  <a:lnTo>
                    <a:pt x="1752" y="1571"/>
                  </a:lnTo>
                  <a:lnTo>
                    <a:pt x="1779" y="1553"/>
                  </a:lnTo>
                  <a:lnTo>
                    <a:pt x="1807" y="1535"/>
                  </a:lnTo>
                  <a:lnTo>
                    <a:pt x="1836" y="1518"/>
                  </a:lnTo>
                  <a:lnTo>
                    <a:pt x="1864" y="1501"/>
                  </a:lnTo>
                  <a:lnTo>
                    <a:pt x="1892" y="1485"/>
                  </a:lnTo>
                  <a:lnTo>
                    <a:pt x="1921" y="1468"/>
                  </a:lnTo>
                  <a:lnTo>
                    <a:pt x="1950" y="1453"/>
                  </a:lnTo>
                  <a:lnTo>
                    <a:pt x="1979" y="1437"/>
                  </a:lnTo>
                  <a:lnTo>
                    <a:pt x="2009" y="1422"/>
                  </a:lnTo>
                  <a:lnTo>
                    <a:pt x="2038" y="1407"/>
                  </a:lnTo>
                  <a:lnTo>
                    <a:pt x="2068" y="1393"/>
                  </a:lnTo>
                  <a:lnTo>
                    <a:pt x="2098" y="1379"/>
                  </a:lnTo>
                  <a:lnTo>
                    <a:pt x="2128" y="1365"/>
                  </a:lnTo>
                  <a:lnTo>
                    <a:pt x="2158" y="1352"/>
                  </a:lnTo>
                  <a:lnTo>
                    <a:pt x="2189" y="1339"/>
                  </a:lnTo>
                  <a:lnTo>
                    <a:pt x="2219" y="1326"/>
                  </a:lnTo>
                  <a:lnTo>
                    <a:pt x="2250" y="1314"/>
                  </a:lnTo>
                  <a:lnTo>
                    <a:pt x="2281" y="1302"/>
                  </a:lnTo>
                  <a:lnTo>
                    <a:pt x="2311" y="1291"/>
                  </a:lnTo>
                  <a:lnTo>
                    <a:pt x="2343" y="1280"/>
                  </a:lnTo>
                </a:path>
              </a:pathLst>
            </a:custGeom>
            <a:solidFill>
              <a:srgbClr val="FFC229"/>
            </a:solidFill>
            <a:ln w="25400">
              <a:solidFill>
                <a:srgbClr val="262626"/>
              </a:solidFill>
              <a:prstDash val="solid"/>
              <a:round/>
              <a:headEnd/>
              <a:tailEnd/>
            </a:ln>
          </xdr:spPr>
        </xdr:sp>
      </xdr:grpSp>
      <xdr:graphicFrame macro="">
        <xdr:nvGraphicFramePr>
          <xdr:cNvPr id="10" name="Chart 2"/>
          <xdr:cNvGraphicFramePr>
            <a:graphicFrameLocks/>
          </xdr:cNvGraphicFramePr>
        </xdr:nvGraphicFramePr>
        <xdr:xfrm>
          <a:off x="2438770" y="3537723"/>
          <a:ext cx="4064454" cy="2720094"/>
        </xdr:xfrm>
        <a:graphic>
          <a:graphicData uri="http://schemas.openxmlformats.org/drawingml/2006/chart">
            <c:chart xmlns:c="http://schemas.openxmlformats.org/drawingml/2006/chart" xmlns:r="http://schemas.openxmlformats.org/officeDocument/2006/relationships" r:id="rId1"/>
          </a:graphicData>
        </a:graphic>
      </xdr:graphicFrame>
      <xdr:sp macro="" textlink="'[1]Dashboard Info'!C14">
        <xdr:nvSpPr>
          <xdr:cNvPr id="11" name="TextBox 10"/>
          <xdr:cNvSpPr txBox="1"/>
        </xdr:nvSpPr>
        <xdr:spPr>
          <a:xfrm>
            <a:off x="33279" y="5260129"/>
            <a:ext cx="545220" cy="26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0B0D2EC-F0EB-4D09-80CE-0310BCD7F1A3}" type="TxLink">
              <a:rPr lang="en-US" sz="2200" b="1" i="0" u="none" strike="noStrike" cap="none" spc="0">
                <a:ln>
                  <a:noFill/>
                </a:ln>
                <a:solidFill>
                  <a:srgbClr val="000000"/>
                </a:solidFill>
                <a:effectLst/>
                <a:latin typeface="Calibri"/>
                <a:cs typeface="Calibri"/>
              </a:rPr>
              <a:pPr algn="ctr"/>
              <a:t>1</a:t>
            </a:fld>
            <a:endParaRPr lang="en-US" sz="1100" b="1" cap="none" spc="0">
              <a:ln>
                <a:noFill/>
              </a:ln>
              <a:solidFill>
                <a:schemeClr val="tx1"/>
              </a:solidFill>
              <a:effectLst/>
            </a:endParaRPr>
          </a:p>
        </xdr:txBody>
      </xdr:sp>
      <xdr:sp macro="" textlink="'[1]Dashboard Info'!C15">
        <xdr:nvSpPr>
          <xdr:cNvPr id="12" name="TextBox 11"/>
          <xdr:cNvSpPr txBox="1"/>
        </xdr:nvSpPr>
        <xdr:spPr>
          <a:xfrm>
            <a:off x="769326" y="3742397"/>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E5DD848-5BF7-4A2E-ABE1-AFFEB4157F52}" type="TxLink">
              <a:rPr lang="en-US" sz="2200" b="1" i="0" u="none" strike="noStrike" cap="none" spc="0">
                <a:ln>
                  <a:noFill/>
                </a:ln>
                <a:solidFill>
                  <a:srgbClr val="000000"/>
                </a:solidFill>
                <a:effectLst/>
                <a:latin typeface="Calibri"/>
                <a:cs typeface="Calibri"/>
              </a:rPr>
              <a:pPr algn="ctr"/>
              <a:t>2</a:t>
            </a:fld>
            <a:endParaRPr lang="en-US" sz="1100" b="1" cap="none" spc="0">
              <a:ln>
                <a:noFill/>
              </a:ln>
              <a:solidFill>
                <a:schemeClr val="tx1"/>
              </a:solidFill>
              <a:effectLst/>
            </a:endParaRPr>
          </a:p>
        </xdr:txBody>
      </xdr:sp>
      <xdr:sp macro="" textlink="'[1]Dashboard Info'!C16">
        <xdr:nvSpPr>
          <xdr:cNvPr id="13" name="TextBox 12"/>
          <xdr:cNvSpPr txBox="1"/>
        </xdr:nvSpPr>
        <xdr:spPr>
          <a:xfrm>
            <a:off x="2032419" y="3345605"/>
            <a:ext cx="572481"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66234B34-192D-45E1-A270-CAC010E3697F}" type="TxLink">
              <a:rPr lang="en-US" sz="2200" b="1" i="0" u="none" strike="noStrike" cap="none" spc="0">
                <a:ln>
                  <a:noFill/>
                </a:ln>
                <a:solidFill>
                  <a:srgbClr val="000000"/>
                </a:solidFill>
                <a:effectLst/>
                <a:latin typeface="Calibri"/>
                <a:cs typeface="Calibri"/>
              </a:rPr>
              <a:pPr algn="ctr"/>
              <a:t>3</a:t>
            </a:fld>
            <a:endParaRPr lang="en-US" sz="1100" b="1" cap="none" spc="0">
              <a:ln>
                <a:noFill/>
              </a:ln>
              <a:solidFill>
                <a:schemeClr val="tx1"/>
              </a:solidFill>
              <a:effectLst/>
            </a:endParaRPr>
          </a:p>
        </xdr:txBody>
      </xdr:sp>
      <xdr:sp macro="" textlink="'[1]Dashboard Info'!C17">
        <xdr:nvSpPr>
          <xdr:cNvPr id="14" name="TextBox 13"/>
          <xdr:cNvSpPr txBox="1"/>
        </xdr:nvSpPr>
        <xdr:spPr>
          <a:xfrm>
            <a:off x="3268251" y="3841595"/>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089D4AD2-A35A-45A9-9BC2-49C4AC8C4BE6}" type="TxLink">
              <a:rPr lang="en-US" sz="2200" b="1" i="0" u="none" strike="noStrike" cap="none" spc="0">
                <a:ln>
                  <a:noFill/>
                </a:ln>
                <a:solidFill>
                  <a:srgbClr val="000000"/>
                </a:solidFill>
                <a:effectLst/>
                <a:latin typeface="Calibri"/>
                <a:cs typeface="Calibri"/>
              </a:rPr>
              <a:pPr algn="ctr"/>
              <a:t>4</a:t>
            </a:fld>
            <a:endParaRPr lang="en-US" sz="1100" b="1" cap="none" spc="0">
              <a:ln>
                <a:noFill/>
              </a:ln>
              <a:solidFill>
                <a:schemeClr val="tx1"/>
              </a:solidFill>
              <a:effectLst/>
            </a:endParaRPr>
          </a:p>
        </xdr:txBody>
      </xdr:sp>
      <xdr:sp macro="" textlink="'[1]Dashboard Info'!C18">
        <xdr:nvSpPr>
          <xdr:cNvPr id="15" name="TextBox 14"/>
          <xdr:cNvSpPr txBox="1"/>
        </xdr:nvSpPr>
        <xdr:spPr>
          <a:xfrm>
            <a:off x="3995212" y="5279968"/>
            <a:ext cx="554307"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4216D39B-F75A-4046-969B-3191D22FC759}" type="TxLink">
              <a:rPr lang="en-US" sz="2200" b="1" i="0" u="none" strike="noStrike" cap="none" spc="0">
                <a:ln>
                  <a:noFill/>
                </a:ln>
                <a:solidFill>
                  <a:srgbClr val="000000"/>
                </a:solidFill>
                <a:effectLst/>
                <a:latin typeface="Calibri"/>
                <a:cs typeface="Calibri"/>
              </a:rPr>
              <a:pPr algn="ctr"/>
              <a:t>5</a:t>
            </a:fld>
            <a:endParaRPr lang="en-US" sz="1100" b="1" cap="none" spc="0">
              <a:ln>
                <a:noFill/>
              </a:ln>
              <a:solidFill>
                <a:schemeClr val="tx1"/>
              </a:solidFill>
              <a:effectLst/>
            </a:endParaRPr>
          </a:p>
        </xdr:txBody>
      </xdr:sp>
    </xdr:grpSp>
    <xdr:clientData/>
  </xdr:twoCellAnchor>
  <xdr:twoCellAnchor>
    <xdr:from>
      <xdr:col>3</xdr:col>
      <xdr:colOff>3961438</xdr:colOff>
      <xdr:row>0</xdr:row>
      <xdr:rowOff>1102425</xdr:rowOff>
    </xdr:from>
    <xdr:to>
      <xdr:col>3</xdr:col>
      <xdr:colOff>4135198</xdr:colOff>
      <xdr:row>0</xdr:row>
      <xdr:rowOff>2172216</xdr:rowOff>
    </xdr:to>
    <xdr:sp macro="" textlink="">
      <xdr:nvSpPr>
        <xdr:cNvPr id="21" name="Freeform 5"/>
        <xdr:cNvSpPr>
          <a:spLocks/>
        </xdr:cNvSpPr>
      </xdr:nvSpPr>
      <xdr:spPr bwMode="auto">
        <a:xfrm rot="16942111" flipH="1" flipV="1">
          <a:off x="11943047" y="1550441"/>
          <a:ext cx="1069791" cy="173760"/>
        </a:xfrm>
        <a:custGeom>
          <a:avLst/>
          <a:gdLst>
            <a:gd name="T0" fmla="*/ 2147483647 w 183"/>
            <a:gd name="T1" fmla="*/ 2147483647 h 1008"/>
            <a:gd name="T2" fmla="*/ 0 w 183"/>
            <a:gd name="T3" fmla="*/ 0 h 1008"/>
            <a:gd name="T4" fmla="*/ 0 60000 65536"/>
            <a:gd name="T5" fmla="*/ 0 60000 65536"/>
          </a:gdLst>
          <a:ahLst/>
          <a:cxnLst>
            <a:cxn ang="T4">
              <a:pos x="T0" y="T1"/>
            </a:cxn>
            <a:cxn ang="T5">
              <a:pos x="T2" y="T3"/>
            </a:cxn>
          </a:cxnLst>
          <a:rect l="0" t="0" r="r" b="b"/>
          <a:pathLst>
            <a:path w="183" h="1008">
              <a:moveTo>
                <a:pt x="183" y="1008"/>
              </a:moveTo>
              <a:lnTo>
                <a:pt x="0" y="0"/>
              </a:lnTo>
            </a:path>
          </a:pathLst>
        </a:custGeom>
        <a:noFill/>
        <a:ln w="95250">
          <a:solidFill>
            <a:srgbClr val="000000"/>
          </a:solidFill>
          <a:miter lim="0"/>
          <a:headEnd type="oval"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EEECE1"/>
                </a:outerShdw>
              </a:effectLst>
            </a14:hiddenEffects>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_Kristian/Performance%20Evaluations/2014%20Corpoare%20Goals%20Evaluations/2014%20Midyear-Corporate%20Perforamance%20Evalu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esidents Office"/>
      <sheetName val="Finance &amp; Administration"/>
      <sheetName val="Program Development"/>
      <sheetName val="Communications"/>
      <sheetName val="Partnerships &amp; Programs"/>
      <sheetName val="Agriculture &amp; Food Security"/>
      <sheetName val="Combating Child Labor"/>
      <sheetName val="Sport for Development"/>
      <sheetName val="Dashboard Info"/>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32"/>
  <sheetViews>
    <sheetView zoomScale="80" zoomScaleNormal="80" workbookViewId="0">
      <selection activeCell="L11" sqref="L11"/>
    </sheetView>
  </sheetViews>
  <sheetFormatPr defaultRowHeight="15" x14ac:dyDescent="0.25"/>
  <cols>
    <col min="1" max="1" width="4.28515625" customWidth="1"/>
    <col min="2" max="2" width="3.140625" customWidth="1"/>
    <col min="3" max="3" width="33" bestFit="1" customWidth="1"/>
    <col min="4" max="4" width="22.7109375" customWidth="1"/>
    <col min="5" max="5" width="21.28515625" customWidth="1"/>
    <col min="6" max="6" width="28.140625" bestFit="1" customWidth="1"/>
    <col min="7" max="7" width="24.140625" bestFit="1" customWidth="1"/>
  </cols>
  <sheetData>
    <row r="2" spans="2:7" ht="34.5" customHeight="1" x14ac:dyDescent="0.25">
      <c r="D2" s="26" t="s">
        <v>3</v>
      </c>
      <c r="E2" s="64" t="s">
        <v>49</v>
      </c>
      <c r="F2" s="64"/>
      <c r="G2" s="26"/>
    </row>
    <row r="3" spans="2:7" ht="15" customHeight="1" x14ac:dyDescent="0.25">
      <c r="D3" s="26"/>
      <c r="E3" s="64"/>
      <c r="F3" s="64"/>
      <c r="G3" s="26"/>
    </row>
    <row r="4" spans="2:7" ht="21" customHeight="1" x14ac:dyDescent="0.25">
      <c r="E4" s="64"/>
      <c r="F4" s="64"/>
    </row>
    <row r="6" spans="2:7" x14ac:dyDescent="0.25">
      <c r="B6" s="27"/>
      <c r="C6" s="27"/>
      <c r="D6" s="27"/>
      <c r="E6" s="27"/>
      <c r="F6" s="27"/>
    </row>
    <row r="7" spans="2:7" ht="15.75" x14ac:dyDescent="0.25">
      <c r="B7" s="28"/>
      <c r="C7" s="29" t="s">
        <v>4</v>
      </c>
      <c r="D7" s="30"/>
      <c r="E7" s="30"/>
      <c r="F7" s="30"/>
    </row>
    <row r="8" spans="2:7" ht="38.25" customHeight="1" x14ac:dyDescent="0.25">
      <c r="B8" s="9"/>
      <c r="C8" s="65" t="s">
        <v>5</v>
      </c>
      <c r="D8" s="60"/>
      <c r="E8" s="66">
        <v>5</v>
      </c>
      <c r="F8" s="66"/>
    </row>
    <row r="9" spans="2:7" ht="37.5" customHeight="1" x14ac:dyDescent="0.25">
      <c r="B9" s="9"/>
      <c r="C9" s="60" t="s">
        <v>6</v>
      </c>
      <c r="D9" s="61"/>
      <c r="E9" s="62">
        <v>4</v>
      </c>
      <c r="F9" s="63"/>
    </row>
    <row r="10" spans="2:7" ht="34.5" customHeight="1" x14ac:dyDescent="0.25">
      <c r="B10" s="9"/>
      <c r="C10" s="60" t="s">
        <v>7</v>
      </c>
      <c r="D10" s="61"/>
      <c r="E10" s="62">
        <v>3</v>
      </c>
      <c r="F10" s="63"/>
    </row>
    <row r="11" spans="2:7" ht="41.25" customHeight="1" x14ac:dyDescent="0.25">
      <c r="B11" s="9"/>
      <c r="C11" s="47" t="s">
        <v>8</v>
      </c>
      <c r="D11" s="48"/>
      <c r="E11" s="49">
        <v>2</v>
      </c>
      <c r="F11" s="50"/>
    </row>
    <row r="12" spans="2:7" ht="37.5" customHeight="1" x14ac:dyDescent="0.25">
      <c r="B12" s="9"/>
      <c r="C12" s="47" t="s">
        <v>9</v>
      </c>
      <c r="D12" s="48"/>
      <c r="E12" s="49">
        <v>1</v>
      </c>
      <c r="F12" s="50"/>
    </row>
    <row r="13" spans="2:7" ht="18" customHeight="1" x14ac:dyDescent="0.25"/>
    <row r="17" spans="2:7" ht="15.75" x14ac:dyDescent="0.25">
      <c r="B17" s="31"/>
      <c r="C17" s="32" t="s">
        <v>10</v>
      </c>
      <c r="D17" s="31"/>
      <c r="E17" s="31"/>
      <c r="F17" s="31"/>
      <c r="G17" s="31"/>
    </row>
    <row r="18" spans="2:7" ht="15" customHeight="1" x14ac:dyDescent="0.25">
      <c r="B18" s="33"/>
      <c r="C18" s="51" t="s">
        <v>45</v>
      </c>
      <c r="D18" s="52"/>
      <c r="E18" s="52"/>
      <c r="F18" s="52"/>
      <c r="G18" s="53"/>
    </row>
    <row r="19" spans="2:7" x14ac:dyDescent="0.25">
      <c r="B19" s="33"/>
      <c r="C19" s="54"/>
      <c r="D19" s="55"/>
      <c r="E19" s="55"/>
      <c r="F19" s="55"/>
      <c r="G19" s="56"/>
    </row>
    <row r="20" spans="2:7" x14ac:dyDescent="0.25">
      <c r="B20" s="33"/>
      <c r="C20" s="54"/>
      <c r="D20" s="55"/>
      <c r="E20" s="55"/>
      <c r="F20" s="55"/>
      <c r="G20" s="56"/>
    </row>
    <row r="21" spans="2:7" x14ac:dyDescent="0.25">
      <c r="B21" s="33"/>
      <c r="C21" s="54"/>
      <c r="D21" s="55"/>
      <c r="E21" s="55"/>
      <c r="F21" s="55"/>
      <c r="G21" s="56"/>
    </row>
    <row r="22" spans="2:7" x14ac:dyDescent="0.25">
      <c r="B22" s="33"/>
      <c r="C22" s="54"/>
      <c r="D22" s="55"/>
      <c r="E22" s="55"/>
      <c r="F22" s="55"/>
      <c r="G22" s="56"/>
    </row>
    <row r="23" spans="2:7" x14ac:dyDescent="0.25">
      <c r="B23" s="33"/>
      <c r="C23" s="54"/>
      <c r="D23" s="55"/>
      <c r="E23" s="55"/>
      <c r="F23" s="55"/>
      <c r="G23" s="56"/>
    </row>
    <row r="24" spans="2:7" x14ac:dyDescent="0.25">
      <c r="B24" s="33"/>
      <c r="C24" s="54"/>
      <c r="D24" s="55"/>
      <c r="E24" s="55"/>
      <c r="F24" s="55"/>
      <c r="G24" s="56"/>
    </row>
    <row r="25" spans="2:7" x14ac:dyDescent="0.25">
      <c r="B25" s="33"/>
      <c r="C25" s="54"/>
      <c r="D25" s="55"/>
      <c r="E25" s="55"/>
      <c r="F25" s="55"/>
      <c r="G25" s="56"/>
    </row>
    <row r="26" spans="2:7" x14ac:dyDescent="0.25">
      <c r="B26" s="33"/>
      <c r="C26" s="54"/>
      <c r="D26" s="55"/>
      <c r="E26" s="55"/>
      <c r="F26" s="55"/>
      <c r="G26" s="56"/>
    </row>
    <row r="27" spans="2:7" x14ac:dyDescent="0.25">
      <c r="B27" s="33"/>
      <c r="C27" s="54"/>
      <c r="D27" s="55"/>
      <c r="E27" s="55"/>
      <c r="F27" s="55"/>
      <c r="G27" s="56"/>
    </row>
    <row r="28" spans="2:7" x14ac:dyDescent="0.25">
      <c r="B28" s="33"/>
      <c r="C28" s="54"/>
      <c r="D28" s="55"/>
      <c r="E28" s="55"/>
      <c r="F28" s="55"/>
      <c r="G28" s="56"/>
    </row>
    <row r="29" spans="2:7" x14ac:dyDescent="0.25">
      <c r="B29" s="33"/>
      <c r="C29" s="54"/>
      <c r="D29" s="55"/>
      <c r="E29" s="55"/>
      <c r="F29" s="55"/>
      <c r="G29" s="56"/>
    </row>
    <row r="30" spans="2:7" x14ac:dyDescent="0.25">
      <c r="B30" s="33"/>
      <c r="C30" s="54"/>
      <c r="D30" s="55"/>
      <c r="E30" s="55"/>
      <c r="F30" s="55"/>
      <c r="G30" s="56"/>
    </row>
    <row r="31" spans="2:7" x14ac:dyDescent="0.25">
      <c r="B31" s="33"/>
      <c r="C31" s="54"/>
      <c r="D31" s="55"/>
      <c r="E31" s="55"/>
      <c r="F31" s="55"/>
      <c r="G31" s="56"/>
    </row>
    <row r="32" spans="2:7" ht="102.75" customHeight="1" x14ac:dyDescent="0.25">
      <c r="B32" s="33"/>
      <c r="C32" s="57"/>
      <c r="D32" s="58"/>
      <c r="E32" s="58"/>
      <c r="F32" s="58"/>
      <c r="G32" s="59"/>
    </row>
  </sheetData>
  <mergeCells count="12">
    <mergeCell ref="C10:D10"/>
    <mergeCell ref="E10:F10"/>
    <mergeCell ref="E2:F4"/>
    <mergeCell ref="C8:D8"/>
    <mergeCell ref="E8:F8"/>
    <mergeCell ref="C9:D9"/>
    <mergeCell ref="E9:F9"/>
    <mergeCell ref="C11:D11"/>
    <mergeCell ref="E11:F11"/>
    <mergeCell ref="C12:D12"/>
    <mergeCell ref="E12:F12"/>
    <mergeCell ref="C18:G32"/>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20"/>
  <sheetViews>
    <sheetView tabSelected="1" zoomScale="70" zoomScaleNormal="70" workbookViewId="0">
      <selection activeCell="C5" sqref="C5"/>
    </sheetView>
  </sheetViews>
  <sheetFormatPr defaultColWidth="8.85546875" defaultRowHeight="15.75" x14ac:dyDescent="0.2"/>
  <cols>
    <col min="1" max="1" width="4" style="1" customWidth="1"/>
    <col min="2" max="2" width="3.42578125" style="1" customWidth="1"/>
    <col min="3" max="3" width="119.140625" style="25" customWidth="1"/>
    <col min="4" max="4" width="108.5703125" style="24" customWidth="1"/>
    <col min="5" max="5" width="12.7109375" style="1" customWidth="1"/>
    <col min="6" max="10" width="8.85546875" style="1"/>
    <col min="11" max="11" width="10.7109375" style="1" customWidth="1"/>
    <col min="12" max="16384" width="8.85546875" style="1"/>
  </cols>
  <sheetData>
    <row r="1" spans="2:5" ht="225" customHeight="1" x14ac:dyDescent="0.2">
      <c r="C1" s="2" t="s">
        <v>46</v>
      </c>
      <c r="D1" s="67"/>
      <c r="E1" s="67"/>
    </row>
    <row r="2" spans="2:5" s="4" customFormat="1" ht="18.75" x14ac:dyDescent="0.3">
      <c r="B2" s="68" t="s">
        <v>47</v>
      </c>
      <c r="C2" s="68"/>
      <c r="D2" s="3"/>
    </row>
    <row r="3" spans="2:5" ht="18.75" x14ac:dyDescent="0.2">
      <c r="B3" s="69" t="s">
        <v>48</v>
      </c>
      <c r="C3" s="69"/>
    </row>
    <row r="4" spans="2:5" s="8" customFormat="1" ht="18.75" thickBot="1" x14ac:dyDescent="0.3">
      <c r="B4" s="5"/>
      <c r="C4" s="6" t="s">
        <v>0</v>
      </c>
      <c r="D4" s="6" t="s">
        <v>1</v>
      </c>
      <c r="E4" s="7"/>
    </row>
    <row r="5" spans="2:5" s="4" customFormat="1" ht="408.75" customHeight="1" x14ac:dyDescent="0.25">
      <c r="B5" s="9"/>
      <c r="C5" s="13" t="s">
        <v>13</v>
      </c>
      <c r="D5" s="45" t="s">
        <v>16</v>
      </c>
      <c r="E5" s="11">
        <v>4</v>
      </c>
    </row>
    <row r="6" spans="2:5" ht="200.25" customHeight="1" x14ac:dyDescent="0.2">
      <c r="B6" s="12"/>
      <c r="C6" s="13" t="s">
        <v>11</v>
      </c>
      <c r="D6" s="46" t="s">
        <v>17</v>
      </c>
      <c r="E6" s="14">
        <v>4</v>
      </c>
    </row>
    <row r="7" spans="2:5" ht="200.25" customHeight="1" x14ac:dyDescent="0.2">
      <c r="B7" s="12"/>
      <c r="C7" s="10" t="s">
        <v>12</v>
      </c>
      <c r="D7" s="45" t="s">
        <v>14</v>
      </c>
      <c r="E7" s="14">
        <v>4.5</v>
      </c>
    </row>
    <row r="8" spans="2:5" ht="200.25" customHeight="1" x14ac:dyDescent="0.2">
      <c r="B8" s="12"/>
      <c r="C8" s="15" t="s">
        <v>52</v>
      </c>
      <c r="D8" s="16" t="s">
        <v>15</v>
      </c>
      <c r="E8" s="17">
        <v>3.5</v>
      </c>
    </row>
    <row r="9" spans="2:5" ht="321" customHeight="1" thickBot="1" x14ac:dyDescent="0.25">
      <c r="B9" s="12"/>
      <c r="C9" s="18" t="s">
        <v>51</v>
      </c>
      <c r="D9" s="70" t="s">
        <v>50</v>
      </c>
      <c r="E9" s="71"/>
    </row>
    <row r="10" spans="2:5" thickBot="1" x14ac:dyDescent="0.25">
      <c r="C10" s="19"/>
      <c r="D10" s="20" t="s">
        <v>2</v>
      </c>
      <c r="E10" s="21">
        <f>AVERAGE(E5,E6,E7,E8)</f>
        <v>4</v>
      </c>
    </row>
    <row r="11" spans="2:5" x14ac:dyDescent="0.2">
      <c r="C11" s="22"/>
      <c r="D11" s="23"/>
    </row>
    <row r="12" spans="2:5" ht="12.75" x14ac:dyDescent="0.2">
      <c r="C12" s="1"/>
      <c r="D12" s="1"/>
    </row>
    <row r="13" spans="2:5" ht="12.75" x14ac:dyDescent="0.2">
      <c r="C13" s="1"/>
      <c r="D13" s="1"/>
    </row>
    <row r="14" spans="2:5" ht="12.75" x14ac:dyDescent="0.2">
      <c r="C14" s="1"/>
      <c r="D14" s="1"/>
    </row>
    <row r="15" spans="2:5" ht="12.75" x14ac:dyDescent="0.2">
      <c r="C15" s="1"/>
      <c r="D15" s="1"/>
    </row>
    <row r="16" spans="2:5" ht="12.75" x14ac:dyDescent="0.2">
      <c r="C16" s="1"/>
      <c r="D16" s="1"/>
    </row>
    <row r="17" spans="3:4" ht="12.75" x14ac:dyDescent="0.2">
      <c r="C17" s="1"/>
      <c r="D17" s="1"/>
    </row>
    <row r="18" spans="3:4" ht="12.75" x14ac:dyDescent="0.2">
      <c r="C18" s="1"/>
      <c r="D18" s="1"/>
    </row>
    <row r="19" spans="3:4" x14ac:dyDescent="0.2">
      <c r="C19" s="24"/>
      <c r="D19" s="1"/>
    </row>
    <row r="20" spans="3:4" x14ac:dyDescent="0.2">
      <c r="C20" s="24"/>
      <c r="D20" s="1"/>
    </row>
  </sheetData>
  <mergeCells count="4">
    <mergeCell ref="D1:E1"/>
    <mergeCell ref="B2:C2"/>
    <mergeCell ref="B3:C3"/>
    <mergeCell ref="D9:E9"/>
  </mergeCells>
  <pageMargins left="0.7" right="0.7" top="0.75" bottom="0.75" header="0.3" footer="0.3"/>
  <pageSetup scale="49" fitToHeight="0" orientation="landscape" r:id="rId1"/>
  <headerFooter alignWithMargins="0">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5"/>
  <sheetViews>
    <sheetView topLeftCell="A37" zoomScale="90" zoomScaleNormal="90" workbookViewId="0">
      <selection activeCell="M51" sqref="M51"/>
    </sheetView>
  </sheetViews>
  <sheetFormatPr defaultRowHeight="15" x14ac:dyDescent="0.25"/>
  <cols>
    <col min="1" max="1" width="3.5703125" customWidth="1"/>
    <col min="4" max="4" width="21.7109375" customWidth="1"/>
    <col min="7" max="7" width="27.7109375" customWidth="1"/>
    <col min="13" max="13" width="27.7109375" customWidth="1"/>
  </cols>
  <sheetData>
    <row r="1" spans="2:14" ht="15.75" thickBot="1" x14ac:dyDescent="0.3"/>
    <row r="2" spans="2:14" ht="15" customHeight="1" x14ac:dyDescent="0.25">
      <c r="B2" s="93" t="s">
        <v>18</v>
      </c>
      <c r="C2" s="94"/>
      <c r="D2" s="94"/>
      <c r="E2" s="94"/>
      <c r="F2" s="94"/>
      <c r="G2" s="94"/>
      <c r="H2" s="94"/>
      <c r="I2" s="94"/>
      <c r="J2" s="94"/>
      <c r="K2" s="94"/>
      <c r="L2" s="95"/>
    </row>
    <row r="3" spans="2:14" x14ac:dyDescent="0.25">
      <c r="B3" s="96"/>
      <c r="C3" s="97"/>
      <c r="D3" s="97"/>
      <c r="E3" s="97"/>
      <c r="F3" s="97"/>
      <c r="G3" s="97"/>
      <c r="H3" s="97"/>
      <c r="I3" s="97"/>
      <c r="J3" s="97"/>
      <c r="K3" s="97"/>
      <c r="L3" s="98"/>
    </row>
    <row r="4" spans="2:14" x14ac:dyDescent="0.25">
      <c r="B4" s="96"/>
      <c r="C4" s="97"/>
      <c r="D4" s="97"/>
      <c r="E4" s="97"/>
      <c r="F4" s="97"/>
      <c r="G4" s="97"/>
      <c r="H4" s="97"/>
      <c r="I4" s="97"/>
      <c r="J4" s="97"/>
      <c r="K4" s="97"/>
      <c r="L4" s="98"/>
    </row>
    <row r="5" spans="2:14" x14ac:dyDescent="0.25">
      <c r="B5" s="96"/>
      <c r="C5" s="97"/>
      <c r="D5" s="97"/>
      <c r="E5" s="97"/>
      <c r="F5" s="97"/>
      <c r="G5" s="97"/>
      <c r="H5" s="97"/>
      <c r="I5" s="97"/>
      <c r="J5" s="97"/>
      <c r="K5" s="97"/>
      <c r="L5" s="98"/>
    </row>
    <row r="6" spans="2:14" ht="40.5" customHeight="1" thickBot="1" x14ac:dyDescent="0.3">
      <c r="B6" s="99"/>
      <c r="C6" s="100"/>
      <c r="D6" s="100"/>
      <c r="E6" s="100"/>
      <c r="F6" s="100"/>
      <c r="G6" s="100"/>
      <c r="H6" s="100"/>
      <c r="I6" s="100"/>
      <c r="J6" s="100"/>
      <c r="K6" s="100"/>
      <c r="L6" s="101"/>
    </row>
    <row r="8" spans="2:14" ht="11.25" customHeight="1" x14ac:dyDescent="0.25">
      <c r="B8" s="69" t="s">
        <v>19</v>
      </c>
      <c r="C8" s="69"/>
      <c r="D8" s="69"/>
      <c r="E8" s="69"/>
      <c r="F8" s="69"/>
      <c r="G8" s="69"/>
    </row>
    <row r="10" spans="2:14" x14ac:dyDescent="0.25">
      <c r="B10" s="91" t="s">
        <v>20</v>
      </c>
      <c r="C10" s="91"/>
      <c r="D10" s="91"/>
      <c r="E10" s="91"/>
      <c r="F10" s="91"/>
      <c r="G10" s="91"/>
      <c r="H10" s="76" t="s">
        <v>21</v>
      </c>
      <c r="I10" s="76"/>
      <c r="J10" s="76"/>
      <c r="K10" s="76"/>
      <c r="L10" s="76"/>
      <c r="M10" s="76"/>
    </row>
    <row r="11" spans="2:14" ht="60" customHeight="1" x14ac:dyDescent="0.25">
      <c r="B11" s="77" t="s">
        <v>22</v>
      </c>
      <c r="C11" s="102"/>
      <c r="D11" s="102"/>
      <c r="E11" s="102"/>
      <c r="F11" s="102"/>
      <c r="G11" s="103"/>
      <c r="H11" s="80"/>
      <c r="I11" s="81"/>
      <c r="J11" s="81"/>
      <c r="K11" s="81"/>
      <c r="L11" s="81"/>
      <c r="M11" s="82"/>
    </row>
    <row r="12" spans="2:14" ht="15.75" thickBot="1" x14ac:dyDescent="0.3">
      <c r="K12" s="72"/>
      <c r="L12" s="72"/>
      <c r="M12" s="90" t="s">
        <v>23</v>
      </c>
      <c r="N12" s="90"/>
    </row>
    <row r="13" spans="2:14" ht="15.75" x14ac:dyDescent="0.25">
      <c r="K13" s="34"/>
      <c r="L13" s="34"/>
      <c r="M13" s="35">
        <v>0</v>
      </c>
    </row>
    <row r="15" spans="2:14" x14ac:dyDescent="0.25">
      <c r="B15" s="91" t="s">
        <v>24</v>
      </c>
      <c r="C15" s="91"/>
      <c r="D15" s="91"/>
      <c r="E15" s="91"/>
      <c r="F15" s="91"/>
      <c r="G15" s="91"/>
      <c r="H15" s="92" t="s">
        <v>21</v>
      </c>
      <c r="I15" s="92"/>
      <c r="J15" s="92"/>
      <c r="K15" s="92"/>
      <c r="L15" s="92"/>
      <c r="M15" s="92"/>
    </row>
    <row r="16" spans="2:14" ht="60" customHeight="1" x14ac:dyDescent="0.25">
      <c r="B16" s="77" t="s">
        <v>25</v>
      </c>
      <c r="C16" s="78"/>
      <c r="D16" s="78"/>
      <c r="E16" s="78"/>
      <c r="F16" s="78"/>
      <c r="G16" s="79"/>
      <c r="H16" s="80"/>
      <c r="I16" s="81"/>
      <c r="J16" s="81"/>
      <c r="K16" s="81"/>
      <c r="L16" s="81"/>
      <c r="M16" s="82"/>
    </row>
    <row r="17" spans="2:13" ht="15.75" thickBot="1" x14ac:dyDescent="0.3">
      <c r="K17" s="72"/>
      <c r="L17" s="72"/>
      <c r="M17" s="36" t="s">
        <v>23</v>
      </c>
    </row>
    <row r="18" spans="2:13" ht="15.75" x14ac:dyDescent="0.25">
      <c r="K18" s="37"/>
      <c r="L18" s="37"/>
      <c r="M18" s="35">
        <v>0</v>
      </c>
    </row>
    <row r="20" spans="2:13" x14ac:dyDescent="0.25">
      <c r="B20" s="75" t="s">
        <v>26</v>
      </c>
      <c r="C20" s="75"/>
      <c r="D20" s="75"/>
      <c r="E20" s="75"/>
      <c r="F20" s="75"/>
      <c r="G20" s="75"/>
      <c r="H20" s="76" t="s">
        <v>21</v>
      </c>
      <c r="I20" s="76"/>
      <c r="J20" s="76"/>
      <c r="K20" s="76"/>
      <c r="L20" s="76"/>
      <c r="M20" s="76"/>
    </row>
    <row r="21" spans="2:13" ht="60" customHeight="1" x14ac:dyDescent="0.25">
      <c r="B21" s="77" t="s">
        <v>27</v>
      </c>
      <c r="C21" s="78"/>
      <c r="D21" s="78"/>
      <c r="E21" s="78"/>
      <c r="F21" s="78"/>
      <c r="G21" s="79"/>
      <c r="H21" s="80"/>
      <c r="I21" s="81"/>
      <c r="J21" s="81"/>
      <c r="K21" s="81"/>
      <c r="L21" s="81"/>
      <c r="M21" s="82"/>
    </row>
    <row r="22" spans="2:13" ht="15.75" thickBot="1" x14ac:dyDescent="0.3">
      <c r="K22" s="72"/>
      <c r="L22" s="72"/>
      <c r="M22" s="36" t="s">
        <v>23</v>
      </c>
    </row>
    <row r="23" spans="2:13" ht="15.75" x14ac:dyDescent="0.25">
      <c r="K23" s="37"/>
      <c r="L23" s="37"/>
      <c r="M23" s="35">
        <v>0</v>
      </c>
    </row>
    <row r="25" spans="2:13" x14ac:dyDescent="0.25">
      <c r="B25" s="75" t="s">
        <v>28</v>
      </c>
      <c r="C25" s="75"/>
      <c r="D25" s="75"/>
      <c r="E25" s="75"/>
      <c r="F25" s="75"/>
      <c r="G25" s="75"/>
      <c r="H25" s="76" t="s">
        <v>21</v>
      </c>
      <c r="I25" s="76"/>
      <c r="J25" s="76"/>
      <c r="K25" s="76"/>
      <c r="L25" s="76"/>
      <c r="M25" s="76"/>
    </row>
    <row r="26" spans="2:13" ht="60" customHeight="1" x14ac:dyDescent="0.25">
      <c r="B26" s="77" t="s">
        <v>29</v>
      </c>
      <c r="C26" s="78"/>
      <c r="D26" s="78"/>
      <c r="E26" s="78"/>
      <c r="F26" s="78"/>
      <c r="G26" s="79"/>
      <c r="H26" s="80"/>
      <c r="I26" s="81"/>
      <c r="J26" s="81"/>
      <c r="K26" s="81"/>
      <c r="L26" s="81"/>
      <c r="M26" s="82"/>
    </row>
    <row r="27" spans="2:13" ht="15.75" thickBot="1" x14ac:dyDescent="0.3">
      <c r="K27" s="72"/>
      <c r="L27" s="72"/>
      <c r="M27" s="36" t="s">
        <v>23</v>
      </c>
    </row>
    <row r="28" spans="2:13" ht="15.75" x14ac:dyDescent="0.25">
      <c r="K28" s="37"/>
      <c r="L28" s="37"/>
      <c r="M28" s="35">
        <v>0</v>
      </c>
    </row>
    <row r="30" spans="2:13" x14ac:dyDescent="0.25">
      <c r="B30" s="75" t="s">
        <v>30</v>
      </c>
      <c r="C30" s="75"/>
      <c r="D30" s="75"/>
      <c r="E30" s="75"/>
      <c r="F30" s="75"/>
      <c r="G30" s="75"/>
      <c r="H30" s="76" t="s">
        <v>21</v>
      </c>
      <c r="I30" s="76"/>
      <c r="J30" s="76"/>
      <c r="K30" s="76"/>
      <c r="L30" s="76"/>
      <c r="M30" s="76"/>
    </row>
    <row r="31" spans="2:13" ht="60" customHeight="1" x14ac:dyDescent="0.25">
      <c r="B31" s="77" t="s">
        <v>31</v>
      </c>
      <c r="C31" s="78"/>
      <c r="D31" s="78"/>
      <c r="E31" s="78"/>
      <c r="F31" s="78"/>
      <c r="G31" s="79"/>
      <c r="H31" s="80"/>
      <c r="I31" s="81"/>
      <c r="J31" s="81"/>
      <c r="K31" s="81"/>
      <c r="L31" s="81"/>
      <c r="M31" s="82"/>
    </row>
    <row r="32" spans="2:13" ht="15.75" thickBot="1" x14ac:dyDescent="0.3">
      <c r="K32" s="72"/>
      <c r="L32" s="72"/>
      <c r="M32" s="36" t="s">
        <v>23</v>
      </c>
    </row>
    <row r="33" spans="2:13" ht="15.75" x14ac:dyDescent="0.25">
      <c r="K33" s="37"/>
      <c r="L33" s="37"/>
      <c r="M33" s="35">
        <v>0</v>
      </c>
    </row>
    <row r="35" spans="2:13" x14ac:dyDescent="0.25">
      <c r="B35" s="75" t="s">
        <v>32</v>
      </c>
      <c r="C35" s="75"/>
      <c r="D35" s="75"/>
      <c r="E35" s="75"/>
      <c r="F35" s="75"/>
      <c r="G35" s="75"/>
      <c r="H35" s="76" t="s">
        <v>21</v>
      </c>
      <c r="I35" s="76"/>
      <c r="J35" s="76"/>
      <c r="K35" s="76"/>
      <c r="L35" s="76"/>
      <c r="M35" s="76"/>
    </row>
    <row r="36" spans="2:13" ht="60" customHeight="1" x14ac:dyDescent="0.25">
      <c r="B36" s="77" t="s">
        <v>33</v>
      </c>
      <c r="C36" s="78"/>
      <c r="D36" s="78"/>
      <c r="E36" s="78"/>
      <c r="F36" s="78"/>
      <c r="G36" s="79"/>
      <c r="H36" s="80"/>
      <c r="I36" s="81"/>
      <c r="J36" s="81"/>
      <c r="K36" s="81"/>
      <c r="L36" s="81"/>
      <c r="M36" s="82"/>
    </row>
    <row r="37" spans="2:13" ht="15.75" thickBot="1" x14ac:dyDescent="0.3">
      <c r="K37" s="72"/>
      <c r="L37" s="72"/>
      <c r="M37" s="36" t="s">
        <v>23</v>
      </c>
    </row>
    <row r="38" spans="2:13" ht="15.75" x14ac:dyDescent="0.25">
      <c r="K38" s="37"/>
      <c r="L38" s="37"/>
      <c r="M38" s="35">
        <v>0</v>
      </c>
    </row>
    <row r="40" spans="2:13" x14ac:dyDescent="0.25">
      <c r="B40" s="75" t="s">
        <v>34</v>
      </c>
      <c r="C40" s="75"/>
      <c r="D40" s="75"/>
      <c r="E40" s="75"/>
      <c r="F40" s="75"/>
      <c r="G40" s="75"/>
      <c r="H40" s="76" t="s">
        <v>21</v>
      </c>
      <c r="I40" s="76"/>
      <c r="J40" s="76"/>
      <c r="K40" s="76"/>
      <c r="L40" s="76"/>
      <c r="M40" s="76"/>
    </row>
    <row r="41" spans="2:13" ht="60" customHeight="1" x14ac:dyDescent="0.25">
      <c r="B41" s="77" t="s">
        <v>35</v>
      </c>
      <c r="C41" s="78"/>
      <c r="D41" s="78"/>
      <c r="E41" s="78"/>
      <c r="F41" s="78"/>
      <c r="G41" s="79"/>
      <c r="H41" s="80"/>
      <c r="I41" s="81"/>
      <c r="J41" s="81"/>
      <c r="K41" s="81"/>
      <c r="L41" s="81"/>
      <c r="M41" s="82"/>
    </row>
    <row r="42" spans="2:13" ht="15.75" thickBot="1" x14ac:dyDescent="0.3">
      <c r="K42" s="72"/>
      <c r="L42" s="72"/>
      <c r="M42" s="36" t="s">
        <v>23</v>
      </c>
    </row>
    <row r="43" spans="2:13" ht="15.75" x14ac:dyDescent="0.25">
      <c r="K43" s="37"/>
      <c r="L43" s="37"/>
      <c r="M43" s="35">
        <v>0</v>
      </c>
    </row>
    <row r="45" spans="2:13" x14ac:dyDescent="0.25">
      <c r="B45" s="83" t="s">
        <v>36</v>
      </c>
      <c r="C45" s="84"/>
      <c r="D45" s="84"/>
      <c r="E45" s="84"/>
      <c r="F45" s="84"/>
      <c r="G45" s="85"/>
      <c r="H45" s="83" t="s">
        <v>37</v>
      </c>
      <c r="I45" s="84"/>
      <c r="J45" s="84"/>
      <c r="K45" s="84"/>
      <c r="L45" s="84"/>
      <c r="M45" s="85"/>
    </row>
    <row r="46" spans="2:13" ht="105.75" customHeight="1" x14ac:dyDescent="0.25">
      <c r="B46" s="86"/>
      <c r="C46" s="87"/>
      <c r="D46" s="87"/>
      <c r="E46" s="87"/>
      <c r="F46" s="87"/>
      <c r="G46" s="88"/>
      <c r="H46" s="86"/>
      <c r="I46" s="87"/>
      <c r="J46" s="87"/>
      <c r="K46" s="87"/>
      <c r="L46" s="87"/>
      <c r="M46" s="88"/>
    </row>
    <row r="47" spans="2:13" s="40" customFormat="1" ht="23.25" customHeight="1" thickBot="1" x14ac:dyDescent="0.3">
      <c r="B47" s="38"/>
      <c r="C47" s="38"/>
      <c r="D47" s="38"/>
      <c r="E47" s="38"/>
      <c r="F47" s="38"/>
      <c r="G47" s="38"/>
      <c r="H47" s="38"/>
      <c r="I47" s="38"/>
      <c r="J47" s="38"/>
      <c r="K47" s="38"/>
      <c r="L47" s="38"/>
      <c r="M47" s="39" t="s">
        <v>38</v>
      </c>
    </row>
    <row r="48" spans="2:13" ht="21" customHeight="1" thickBot="1" x14ac:dyDescent="0.3">
      <c r="M48" s="41">
        <f>AVERAGE(M13,M18,M23,M28,M33,M38,M43)</f>
        <v>0</v>
      </c>
    </row>
    <row r="49" spans="2:13" ht="21" customHeight="1" x14ac:dyDescent="0.25">
      <c r="M49" s="42"/>
    </row>
    <row r="50" spans="2:13" ht="21" customHeight="1" thickBot="1" x14ac:dyDescent="0.3">
      <c r="B50" s="89" t="s">
        <v>39</v>
      </c>
      <c r="C50" s="89"/>
      <c r="D50" s="89"/>
      <c r="E50" s="89"/>
      <c r="F50" s="89"/>
      <c r="G50" s="89"/>
      <c r="M50" s="43" t="s">
        <v>40</v>
      </c>
    </row>
    <row r="51" spans="2:13" ht="22.5" customHeight="1" thickBot="1" x14ac:dyDescent="0.3">
      <c r="M51" s="44">
        <f>('Section A- Goals Review'!E10*0.75)+('Section B-Perf. Expectations'!M48*0.25)</f>
        <v>3</v>
      </c>
    </row>
    <row r="52" spans="2:13" ht="45" customHeight="1" x14ac:dyDescent="0.25">
      <c r="B52" s="74"/>
      <c r="C52" s="74"/>
      <c r="D52" s="74"/>
      <c r="E52" s="74"/>
      <c r="F52" s="74"/>
      <c r="G52" s="74"/>
      <c r="I52" s="58"/>
      <c r="J52" s="58"/>
      <c r="K52" s="58"/>
      <c r="L52" s="58"/>
      <c r="M52" s="58"/>
    </row>
    <row r="53" spans="2:13" x14ac:dyDescent="0.25">
      <c r="B53" s="72" t="s">
        <v>41</v>
      </c>
      <c r="C53" s="72"/>
      <c r="D53" s="72"/>
      <c r="E53" s="72"/>
      <c r="F53" s="72"/>
      <c r="G53" s="72"/>
      <c r="I53" s="73" t="s">
        <v>42</v>
      </c>
      <c r="J53" s="73"/>
      <c r="K53" s="73"/>
      <c r="L53" s="73"/>
      <c r="M53" s="73"/>
    </row>
    <row r="54" spans="2:13" ht="45" customHeight="1" x14ac:dyDescent="0.25">
      <c r="B54" s="58"/>
      <c r="C54" s="58"/>
      <c r="D54" s="58"/>
      <c r="E54" s="58"/>
      <c r="F54" s="58"/>
      <c r="G54" s="58"/>
      <c r="I54" s="58"/>
      <c r="J54" s="58"/>
      <c r="K54" s="58"/>
      <c r="L54" s="58"/>
      <c r="M54" s="58"/>
    </row>
    <row r="55" spans="2:13" x14ac:dyDescent="0.25">
      <c r="B55" s="73" t="s">
        <v>43</v>
      </c>
      <c r="C55" s="73"/>
      <c r="D55" s="73"/>
      <c r="E55" s="73"/>
      <c r="F55" s="73"/>
      <c r="G55" s="73"/>
      <c r="I55" s="73" t="s">
        <v>44</v>
      </c>
      <c r="J55" s="73"/>
      <c r="K55" s="73"/>
      <c r="L55" s="73"/>
      <c r="M55" s="73"/>
    </row>
  </sheetData>
  <mergeCells count="51">
    <mergeCell ref="B2:L6"/>
    <mergeCell ref="B8:G8"/>
    <mergeCell ref="B10:G10"/>
    <mergeCell ref="H10:M10"/>
    <mergeCell ref="B11:G11"/>
    <mergeCell ref="H11:M11"/>
    <mergeCell ref="K22:L22"/>
    <mergeCell ref="K12:L12"/>
    <mergeCell ref="M12:N12"/>
    <mergeCell ref="B15:G15"/>
    <mergeCell ref="H15:M15"/>
    <mergeCell ref="B16:G16"/>
    <mergeCell ref="H16:M16"/>
    <mergeCell ref="K17:L17"/>
    <mergeCell ref="B20:G20"/>
    <mergeCell ref="H20:M20"/>
    <mergeCell ref="B21:G21"/>
    <mergeCell ref="H21:M21"/>
    <mergeCell ref="B36:G36"/>
    <mergeCell ref="H36:M36"/>
    <mergeCell ref="B25:G25"/>
    <mergeCell ref="H25:M25"/>
    <mergeCell ref="B26:G26"/>
    <mergeCell ref="H26:M26"/>
    <mergeCell ref="K27:L27"/>
    <mergeCell ref="B30:G30"/>
    <mergeCell ref="H30:M30"/>
    <mergeCell ref="B31:G31"/>
    <mergeCell ref="H31:M31"/>
    <mergeCell ref="K32:L32"/>
    <mergeCell ref="B35:G35"/>
    <mergeCell ref="H35:M35"/>
    <mergeCell ref="B52:G52"/>
    <mergeCell ref="I52:M52"/>
    <mergeCell ref="K37:L37"/>
    <mergeCell ref="B40:G40"/>
    <mergeCell ref="H40:M40"/>
    <mergeCell ref="B41:G41"/>
    <mergeCell ref="H41:M41"/>
    <mergeCell ref="K42:L42"/>
    <mergeCell ref="B45:G45"/>
    <mergeCell ref="H45:M45"/>
    <mergeCell ref="B46:G46"/>
    <mergeCell ref="H46:M46"/>
    <mergeCell ref="B50:G50"/>
    <mergeCell ref="B53:G53"/>
    <mergeCell ref="I53:M53"/>
    <mergeCell ref="B54:G54"/>
    <mergeCell ref="I54:M54"/>
    <mergeCell ref="B55:G55"/>
    <mergeCell ref="I55:M55"/>
  </mergeCells>
  <pageMargins left="0.7" right="0.7" top="0.75" bottom="0.75" header="0.3" footer="0.3"/>
  <pageSetup scale="70" orientation="landscape" r:id="rId1"/>
  <rowBreaks count="1" manualBreakCount="1">
    <brk id="34"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FB53F7-7B0A-4801-86D5-FBAF72679A0C}"/>
</file>

<file path=customXml/itemProps2.xml><?xml version="1.0" encoding="utf-8"?>
<ds:datastoreItem xmlns:ds="http://schemas.openxmlformats.org/officeDocument/2006/customXml" ds:itemID="{8A2BAC52-129F-44A0-8E3F-81A89DD7D489}"/>
</file>

<file path=customXml/itemProps3.xml><?xml version="1.0" encoding="utf-8"?>
<ds:datastoreItem xmlns:ds="http://schemas.openxmlformats.org/officeDocument/2006/customXml" ds:itemID="{13577BFC-7F27-4992-B6C9-6449843D80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Summary</vt:lpstr>
      <vt:lpstr>Section A- Goals Review</vt:lpstr>
      <vt:lpstr>Section B-Perf. Expectations</vt:lpstr>
      <vt:lpstr>'Section A- Goals Review'!Print_Area</vt:lpstr>
      <vt:lpstr>'Section B-Perf. Expectations'!Print_Area</vt:lpstr>
      <vt:lpstr>Summary!Print_Area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Kristian C. Vasquez</cp:lastModifiedBy>
  <cp:lastPrinted>2014-07-15T21:54:16Z</cp:lastPrinted>
  <dcterms:created xsi:type="dcterms:W3CDTF">2014-06-16T21:51:08Z</dcterms:created>
  <dcterms:modified xsi:type="dcterms:W3CDTF">2015-01-26T14:27:47Z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714800</vt:r8>
  </property>
</Properties>
</file>