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charts/chart1.xml" ContentType="application/vnd.openxmlformats-officedocument.drawingml.chart+xml"/>
  <Override PartName="/xl/worksheets/sheet1.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385" yWindow="-15" windowWidth="14430" windowHeight="12855" activeTab="1"/>
  </bookViews>
  <sheets>
    <sheet name="Summary" sheetId="4" r:id="rId1"/>
    <sheet name="Section A- Goals Review" sheetId="1" r:id="rId2"/>
    <sheet name="Section B-Perf. Expectations" sheetId="3" r:id="rId3"/>
  </sheets>
  <externalReferences>
    <externalReference r:id="rId4"/>
  </externalReferences>
  <definedNames>
    <definedName name="Descriptions" localSheetId="2">#REF!</definedName>
    <definedName name="Descriptions" localSheetId="0">#REF!</definedName>
    <definedName name="Descriptions">#REF!</definedName>
    <definedName name="_xlnm.Print_Area" localSheetId="1">'Section A- Goals Review'!$A$1:$E$11</definedName>
    <definedName name="_xlnm.Print_Area" localSheetId="2">'Section B-Perf. Expectations'!$A$7:$N$57</definedName>
    <definedName name="_xlnm.Print_Area" localSheetId="0">Summary!$A$2:$N$33</definedName>
    <definedName name="Ratings" localSheetId="2">#REF!</definedName>
    <definedName name="Ratings" localSheetId="0">#REF!</definedName>
    <definedName name="Ratings">#REF!</definedName>
  </definedNames>
  <calcPr calcId="145621"/>
</workbook>
</file>

<file path=xl/calcChain.xml><?xml version="1.0" encoding="utf-8"?>
<calcChain xmlns="http://schemas.openxmlformats.org/spreadsheetml/2006/main">
  <c r="M48" i="3" l="1"/>
  <c r="E10" i="1" l="1"/>
  <c r="M51" i="3" s="1"/>
</calcChain>
</file>

<file path=xl/sharedStrings.xml><?xml version="1.0" encoding="utf-8"?>
<sst xmlns="http://schemas.openxmlformats.org/spreadsheetml/2006/main" count="65" uniqueCount="53">
  <si>
    <t>Communications</t>
  </si>
  <si>
    <t>Actual Performance to Date:</t>
  </si>
  <si>
    <t>Department Total</t>
  </si>
  <si>
    <t xml:space="preserve">
Summary</t>
  </si>
  <si>
    <t>Rating Definitions</t>
  </si>
  <si>
    <r>
      <t xml:space="preserve">Exemplary: </t>
    </r>
    <r>
      <rPr>
        <sz val="10"/>
        <rFont val="Verdana"/>
        <family val="2"/>
      </rPr>
      <t>Consistently achieves at a high level. Exceeds expectations.</t>
    </r>
  </si>
  <si>
    <r>
      <t xml:space="preserve">Solid: </t>
    </r>
    <r>
      <rPr>
        <sz val="10"/>
        <rFont val="Verdana"/>
        <family val="2"/>
      </rPr>
      <t>Consistently achieves above the satisfactory level. Meets all expectations</t>
    </r>
  </si>
  <si>
    <r>
      <t xml:space="preserve">Satisfactory: </t>
    </r>
    <r>
      <rPr>
        <sz val="10"/>
        <rFont val="Verdana"/>
        <family val="2"/>
      </rPr>
      <t>Accomplishes tasks in a satisfactory manner. Meets most expectations.</t>
    </r>
  </si>
  <si>
    <r>
      <rPr>
        <b/>
        <sz val="10"/>
        <rFont val="Verdana"/>
        <family val="2"/>
      </rPr>
      <t xml:space="preserve">Needs Improvement: </t>
    </r>
    <r>
      <rPr>
        <sz val="10"/>
        <rFont val="Verdana"/>
        <family val="2"/>
      </rPr>
      <t xml:space="preserve">Improvement is necesssary to more consistently meet expectations. </t>
    </r>
  </si>
  <si>
    <r>
      <rPr>
        <b/>
        <sz val="10"/>
        <rFont val="Verdana"/>
        <family val="2"/>
      </rPr>
      <t xml:space="preserve">Seriously Deficient: </t>
    </r>
    <r>
      <rPr>
        <sz val="10"/>
        <rFont val="Verdana"/>
        <family val="2"/>
      </rPr>
      <t>Problems with approach or execution. Expectations are generally not met.</t>
    </r>
  </si>
  <si>
    <t>Major Corrective Actions</t>
  </si>
  <si>
    <r>
      <t xml:space="preserve">                                                                                                                   </t>
    </r>
    <r>
      <rPr>
        <b/>
        <sz val="12"/>
        <color theme="1"/>
        <rFont val="Calibri"/>
        <family val="2"/>
        <scheme val="minor"/>
      </rPr>
      <t>Rating Definitions (This portion will not print).</t>
    </r>
    <r>
      <rPr>
        <b/>
        <sz val="11"/>
        <color theme="1"/>
        <rFont val="Calibri"/>
        <family val="2"/>
        <scheme val="minor"/>
      </rPr>
      <t xml:space="preserve">
5.0 Exemplary  Consistently achieves at a high level. Exceeds expectations.
4.0 – 4.5 Solid Performance Consistently achieves above the satisfactory level. Meets all expectations. 
3.0 – 3.5 Satisfactory  Accomplishes the task in a satisfactory manner.  Meets most expectations.
1.5 – 2.5 Needs Improvement Improvement is necessary to more consistently meet expectations.
0.0 – 1.0 Seriously Deficient Problems with approach or execution.  Expectations are generally not met.
</t>
    </r>
  </si>
  <si>
    <t>B. Performance Expectations - 25%</t>
  </si>
  <si>
    <t>Financial Management</t>
  </si>
  <si>
    <t>Comments</t>
  </si>
  <si>
    <t>• Manages funds and resources responsibly and judiciously within area of responsibility.  
• Works proactively to improve program/unit financial oversight and sustainability.</t>
  </si>
  <si>
    <t>Rating:</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</si>
  <si>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</si>
  <si>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</si>
  <si>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</si>
  <si>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</si>
  <si>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</si>
  <si>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</si>
  <si>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</si>
  <si>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</si>
  <si>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</si>
  <si>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</si>
  <si>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Supervisory Functions</t>
  </si>
  <si>
    <t>• Provides leadership to staff and organization. Manages conflict successfully. 
• Sets clear expectations, gives effective feedback and provides strong oversight.
• Follows and enforces policies and procedures.</t>
  </si>
  <si>
    <r>
      <t>Section B- Supervisor Comments (</t>
    </r>
    <r>
      <rPr>
        <i/>
        <sz val="11"/>
        <color theme="1"/>
        <rFont val="Calibri"/>
        <family val="2"/>
        <scheme val="minor"/>
      </rPr>
      <t>optional</t>
    </r>
    <r>
      <rPr>
        <b/>
        <sz val="11"/>
        <color theme="1"/>
        <rFont val="Calibri"/>
        <family val="2"/>
        <scheme val="minor"/>
      </rPr>
      <t>):</t>
    </r>
  </si>
  <si>
    <r>
      <t>Section B- Employee Comments (</t>
    </r>
    <r>
      <rPr>
        <i/>
        <sz val="11"/>
        <color theme="1"/>
        <rFont val="Calibri"/>
        <family val="2"/>
        <scheme val="minor"/>
      </rPr>
      <t>optional</t>
    </r>
    <r>
      <rPr>
        <b/>
        <sz val="11"/>
        <color theme="1"/>
        <rFont val="Calibri"/>
        <family val="2"/>
        <scheme val="minor"/>
      </rPr>
      <t>):</t>
    </r>
  </si>
  <si>
    <t>SECTION B</t>
  </si>
  <si>
    <t>C. OVERALL PERFORMANCE</t>
  </si>
  <si>
    <t>OVERALL SCORE</t>
  </si>
  <si>
    <t>Supervisor Signature                            Date</t>
  </si>
  <si>
    <t>President Signature                                     Date</t>
  </si>
  <si>
    <t>Employee Signature                              Date</t>
  </si>
  <si>
    <t>Vice President Signature ( if applicable)    Date</t>
  </si>
  <si>
    <r>
      <rPr>
        <b/>
        <u/>
        <sz val="11"/>
        <color indexed="8"/>
        <rFont val="Calibri"/>
        <family val="2"/>
      </rPr>
      <t>Corrective Actions in 2014:</t>
    </r>
    <r>
      <rPr>
        <sz val="11"/>
        <color theme="1"/>
        <rFont val="Calibri"/>
        <family val="2"/>
        <scheme val="minor"/>
      </rPr>
      <t xml:space="preserve">
1) Budget &amp; NICRA - Internal restructuring to allow VP of Operations to directly oversee the Program Managers for our largest grants to ensure timely execution of operations and spending. As a result, the Corporation should successfully avoid significant program underspending and lower NICRA to the competitive rate of 25%
2) PartnersConnect &amp; Rechartering - Established Engagement Strategy Working Group to strengthen Chapter Network and improve the overall affiliations strategy.
3) A Ganar now fully staffed and procedures in place to fulfill donor requirements and hit program spending targets
4) Inter-American Development Bank (IDB) reimbursement and audit will recieve additional technical support
</t>
    </r>
    <r>
      <rPr>
        <b/>
        <u/>
        <sz val="11"/>
        <color indexed="8"/>
        <rFont val="Calibri"/>
        <family val="2"/>
      </rPr>
      <t xml:space="preserve">Corrective Actions Outlined for 2015:
</t>
    </r>
    <r>
      <rPr>
        <sz val="11"/>
        <color theme="1"/>
        <rFont val="Calibri"/>
        <family val="2"/>
        <scheme val="minor"/>
      </rPr>
      <t xml:space="preserve">
</t>
    </r>
    <r>
      <rPr>
        <b/>
        <sz val="11"/>
        <color indexed="8"/>
        <rFont val="Calibri"/>
        <family val="2"/>
      </rPr>
      <t/>
    </r>
  </si>
  <si>
    <t>Pre-filled based on information provided during Mid-Year Performance Evaluation.</t>
  </si>
  <si>
    <t xml:space="preserve">Partnerships &amp; Programs 2014 Goals 
Performance Evaluation </t>
  </si>
  <si>
    <t>A. Goals Review - 75%</t>
  </si>
  <si>
    <t>2014 Corporate Performance Evaluation  Ratings</t>
  </si>
  <si>
    <r>
      <t xml:space="preserve">Goal 1 - Build a Financially Stable Organization                                                                                                                                                                                         
</t>
    </r>
    <r>
      <rPr>
        <sz val="12"/>
        <rFont val="Verdana"/>
        <family val="2"/>
      </rPr>
      <t>1.1) Build and refine “PartnersConnect to PD” pipeline, channeling new institutional interest into program development opportunities
1.2) Renew/replace portfolio of $2M
1.3) Expand portfolio by $3.35M
1.4) Package program and curricula, including:  Finalize YouthLead Curriculum, Build SME Development program packages, Build PCEN program packages
1.5) Raise $185,000 in 50th Anniversary Revenue via Convention sponsorships and registration
1.6) Raise $20,000 in fee-for-service revenue and build 2 new models for financial fee-for-service activities with focus on UNR
1.7) Raise $33,250 in PartnersConnect institutional membership revenue</t>
    </r>
  </si>
  <si>
    <t>1.1) Build and refine “PartnersConnect to PD” pipeline, channeling new institutional interest into program development opportunities: Proposals developed w/all (100%) new Org Partners (6).  PD Pipeline process developed, met w/program staff from each unit to introduce concept, get feedback, set expectations. Worked w/PD on new-hire for supporting non-traditional proposals but must increase priority of this joint effort. (3.0)
1.2) Renew/replace portfolio of $2M:  Have renewed approximately half of portfolio as of midyear point; developed 10 DOS proposals totalling $17.6M in 4 pgm areas (youth, fellows, sports, climate).  Renewed E/C ($367k) and YA pgms ($285k) and won new Sport for Community pgm ($400k).  Supported Youth IQC proposal w/World Learning. (4.0)
1.3) Expand portfolio by $3.35M:  Submitted non-traditional proposals for bilingualism and Matching.  $750k in current 100k Strong commitments have been landed;  New commitments are $900k and on track to achieve $2M in pledges.  Collab w/PD has been sparse due to full schedules. Collab with Advisor Restrepo excellent. (3.5)
1.4) Package program and curricula, including:  Finalize YL Curriculum, Build SME Dev pgm packages, Build PCEN pgm packages:  Completed final draft of YL Curriculum w/consultant, now working on communications, formatting  branding. Packages for Matching/PCEN delayed due to lack of capacity. (3.0)
1.5) Raise $185,000 in 50th Revenue via Convention sponsorships and registration:  Biggest fundraising challenge of the year.  Participation target lowered and have secured ~35k of needed ~50k sponsorships. (2.0)
1.6) Raise $20,000 in fee-for-service revenue and build 2 new models for financial fee-for-service activities with focus on UNR: Ongoing (3.5)
1.7) Raise $33,250 in PartnersConnect institutional membership revenue: Ongoing (3.5)</t>
  </si>
  <si>
    <t>Comments:</t>
  </si>
  <si>
    <r>
      <t xml:space="preserve">Goal 2 - Strengthen Network of Volunteers, Programs &amp; Projects
</t>
    </r>
    <r>
      <rPr>
        <sz val="12"/>
        <rFont val="Verdana"/>
        <family val="2"/>
      </rPr>
      <t>2.1) Enhance and grow PartnersConnect                                                                   
2.2) Affiliate individuals to PartnersConnect:
2.3) Affiliate organizations to PartnersConnect:
2.4) Continue close 100k Strong – PartnersConnect collaboration
2.5) Expand # of recognized Strategic Partners to five (5)
2.6) Facilitate broad participation of chapters, volunteers, alumni, partner oranizations and others at Partners events including 50th.  
2.7) Implement successful 50th Convention
2.8) Improve communication with Strategic Partner SENA
2.9) Increase quality and quantity of 100k Strong innovation competitions
2.10) Innovate and improve efficiencies within existing programs              
2.11) Maximize program-network integration
2.12) Plan Strategic 50th Capitol Hill Reception
2.13) SalesForce adoption
2.14) Strengthen collaboration between Bi-National Centers (ABLA members) and Partners of the Americas
2.15) Strengthen PartnersCampus
2.16) Successfully fulfill implementation requirements for 10 programs
2.17) YouthLead:  Conduct 3 fully funded delegations (2xSENA + 1 new)</t>
    </r>
    <r>
      <rPr>
        <b/>
        <sz val="12"/>
        <rFont val="Verdana"/>
        <family val="2"/>
      </rPr>
      <t xml:space="preserve">
</t>
    </r>
  </si>
  <si>
    <t xml:space="preserve">2.1) Enhance and grow PartnersConnect:  Have achieved agreement on approach for pgms in PnP unit for recruitment.  Behind schedule in actually doing it for all but 100k.  Mid-year increase in staff capacity makes this a top 2nd semester priority.  PConnect V3.0 launched with upgrade and renew features, advanced discussions of website transition in future, PCEN online content complete, Comm unable to take on the webinars so Christie/Ukiah have issued a call for proposals, refinement of membership categories and value propositions ongoing and making significant progress. (4.0)
2.2) Affiliate individuals to PartnersConnect:  Focused on Fellows but delayed due to poor technology; desire to focus pitch on UNR giving for individuals. (2.0)
2.3) Affiliate organizations to PartnersConnect:  900+ organizations joined; need to diversify beyond HEIs to include broader org types. Mid-year increase in staff capacity makes this a top 2nd semester priority. (4.0)   
2.4) Continue close 100k Strong – PartnersConnect collaboration:  On target to exceed target for year. (4.0)
2.5) Expand # of recognized Strategic Partners to five (5): Behind. (2.0)
2.6) Facilitate broad participation of chapters, volunteers, alumni, partner oranizations and others at Partners events including 50th:  PLE/YE leading effort to give subsidies for chapter members, youth, and Fellow alumni to attend the convention. High number of E/C travel grants have been approved that include travel to the convention. (4.0)
2.7) Implement successful 50th Convention: In progress. 
2.8) Improve communication with Strategic Partner SENA:  SENA relationship remains difficult and strained, although programs grow. (3.0)
2.9) Increase quality and quantity of 100k Strong innovation competitions:  Each competition has improved in quality and interest.  Ongoing. (4.0)
</t>
  </si>
  <si>
    <r>
      <rPr>
        <b/>
        <sz val="12"/>
        <rFont val="Verdana"/>
        <family val="2"/>
      </rPr>
      <t>Goal 3 - Well-Governed, Accountable &amp; Transparent Organization</t>
    </r>
    <r>
      <rPr>
        <sz val="12"/>
        <rFont val="Verdana"/>
        <family val="2"/>
      </rPr>
      <t xml:space="preserve">
3.1) Lead development of Partners Engagement Framework
</t>
    </r>
  </si>
  <si>
    <t>3.1)  Lead development of Engagement and Membership Framework:  Engagement Strategy White Paper completed on time, presented to staff and Working Group with warm reception.  Engaement Strategy Working Group is on schedule and producing excellent results.  Resolution endorsed by WG and will be voted on at summer board meeting as anticipated.  Schedule in motion for by-laws changes and Board/Congress engagement at Convention.  Strong focus on Convention prep in 60-day comment period. (4.5)</t>
  </si>
  <si>
    <t>4.1) Develop comprehensive organizational value-statement on Partners’ work with youth that incorporates programs and chapter activities:  Organizational value statement on youth is in draft form. (4.0)
4.2) Improve program M&amp;E:  Attention to M&amp;E has been delayed (PLE/YE) and slow (100k Strong).  With PLE/YE, more attention 2nd semester. (2.5)
4.3) Increase program visibility:  Across nearly all program areas, we have achieved extremely high program visibility.  100k Strong with Presidential, VP, and Sec State level engagement, EducationUSA plenaries, NAFSA, ACE and many other active social media sharing, New Global Citizen article broadly distributed, website re-designs only partially complete for PLE/YE but in progress, social media presence especially for LF has increased, and ECPA outreach has decreased due to lack of capacity and comm time. (4.5)
4.4) Represent Partners at 10-20 external events:  Exceeding targets with dozens of event-based engagements. (5.0)</t>
  </si>
  <si>
    <r>
      <t xml:space="preserve">Corrective Action(s):
</t>
    </r>
    <r>
      <rPr>
        <sz val="12"/>
        <rFont val="Verdana"/>
        <family val="2"/>
      </rPr>
      <t>50th Convention  - Ramp up 50th Convention outreach "surge" to increase participants during final months.  Double down on 50th sponsorship strategy with all decks on hand, devoting more time to the effort.  In sponsorship we will expand the list of potential sponsors, target groups for mass-mail invitations, (HEI, CINTERFOR, others), strengthen strategies like Kellogg Fellows messages.  For attendance, we seek greater support from Pres Office, PD, PnP, staff in general and specially Comm. We need more support to increase attendance.  Non-traditional Program Development - New hires for PLE/YE AD, Program Development PO, TEC Bilingualism SPO, and additional Comm PO now (soon) take effect to increase capacity for outreach and non-traditional program development.  Secure higher priority level for PD efforts for PCEN and Engagement Strategy proposals.  100k Strong - Ensure that Lee and Jackie have secure tracking systems on all elements of implementation to avoid deadline over-runs and unecessary last-minute pressure on key fundraising deliverables.  Increase consultant (Restrepo) and internal (team) engagement to expand new donor approaches for 100k Strong.
PartnersConnect - Ukiah to reach out to staff to discuss how Pconnect can help them and their programs, and feed that knowledge into the design of new functionality and/or sub-networks.  100k Strong - Ensure that Lee and Jackie develop new deadline and process tracking mechanism to ensure deadlines are well anticipated and met.  PartnersCampus - Reprioritize Christie's time to PartnersCampus now that TEC Bilingualism PO will start.  SENA relationship - Increase engagement at higher levels of Partners (CEO, VP level) in key activities in order to help Caro improve and maintain this partnership during 2014 implementation and 2015 planning. The relationship with a strategic Partner –especially SENA- should be followed and supported more closely by higher levels in Partners. 
M&amp;E - With new staff on board, focus more attention on M&amp;E.  Comm Materials - Work with new Comm PO to improve website and one-pagers.  100k donor-focused materials - Focus more on share-able quotes, pictures and videos that are most helpful to donors and outreach for key programs like 100k Strong.</t>
    </r>
  </si>
  <si>
    <r>
      <t xml:space="preserve">Goal 4 - Evaluate and Communicate Our Impact and Value
</t>
    </r>
    <r>
      <rPr>
        <sz val="12"/>
        <rFont val="Verdana"/>
        <family val="2"/>
      </rPr>
      <t>4.1) Develop comprehensive organizational value-statement on Partners’ work with youth that incorporates programs and chapter activities
4.2) Improve program M&amp;E
4.3) Increase program visibility
4.4) Represent Partners at 10-20 external events</t>
    </r>
  </si>
</sst>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theme="1"/>
      <name val="Calibri"/>
      <family val="2"/>
      <scheme val="minor"/>
    </font>
    <font>
      <sz val="11"/>
      <color theme="1"/>
      <name val="Calibri"/>
      <family val="2"/>
      <scheme val="minor"/>
    </font>
    <font>
      <b/>
      <sz val="15"/>
      <color theme="3"/>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28"/>
      <color theme="2" tint="-0.749992370372631"/>
      <name val="Cambria"/>
      <family val="1"/>
      <scheme val="major"/>
    </font>
    <font>
      <sz val="11"/>
      <name val="Calibri"/>
      <family val="2"/>
      <scheme val="minor"/>
    </font>
    <font>
      <sz val="14"/>
      <name val="Cambria"/>
      <family val="1"/>
      <scheme val="major"/>
    </font>
    <font>
      <b/>
      <sz val="14"/>
      <color theme="0"/>
      <name val="Cambria"/>
      <family val="1"/>
      <scheme val="major"/>
    </font>
    <font>
      <b/>
      <sz val="14"/>
      <name val="Cambria"/>
      <family val="1"/>
      <scheme val="major"/>
    </font>
    <font>
      <sz val="12"/>
      <name val="Verdana"/>
      <family val="2"/>
    </font>
    <font>
      <b/>
      <sz val="12"/>
      <name val="Verdana"/>
      <family val="2"/>
    </font>
    <font>
      <sz val="12"/>
      <color theme="1"/>
      <name val="Verdana"/>
      <family val="2"/>
    </font>
    <font>
      <b/>
      <sz val="10"/>
      <name val="Calibri"/>
      <family val="2"/>
      <scheme val="minor"/>
    </font>
    <font>
      <b/>
      <sz val="12"/>
      <name val="Calibri"/>
      <family val="2"/>
      <scheme val="minor"/>
    </font>
    <font>
      <sz val="12"/>
      <name val="Calibri"/>
      <family val="2"/>
      <scheme val="minor"/>
    </font>
    <font>
      <b/>
      <sz val="22"/>
      <color theme="1"/>
      <name val="Cambria"/>
      <family val="1"/>
      <scheme val="major"/>
    </font>
    <font>
      <b/>
      <sz val="20"/>
      <color theme="1"/>
      <name val="Cambria"/>
      <family val="1"/>
      <scheme val="major"/>
    </font>
    <font>
      <b/>
      <sz val="12"/>
      <color theme="0"/>
      <name val="Cambria"/>
      <family val="1"/>
      <scheme val="major"/>
    </font>
    <font>
      <b/>
      <sz val="10"/>
      <name val="Verdana"/>
      <family val="2"/>
    </font>
    <font>
      <sz val="10"/>
      <name val="Verdana"/>
      <family val="2"/>
    </font>
    <font>
      <b/>
      <sz val="12"/>
      <color theme="0"/>
      <name val="Times New Roman"/>
      <family val="1"/>
    </font>
    <font>
      <b/>
      <u/>
      <sz val="11"/>
      <color indexed="8"/>
      <name val="Calibri"/>
      <family val="2"/>
    </font>
    <font>
      <b/>
      <sz val="11"/>
      <color indexed="8"/>
      <name val="Calibri"/>
      <family val="2"/>
    </font>
    <font>
      <b/>
      <sz val="11"/>
      <color theme="0"/>
      <name val="Calibri"/>
      <family val="2"/>
      <scheme val="minor"/>
    </font>
    <font>
      <b/>
      <sz val="12"/>
      <color theme="1"/>
      <name val="Calibri"/>
      <family val="2"/>
      <scheme val="minor"/>
    </font>
    <font>
      <b/>
      <sz val="14"/>
      <color theme="0"/>
      <name val="Calibri"/>
      <family val="2"/>
      <scheme val="minor"/>
    </font>
    <font>
      <sz val="10"/>
      <color theme="1"/>
      <name val="Calibri"/>
      <family val="2"/>
      <scheme val="minor"/>
    </font>
    <font>
      <i/>
      <sz val="11"/>
      <color theme="1"/>
      <name val="Calibri"/>
      <family val="2"/>
      <scheme val="minor"/>
    </font>
    <font>
      <b/>
      <sz val="12"/>
      <color theme="0"/>
      <name val="Calibri"/>
      <family val="2"/>
      <scheme val="minor"/>
    </font>
    <font>
      <b/>
      <sz val="14"/>
      <name val="Calibri"/>
      <family val="2"/>
      <scheme val="minor"/>
    </font>
  </fonts>
  <fills count="18">
    <fill>
      <patternFill patternType="none"/>
    </fill>
    <fill>
      <patternFill patternType="gray125"/>
    </fill>
    <fill>
      <patternFill patternType="solid">
        <fgColor rgb="FFF47914"/>
        <bgColor indexed="64"/>
      </patternFill>
    </fill>
    <fill>
      <patternFill patternType="solid">
        <fgColor theme="0" tint="-4.9989318521683403E-2"/>
        <bgColor indexed="64"/>
      </patternFill>
    </fill>
    <fill>
      <patternFill patternType="solid">
        <fgColor rgb="FFFEF6F4"/>
        <bgColor indexed="64"/>
      </patternFill>
    </fill>
    <fill>
      <patternFill patternType="solid">
        <fgColor rgb="FFF57B17"/>
        <bgColor indexed="64"/>
      </patternFill>
    </fill>
    <fill>
      <patternFill patternType="solid">
        <fgColor rgb="FFFFFFFF"/>
        <bgColor indexed="64"/>
      </patternFill>
    </fill>
    <fill>
      <patternFill patternType="solid">
        <fgColor theme="4"/>
      </patternFill>
    </fill>
    <fill>
      <patternFill patternType="solid">
        <fgColor theme="5"/>
      </patternFill>
    </fill>
    <fill>
      <patternFill patternType="solid">
        <fgColor theme="8"/>
      </patternFill>
    </fill>
    <fill>
      <patternFill patternType="solid">
        <fgColor theme="2" tint="-0.749992370372631"/>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589A"/>
        <bgColor indexed="64"/>
      </patternFill>
    </fill>
    <fill>
      <patternFill patternType="solid">
        <fgColor theme="2" tint="-0.249977111117893"/>
        <bgColor indexed="64"/>
      </patternFill>
    </fill>
    <fill>
      <patternFill patternType="solid">
        <fgColor theme="2" tint="-0.749961851863155"/>
        <bgColor indexed="64"/>
      </patternFill>
    </fill>
    <fill>
      <patternFill patternType="solid">
        <fgColor rgb="FFDF4B2D"/>
        <bgColor indexed="64"/>
      </patternFill>
    </fill>
    <fill>
      <patternFill patternType="solid">
        <fgColor theme="2"/>
        <bgColor indexed="64"/>
      </patternFill>
    </fill>
  </fills>
  <borders count="31">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1" applyNumberFormat="0" applyFill="0" applyAlignment="0" applyProtection="0"/>
    <xf numFmtId="0" fontId="1" fillId="4" borderId="2"/>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cellStyleXfs>
  <cellXfs count="104">
    <xf numFmtId="0" fontId="0" fillId="0" borderId="0" xfId="0"/>
    <xf numFmtId="0" fontId="6" fillId="0" borderId="0" xfId="0" applyFont="1" applyFill="1" applyBorder="1" applyAlignment="1" applyProtection="1">
      <alignment wrapText="1"/>
    </xf>
    <xf numFmtId="0" fontId="7" fillId="0" borderId="0" xfId="0" applyFont="1" applyFill="1" applyBorder="1" applyAlignment="1" applyProtection="1">
      <alignment horizontal="center" vertical="center" wrapText="1"/>
    </xf>
    <xf numFmtId="0" fontId="8" fillId="0" borderId="0" xfId="0" applyFont="1" applyAlignment="1" applyProtection="1">
      <alignment wrapText="1"/>
    </xf>
    <xf numFmtId="0" fontId="0" fillId="0" borderId="0" xfId="0" applyAlignment="1">
      <alignment wrapText="1"/>
    </xf>
    <xf numFmtId="0" fontId="9" fillId="2" borderId="0" xfId="0" applyFont="1" applyFill="1" applyBorder="1" applyAlignment="1" applyProtection="1">
      <alignment wrapText="1"/>
    </xf>
    <xf numFmtId="0" fontId="10" fillId="2" borderId="0" xfId="1" applyFont="1" applyFill="1" applyBorder="1" applyAlignment="1" applyProtection="1">
      <alignment vertical="center" wrapText="1"/>
    </xf>
    <xf numFmtId="0" fontId="11" fillId="2" borderId="0" xfId="1" applyFont="1" applyFill="1" applyBorder="1" applyAlignment="1" applyProtection="1">
      <alignment vertical="top" wrapText="1"/>
    </xf>
    <xf numFmtId="0" fontId="9" fillId="0" borderId="0" xfId="0" applyFont="1" applyFill="1" applyBorder="1" applyAlignment="1" applyProtection="1">
      <alignment wrapText="1"/>
    </xf>
    <xf numFmtId="0" fontId="0" fillId="2" borderId="0" xfId="0" applyFont="1" applyFill="1" applyAlignment="1">
      <alignment wrapText="1"/>
    </xf>
    <xf numFmtId="0" fontId="12" fillId="0" borderId="3" xfId="0" applyFont="1" applyFill="1" applyBorder="1" applyAlignment="1" applyProtection="1">
      <alignment horizontal="left" vertical="center" wrapText="1" indent="1"/>
    </xf>
    <xf numFmtId="2" fontId="13" fillId="0" borderId="4" xfId="0" applyNumberFormat="1" applyFont="1" applyFill="1" applyBorder="1" applyAlignment="1" applyProtection="1">
      <alignment horizontal="center" vertical="center" wrapText="1"/>
    </xf>
    <xf numFmtId="0" fontId="6" fillId="2" borderId="0" xfId="0" applyFont="1" applyFill="1" applyBorder="1" applyAlignment="1" applyProtection="1">
      <alignment wrapText="1"/>
    </xf>
    <xf numFmtId="0" fontId="13" fillId="0" borderId="3" xfId="0" applyFont="1" applyFill="1" applyBorder="1" applyAlignment="1" applyProtection="1">
      <alignment horizontal="left" vertical="center" wrapText="1" indent="1"/>
    </xf>
    <xf numFmtId="2" fontId="13" fillId="0" borderId="5" xfId="0" applyNumberFormat="1" applyFont="1" applyFill="1" applyBorder="1" applyAlignment="1" applyProtection="1">
      <alignment horizontal="center" vertical="center" wrapText="1"/>
    </xf>
    <xf numFmtId="0" fontId="13" fillId="0" borderId="6" xfId="0" applyFont="1" applyFill="1" applyBorder="1" applyAlignment="1" applyProtection="1">
      <alignment horizontal="left" vertical="center" wrapText="1" indent="1"/>
    </xf>
    <xf numFmtId="0" fontId="12" fillId="0" borderId="7" xfId="0" applyFont="1" applyFill="1" applyBorder="1" applyAlignment="1" applyProtection="1">
      <alignment horizontal="left" vertical="center" wrapText="1" indent="1"/>
    </xf>
    <xf numFmtId="2" fontId="13" fillId="0" borderId="8" xfId="0" applyNumberFormat="1" applyFont="1" applyFill="1" applyBorder="1" applyAlignment="1" applyProtection="1">
      <alignment horizontal="center" vertical="center" wrapText="1"/>
    </xf>
    <xf numFmtId="0" fontId="12" fillId="0" borderId="0" xfId="0" applyFont="1" applyFill="1" applyBorder="1" applyAlignment="1" applyProtection="1">
      <alignment wrapText="1"/>
    </xf>
    <xf numFmtId="0" fontId="13" fillId="0" borderId="0" xfId="0" applyFont="1" applyFill="1" applyBorder="1" applyAlignment="1" applyProtection="1">
      <alignment horizontal="right" vertical="center" wrapText="1" indent="1"/>
    </xf>
    <xf numFmtId="2" fontId="13" fillId="0" borderId="12" xfId="0" applyNumberFormat="1" applyFont="1" applyFill="1" applyBorder="1" applyAlignment="1" applyProtection="1">
      <alignment horizontal="center" vertical="center" wrapText="1"/>
    </xf>
    <xf numFmtId="0" fontId="15" fillId="0" borderId="0" xfId="0" applyFont="1" applyFill="1" applyBorder="1" applyAlignment="1" applyProtection="1">
      <alignment horizontal="right" vertical="center" wrapText="1" indent="1"/>
    </xf>
    <xf numFmtId="2" fontId="16" fillId="0" borderId="0" xfId="0" applyNumberFormat="1" applyFont="1" applyFill="1" applyBorder="1" applyAlignment="1" applyProtection="1">
      <alignment horizontal="center" vertical="center" wrapText="1"/>
    </xf>
    <xf numFmtId="2" fontId="17" fillId="0" borderId="0" xfId="0" applyNumberFormat="1" applyFont="1" applyFill="1" applyBorder="1" applyAlignment="1" applyProtection="1">
      <alignment horizontal="center" vertical="center" wrapText="1"/>
    </xf>
    <xf numFmtId="0" fontId="6" fillId="0" borderId="0" xfId="0" applyFont="1" applyFill="1" applyBorder="1" applyAlignment="1" applyProtection="1">
      <alignment horizontal="left" vertical="top" wrapText="1"/>
    </xf>
    <xf numFmtId="0" fontId="18" fillId="0" borderId="0" xfId="0" applyFont="1" applyAlignment="1">
      <alignment vertical="top" wrapText="1"/>
    </xf>
    <xf numFmtId="0" fontId="3" fillId="0" borderId="0" xfId="0" applyFont="1" applyFill="1"/>
    <xf numFmtId="0" fontId="0" fillId="5" borderId="0" xfId="0" applyFont="1" applyFill="1" applyAlignment="1">
      <alignment wrapText="1"/>
    </xf>
    <xf numFmtId="0" fontId="20" fillId="5" borderId="0" xfId="0" applyFont="1" applyFill="1" applyBorder="1" applyAlignment="1" applyProtection="1">
      <alignment vertical="center" wrapText="1"/>
      <protection locked="0"/>
    </xf>
    <xf numFmtId="0" fontId="8" fillId="5" borderId="13" xfId="0" applyFont="1" applyFill="1" applyBorder="1" applyAlignment="1" applyProtection="1">
      <alignment wrapText="1"/>
    </xf>
    <xf numFmtId="0" fontId="5" fillId="5" borderId="0" xfId="0" applyFont="1" applyFill="1"/>
    <xf numFmtId="0" fontId="23" fillId="5" borderId="0" xfId="0" applyFont="1" applyFill="1"/>
    <xf numFmtId="0" fontId="0" fillId="5" borderId="0" xfId="0" applyFill="1"/>
    <xf numFmtId="0" fontId="0" fillId="0" borderId="0" xfId="0" applyFill="1" applyBorder="1" applyAlignment="1">
      <alignment vertical="top"/>
    </xf>
    <xf numFmtId="2" fontId="16" fillId="12" borderId="4" xfId="0" applyNumberFormat="1" applyFont="1" applyFill="1" applyBorder="1" applyAlignment="1" applyProtection="1">
      <alignment horizontal="center" vertical="center" wrapText="1"/>
    </xf>
    <xf numFmtId="0" fontId="4" fillId="0" borderId="0" xfId="0" applyFont="1"/>
    <xf numFmtId="0" fontId="0" fillId="0" borderId="0" xfId="0" applyFill="1" applyBorder="1" applyAlignment="1"/>
    <xf numFmtId="0" fontId="0" fillId="0" borderId="0" xfId="0" applyFill="1" applyBorder="1" applyAlignment="1">
      <alignment horizontal="left" vertical="top" wrapText="1"/>
    </xf>
    <xf numFmtId="0" fontId="31" fillId="15" borderId="0" xfId="0" applyFont="1" applyFill="1" applyBorder="1" applyAlignment="1">
      <alignment horizontal="center" vertical="center" wrapText="1"/>
    </xf>
    <xf numFmtId="0" fontId="0" fillId="0" borderId="0" xfId="0" applyFill="1"/>
    <xf numFmtId="2" fontId="27" fillId="0" borderId="30" xfId="0" applyNumberFormat="1" applyFont="1" applyBorder="1" applyAlignment="1">
      <alignment horizontal="center"/>
    </xf>
    <xf numFmtId="0" fontId="0" fillId="0" borderId="0" xfId="0" applyBorder="1"/>
    <xf numFmtId="0" fontId="31" fillId="16" borderId="27" xfId="3" applyFont="1" applyFill="1" applyBorder="1" applyAlignment="1">
      <alignment horizontal="center" vertical="center"/>
    </xf>
    <xf numFmtId="2" fontId="0" fillId="0" borderId="30" xfId="0" applyNumberFormat="1" applyBorder="1"/>
    <xf numFmtId="0" fontId="12" fillId="0" borderId="3" xfId="0" applyFont="1" applyFill="1" applyBorder="1" applyAlignment="1" applyProtection="1">
      <alignment horizontal="left" vertical="top" wrapText="1" indent="1"/>
    </xf>
    <xf numFmtId="0" fontId="14" fillId="0" borderId="0" xfId="0" applyFont="1" applyAlignment="1">
      <alignment horizontal="left" vertical="center" wrapText="1" indent="1"/>
    </xf>
    <xf numFmtId="0" fontId="13" fillId="3" borderId="9" xfId="0" applyFont="1" applyFill="1" applyBorder="1" applyAlignment="1" applyProtection="1">
      <alignment vertical="top" wrapText="1"/>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2" fontId="22" fillId="0" borderId="14" xfId="0" applyNumberFormat="1" applyFont="1" applyFill="1" applyBorder="1" applyAlignment="1" applyProtection="1">
      <alignment horizontal="center" vertical="center" wrapText="1"/>
    </xf>
    <xf numFmtId="2" fontId="22" fillId="0" borderId="15" xfId="0" applyNumberFormat="1" applyFont="1" applyFill="1" applyBorder="1" applyAlignment="1" applyProtection="1">
      <alignment horizontal="center" vertical="center" wrapText="1"/>
    </xf>
    <xf numFmtId="0" fontId="0" fillId="0" borderId="7" xfId="0" applyBorder="1" applyAlignment="1">
      <alignment horizontal="left" vertical="top" wrapText="1"/>
    </xf>
    <xf numFmtId="0" fontId="0" fillId="0" borderId="6"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0" fillId="0" borderId="20" xfId="0" applyBorder="1" applyAlignment="1">
      <alignment horizontal="left" vertical="top"/>
    </xf>
    <xf numFmtId="0" fontId="19" fillId="0" borderId="0" xfId="0" applyFont="1" applyAlignment="1">
      <alignment horizontal="left" vertical="center" wrapText="1"/>
    </xf>
    <xf numFmtId="0" fontId="21" fillId="6" borderId="14" xfId="0" applyFont="1" applyFill="1" applyBorder="1" applyAlignment="1">
      <alignment horizontal="left" vertical="center" wrapText="1"/>
    </xf>
    <xf numFmtId="0" fontId="21" fillId="6" borderId="15" xfId="0" applyFont="1" applyFill="1" applyBorder="1" applyAlignment="1">
      <alignment horizontal="left" vertical="center" wrapText="1"/>
    </xf>
    <xf numFmtId="2" fontId="22" fillId="0" borderId="14" xfId="0" applyNumberFormat="1" applyFont="1" applyBorder="1" applyAlignment="1" applyProtection="1">
      <alignment horizontal="center" vertical="center" wrapText="1"/>
    </xf>
    <xf numFmtId="2" fontId="22" fillId="0" borderId="15" xfId="0" applyNumberFormat="1" applyFont="1" applyBorder="1" applyAlignment="1" applyProtection="1">
      <alignment horizontal="center" vertical="center" wrapText="1"/>
    </xf>
    <xf numFmtId="0" fontId="21" fillId="6" borderId="3" xfId="0" applyFont="1" applyFill="1" applyBorder="1" applyAlignment="1">
      <alignment horizontal="left" vertical="center" wrapText="1"/>
    </xf>
    <xf numFmtId="2" fontId="22" fillId="0" borderId="3" xfId="0" applyNumberFormat="1" applyFont="1" applyBorder="1" applyAlignment="1" applyProtection="1">
      <alignment horizontal="center" vertical="center" wrapText="1"/>
    </xf>
    <xf numFmtId="0" fontId="7" fillId="0" borderId="0" xfId="0" applyFont="1" applyAlignment="1">
      <alignment horizontal="center" vertical="center" wrapText="1"/>
    </xf>
    <xf numFmtId="0" fontId="32" fillId="17" borderId="0" xfId="0" applyFont="1" applyFill="1" applyBorder="1" applyAlignment="1" applyProtection="1">
      <alignment horizontal="left" wrapText="1"/>
      <protection locked="0"/>
    </xf>
    <xf numFmtId="0" fontId="13" fillId="3" borderId="10" xfId="0" applyFont="1" applyFill="1" applyBorder="1" applyAlignment="1" applyProtection="1">
      <alignment horizontal="left" vertical="top" wrapText="1"/>
    </xf>
    <xf numFmtId="0" fontId="13" fillId="3" borderId="11" xfId="0" applyFont="1" applyFill="1" applyBorder="1" applyAlignment="1" applyProtection="1">
      <alignment horizontal="left" vertical="top" wrapText="1"/>
    </xf>
    <xf numFmtId="0" fontId="28" fillId="10" borderId="0" xfId="4" applyFont="1" applyFill="1" applyAlignment="1">
      <alignment horizontal="left" vertical="center"/>
    </xf>
    <xf numFmtId="0" fontId="4" fillId="0" borderId="6" xfId="0" applyFont="1" applyBorder="1" applyAlignment="1">
      <alignment horizontal="left"/>
    </xf>
    <xf numFmtId="0" fontId="4" fillId="0" borderId="6" xfId="0" applyFont="1" applyBorder="1" applyAlignment="1">
      <alignment horizontal="left" vertical="top"/>
    </xf>
    <xf numFmtId="0" fontId="0" fillId="0" borderId="13" xfId="0" applyBorder="1" applyAlignment="1">
      <alignment horizontal="left"/>
    </xf>
    <xf numFmtId="0" fontId="26" fillId="11" borderId="13" xfId="5" applyFont="1" applyFill="1" applyBorder="1" applyAlignment="1">
      <alignment horizontal="center" vertical="top"/>
    </xf>
    <xf numFmtId="0" fontId="26" fillId="11" borderId="0" xfId="0" applyFont="1" applyFill="1" applyAlignment="1">
      <alignment horizontal="left" indent="7"/>
    </xf>
    <xf numFmtId="0" fontId="29" fillId="0" borderId="14" xfId="0" applyFont="1" applyBorder="1" applyAlignment="1">
      <alignment horizontal="left" vertical="top" wrapText="1"/>
    </xf>
    <xf numFmtId="0" fontId="29" fillId="0" borderId="29" xfId="0" applyFont="1" applyBorder="1" applyAlignment="1">
      <alignment horizontal="left" vertical="top"/>
    </xf>
    <xf numFmtId="0" fontId="29" fillId="0" borderId="15" xfId="0" applyFont="1" applyBorder="1" applyAlignment="1">
      <alignment horizontal="left" vertical="top"/>
    </xf>
    <xf numFmtId="0" fontId="29" fillId="12" borderId="14" xfId="0" applyFont="1" applyFill="1" applyBorder="1" applyAlignment="1">
      <alignment horizontal="left" vertical="top" wrapText="1"/>
    </xf>
    <xf numFmtId="0" fontId="29" fillId="12" borderId="29" xfId="0" applyFont="1" applyFill="1" applyBorder="1" applyAlignment="1">
      <alignment horizontal="left" vertical="top" wrapText="1"/>
    </xf>
    <xf numFmtId="0" fontId="29" fillId="12" borderId="15" xfId="0" applyFont="1" applyFill="1" applyBorder="1" applyAlignment="1">
      <alignment horizontal="left" vertical="top" wrapText="1"/>
    </xf>
    <xf numFmtId="0" fontId="4" fillId="14" borderId="14" xfId="0" applyFont="1" applyFill="1" applyBorder="1" applyAlignment="1">
      <alignment horizontal="left" vertical="top"/>
    </xf>
    <xf numFmtId="0" fontId="4" fillId="14" borderId="29" xfId="0" applyFont="1" applyFill="1" applyBorder="1" applyAlignment="1">
      <alignment horizontal="left" vertical="top"/>
    </xf>
    <xf numFmtId="0" fontId="4" fillId="14" borderId="15" xfId="0" applyFont="1" applyFill="1" applyBorder="1" applyAlignment="1">
      <alignment horizontal="left" vertical="top"/>
    </xf>
    <xf numFmtId="0" fontId="0" fillId="12" borderId="14" xfId="0" applyFill="1" applyBorder="1" applyAlignment="1">
      <alignment horizontal="left" vertical="top" wrapText="1"/>
    </xf>
    <xf numFmtId="0" fontId="0" fillId="12" borderId="29" xfId="0" applyFill="1" applyBorder="1" applyAlignment="1">
      <alignment horizontal="left" vertical="top" wrapText="1"/>
    </xf>
    <xf numFmtId="0" fontId="0" fillId="12" borderId="15" xfId="0" applyFill="1" applyBorder="1" applyAlignment="1">
      <alignment horizontal="left" vertical="top" wrapText="1"/>
    </xf>
    <xf numFmtId="0" fontId="5" fillId="10" borderId="0" xfId="0" applyFont="1" applyFill="1" applyAlignment="1">
      <alignment horizontal="left" vertical="top" wrapText="1"/>
    </xf>
    <xf numFmtId="0" fontId="4" fillId="0" borderId="0" xfId="0" applyFont="1" applyBorder="1" applyAlignment="1">
      <alignment horizontal="left"/>
    </xf>
    <xf numFmtId="0" fontId="5" fillId="11" borderId="13" xfId="0" applyFont="1" applyFill="1" applyBorder="1" applyAlignment="1">
      <alignment horizontal="center"/>
    </xf>
    <xf numFmtId="0" fontId="26" fillId="13" borderId="0" xfId="0" applyFont="1" applyFill="1" applyAlignment="1">
      <alignment horizontal="left" indent="7"/>
    </xf>
    <xf numFmtId="0" fontId="4"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4" fillId="0" borderId="0" xfId="0" applyFont="1" applyBorder="1" applyAlignment="1">
      <alignment horizontal="left" vertical="top" wrapText="1"/>
    </xf>
    <xf numFmtId="0" fontId="4" fillId="0" borderId="25"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0" fillId="0" borderId="29" xfId="0" applyBorder="1" applyAlignment="1">
      <alignment horizontal="left" vertical="top"/>
    </xf>
    <xf numFmtId="0" fontId="0" fillId="0" borderId="15" xfId="0" applyBorder="1" applyAlignment="1">
      <alignment horizontal="left" vertical="top"/>
    </xf>
  </cellXfs>
  <cellStyles count="6">
    <cellStyle name="Accent1" xfId="3" builtinId="29"/>
    <cellStyle name="Accent2" xfId="4" builtinId="33"/>
    <cellStyle name="Accent5" xfId="5" builtinId="45"/>
    <cellStyle name="Heading 1" xfId="1" builtinId="16"/>
    <cellStyle name="Normal" xfId="0" builtinId="0"/>
    <cellStyle name="Style 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61284352"/>
        <c:axId val="61285888"/>
      </c:scatterChart>
      <c:valAx>
        <c:axId val="61284352"/>
        <c:scaling>
          <c:orientation val="minMax"/>
          <c:max val="100"/>
          <c:min val="0"/>
        </c:scaling>
        <c:delete val="1"/>
        <c:axPos val="b"/>
        <c:majorTickMark val="out"/>
        <c:minorTickMark val="none"/>
        <c:tickLblPos val="nextTo"/>
        <c:crossAx val="61285888"/>
        <c:crosses val="autoZero"/>
        <c:crossBetween val="midCat"/>
      </c:valAx>
      <c:valAx>
        <c:axId val="61285888"/>
        <c:scaling>
          <c:orientation val="minMax"/>
          <c:max val="60"/>
          <c:min val="-10"/>
        </c:scaling>
        <c:delete val="1"/>
        <c:axPos val="l"/>
        <c:majorTickMark val="out"/>
        <c:minorTickMark val="none"/>
        <c:tickLblPos val="nextTo"/>
        <c:crossAx val="61284352"/>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xdr:row>
      <xdr:rowOff>38100</xdr:rowOff>
    </xdr:from>
    <xdr:to>
      <xdr:col>3</xdr:col>
      <xdr:colOff>251460</xdr:colOff>
      <xdr:row>3</xdr:row>
      <xdr:rowOff>45720</xdr:rowOff>
    </xdr:to>
    <xdr:pic>
      <xdr:nvPicPr>
        <xdr:cNvPr id="2" name="Picture 6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228600"/>
          <a:ext cx="2638425" cy="636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19260</xdr:colOff>
      <xdr:row>5</xdr:row>
      <xdr:rowOff>18223</xdr:rowOff>
    </xdr:from>
    <xdr:to>
      <xdr:col>14</xdr:col>
      <xdr:colOff>41639</xdr:colOff>
      <xdr:row>5</xdr:row>
      <xdr:rowOff>18223</xdr:rowOff>
    </xdr:to>
    <xdr:sp macro="" textlink="">
      <xdr:nvSpPr>
        <xdr:cNvPr id="2" name="Text Box 11"/>
        <xdr:cNvSpPr txBox="1">
          <a:spLocks/>
        </xdr:cNvSpPr>
      </xdr:nvSpPr>
      <xdr:spPr bwMode="auto">
        <a:xfrm>
          <a:off x="21345735" y="6038023"/>
          <a:ext cx="612929"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6</xdr:col>
      <xdr:colOff>11642</xdr:colOff>
      <xdr:row>5</xdr:row>
      <xdr:rowOff>15873</xdr:rowOff>
    </xdr:from>
    <xdr:to>
      <xdr:col>7</xdr:col>
      <xdr:colOff>145331</xdr:colOff>
      <xdr:row>5</xdr:row>
      <xdr:rowOff>16175</xdr:rowOff>
    </xdr:to>
    <xdr:sp macro="" textlink="">
      <xdr:nvSpPr>
        <xdr:cNvPr id="3" name="Text Box 11"/>
        <xdr:cNvSpPr txBox="1">
          <a:spLocks/>
        </xdr:cNvSpPr>
      </xdr:nvSpPr>
      <xdr:spPr bwMode="auto">
        <a:xfrm>
          <a:off x="17080442" y="6035673"/>
          <a:ext cx="724239" cy="302"/>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4</xdr:col>
      <xdr:colOff>617220</xdr:colOff>
      <xdr:row>6</xdr:row>
      <xdr:rowOff>7620</xdr:rowOff>
    </xdr:from>
    <xdr:to>
      <xdr:col>5</xdr:col>
      <xdr:colOff>381000</xdr:colOff>
      <xdr:row>6</xdr:row>
      <xdr:rowOff>0</xdr:rowOff>
    </xdr:to>
    <xdr:sp macro="" textlink="">
      <xdr:nvSpPr>
        <xdr:cNvPr id="4" name="Text Box 11"/>
        <xdr:cNvSpPr txBox="1">
          <a:spLocks/>
        </xdr:cNvSpPr>
      </xdr:nvSpPr>
      <xdr:spPr bwMode="auto">
        <a:xfrm>
          <a:off x="16247745" y="8570595"/>
          <a:ext cx="611505"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endParaRPr lang="en-US"/>
        </a:p>
      </xdr:txBody>
    </xdr:sp>
    <xdr:clientData/>
  </xdr:twoCellAnchor>
  <xdr:twoCellAnchor>
    <xdr:from>
      <xdr:col>10</xdr:col>
      <xdr:colOff>379095</xdr:colOff>
      <xdr:row>6</xdr:row>
      <xdr:rowOff>2721</xdr:rowOff>
    </xdr:from>
    <xdr:to>
      <xdr:col>11</xdr:col>
      <xdr:colOff>76122</xdr:colOff>
      <xdr:row>6</xdr:row>
      <xdr:rowOff>2721</xdr:rowOff>
    </xdr:to>
    <xdr:sp macro="" textlink="">
      <xdr:nvSpPr>
        <xdr:cNvPr id="5" name="Text Box 11"/>
        <xdr:cNvSpPr txBox="1">
          <a:spLocks/>
        </xdr:cNvSpPr>
      </xdr:nvSpPr>
      <xdr:spPr bwMode="auto">
        <a:xfrm>
          <a:off x="19810095" y="8565696"/>
          <a:ext cx="411402"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endParaRPr lang="en-US"/>
        </a:p>
      </xdr:txBody>
    </xdr:sp>
    <xdr:clientData/>
  </xdr:twoCellAnchor>
  <xdr:twoCellAnchor>
    <xdr:from>
      <xdr:col>10</xdr:col>
      <xdr:colOff>503504</xdr:colOff>
      <xdr:row>21</xdr:row>
      <xdr:rowOff>114722</xdr:rowOff>
    </xdr:from>
    <xdr:to>
      <xdr:col>11</xdr:col>
      <xdr:colOff>27112</xdr:colOff>
      <xdr:row>23</xdr:row>
      <xdr:rowOff>126743</xdr:rowOff>
    </xdr:to>
    <xdr:sp macro="" textlink="">
      <xdr:nvSpPr>
        <xdr:cNvPr id="6" name="Text Box 11"/>
        <xdr:cNvSpPr txBox="1">
          <a:spLocks/>
        </xdr:cNvSpPr>
      </xdr:nvSpPr>
      <xdr:spPr bwMode="auto">
        <a:xfrm>
          <a:off x="19934504" y="18431297"/>
          <a:ext cx="237983" cy="412071"/>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2019300</xdr:colOff>
      <xdr:row>0</xdr:row>
      <xdr:rowOff>0</xdr:rowOff>
    </xdr:from>
    <xdr:to>
      <xdr:col>4</xdr:col>
      <xdr:colOff>45720</xdr:colOff>
      <xdr:row>1</xdr:row>
      <xdr:rowOff>38100</xdr:rowOff>
    </xdr:to>
    <xdr:grpSp>
      <xdr:nvGrpSpPr>
        <xdr:cNvPr id="7" name="Group 238"/>
        <xdr:cNvGrpSpPr>
          <a:grpSpLocks/>
        </xdr:cNvGrpSpPr>
      </xdr:nvGrpSpPr>
      <xdr:grpSpPr bwMode="auto">
        <a:xfrm>
          <a:off x="10469336" y="0"/>
          <a:ext cx="5265420" cy="2895600"/>
          <a:chOff x="33279" y="2690897"/>
          <a:chExt cx="6469945" cy="3769529"/>
        </a:xfrm>
      </xdr:grpSpPr>
      <xdr:sp macro="" textlink="">
        <xdr:nvSpPr>
          <xdr:cNvPr id="8" name="Rounded Rectangle 7"/>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9" name="Group 427"/>
          <xdr:cNvGrpSpPr>
            <a:grpSpLocks/>
          </xdr:cNvGrpSpPr>
        </xdr:nvGrpSpPr>
        <xdr:grpSpPr bwMode="auto">
          <a:xfrm>
            <a:off x="443139" y="3753976"/>
            <a:ext cx="3680279" cy="1795402"/>
            <a:chOff x="193063" y="1155645"/>
            <a:chExt cx="3658893" cy="1807321"/>
          </a:xfrm>
        </xdr:grpSpPr>
        <xdr:sp macro="" textlink="">
          <xdr:nvSpPr>
            <xdr:cNvPr id="16"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7"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8"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9"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20"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10"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1" name="TextBox 10"/>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0B0D2EC-F0EB-4D09-80CE-0310BCD7F1A3}"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2" name="TextBox 11"/>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E5DD848-5BF7-4A2E-ABE1-AFFEB4157F52}"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3" name="TextBox 12"/>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66234B34-192D-45E1-A270-CAC010E3697F}"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4" name="TextBox 13"/>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089D4AD2-A35A-45A9-9BC2-49C4AC8C4BE6}"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5" name="TextBox 14"/>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4216D39B-F75A-4046-969B-3191D22FC759}"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3915172</xdr:colOff>
      <xdr:row>0</xdr:row>
      <xdr:rowOff>1181346</xdr:rowOff>
    </xdr:from>
    <xdr:to>
      <xdr:col>3</xdr:col>
      <xdr:colOff>4088932</xdr:colOff>
      <xdr:row>0</xdr:row>
      <xdr:rowOff>2251137</xdr:rowOff>
    </xdr:to>
    <xdr:sp macro="" textlink="">
      <xdr:nvSpPr>
        <xdr:cNvPr id="21" name="Freeform 5"/>
        <xdr:cNvSpPr>
          <a:spLocks/>
        </xdr:cNvSpPr>
      </xdr:nvSpPr>
      <xdr:spPr bwMode="auto">
        <a:xfrm rot="17058612" flipH="1" flipV="1">
          <a:off x="11906306" y="1629362"/>
          <a:ext cx="1069791" cy="173760"/>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Kristian/Performance%20Evaluations/2014%20Corpoare%20Goals%20Evaluations/2014%20Midyear-Corporate%20Perforamance%20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esidents Office"/>
      <sheetName val="Finance &amp; Administration"/>
      <sheetName val="Program Development"/>
      <sheetName val="Communications"/>
      <sheetName val="Partnerships &amp; Programs"/>
      <sheetName val="Agriculture &amp; Food Security"/>
      <sheetName val="Combating Child Labor"/>
      <sheetName val="Sport for Development"/>
      <sheetName val="Dashboard Info"/>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32"/>
  <sheetViews>
    <sheetView zoomScale="80" zoomScaleNormal="80" workbookViewId="0">
      <selection activeCell="L11" sqref="L11"/>
    </sheetView>
  </sheetViews>
  <sheetFormatPr defaultRowHeight="15" x14ac:dyDescent="0.25"/>
  <cols>
    <col min="1" max="1" width="4.28515625" customWidth="1"/>
    <col min="2" max="2" width="3.140625" customWidth="1"/>
    <col min="3" max="3" width="33" bestFit="1" customWidth="1"/>
    <col min="4" max="4" width="22.7109375" customWidth="1"/>
    <col min="5" max="5" width="21.28515625" customWidth="1"/>
    <col min="6" max="6" width="28.140625" bestFit="1" customWidth="1"/>
    <col min="7" max="7" width="24.140625" bestFit="1" customWidth="1"/>
  </cols>
  <sheetData>
    <row r="2" spans="2:7" ht="34.5" customHeight="1" x14ac:dyDescent="0.25">
      <c r="D2" s="25" t="s">
        <v>3</v>
      </c>
      <c r="E2" s="60" t="s">
        <v>42</v>
      </c>
      <c r="F2" s="60"/>
      <c r="G2" s="25"/>
    </row>
    <row r="3" spans="2:7" ht="15" customHeight="1" x14ac:dyDescent="0.25">
      <c r="D3" s="25"/>
      <c r="E3" s="60"/>
      <c r="F3" s="60"/>
      <c r="G3" s="25"/>
    </row>
    <row r="4" spans="2:7" ht="21" customHeight="1" x14ac:dyDescent="0.25">
      <c r="E4" s="60"/>
      <c r="F4" s="60"/>
    </row>
    <row r="6" spans="2:7" x14ac:dyDescent="0.25">
      <c r="B6" s="26"/>
      <c r="C6" s="26"/>
      <c r="D6" s="26"/>
      <c r="E6" s="26"/>
      <c r="F6" s="26"/>
    </row>
    <row r="7" spans="2:7" ht="15.75" x14ac:dyDescent="0.25">
      <c r="B7" s="27"/>
      <c r="C7" s="28" t="s">
        <v>4</v>
      </c>
      <c r="D7" s="29"/>
      <c r="E7" s="29"/>
      <c r="F7" s="29"/>
    </row>
    <row r="8" spans="2:7" ht="38.25" customHeight="1" x14ac:dyDescent="0.25">
      <c r="B8" s="9"/>
      <c r="C8" s="65" t="s">
        <v>5</v>
      </c>
      <c r="D8" s="61"/>
      <c r="E8" s="66">
        <v>5</v>
      </c>
      <c r="F8" s="66"/>
    </row>
    <row r="9" spans="2:7" ht="37.5" customHeight="1" x14ac:dyDescent="0.25">
      <c r="B9" s="9"/>
      <c r="C9" s="61" t="s">
        <v>6</v>
      </c>
      <c r="D9" s="62"/>
      <c r="E9" s="63">
        <v>4</v>
      </c>
      <c r="F9" s="64"/>
    </row>
    <row r="10" spans="2:7" ht="34.5" customHeight="1" x14ac:dyDescent="0.25">
      <c r="B10" s="9"/>
      <c r="C10" s="61" t="s">
        <v>7</v>
      </c>
      <c r="D10" s="62"/>
      <c r="E10" s="63">
        <v>3</v>
      </c>
      <c r="F10" s="64"/>
    </row>
    <row r="11" spans="2:7" ht="41.25" customHeight="1" x14ac:dyDescent="0.25">
      <c r="B11" s="9"/>
      <c r="C11" s="47" t="s">
        <v>8</v>
      </c>
      <c r="D11" s="48"/>
      <c r="E11" s="49">
        <v>2</v>
      </c>
      <c r="F11" s="50"/>
    </row>
    <row r="12" spans="2:7" ht="37.5" customHeight="1" x14ac:dyDescent="0.25">
      <c r="B12" s="9"/>
      <c r="C12" s="47" t="s">
        <v>9</v>
      </c>
      <c r="D12" s="48"/>
      <c r="E12" s="49">
        <v>1</v>
      </c>
      <c r="F12" s="50"/>
    </row>
    <row r="13" spans="2:7" ht="18" customHeight="1" x14ac:dyDescent="0.25"/>
    <row r="17" spans="2:7" ht="15.75" x14ac:dyDescent="0.25">
      <c r="B17" s="30"/>
      <c r="C17" s="31" t="s">
        <v>10</v>
      </c>
      <c r="D17" s="30"/>
      <c r="E17" s="30"/>
      <c r="F17" s="30"/>
      <c r="G17" s="30"/>
    </row>
    <row r="18" spans="2:7" ht="15" customHeight="1" x14ac:dyDescent="0.25">
      <c r="B18" s="32"/>
      <c r="C18" s="51" t="s">
        <v>38</v>
      </c>
      <c r="D18" s="52"/>
      <c r="E18" s="52"/>
      <c r="F18" s="52"/>
      <c r="G18" s="53"/>
    </row>
    <row r="19" spans="2:7" x14ac:dyDescent="0.25">
      <c r="B19" s="32"/>
      <c r="C19" s="54"/>
      <c r="D19" s="55"/>
      <c r="E19" s="55"/>
      <c r="F19" s="55"/>
      <c r="G19" s="56"/>
    </row>
    <row r="20" spans="2:7" x14ac:dyDescent="0.25">
      <c r="B20" s="32"/>
      <c r="C20" s="54"/>
      <c r="D20" s="55"/>
      <c r="E20" s="55"/>
      <c r="F20" s="55"/>
      <c r="G20" s="56"/>
    </row>
    <row r="21" spans="2:7" x14ac:dyDescent="0.25">
      <c r="B21" s="32"/>
      <c r="C21" s="54"/>
      <c r="D21" s="55"/>
      <c r="E21" s="55"/>
      <c r="F21" s="55"/>
      <c r="G21" s="56"/>
    </row>
    <row r="22" spans="2:7" x14ac:dyDescent="0.25">
      <c r="B22" s="32"/>
      <c r="C22" s="54"/>
      <c r="D22" s="55"/>
      <c r="E22" s="55"/>
      <c r="F22" s="55"/>
      <c r="G22" s="56"/>
    </row>
    <row r="23" spans="2:7" x14ac:dyDescent="0.25">
      <c r="B23" s="32"/>
      <c r="C23" s="54"/>
      <c r="D23" s="55"/>
      <c r="E23" s="55"/>
      <c r="F23" s="55"/>
      <c r="G23" s="56"/>
    </row>
    <row r="24" spans="2:7" x14ac:dyDescent="0.25">
      <c r="B24" s="32"/>
      <c r="C24" s="54"/>
      <c r="D24" s="55"/>
      <c r="E24" s="55"/>
      <c r="F24" s="55"/>
      <c r="G24" s="56"/>
    </row>
    <row r="25" spans="2:7" x14ac:dyDescent="0.25">
      <c r="B25" s="32"/>
      <c r="C25" s="54"/>
      <c r="D25" s="55"/>
      <c r="E25" s="55"/>
      <c r="F25" s="55"/>
      <c r="G25" s="56"/>
    </row>
    <row r="26" spans="2:7" x14ac:dyDescent="0.25">
      <c r="B26" s="32"/>
      <c r="C26" s="54"/>
      <c r="D26" s="55"/>
      <c r="E26" s="55"/>
      <c r="F26" s="55"/>
      <c r="G26" s="56"/>
    </row>
    <row r="27" spans="2:7" x14ac:dyDescent="0.25">
      <c r="B27" s="32"/>
      <c r="C27" s="54"/>
      <c r="D27" s="55"/>
      <c r="E27" s="55"/>
      <c r="F27" s="55"/>
      <c r="G27" s="56"/>
    </row>
    <row r="28" spans="2:7" x14ac:dyDescent="0.25">
      <c r="B28" s="32"/>
      <c r="C28" s="54"/>
      <c r="D28" s="55"/>
      <c r="E28" s="55"/>
      <c r="F28" s="55"/>
      <c r="G28" s="56"/>
    </row>
    <row r="29" spans="2:7" x14ac:dyDescent="0.25">
      <c r="B29" s="32"/>
      <c r="C29" s="54"/>
      <c r="D29" s="55"/>
      <c r="E29" s="55"/>
      <c r="F29" s="55"/>
      <c r="G29" s="56"/>
    </row>
    <row r="30" spans="2:7" x14ac:dyDescent="0.25">
      <c r="B30" s="32"/>
      <c r="C30" s="54"/>
      <c r="D30" s="55"/>
      <c r="E30" s="55"/>
      <c r="F30" s="55"/>
      <c r="G30" s="56"/>
    </row>
    <row r="31" spans="2:7" x14ac:dyDescent="0.25">
      <c r="B31" s="32"/>
      <c r="C31" s="54"/>
      <c r="D31" s="55"/>
      <c r="E31" s="55"/>
      <c r="F31" s="55"/>
      <c r="G31" s="56"/>
    </row>
    <row r="32" spans="2:7" ht="102.75" customHeight="1" x14ac:dyDescent="0.25">
      <c r="B32" s="32"/>
      <c r="C32" s="57"/>
      <c r="D32" s="58"/>
      <c r="E32" s="58"/>
      <c r="F32" s="58"/>
      <c r="G32" s="59"/>
    </row>
  </sheetData>
  <mergeCells count="12">
    <mergeCell ref="E2:F4"/>
    <mergeCell ref="C10:D10"/>
    <mergeCell ref="E10:F10"/>
    <mergeCell ref="C8:D8"/>
    <mergeCell ref="E8:F8"/>
    <mergeCell ref="C9:D9"/>
    <mergeCell ref="E9:F9"/>
    <mergeCell ref="C11:D11"/>
    <mergeCell ref="E11:F11"/>
    <mergeCell ref="C12:D12"/>
    <mergeCell ref="E12:F12"/>
    <mergeCell ref="C18:G32"/>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0"/>
  <sheetViews>
    <sheetView tabSelected="1" zoomScale="70" zoomScaleNormal="70" workbookViewId="0">
      <selection activeCell="C5" sqref="C5"/>
    </sheetView>
  </sheetViews>
  <sheetFormatPr defaultColWidth="8.85546875" defaultRowHeight="15.75" x14ac:dyDescent="0.2"/>
  <cols>
    <col min="1" max="1" width="4" style="1" customWidth="1"/>
    <col min="2" max="2" width="3.42578125" style="1" customWidth="1"/>
    <col min="3" max="3" width="119.140625" style="24" customWidth="1"/>
    <col min="4" max="4" width="108.5703125" style="23" customWidth="1"/>
    <col min="5" max="5" width="12.7109375" style="1" customWidth="1"/>
    <col min="6" max="10" width="8.85546875" style="1"/>
    <col min="11" max="11" width="10.7109375" style="1" customWidth="1"/>
    <col min="12" max="16384" width="8.85546875" style="1"/>
  </cols>
  <sheetData>
    <row r="1" spans="2:5" ht="225" customHeight="1" x14ac:dyDescent="0.2">
      <c r="C1" s="2" t="s">
        <v>40</v>
      </c>
      <c r="D1" s="67"/>
      <c r="E1" s="67"/>
    </row>
    <row r="2" spans="2:5" s="4" customFormat="1" ht="18.75" x14ac:dyDescent="0.3">
      <c r="B2" s="68" t="s">
        <v>39</v>
      </c>
      <c r="C2" s="68"/>
      <c r="D2" s="3"/>
    </row>
    <row r="3" spans="2:5" ht="18.75" x14ac:dyDescent="0.2">
      <c r="B3" s="71" t="s">
        <v>41</v>
      </c>
      <c r="C3" s="71"/>
    </row>
    <row r="4" spans="2:5" s="8" customFormat="1" ht="18.75" thickBot="1" x14ac:dyDescent="0.3">
      <c r="B4" s="5"/>
      <c r="C4" s="6" t="s">
        <v>0</v>
      </c>
      <c r="D4" s="6" t="s">
        <v>1</v>
      </c>
      <c r="E4" s="7"/>
    </row>
    <row r="5" spans="2:5" s="4" customFormat="1" ht="353.25" customHeight="1" x14ac:dyDescent="0.25">
      <c r="B5" s="9"/>
      <c r="C5" s="13" t="s">
        <v>43</v>
      </c>
      <c r="D5" s="44" t="s">
        <v>44</v>
      </c>
      <c r="E5" s="11">
        <v>3.5</v>
      </c>
    </row>
    <row r="6" spans="2:5" ht="408.75" customHeight="1" x14ac:dyDescent="0.2">
      <c r="B6" s="12"/>
      <c r="C6" s="13" t="s">
        <v>46</v>
      </c>
      <c r="D6" s="45" t="s">
        <v>47</v>
      </c>
      <c r="E6" s="14">
        <v>4</v>
      </c>
    </row>
    <row r="7" spans="2:5" ht="200.25" customHeight="1" x14ac:dyDescent="0.2">
      <c r="B7" s="12"/>
      <c r="C7" s="10" t="s">
        <v>48</v>
      </c>
      <c r="D7" s="44" t="s">
        <v>49</v>
      </c>
      <c r="E7" s="14">
        <v>4.5</v>
      </c>
    </row>
    <row r="8" spans="2:5" ht="219.75" customHeight="1" x14ac:dyDescent="0.2">
      <c r="B8" s="12"/>
      <c r="C8" s="15" t="s">
        <v>52</v>
      </c>
      <c r="D8" s="16" t="s">
        <v>50</v>
      </c>
      <c r="E8" s="17">
        <v>4</v>
      </c>
    </row>
    <row r="9" spans="2:5" ht="409.5" customHeight="1" thickBot="1" x14ac:dyDescent="0.25">
      <c r="B9" s="12"/>
      <c r="C9" s="46" t="s">
        <v>51</v>
      </c>
      <c r="D9" s="69" t="s">
        <v>45</v>
      </c>
      <c r="E9" s="70"/>
    </row>
    <row r="10" spans="2:5" thickBot="1" x14ac:dyDescent="0.25">
      <c r="C10" s="18"/>
      <c r="D10" s="19" t="s">
        <v>2</v>
      </c>
      <c r="E10" s="20">
        <f>AVERAGE(E5,E6,E7,E8)</f>
        <v>4</v>
      </c>
    </row>
    <row r="11" spans="2:5" x14ac:dyDescent="0.2">
      <c r="C11" s="21"/>
      <c r="D11" s="22"/>
    </row>
    <row r="12" spans="2:5" ht="12.75" x14ac:dyDescent="0.2">
      <c r="C12" s="1"/>
      <c r="D12" s="1"/>
    </row>
    <row r="13" spans="2:5" ht="12.75" x14ac:dyDescent="0.2">
      <c r="C13" s="1"/>
      <c r="D13" s="1"/>
    </row>
    <row r="14" spans="2:5" ht="12.75" x14ac:dyDescent="0.2">
      <c r="C14" s="1"/>
      <c r="D14" s="1"/>
    </row>
    <row r="15" spans="2:5" ht="12.75" x14ac:dyDescent="0.2">
      <c r="C15" s="1"/>
      <c r="D15" s="1"/>
    </row>
    <row r="16" spans="2:5" ht="12.75" x14ac:dyDescent="0.2">
      <c r="C16" s="1"/>
      <c r="D16" s="1"/>
    </row>
    <row r="17" spans="3:4" ht="12.75" x14ac:dyDescent="0.2">
      <c r="C17" s="1"/>
      <c r="D17" s="1"/>
    </row>
    <row r="18" spans="3:4" ht="12.75" x14ac:dyDescent="0.2">
      <c r="C18" s="1"/>
      <c r="D18" s="1"/>
    </row>
    <row r="19" spans="3:4" x14ac:dyDescent="0.2">
      <c r="C19" s="23"/>
      <c r="D19" s="1"/>
    </row>
    <row r="20" spans="3:4" x14ac:dyDescent="0.2">
      <c r="C20" s="23"/>
      <c r="D20" s="1"/>
    </row>
  </sheetData>
  <mergeCells count="4">
    <mergeCell ref="D1:E1"/>
    <mergeCell ref="B2:C2"/>
    <mergeCell ref="D9:E9"/>
    <mergeCell ref="B3:C3"/>
  </mergeCells>
  <pageMargins left="0.7" right="0.7" top="0.75" bottom="0.75" header="0.3" footer="0.3"/>
  <pageSetup scale="49" fitToHeight="0" orientation="landscape" r:id="rId1"/>
  <headerFooter alignWithMargins="0">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zoomScale="90" zoomScaleNormal="90" workbookViewId="0">
      <selection activeCell="H11" sqref="H11:M11"/>
    </sheetView>
  </sheetViews>
  <sheetFormatPr defaultRowHeight="15" x14ac:dyDescent="0.25"/>
  <cols>
    <col min="1" max="1" width="3.5703125" customWidth="1"/>
    <col min="4" max="4" width="21.7109375" customWidth="1"/>
    <col min="7" max="7" width="27.7109375" customWidth="1"/>
    <col min="13" max="13" width="27.7109375" customWidth="1"/>
  </cols>
  <sheetData>
    <row r="1" spans="2:14" ht="15.75" thickBot="1" x14ac:dyDescent="0.3"/>
    <row r="2" spans="2:14" ht="15" customHeight="1" x14ac:dyDescent="0.25">
      <c r="B2" s="93" t="s">
        <v>11</v>
      </c>
      <c r="C2" s="94"/>
      <c r="D2" s="94"/>
      <c r="E2" s="94"/>
      <c r="F2" s="94"/>
      <c r="G2" s="94"/>
      <c r="H2" s="94"/>
      <c r="I2" s="94"/>
      <c r="J2" s="94"/>
      <c r="K2" s="94"/>
      <c r="L2" s="95"/>
    </row>
    <row r="3" spans="2:14" x14ac:dyDescent="0.25">
      <c r="B3" s="96"/>
      <c r="C3" s="97"/>
      <c r="D3" s="97"/>
      <c r="E3" s="97"/>
      <c r="F3" s="97"/>
      <c r="G3" s="97"/>
      <c r="H3" s="97"/>
      <c r="I3" s="97"/>
      <c r="J3" s="97"/>
      <c r="K3" s="97"/>
      <c r="L3" s="98"/>
    </row>
    <row r="4" spans="2:14" x14ac:dyDescent="0.25">
      <c r="B4" s="96"/>
      <c r="C4" s="97"/>
      <c r="D4" s="97"/>
      <c r="E4" s="97"/>
      <c r="F4" s="97"/>
      <c r="G4" s="97"/>
      <c r="H4" s="97"/>
      <c r="I4" s="97"/>
      <c r="J4" s="97"/>
      <c r="K4" s="97"/>
      <c r="L4" s="98"/>
    </row>
    <row r="5" spans="2:14" x14ac:dyDescent="0.25">
      <c r="B5" s="96"/>
      <c r="C5" s="97"/>
      <c r="D5" s="97"/>
      <c r="E5" s="97"/>
      <c r="F5" s="97"/>
      <c r="G5" s="97"/>
      <c r="H5" s="97"/>
      <c r="I5" s="97"/>
      <c r="J5" s="97"/>
      <c r="K5" s="97"/>
      <c r="L5" s="98"/>
    </row>
    <row r="6" spans="2:14" ht="40.5" customHeight="1" thickBot="1" x14ac:dyDescent="0.3">
      <c r="B6" s="99"/>
      <c r="C6" s="100"/>
      <c r="D6" s="100"/>
      <c r="E6" s="100"/>
      <c r="F6" s="100"/>
      <c r="G6" s="100"/>
      <c r="H6" s="100"/>
      <c r="I6" s="100"/>
      <c r="J6" s="100"/>
      <c r="K6" s="100"/>
      <c r="L6" s="101"/>
    </row>
    <row r="8" spans="2:14" ht="11.25" customHeight="1" x14ac:dyDescent="0.25">
      <c r="B8" s="71" t="s">
        <v>12</v>
      </c>
      <c r="C8" s="71"/>
      <c r="D8" s="71"/>
      <c r="E8" s="71"/>
      <c r="F8" s="71"/>
      <c r="G8" s="71"/>
    </row>
    <row r="10" spans="2:14" x14ac:dyDescent="0.25">
      <c r="B10" s="91" t="s">
        <v>13</v>
      </c>
      <c r="C10" s="91"/>
      <c r="D10" s="91"/>
      <c r="E10" s="91"/>
      <c r="F10" s="91"/>
      <c r="G10" s="91"/>
      <c r="H10" s="76" t="s">
        <v>14</v>
      </c>
      <c r="I10" s="76"/>
      <c r="J10" s="76"/>
      <c r="K10" s="76"/>
      <c r="L10" s="76"/>
      <c r="M10" s="76"/>
    </row>
    <row r="11" spans="2:14" ht="60" customHeight="1" x14ac:dyDescent="0.25">
      <c r="B11" s="77" t="s">
        <v>15</v>
      </c>
      <c r="C11" s="102"/>
      <c r="D11" s="102"/>
      <c r="E11" s="102"/>
      <c r="F11" s="102"/>
      <c r="G11" s="103"/>
      <c r="H11" s="80"/>
      <c r="I11" s="81"/>
      <c r="J11" s="81"/>
      <c r="K11" s="81"/>
      <c r="L11" s="81"/>
      <c r="M11" s="82"/>
    </row>
    <row r="12" spans="2:14" ht="15.75" thickBot="1" x14ac:dyDescent="0.3">
      <c r="K12" s="72"/>
      <c r="L12" s="72"/>
      <c r="M12" s="90" t="s">
        <v>16</v>
      </c>
      <c r="N12" s="90"/>
    </row>
    <row r="13" spans="2:14" ht="15.75" x14ac:dyDescent="0.25">
      <c r="K13" s="33"/>
      <c r="L13" s="33"/>
      <c r="M13" s="34">
        <v>0</v>
      </c>
    </row>
    <row r="15" spans="2:14" x14ac:dyDescent="0.25">
      <c r="B15" s="91" t="s">
        <v>17</v>
      </c>
      <c r="C15" s="91"/>
      <c r="D15" s="91"/>
      <c r="E15" s="91"/>
      <c r="F15" s="91"/>
      <c r="G15" s="91"/>
      <c r="H15" s="92" t="s">
        <v>14</v>
      </c>
      <c r="I15" s="92"/>
      <c r="J15" s="92"/>
      <c r="K15" s="92"/>
      <c r="L15" s="92"/>
      <c r="M15" s="92"/>
    </row>
    <row r="16" spans="2:14" ht="60" customHeight="1" x14ac:dyDescent="0.25">
      <c r="B16" s="77" t="s">
        <v>18</v>
      </c>
      <c r="C16" s="78"/>
      <c r="D16" s="78"/>
      <c r="E16" s="78"/>
      <c r="F16" s="78"/>
      <c r="G16" s="79"/>
      <c r="H16" s="80"/>
      <c r="I16" s="81"/>
      <c r="J16" s="81"/>
      <c r="K16" s="81"/>
      <c r="L16" s="81"/>
      <c r="M16" s="82"/>
    </row>
    <row r="17" spans="2:13" ht="15.75" thickBot="1" x14ac:dyDescent="0.3">
      <c r="K17" s="72"/>
      <c r="L17" s="72"/>
      <c r="M17" s="35" t="s">
        <v>16</v>
      </c>
    </row>
    <row r="18" spans="2:13" ht="15.75" x14ac:dyDescent="0.25">
      <c r="K18" s="36"/>
      <c r="L18" s="36"/>
      <c r="M18" s="34">
        <v>0</v>
      </c>
    </row>
    <row r="20" spans="2:13" x14ac:dyDescent="0.25">
      <c r="B20" s="75" t="s">
        <v>19</v>
      </c>
      <c r="C20" s="75"/>
      <c r="D20" s="75"/>
      <c r="E20" s="75"/>
      <c r="F20" s="75"/>
      <c r="G20" s="75"/>
      <c r="H20" s="76" t="s">
        <v>14</v>
      </c>
      <c r="I20" s="76"/>
      <c r="J20" s="76"/>
      <c r="K20" s="76"/>
      <c r="L20" s="76"/>
      <c r="M20" s="76"/>
    </row>
    <row r="21" spans="2:13" ht="60" customHeight="1" x14ac:dyDescent="0.25">
      <c r="B21" s="77" t="s">
        <v>20</v>
      </c>
      <c r="C21" s="78"/>
      <c r="D21" s="78"/>
      <c r="E21" s="78"/>
      <c r="F21" s="78"/>
      <c r="G21" s="79"/>
      <c r="H21" s="80"/>
      <c r="I21" s="81"/>
      <c r="J21" s="81"/>
      <c r="K21" s="81"/>
      <c r="L21" s="81"/>
      <c r="M21" s="82"/>
    </row>
    <row r="22" spans="2:13" ht="15.75" thickBot="1" x14ac:dyDescent="0.3">
      <c r="K22" s="72"/>
      <c r="L22" s="72"/>
      <c r="M22" s="35" t="s">
        <v>16</v>
      </c>
    </row>
    <row r="23" spans="2:13" ht="15.75" x14ac:dyDescent="0.25">
      <c r="K23" s="36"/>
      <c r="L23" s="36"/>
      <c r="M23" s="34">
        <v>0</v>
      </c>
    </row>
    <row r="25" spans="2:13" x14ac:dyDescent="0.25">
      <c r="B25" s="75" t="s">
        <v>21</v>
      </c>
      <c r="C25" s="75"/>
      <c r="D25" s="75"/>
      <c r="E25" s="75"/>
      <c r="F25" s="75"/>
      <c r="G25" s="75"/>
      <c r="H25" s="76" t="s">
        <v>14</v>
      </c>
      <c r="I25" s="76"/>
      <c r="J25" s="76"/>
      <c r="K25" s="76"/>
      <c r="L25" s="76"/>
      <c r="M25" s="76"/>
    </row>
    <row r="26" spans="2:13" ht="60" customHeight="1" x14ac:dyDescent="0.25">
      <c r="B26" s="77" t="s">
        <v>22</v>
      </c>
      <c r="C26" s="78"/>
      <c r="D26" s="78"/>
      <c r="E26" s="78"/>
      <c r="F26" s="78"/>
      <c r="G26" s="79"/>
      <c r="H26" s="80"/>
      <c r="I26" s="81"/>
      <c r="J26" s="81"/>
      <c r="K26" s="81"/>
      <c r="L26" s="81"/>
      <c r="M26" s="82"/>
    </row>
    <row r="27" spans="2:13" ht="15.75" thickBot="1" x14ac:dyDescent="0.3">
      <c r="K27" s="72"/>
      <c r="L27" s="72"/>
      <c r="M27" s="35" t="s">
        <v>16</v>
      </c>
    </row>
    <row r="28" spans="2:13" ht="15.75" x14ac:dyDescent="0.25">
      <c r="K28" s="36"/>
      <c r="L28" s="36"/>
      <c r="M28" s="34">
        <v>0</v>
      </c>
    </row>
    <row r="30" spans="2:13" x14ac:dyDescent="0.25">
      <c r="B30" s="75" t="s">
        <v>23</v>
      </c>
      <c r="C30" s="75"/>
      <c r="D30" s="75"/>
      <c r="E30" s="75"/>
      <c r="F30" s="75"/>
      <c r="G30" s="75"/>
      <c r="H30" s="76" t="s">
        <v>14</v>
      </c>
      <c r="I30" s="76"/>
      <c r="J30" s="76"/>
      <c r="K30" s="76"/>
      <c r="L30" s="76"/>
      <c r="M30" s="76"/>
    </row>
    <row r="31" spans="2:13" ht="60" customHeight="1" x14ac:dyDescent="0.25">
      <c r="B31" s="77" t="s">
        <v>24</v>
      </c>
      <c r="C31" s="78"/>
      <c r="D31" s="78"/>
      <c r="E31" s="78"/>
      <c r="F31" s="78"/>
      <c r="G31" s="79"/>
      <c r="H31" s="80"/>
      <c r="I31" s="81"/>
      <c r="J31" s="81"/>
      <c r="K31" s="81"/>
      <c r="L31" s="81"/>
      <c r="M31" s="82"/>
    </row>
    <row r="32" spans="2:13" ht="15.75" thickBot="1" x14ac:dyDescent="0.3">
      <c r="K32" s="72"/>
      <c r="L32" s="72"/>
      <c r="M32" s="35" t="s">
        <v>16</v>
      </c>
    </row>
    <row r="33" spans="2:13" ht="15.75" x14ac:dyDescent="0.25">
      <c r="K33" s="36"/>
      <c r="L33" s="36"/>
      <c r="M33" s="34">
        <v>0</v>
      </c>
    </row>
    <row r="35" spans="2:13" x14ac:dyDescent="0.25">
      <c r="B35" s="75" t="s">
        <v>25</v>
      </c>
      <c r="C35" s="75"/>
      <c r="D35" s="75"/>
      <c r="E35" s="75"/>
      <c r="F35" s="75"/>
      <c r="G35" s="75"/>
      <c r="H35" s="76" t="s">
        <v>14</v>
      </c>
      <c r="I35" s="76"/>
      <c r="J35" s="76"/>
      <c r="K35" s="76"/>
      <c r="L35" s="76"/>
      <c r="M35" s="76"/>
    </row>
    <row r="36" spans="2:13" ht="60" customHeight="1" x14ac:dyDescent="0.25">
      <c r="B36" s="77" t="s">
        <v>26</v>
      </c>
      <c r="C36" s="78"/>
      <c r="D36" s="78"/>
      <c r="E36" s="78"/>
      <c r="F36" s="78"/>
      <c r="G36" s="79"/>
      <c r="H36" s="80"/>
      <c r="I36" s="81"/>
      <c r="J36" s="81"/>
      <c r="K36" s="81"/>
      <c r="L36" s="81"/>
      <c r="M36" s="82"/>
    </row>
    <row r="37" spans="2:13" ht="15.75" thickBot="1" x14ac:dyDescent="0.3">
      <c r="K37" s="72"/>
      <c r="L37" s="72"/>
      <c r="M37" s="35" t="s">
        <v>16</v>
      </c>
    </row>
    <row r="38" spans="2:13" ht="15.75" x14ac:dyDescent="0.25">
      <c r="K38" s="36"/>
      <c r="L38" s="36"/>
      <c r="M38" s="34">
        <v>0</v>
      </c>
    </row>
    <row r="40" spans="2:13" x14ac:dyDescent="0.25">
      <c r="B40" s="75" t="s">
        <v>27</v>
      </c>
      <c r="C40" s="75"/>
      <c r="D40" s="75"/>
      <c r="E40" s="75"/>
      <c r="F40" s="75"/>
      <c r="G40" s="75"/>
      <c r="H40" s="76" t="s">
        <v>14</v>
      </c>
      <c r="I40" s="76"/>
      <c r="J40" s="76"/>
      <c r="K40" s="76"/>
      <c r="L40" s="76"/>
      <c r="M40" s="76"/>
    </row>
    <row r="41" spans="2:13" ht="60" customHeight="1" x14ac:dyDescent="0.25">
      <c r="B41" s="77" t="s">
        <v>28</v>
      </c>
      <c r="C41" s="78"/>
      <c r="D41" s="78"/>
      <c r="E41" s="78"/>
      <c r="F41" s="78"/>
      <c r="G41" s="79"/>
      <c r="H41" s="80"/>
      <c r="I41" s="81"/>
      <c r="J41" s="81"/>
      <c r="K41" s="81"/>
      <c r="L41" s="81"/>
      <c r="M41" s="82"/>
    </row>
    <row r="42" spans="2:13" ht="15.75" thickBot="1" x14ac:dyDescent="0.3">
      <c r="K42" s="72"/>
      <c r="L42" s="72"/>
      <c r="M42" s="35" t="s">
        <v>16</v>
      </c>
    </row>
    <row r="43" spans="2:13" ht="15.75" x14ac:dyDescent="0.25">
      <c r="K43" s="36"/>
      <c r="L43" s="36"/>
      <c r="M43" s="34">
        <v>0</v>
      </c>
    </row>
    <row r="45" spans="2:13" x14ac:dyDescent="0.25">
      <c r="B45" s="83" t="s">
        <v>29</v>
      </c>
      <c r="C45" s="84"/>
      <c r="D45" s="84"/>
      <c r="E45" s="84"/>
      <c r="F45" s="84"/>
      <c r="G45" s="85"/>
      <c r="H45" s="83" t="s">
        <v>30</v>
      </c>
      <c r="I45" s="84"/>
      <c r="J45" s="84"/>
      <c r="K45" s="84"/>
      <c r="L45" s="84"/>
      <c r="M45" s="85"/>
    </row>
    <row r="46" spans="2:13" ht="105.75" customHeight="1" x14ac:dyDescent="0.25">
      <c r="B46" s="86"/>
      <c r="C46" s="87"/>
      <c r="D46" s="87"/>
      <c r="E46" s="87"/>
      <c r="F46" s="87"/>
      <c r="G46" s="88"/>
      <c r="H46" s="86"/>
      <c r="I46" s="87"/>
      <c r="J46" s="87"/>
      <c r="K46" s="87"/>
      <c r="L46" s="87"/>
      <c r="M46" s="88"/>
    </row>
    <row r="47" spans="2:13" s="39" customFormat="1" ht="23.25" customHeight="1" thickBot="1" x14ac:dyDescent="0.3">
      <c r="B47" s="37"/>
      <c r="C47" s="37"/>
      <c r="D47" s="37"/>
      <c r="E47" s="37"/>
      <c r="F47" s="37"/>
      <c r="G47" s="37"/>
      <c r="H47" s="37"/>
      <c r="I47" s="37"/>
      <c r="J47" s="37"/>
      <c r="K47" s="37"/>
      <c r="L47" s="37"/>
      <c r="M47" s="38" t="s">
        <v>31</v>
      </c>
    </row>
    <row r="48" spans="2:13" ht="21" customHeight="1" thickBot="1" x14ac:dyDescent="0.3">
      <c r="M48" s="40">
        <f>AVERAGE(M13,M18,M23,M28,M33,M38,M43)</f>
        <v>0</v>
      </c>
    </row>
    <row r="49" spans="2:13" ht="21" customHeight="1" x14ac:dyDescent="0.25">
      <c r="M49" s="41"/>
    </row>
    <row r="50" spans="2:13" ht="21" customHeight="1" thickBot="1" x14ac:dyDescent="0.3">
      <c r="B50" s="89" t="s">
        <v>32</v>
      </c>
      <c r="C50" s="89"/>
      <c r="D50" s="89"/>
      <c r="E50" s="89"/>
      <c r="F50" s="89"/>
      <c r="G50" s="89"/>
      <c r="M50" s="42" t="s">
        <v>33</v>
      </c>
    </row>
    <row r="51" spans="2:13" ht="22.5" customHeight="1" thickBot="1" x14ac:dyDescent="0.3">
      <c r="M51" s="43">
        <f>('Section A- Goals Review'!E10*0.75)+('Section B-Perf. Expectations'!M48*0.25)</f>
        <v>3</v>
      </c>
    </row>
    <row r="52" spans="2:13" ht="45" customHeight="1" x14ac:dyDescent="0.25">
      <c r="B52" s="74"/>
      <c r="C52" s="74"/>
      <c r="D52" s="74"/>
      <c r="E52" s="74"/>
      <c r="F52" s="74"/>
      <c r="G52" s="74"/>
      <c r="I52" s="58"/>
      <c r="J52" s="58"/>
      <c r="K52" s="58"/>
      <c r="L52" s="58"/>
      <c r="M52" s="58"/>
    </row>
    <row r="53" spans="2:13" x14ac:dyDescent="0.25">
      <c r="B53" s="72" t="s">
        <v>34</v>
      </c>
      <c r="C53" s="72"/>
      <c r="D53" s="72"/>
      <c r="E53" s="72"/>
      <c r="F53" s="72"/>
      <c r="G53" s="72"/>
      <c r="I53" s="73" t="s">
        <v>35</v>
      </c>
      <c r="J53" s="73"/>
      <c r="K53" s="73"/>
      <c r="L53" s="73"/>
      <c r="M53" s="73"/>
    </row>
    <row r="54" spans="2:13" ht="45" customHeight="1" x14ac:dyDescent="0.25">
      <c r="B54" s="58"/>
      <c r="C54" s="58"/>
      <c r="D54" s="58"/>
      <c r="E54" s="58"/>
      <c r="F54" s="58"/>
      <c r="G54" s="58"/>
      <c r="I54" s="58"/>
      <c r="J54" s="58"/>
      <c r="K54" s="58"/>
      <c r="L54" s="58"/>
      <c r="M54" s="58"/>
    </row>
    <row r="55" spans="2:13" x14ac:dyDescent="0.25">
      <c r="B55" s="73" t="s">
        <v>36</v>
      </c>
      <c r="C55" s="73"/>
      <c r="D55" s="73"/>
      <c r="E55" s="73"/>
      <c r="F55" s="73"/>
      <c r="G55" s="73"/>
      <c r="I55" s="73" t="s">
        <v>37</v>
      </c>
      <c r="J55" s="73"/>
      <c r="K55" s="73"/>
      <c r="L55" s="73"/>
      <c r="M55" s="73"/>
    </row>
  </sheetData>
  <mergeCells count="51">
    <mergeCell ref="B2:L6"/>
    <mergeCell ref="B8:G8"/>
    <mergeCell ref="B10:G10"/>
    <mergeCell ref="H10:M10"/>
    <mergeCell ref="B11:G11"/>
    <mergeCell ref="H11:M11"/>
    <mergeCell ref="K22:L22"/>
    <mergeCell ref="K12:L12"/>
    <mergeCell ref="M12:N12"/>
    <mergeCell ref="B15:G15"/>
    <mergeCell ref="H15:M15"/>
    <mergeCell ref="B16:G16"/>
    <mergeCell ref="H16:M16"/>
    <mergeCell ref="K17:L17"/>
    <mergeCell ref="B20:G20"/>
    <mergeCell ref="H20:M20"/>
    <mergeCell ref="B21:G21"/>
    <mergeCell ref="H21:M21"/>
    <mergeCell ref="B36:G36"/>
    <mergeCell ref="H36:M36"/>
    <mergeCell ref="B25:G25"/>
    <mergeCell ref="H25:M25"/>
    <mergeCell ref="B26:G26"/>
    <mergeCell ref="H26:M26"/>
    <mergeCell ref="K27:L27"/>
    <mergeCell ref="B30:G30"/>
    <mergeCell ref="H30:M30"/>
    <mergeCell ref="B31:G31"/>
    <mergeCell ref="H31:M31"/>
    <mergeCell ref="K32:L32"/>
    <mergeCell ref="B35:G35"/>
    <mergeCell ref="H35:M35"/>
    <mergeCell ref="B52:G52"/>
    <mergeCell ref="I52:M52"/>
    <mergeCell ref="K37:L37"/>
    <mergeCell ref="B40:G40"/>
    <mergeCell ref="H40:M40"/>
    <mergeCell ref="B41:G41"/>
    <mergeCell ref="H41:M41"/>
    <mergeCell ref="K42:L42"/>
    <mergeCell ref="B45:G45"/>
    <mergeCell ref="H45:M45"/>
    <mergeCell ref="B46:G46"/>
    <mergeCell ref="H46:M46"/>
    <mergeCell ref="B50:G50"/>
    <mergeCell ref="B53:G53"/>
    <mergeCell ref="I53:M53"/>
    <mergeCell ref="B54:G54"/>
    <mergeCell ref="I54:M54"/>
    <mergeCell ref="B55:G55"/>
    <mergeCell ref="I55:M55"/>
  </mergeCells>
  <pageMargins left="0.7" right="0.7" top="0.75" bottom="0.75" header="0.3" footer="0.3"/>
  <pageSetup scale="70" orientation="landscape" r:id="rId1"/>
  <rowBreaks count="1" manualBreakCount="1">
    <brk id="3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3E5AE2-B57E-4FC5-B320-CC5BFADE52EE}"/>
</file>

<file path=customXml/itemProps2.xml><?xml version="1.0" encoding="utf-8"?>
<ds:datastoreItem xmlns:ds="http://schemas.openxmlformats.org/officeDocument/2006/customXml" ds:itemID="{C05C207D-6DE5-4A3A-A90C-649FBFC10C33}"/>
</file>

<file path=customXml/itemProps3.xml><?xml version="1.0" encoding="utf-8"?>
<ds:datastoreItem xmlns:ds="http://schemas.openxmlformats.org/officeDocument/2006/customXml" ds:itemID="{A840FD39-5CF1-4CC2-B77E-F5A3A18E2C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Section A- Goals Review</vt:lpstr>
      <vt:lpstr>Section B-Perf. Expectations</vt:lpstr>
      <vt:lpstr>'Section A- Goals Review'!Print_Area</vt:lpstr>
      <vt:lpstr>'Section B-Perf. Expectations'!Print_Area</vt:lpstr>
      <vt:lpstr>Summary!Print_Area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cp:lastPrinted>2014-07-15T21:54:16Z</cp:lastPrinted>
  <dcterms:created xsi:type="dcterms:W3CDTF">2014-06-16T21:51:08Z</dcterms:created>
  <dcterms:modified xsi:type="dcterms:W3CDTF">2015-01-26T14:29:35Z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716600</vt:r8>
  </property>
</Properties>
</file>