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charts/chart1.xml" ContentType="application/vnd.openxmlformats-officedocument.drawingml.chart+xml"/>
  <Override PartName="/xl/worksheets/sheet1.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2855" activeTab="1"/>
  </bookViews>
  <sheets>
    <sheet name="Summary" sheetId="2" r:id="rId1"/>
    <sheet name="Section A- Goals Review" sheetId="1" r:id="rId2"/>
    <sheet name="Section B-Perf. Expectations" sheetId="6" r:id="rId3"/>
  </sheets>
  <externalReferences>
    <externalReference r:id="rId4"/>
  </externalReferences>
  <definedNames>
    <definedName name="Descriptions" localSheetId="0">#REF!</definedName>
    <definedName name="Descriptions">#REF!</definedName>
    <definedName name="_xlnm.Print_Area" localSheetId="1">'Section A- Goals Review'!$A$1:$F$11</definedName>
    <definedName name="_xlnm.Print_Area" localSheetId="2">'Section B-Perf. Expectations'!$A$7:$N$57</definedName>
    <definedName name="_xlnm.Print_Area" localSheetId="0">Summary!$A$2:$N$33</definedName>
    <definedName name="Ratings" localSheetId="0">#REF!</definedName>
    <definedName name="Ratings">#REF!</definedName>
  </definedNames>
  <calcPr calcId="145621"/>
</workbook>
</file>

<file path=xl/calcChain.xml><?xml version="1.0" encoding="utf-8"?>
<calcChain xmlns="http://schemas.openxmlformats.org/spreadsheetml/2006/main">
  <c r="E10" i="1" l="1"/>
  <c r="M48" i="6"/>
  <c r="M51" i="6" s="1"/>
</calcChain>
</file>

<file path=xl/sharedStrings.xml><?xml version="1.0" encoding="utf-8"?>
<sst xmlns="http://schemas.openxmlformats.org/spreadsheetml/2006/main" count="65" uniqueCount="53">
  <si>
    <t>Agriculture and Food Security</t>
  </si>
  <si>
    <t>Actual Performance to Date:</t>
  </si>
  <si>
    <r>
      <rPr>
        <b/>
        <sz val="12"/>
        <rFont val="Verdana"/>
        <family val="2"/>
      </rPr>
      <t xml:space="preserve">Corrective Action(s):
</t>
    </r>
    <r>
      <rPr>
        <b/>
        <sz val="10"/>
        <rFont val="Calibri"/>
        <family val="2"/>
      </rPr>
      <t xml:space="preserve">
</t>
    </r>
  </si>
  <si>
    <t>Department Total</t>
  </si>
  <si>
    <t xml:space="preserve">
Summary</t>
  </si>
  <si>
    <t>Rating Definitions</t>
  </si>
  <si>
    <r>
      <t xml:space="preserve">Exemplary: </t>
    </r>
    <r>
      <rPr>
        <sz val="10"/>
        <rFont val="Verdana"/>
        <family val="2"/>
      </rPr>
      <t>Consistently achieves at a high level. Exceeds expectations.</t>
    </r>
  </si>
  <si>
    <r>
      <t xml:space="preserve">Solid: </t>
    </r>
    <r>
      <rPr>
        <sz val="10"/>
        <rFont val="Verdana"/>
        <family val="2"/>
      </rPr>
      <t>Consistently achieves above the satisfactory level. Meets all expectations</t>
    </r>
  </si>
  <si>
    <r>
      <t xml:space="preserve">Satisfactory: </t>
    </r>
    <r>
      <rPr>
        <sz val="10"/>
        <rFont val="Verdana"/>
        <family val="2"/>
      </rPr>
      <t>Accomplishes tasks in a satisfactory manner. Meets most expectations.</t>
    </r>
  </si>
  <si>
    <r>
      <rPr>
        <b/>
        <sz val="10"/>
        <rFont val="Verdana"/>
        <family val="2"/>
      </rPr>
      <t xml:space="preserve">Needs Improvement: </t>
    </r>
    <r>
      <rPr>
        <sz val="10"/>
        <rFont val="Verdana"/>
        <family val="2"/>
      </rPr>
      <t xml:space="preserve">Improvement is necesssary to more consistently meet expectations. </t>
    </r>
  </si>
  <si>
    <r>
      <rPr>
        <b/>
        <sz val="10"/>
        <rFont val="Verdana"/>
        <family val="2"/>
      </rPr>
      <t xml:space="preserve">Seriously Deficient: </t>
    </r>
    <r>
      <rPr>
        <sz val="10"/>
        <rFont val="Verdana"/>
        <family val="2"/>
      </rPr>
      <t>Problems with approach or execution. Expectations are generally not met.</t>
    </r>
  </si>
  <si>
    <t>Major Corrective Actions</t>
  </si>
  <si>
    <r>
      <rPr>
        <b/>
        <sz val="12"/>
        <rFont val="Verdana"/>
        <family val="2"/>
      </rPr>
      <t>Goal 3 - Well-Governed, Accountable &amp; Transparent Organization</t>
    </r>
    <r>
      <rPr>
        <sz val="12"/>
        <rFont val="Verdana"/>
        <family val="2"/>
      </rPr>
      <t xml:space="preserve">
HQ and Field Offices are run with sound financial practices and regular communication within Partners and with donors (USAID)
• Budget and other Finance/Admin items are executed according to Partners’ and USAID’s guidelines, including avoiding under-spending or minimize to no more than 5%.
• Submit F2F Semi-Annual Report, FY15 Work Plan and Annual Report to USAID, as well as Quarterly reports, Work Plans and other requirements for NSP
• Maintain regular communication with USAID via monthly emails, meetings, etc. 
• Field Offices have good financial and administrative practices and if applicable, obtaining clean financial audits.
• Field staff complete M&amp;E forms; data is high quality when checked by HQ staff, and F2FNet database produces quality reports for USAID and internal usage
</t>
    </r>
  </si>
  <si>
    <r>
      <t xml:space="preserve">Goal 2 - Strengthen Network of Volunteers, Programs &amp; Projects
</t>
    </r>
    <r>
      <rPr>
        <sz val="12"/>
        <rFont val="Verdana"/>
        <family val="2"/>
      </rPr>
      <t>AFS activities strengthen Partners wider network and AFS increases Partners presence with the greater agriculture, food security, and environment community</t>
    </r>
    <r>
      <rPr>
        <b/>
        <sz val="12"/>
        <rFont val="Verdana"/>
        <family val="2"/>
      </rPr>
      <t xml:space="preserve">
</t>
    </r>
    <r>
      <rPr>
        <sz val="12"/>
        <rFont val="Verdana"/>
        <family val="2"/>
      </rPr>
      <t xml:space="preserve">• Partners Network involved in F2F through Flex, regular communication, and other activities
• All AFS team members participate in at least one outside events per quarter: meetings, conferences, panels, etc. to promote program and also for professional development
• AFS team members participate in in-country events and stakeholder meetings that strengthen and raise awareness about network
• F2F will promote the PartnersConnect website with its volunteer and organizational network and will aim to have 50% of network members sign up
</t>
    </r>
  </si>
  <si>
    <r>
      <rPr>
        <b/>
        <sz val="12"/>
        <rFont val="Verdana"/>
        <family val="2"/>
      </rPr>
      <t>Goal 1 - Build a Financially Stable Organization</t>
    </r>
    <r>
      <rPr>
        <sz val="12"/>
        <rFont val="Verdana"/>
        <family val="2"/>
      </rPr>
      <t xml:space="preserve">
Successful implementation of AFS Programs, exceeding donor expectations; Actively seek additional AFS resources. Individual program targets are as follows:
• For F2F, meeting FY14 targets of fielding 80 volunteers
• For NSP, recruitment, training and deployment of 36 promoters, and formation of 80 care groups in FY14
• Lead or assist with one competitive proposal or concept paper for a new or add-on agriculture and economic growth activity
• Work with the PD team on other RFAs and RFPs as needed</t>
    </r>
  </si>
  <si>
    <r>
      <t>• 24 AFS blog posts, several shared</t>
    </r>
    <r>
      <rPr>
        <sz val="12"/>
        <color rgb="FFFF0000"/>
        <rFont val="Verdana"/>
        <family val="2"/>
      </rPr>
      <t xml:space="preserve"> </t>
    </r>
    <r>
      <rPr>
        <sz val="12"/>
        <rFont val="Verdana"/>
        <family val="2"/>
      </rPr>
      <t>on the Partners Facebook page; Three stories on Partners blog related to AFS
• 34 ag, food security, and/or F2F specific tweets sent out so far in 2014, preparing to participate in the Agrilinks "Blog Carnival", which will highlight F2F from July 14-18 – reaching at least 2 new audiences so far and utilizing 2 new means of communication for the program (Twitter and Agrilinks)</t>
    </r>
    <r>
      <rPr>
        <sz val="12"/>
        <color rgb="FFFF0000"/>
        <rFont val="Verdana"/>
        <family val="2"/>
      </rPr>
      <t xml:space="preserve">
</t>
    </r>
    <r>
      <rPr>
        <sz val="12"/>
        <rFont val="Verdana"/>
        <family val="2"/>
      </rPr>
      <t xml:space="preserve">• AFS team will have a panel at the convention highlighting the history of programs and activities </t>
    </r>
    <r>
      <rPr>
        <sz val="12"/>
        <color rgb="FFFF0000"/>
        <rFont val="Verdana"/>
        <family val="2"/>
      </rPr>
      <t xml:space="preserve">
</t>
    </r>
    <r>
      <rPr>
        <sz val="12"/>
        <rFont val="Verdana"/>
        <family val="2"/>
      </rPr>
      <t xml:space="preserve">• Andi and Adriana regularly participate in the USAID/F2F Outreach Committee, Courtney and Peggy regularly particiapte in the USAID/F2F M&amp;E Committee, and Peggy attends all USAID/F2F Program Director meetings </t>
    </r>
  </si>
  <si>
    <r>
      <rPr>
        <sz val="12"/>
        <rFont val="Verdana"/>
        <family val="2"/>
      </rPr>
      <t xml:space="preserve">
• While AFS is still fine-tuning some budget and financial reporting issues, we are executing most things according to Partners’ and USAID’s guidelines. We do not anticipate under-spending</t>
    </r>
    <r>
      <rPr>
        <sz val="12"/>
        <color rgb="FFFF0000"/>
        <rFont val="Verdana"/>
        <family val="2"/>
      </rPr>
      <t xml:space="preserve">
</t>
    </r>
    <r>
      <rPr>
        <sz val="12"/>
        <rFont val="Verdana"/>
        <family val="2"/>
      </rPr>
      <t>• F2F Semi-Annual Report submitted and approved, Country Project stategies near completion, NSP Quarterly program and financial reports submitted on time</t>
    </r>
    <r>
      <rPr>
        <sz val="12"/>
        <color rgb="FFFF0000"/>
        <rFont val="Verdana"/>
        <family val="2"/>
      </rPr>
      <t xml:space="preserve">
</t>
    </r>
    <r>
      <rPr>
        <sz val="12"/>
        <rFont val="Verdana"/>
        <family val="2"/>
      </rPr>
      <t xml:space="preserve">• AFS has met or communicated regularly with USAID HQ and all the Missions where we are working. Mission support for our programs is at an all time high due to these efforts. 
• Field Offices are in various stages of setting up financial and administrative practices - some better than others. By the end of 2014, all will be up and running. </t>
    </r>
    <r>
      <rPr>
        <sz val="12"/>
        <color rgb="FFFF0000"/>
        <rFont val="Verdana"/>
        <family val="2"/>
      </rPr>
      <t xml:space="preserve">
</t>
    </r>
    <r>
      <rPr>
        <sz val="12"/>
        <rFont val="Verdana"/>
        <family val="2"/>
      </rPr>
      <t>• Field staff are being trained on M&amp;E system and forms; first data will be collected for the Annual Report in September 2014</t>
    </r>
  </si>
  <si>
    <r>
      <t xml:space="preserve">• 9 Flex volunteers have traveled, a number via the Partners network, and several more are underway in collaboration with Sena, La Salle (a Partners Connect university), and others
• AFS team members participated in 11 events in the first half of 2014, including events hosted by SAIS, IDB, VEGA, USAID, FAO, the State Dept, NPCA, and Oxfam America
• AFS HQ and In-Country team members are regularly participating in in-country events and stakeholder meetings </t>
    </r>
    <r>
      <rPr>
        <sz val="12"/>
        <color rgb="FFFF0000"/>
        <rFont val="Verdana"/>
        <family val="2"/>
      </rPr>
      <t xml:space="preserve">
</t>
    </r>
    <r>
      <rPr>
        <sz val="12"/>
        <rFont val="Verdana"/>
        <family val="2"/>
      </rPr>
      <t xml:space="preserve">• F2F wrote a blog story promoting PartnersConnect to our readers and will seek to further promote it in our next e-news piece
•  AFS is linking up with 100,000 Strong with some awardees who have an agriculture interest, such as NC State. We will also be assisting with some site visits for them in Brazil.
•  F2F has reach out to collaborate with the Guatemala Chapter and F2F Staff are actively involved in the Nicaragua Chapter of Partners.
</t>
    </r>
  </si>
  <si>
    <t xml:space="preserve">• For F2F, fielded 27 volunteers through June 30th, which may look a little low but we have actually fielded the most volunteers among all the F2F implementers. Now that most start-up activities are completed, this number will go up quickly.
• For NSP, trained and deployed 56 promoters; number of care groups formed to date:
-Mothers: North / Northeast : 81;  Artibonite: 14; Ouest: 30
-Fathers: North/Northeast: 17
-Grandmothers: North/Northeast: 21
-Youth: North/Northeast: 24
• To date, the AFS team has assisted PD with information and/or editing/review of several proposal not in agriculture but for programs which might have a livelihoods or agriculture component, such as some of the DOL proposals and one of the youth exchange programs that included Guyana. </t>
  </si>
  <si>
    <r>
      <t xml:space="preserve">Comments: 
</t>
    </r>
    <r>
      <rPr>
        <sz val="12"/>
        <rFont val="Verdana"/>
        <family val="2"/>
      </rPr>
      <t>• AFS has had an active 2014 to date, including hiring several new staff members. One additional position (Deputy Director) will be filled in 2014.
• We will be taking a more active lead on trying to research new programs in the health and nutrition area since NSP is giving us new core competencies in health
• AFS still has concerns about the interest of our volunteers in signing up for Partners Connect and would like to review this as the target for # of people signed up is much too high.</t>
    </r>
  </si>
  <si>
    <r>
      <rPr>
        <b/>
        <u/>
        <sz val="11"/>
        <color indexed="8"/>
        <rFont val="Calibri"/>
        <family val="2"/>
      </rPr>
      <t>Corrective Actions in 2014:</t>
    </r>
    <r>
      <rPr>
        <sz val="11"/>
        <color theme="1"/>
        <rFont val="Calibri"/>
        <family val="2"/>
        <scheme val="minor"/>
      </rPr>
      <t xml:space="preserve">
1) Budget &amp; NICRA - Internal restructuring to allow VP of Operations to directly oversee the Program Managers for our largest grants to ensure timely execution of operations and spending. As a result, the Corporation should successfully avoid significant program underspending and lower NICRA to the competitive rate of 25%
2) PartnersConnect &amp; Rechartering - Established Engagement Strategy Working Group to strengthen Chapter Network and improve the overall affiliations strategy.
3) A Ganar now fully staffed and procedures in place to fulfill donor requirements and hit program spending targets
4) Inter-American Development Bank (IDB) reimbursement and audit will recieve additional technical support
</t>
    </r>
    <r>
      <rPr>
        <b/>
        <u/>
        <sz val="11"/>
        <color indexed="8"/>
        <rFont val="Calibri"/>
        <family val="2"/>
      </rPr>
      <t xml:space="preserve">Corrective Actions Outlined for 2015:
</t>
    </r>
    <r>
      <rPr>
        <sz val="11"/>
        <color theme="1"/>
        <rFont val="Calibri"/>
        <family val="2"/>
        <scheme val="minor"/>
      </rPr>
      <t xml:space="preserve">
</t>
    </r>
    <r>
      <rPr>
        <b/>
        <sz val="11"/>
        <color indexed="8"/>
        <rFont val="Calibri"/>
        <family val="2"/>
      </rPr>
      <t/>
    </r>
  </si>
  <si>
    <t xml:space="preserve">Agriculture &amp; Food Security 2014 Goals Performance Evaluation </t>
  </si>
  <si>
    <t>Pre-filled based on information provided during Mid-Year Performance Evaluation.</t>
  </si>
  <si>
    <t>Financial Management</t>
  </si>
  <si>
    <t>Problem Solving</t>
  </si>
  <si>
    <t>Accountability</t>
  </si>
  <si>
    <t>Rating:</t>
  </si>
  <si>
    <t>B. Performance Expectations - 25%</t>
  </si>
  <si>
    <t>Comments</t>
  </si>
  <si>
    <t>• Manages funds and resources responsibly and judiciously within area of responsibility.  
• Works proactively to improve program/unit financial oversight and sustainability.</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</si>
  <si>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</si>
  <si>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</si>
  <si>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</si>
  <si>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</si>
  <si>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 Responds to unexpected demands and problems with resilience and resourcefulness. 
• Works proactively to improve program/unit functions and efficiency.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</si>
  <si>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</si>
  <si>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</si>
  <si>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</si>
  <si>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 Provides leadership to staff and organization. Manages conflict successfully. 
• Sets clear expectations, gives effective feedback and provides strong oversight.
• Follows and enforces policies and procedures.</t>
  </si>
  <si>
    <t>SECTION B</t>
  </si>
  <si>
    <t>C. OVERALL PERFORMANCE</t>
  </si>
  <si>
    <t>OVERALL SCORE</t>
  </si>
  <si>
    <t>Employee Signature                              Date</t>
  </si>
  <si>
    <t>Vice President Signature ( if applicable)    Date</t>
  </si>
  <si>
    <t>President Signature                                     Date</t>
  </si>
  <si>
    <t>Supervisor Signature                            Date</t>
  </si>
  <si>
    <r>
      <t>Section B- Supervisor Comments (</t>
    </r>
    <r>
      <rPr>
        <i/>
        <sz val="11"/>
        <color theme="1"/>
        <rFont val="Calibri"/>
        <family val="2"/>
        <scheme val="minor"/>
      </rPr>
      <t>optional</t>
    </r>
    <r>
      <rPr>
        <b/>
        <sz val="11"/>
        <color theme="1"/>
        <rFont val="Calibri"/>
        <family val="2"/>
        <scheme val="minor"/>
      </rPr>
      <t>):</t>
    </r>
  </si>
  <si>
    <r>
      <t>Section B- Employee Comments (</t>
    </r>
    <r>
      <rPr>
        <i/>
        <sz val="11"/>
        <color theme="1"/>
        <rFont val="Calibri"/>
        <family val="2"/>
        <scheme val="minor"/>
      </rPr>
      <t>optional</t>
    </r>
    <r>
      <rPr>
        <b/>
        <sz val="11"/>
        <color theme="1"/>
        <rFont val="Calibri"/>
        <family val="2"/>
        <scheme val="minor"/>
      </rPr>
      <t>):</t>
    </r>
  </si>
  <si>
    <t>Supervisory Functions</t>
  </si>
  <si>
    <r>
      <t xml:space="preserve">                                                                                                                   </t>
    </r>
    <r>
      <rPr>
        <b/>
        <sz val="12"/>
        <color theme="1"/>
        <rFont val="Calibri"/>
        <family val="2"/>
        <scheme val="minor"/>
      </rPr>
      <t>Rating Definitions (This portion will not print).</t>
    </r>
    <r>
      <rPr>
        <b/>
        <sz val="11"/>
        <color theme="1"/>
        <rFont val="Calibri"/>
        <family val="2"/>
        <scheme val="minor"/>
      </rPr>
      <t xml:space="preserve">
5.0 Exemplary  Consistently achieves at a high level. Exceeds expectations.
4.0 – 4.5 Solid Performance Consistently achieves above the satisfactory level. Meets all expectations. 
3.0 – 3.5 Satisfactory  Accomplishes the task in a satisfactory manner.  Meets most expectations.
1.5 – 2.5 Needs Improvement Improvement is necessary to more consistently meet expectations.
0.0 – 1.0 Seriously Deficient Problems with approach or execution.  Expectations are generally not met.
</t>
    </r>
  </si>
  <si>
    <t>A. Goals Review - 75%</t>
  </si>
  <si>
    <t>2014 Corporate Performance Evaluation  Ratings</t>
  </si>
  <si>
    <r>
      <t xml:space="preserve">Goal 4 - Evaluate and Communicate Our Impact and Value
</t>
    </r>
    <r>
      <rPr>
        <sz val="12"/>
        <rFont val="Verdana"/>
        <family val="2"/>
      </rPr>
      <t xml:space="preserve">Increase communications and outreach efforts to raise awareness of AFS programs, share success stories, and exceed USAID outreach goals
• 1-2 blog stories/week, sharing as many as appropriate via other outlets, such as Facebook 
• Creatively share success stories and impact information through e-news, YouTube and other social media, and other avenues – reaching at least 3 new audiences and utilizing at least 2 new means of communication 
• Show historic impact of F2F at Partners Convention and via other media
• Collaborate with other teams at Partners – including PNP and Communications, to share information to a wider audience
• Increased engagement with broader F2F network through Outreach Committee and M&amp;E Committee meetings, knowledge management portal, etc. 
</t>
    </r>
  </si>
</sst>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1"/>
      <color theme="1"/>
      <name val="Calibri"/>
      <family val="2"/>
      <scheme val="minor"/>
    </font>
    <font>
      <sz val="11"/>
      <color theme="1"/>
      <name val="Calibri"/>
      <family val="2"/>
      <scheme val="minor"/>
    </font>
    <font>
      <b/>
      <sz val="15"/>
      <color theme="3"/>
      <name val="Calibri"/>
      <family val="2"/>
      <scheme val="minor"/>
    </font>
    <font>
      <sz val="11"/>
      <color rgb="FFFF0000"/>
      <name val="Calibri"/>
      <family val="2"/>
      <scheme val="minor"/>
    </font>
    <font>
      <sz val="11"/>
      <color theme="0"/>
      <name val="Calibri"/>
      <family val="2"/>
      <scheme val="minor"/>
    </font>
    <font>
      <sz val="10"/>
      <name val="Calibri"/>
      <family val="2"/>
      <scheme val="minor"/>
    </font>
    <font>
      <b/>
      <sz val="28"/>
      <color theme="2" tint="-0.749992370372631"/>
      <name val="Cambria"/>
      <family val="1"/>
      <scheme val="major"/>
    </font>
    <font>
      <sz val="11"/>
      <name val="Calibri"/>
      <family val="2"/>
      <scheme val="minor"/>
    </font>
    <font>
      <sz val="14"/>
      <name val="Cambria"/>
      <family val="1"/>
      <scheme val="major"/>
    </font>
    <font>
      <b/>
      <sz val="14"/>
      <color theme="0"/>
      <name val="Cambria"/>
      <family val="1"/>
      <scheme val="major"/>
    </font>
    <font>
      <b/>
      <sz val="14"/>
      <name val="Cambria"/>
      <family val="1"/>
      <scheme val="major"/>
    </font>
    <font>
      <sz val="12"/>
      <name val="Verdana"/>
      <family val="2"/>
    </font>
    <font>
      <b/>
      <sz val="12"/>
      <name val="Verdana"/>
      <family val="2"/>
    </font>
    <font>
      <b/>
      <sz val="12"/>
      <name val="Calibri"/>
      <family val="2"/>
      <scheme val="minor"/>
    </font>
    <font>
      <b/>
      <sz val="10"/>
      <name val="Calibri"/>
      <family val="2"/>
    </font>
    <font>
      <b/>
      <sz val="10"/>
      <name val="Calibri"/>
      <family val="2"/>
      <scheme val="minor"/>
    </font>
    <font>
      <sz val="12"/>
      <name val="Calibri"/>
      <family val="2"/>
      <scheme val="minor"/>
    </font>
    <font>
      <b/>
      <sz val="22"/>
      <color theme="1"/>
      <name val="Cambria"/>
      <family val="1"/>
      <scheme val="major"/>
    </font>
    <font>
      <b/>
      <sz val="20"/>
      <color theme="1"/>
      <name val="Cambria"/>
      <family val="1"/>
      <scheme val="major"/>
    </font>
    <font>
      <b/>
      <sz val="12"/>
      <color theme="0"/>
      <name val="Cambria"/>
      <family val="1"/>
      <scheme val="major"/>
    </font>
    <font>
      <b/>
      <sz val="10"/>
      <name val="Verdana"/>
      <family val="2"/>
    </font>
    <font>
      <sz val="10"/>
      <name val="Verdana"/>
      <family val="2"/>
    </font>
    <font>
      <b/>
      <sz val="12"/>
      <color theme="0"/>
      <name val="Times New Roman"/>
      <family val="1"/>
    </font>
    <font>
      <b/>
      <u/>
      <sz val="11"/>
      <color indexed="8"/>
      <name val="Calibri"/>
      <family val="2"/>
    </font>
    <font>
      <b/>
      <sz val="11"/>
      <color indexed="8"/>
      <name val="Calibri"/>
      <family val="2"/>
    </font>
    <font>
      <sz val="12"/>
      <color rgb="FFFF0000"/>
      <name val="Verdana"/>
      <family val="2"/>
    </font>
    <font>
      <b/>
      <sz val="11"/>
      <color theme="0"/>
      <name val="Calibri"/>
      <family val="2"/>
      <scheme val="minor"/>
    </font>
    <font>
      <b/>
      <sz val="11"/>
      <color theme="1"/>
      <name val="Calibri"/>
      <family val="2"/>
      <scheme val="minor"/>
    </font>
    <font>
      <sz val="10"/>
      <color theme="1"/>
      <name val="Calibri"/>
      <family val="2"/>
      <scheme val="minor"/>
    </font>
    <font>
      <b/>
      <sz val="14"/>
      <color theme="0"/>
      <name val="Calibri"/>
      <family val="2"/>
      <scheme val="minor"/>
    </font>
    <font>
      <b/>
      <sz val="12"/>
      <color theme="0"/>
      <name val="Calibri"/>
      <family val="2"/>
      <scheme val="minor"/>
    </font>
    <font>
      <i/>
      <sz val="11"/>
      <color theme="1"/>
      <name val="Calibri"/>
      <family val="2"/>
      <scheme val="minor"/>
    </font>
    <font>
      <b/>
      <sz val="12"/>
      <color theme="1"/>
      <name val="Calibri"/>
      <family val="2"/>
      <scheme val="minor"/>
    </font>
    <font>
      <b/>
      <sz val="14"/>
      <name val="Calibri"/>
      <family val="2"/>
      <scheme val="minor"/>
    </font>
  </fonts>
  <fills count="18">
    <fill>
      <patternFill patternType="none"/>
    </fill>
    <fill>
      <patternFill patternType="gray125"/>
    </fill>
    <fill>
      <patternFill patternType="solid">
        <fgColor rgb="FFF47914"/>
        <bgColor indexed="64"/>
      </patternFill>
    </fill>
    <fill>
      <patternFill patternType="solid">
        <fgColor theme="0" tint="-4.9989318521683403E-2"/>
        <bgColor indexed="64"/>
      </patternFill>
    </fill>
    <fill>
      <patternFill patternType="solid">
        <fgColor rgb="FFFEF6F4"/>
        <bgColor indexed="64"/>
      </patternFill>
    </fill>
    <fill>
      <patternFill patternType="solid">
        <fgColor rgb="FFF57B17"/>
        <bgColor indexed="64"/>
      </patternFill>
    </fill>
    <fill>
      <patternFill patternType="solid">
        <fgColor rgb="FFFFFFFF"/>
        <bgColor indexed="64"/>
      </patternFill>
    </fill>
    <fill>
      <patternFill patternType="solid">
        <fgColor theme="4"/>
      </patternFill>
    </fill>
    <fill>
      <patternFill patternType="solid">
        <fgColor theme="5"/>
      </patternFill>
    </fill>
    <fill>
      <patternFill patternType="solid">
        <fgColor theme="8"/>
      </patternFill>
    </fill>
    <fill>
      <patternFill patternType="solid">
        <fgColor theme="9" tint="0.79998168889431442"/>
        <bgColor indexed="64"/>
      </patternFill>
    </fill>
    <fill>
      <patternFill patternType="solid">
        <fgColor theme="2"/>
        <bgColor indexed="64"/>
      </patternFill>
    </fill>
    <fill>
      <patternFill patternType="solid">
        <fgColor theme="2" tint="-0.749992370372631"/>
        <bgColor indexed="64"/>
      </patternFill>
    </fill>
    <fill>
      <patternFill patternType="solid">
        <fgColor rgb="FFDF4B2D"/>
        <bgColor indexed="64"/>
      </patternFill>
    </fill>
    <fill>
      <patternFill patternType="solid">
        <fgColor theme="4" tint="-0.249977111117893"/>
        <bgColor indexed="64"/>
      </patternFill>
    </fill>
    <fill>
      <patternFill patternType="solid">
        <fgColor rgb="FF00589A"/>
        <bgColor indexed="64"/>
      </patternFill>
    </fill>
    <fill>
      <patternFill patternType="solid">
        <fgColor theme="2" tint="-0.249977111117893"/>
        <bgColor indexed="64"/>
      </patternFill>
    </fill>
    <fill>
      <patternFill patternType="solid">
        <fgColor theme="2" tint="-0.749961851863155"/>
        <bgColor indexed="64"/>
      </patternFill>
    </fill>
  </fills>
  <borders count="31">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0" borderId="0"/>
    <xf numFmtId="0" fontId="2" fillId="0" borderId="1" applyNumberFormat="0" applyFill="0" applyAlignment="0" applyProtection="0"/>
    <xf numFmtId="0" fontId="1" fillId="4" borderId="2"/>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cellStyleXfs>
  <cellXfs count="103">
    <xf numFmtId="0" fontId="0" fillId="0" borderId="0" xfId="0"/>
    <xf numFmtId="0" fontId="5" fillId="0" borderId="0" xfId="0" applyFont="1" applyFill="1" applyBorder="1" applyAlignment="1" applyProtection="1">
      <alignment wrapText="1"/>
    </xf>
    <xf numFmtId="0" fontId="6" fillId="0" borderId="0" xfId="0" applyFont="1" applyFill="1" applyBorder="1" applyAlignment="1" applyProtection="1">
      <alignment horizontal="center" vertical="center" wrapText="1"/>
    </xf>
    <xf numFmtId="0" fontId="7" fillId="0" borderId="0" xfId="0" applyFont="1" applyAlignment="1" applyProtection="1">
      <alignment wrapText="1"/>
    </xf>
    <xf numFmtId="0" fontId="0" fillId="0" borderId="0" xfId="0" applyAlignment="1">
      <alignment wrapText="1"/>
    </xf>
    <xf numFmtId="0" fontId="8" fillId="2" borderId="0" xfId="0" applyFont="1" applyFill="1" applyBorder="1" applyAlignment="1" applyProtection="1">
      <alignment wrapText="1"/>
    </xf>
    <xf numFmtId="0" fontId="9" fillId="2" borderId="0" xfId="1" applyFont="1" applyFill="1" applyBorder="1" applyAlignment="1" applyProtection="1">
      <alignment vertical="center" wrapText="1"/>
    </xf>
    <xf numFmtId="0" fontId="10" fillId="2" borderId="0" xfId="1" applyFont="1" applyFill="1" applyBorder="1" applyAlignment="1" applyProtection="1">
      <alignment vertical="top" wrapText="1"/>
    </xf>
    <xf numFmtId="0" fontId="8" fillId="0" borderId="0" xfId="0" applyFont="1" applyFill="1" applyBorder="1" applyAlignment="1" applyProtection="1">
      <alignment wrapText="1"/>
    </xf>
    <xf numFmtId="0" fontId="0" fillId="2" borderId="0" xfId="0" applyFont="1" applyFill="1" applyAlignment="1">
      <alignment wrapText="1"/>
    </xf>
    <xf numFmtId="0" fontId="11" fillId="0" borderId="3" xfId="0" applyFont="1" applyFill="1" applyBorder="1" applyAlignment="1" applyProtection="1">
      <alignment horizontal="left" vertical="center" wrapText="1" indent="1"/>
    </xf>
    <xf numFmtId="2" fontId="13" fillId="0" borderId="4" xfId="0" applyNumberFormat="1" applyFont="1" applyFill="1" applyBorder="1" applyAlignment="1" applyProtection="1">
      <alignment horizontal="center" vertical="center" wrapText="1"/>
    </xf>
    <xf numFmtId="0" fontId="5" fillId="2" borderId="0" xfId="0" applyFont="1" applyFill="1" applyBorder="1" applyAlignment="1" applyProtection="1">
      <alignment wrapText="1"/>
    </xf>
    <xf numFmtId="0" fontId="12" fillId="0" borderId="3" xfId="0" applyFont="1" applyFill="1" applyBorder="1" applyAlignment="1" applyProtection="1">
      <alignment horizontal="left" vertical="center" wrapText="1" indent="1"/>
    </xf>
    <xf numFmtId="2" fontId="13" fillId="0" borderId="5" xfId="0" applyNumberFormat="1" applyFont="1" applyFill="1" applyBorder="1" applyAlignment="1" applyProtection="1">
      <alignment horizontal="center" vertical="center" wrapText="1"/>
    </xf>
    <xf numFmtId="0" fontId="12" fillId="0" borderId="6" xfId="0" applyFont="1" applyFill="1" applyBorder="1" applyAlignment="1" applyProtection="1">
      <alignment horizontal="left" vertical="center" wrapText="1" indent="1"/>
    </xf>
    <xf numFmtId="2" fontId="13" fillId="0" borderId="8" xfId="0" applyNumberFormat="1" applyFont="1" applyFill="1" applyBorder="1" applyAlignment="1" applyProtection="1">
      <alignment horizontal="center" vertical="center" wrapText="1"/>
    </xf>
    <xf numFmtId="0" fontId="14" fillId="3" borderId="9" xfId="0" applyFont="1" applyFill="1" applyBorder="1" applyAlignment="1" applyProtection="1">
      <alignment vertical="top" wrapText="1"/>
    </xf>
    <xf numFmtId="0" fontId="12" fillId="3" borderId="10" xfId="0" applyFont="1" applyFill="1" applyBorder="1" applyAlignment="1" applyProtection="1">
      <alignment vertical="top" wrapText="1"/>
    </xf>
    <xf numFmtId="0" fontId="15" fillId="3" borderId="11" xfId="0" applyFont="1" applyFill="1" applyBorder="1" applyAlignment="1" applyProtection="1">
      <alignment vertical="top" wrapText="1"/>
    </xf>
    <xf numFmtId="0" fontId="15" fillId="0" borderId="0" xfId="0" applyFont="1" applyFill="1" applyBorder="1" applyAlignment="1" applyProtection="1">
      <alignment horizontal="right" vertical="center" wrapText="1" indent="1"/>
    </xf>
    <xf numFmtId="2" fontId="13" fillId="0" borderId="12" xfId="0" applyNumberFormat="1" applyFont="1" applyFill="1" applyBorder="1" applyAlignment="1" applyProtection="1">
      <alignment horizontal="center" vertical="center" wrapText="1"/>
    </xf>
    <xf numFmtId="2" fontId="13" fillId="0" borderId="0" xfId="0" applyNumberFormat="1" applyFont="1" applyFill="1" applyBorder="1" applyAlignment="1" applyProtection="1">
      <alignment horizontal="center" vertical="center" wrapText="1"/>
    </xf>
    <xf numFmtId="0" fontId="5" fillId="0" borderId="0" xfId="0" applyFont="1" applyFill="1" applyBorder="1" applyAlignment="1" applyProtection="1">
      <alignment horizontal="left" vertical="top" wrapText="1"/>
    </xf>
    <xf numFmtId="2" fontId="16" fillId="0" borderId="0" xfId="0" applyNumberFormat="1" applyFont="1" applyFill="1" applyBorder="1" applyAlignment="1" applyProtection="1">
      <alignment horizontal="center" vertical="center" wrapText="1"/>
    </xf>
    <xf numFmtId="0" fontId="17" fillId="0" borderId="0" xfId="0" applyFont="1" applyAlignment="1">
      <alignment vertical="top" wrapText="1"/>
    </xf>
    <xf numFmtId="0" fontId="3" fillId="0" borderId="0" xfId="0" applyFont="1" applyFill="1"/>
    <xf numFmtId="0" fontId="0" fillId="5" borderId="0" xfId="0" applyFont="1" applyFill="1" applyAlignment="1">
      <alignment wrapText="1"/>
    </xf>
    <xf numFmtId="0" fontId="19" fillId="5" borderId="0" xfId="0" applyFont="1" applyFill="1" applyBorder="1" applyAlignment="1" applyProtection="1">
      <alignment vertical="center" wrapText="1"/>
      <protection locked="0"/>
    </xf>
    <xf numFmtId="0" fontId="7" fillId="5" borderId="13" xfId="0" applyFont="1" applyFill="1" applyBorder="1" applyAlignment="1" applyProtection="1">
      <alignment wrapText="1"/>
    </xf>
    <xf numFmtId="0" fontId="4" fillId="5" borderId="0" xfId="0" applyFont="1" applyFill="1"/>
    <xf numFmtId="0" fontId="22" fillId="5" borderId="0" xfId="0" applyFont="1" applyFill="1"/>
    <xf numFmtId="0" fontId="0" fillId="5" borderId="0" xfId="0" applyFill="1"/>
    <xf numFmtId="0" fontId="11" fillId="0" borderId="7" xfId="0" applyFont="1" applyFill="1" applyBorder="1" applyAlignment="1" applyProtection="1">
      <alignment horizontal="left" vertical="center" wrapText="1" indent="1"/>
    </xf>
    <xf numFmtId="0" fontId="25" fillId="0" borderId="3" xfId="0" applyFont="1" applyFill="1" applyBorder="1" applyAlignment="1" applyProtection="1">
      <alignment horizontal="left" vertical="center" wrapText="1" indent="1"/>
    </xf>
    <xf numFmtId="0" fontId="0" fillId="0" borderId="0" xfId="0" applyBorder="1"/>
    <xf numFmtId="0" fontId="0" fillId="0" borderId="0" xfId="0" applyFill="1"/>
    <xf numFmtId="0" fontId="0" fillId="0" borderId="0" xfId="0" applyFill="1" applyBorder="1" applyAlignment="1">
      <alignment horizontal="left" vertical="top" wrapText="1"/>
    </xf>
    <xf numFmtId="0" fontId="30" fillId="13" borderId="22" xfId="3" applyFont="1" applyFill="1" applyBorder="1" applyAlignment="1">
      <alignment horizontal="center" vertical="center"/>
    </xf>
    <xf numFmtId="0" fontId="30" fillId="17" borderId="0" xfId="0" applyFont="1" applyFill="1" applyBorder="1" applyAlignment="1">
      <alignment horizontal="center" vertical="center" wrapText="1"/>
    </xf>
    <xf numFmtId="0" fontId="0" fillId="0" borderId="0" xfId="0" applyBorder="1" applyAlignment="1">
      <alignment wrapText="1"/>
    </xf>
    <xf numFmtId="0" fontId="0" fillId="0" borderId="0" xfId="0" applyFill="1" applyBorder="1" applyAlignment="1">
      <alignment vertical="top"/>
    </xf>
    <xf numFmtId="0" fontId="0" fillId="0" borderId="0" xfId="0" applyFill="1" applyBorder="1" applyAlignment="1"/>
    <xf numFmtId="0" fontId="27" fillId="0" borderId="0" xfId="0" applyFont="1"/>
    <xf numFmtId="2" fontId="13" fillId="10" borderId="4" xfId="0" applyNumberFormat="1" applyFont="1" applyFill="1" applyBorder="1" applyAlignment="1" applyProtection="1">
      <alignment horizontal="center" vertical="center" wrapText="1"/>
    </xf>
    <xf numFmtId="2" fontId="0" fillId="0" borderId="21" xfId="0" applyNumberFormat="1" applyBorder="1"/>
    <xf numFmtId="2" fontId="32" fillId="0" borderId="21" xfId="0" applyNumberFormat="1" applyFont="1" applyBorder="1" applyAlignment="1">
      <alignment horizontal="center"/>
    </xf>
    <xf numFmtId="0" fontId="13" fillId="0" borderId="0" xfId="0" applyFont="1" applyFill="1" applyBorder="1" applyAlignment="1" applyProtection="1">
      <alignment horizontal="right" vertical="center" wrapText="1" indent="1"/>
    </xf>
    <xf numFmtId="0" fontId="18" fillId="0" borderId="0" xfId="0" applyFont="1" applyAlignment="1">
      <alignment horizontal="left" vertical="center" wrapText="1"/>
    </xf>
    <xf numFmtId="0" fontId="20" fillId="6" borderId="14" xfId="0" applyFont="1" applyFill="1" applyBorder="1" applyAlignment="1">
      <alignment horizontal="left" vertical="center" wrapText="1"/>
    </xf>
    <xf numFmtId="0" fontId="20" fillId="6" borderId="15" xfId="0" applyFont="1" applyFill="1" applyBorder="1" applyAlignment="1">
      <alignment horizontal="left" vertical="center" wrapText="1"/>
    </xf>
    <xf numFmtId="2" fontId="21" fillId="0" borderId="14" xfId="0" applyNumberFormat="1" applyFont="1" applyBorder="1" applyAlignment="1" applyProtection="1">
      <alignment horizontal="center" vertical="center" wrapText="1"/>
    </xf>
    <xf numFmtId="2" fontId="21" fillId="0" borderId="15" xfId="0" applyNumberFormat="1" applyFont="1" applyBorder="1" applyAlignment="1" applyProtection="1">
      <alignment horizontal="center" vertical="center" wrapText="1"/>
    </xf>
    <xf numFmtId="0" fontId="20" fillId="6" borderId="3" xfId="0" applyFont="1" applyFill="1" applyBorder="1" applyAlignment="1">
      <alignment horizontal="left" vertical="center" wrapText="1"/>
    </xf>
    <xf numFmtId="2" fontId="21" fillId="0" borderId="3" xfId="0" applyNumberFormat="1" applyFont="1" applyBorder="1" applyAlignment="1" applyProtection="1">
      <alignment horizontal="center" vertical="center" wrapText="1"/>
    </xf>
    <xf numFmtId="0" fontId="21" fillId="6" borderId="14" xfId="0" applyFont="1" applyFill="1" applyBorder="1" applyAlignment="1">
      <alignment horizontal="left" vertical="center" wrapText="1"/>
    </xf>
    <xf numFmtId="0" fontId="21" fillId="6" borderId="15" xfId="0" applyFont="1" applyFill="1" applyBorder="1" applyAlignment="1">
      <alignment horizontal="left" vertical="center" wrapText="1"/>
    </xf>
    <xf numFmtId="2" fontId="21" fillId="0" borderId="14" xfId="0" applyNumberFormat="1" applyFont="1" applyFill="1" applyBorder="1" applyAlignment="1" applyProtection="1">
      <alignment horizontal="center" vertical="center" wrapText="1"/>
    </xf>
    <xf numFmtId="2" fontId="21" fillId="0" borderId="15" xfId="0" applyNumberFormat="1" applyFont="1" applyFill="1" applyBorder="1" applyAlignment="1" applyProtection="1">
      <alignment horizontal="center" vertical="center" wrapText="1"/>
    </xf>
    <xf numFmtId="0" fontId="0" fillId="0" borderId="7" xfId="0" applyBorder="1" applyAlignment="1">
      <alignment horizontal="left" vertical="top" wrapText="1"/>
    </xf>
    <xf numFmtId="0" fontId="0" fillId="0" borderId="6"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0" fillId="0" borderId="20" xfId="0" applyBorder="1" applyAlignment="1">
      <alignment horizontal="left" vertical="top"/>
    </xf>
    <xf numFmtId="0" fontId="6" fillId="0" borderId="0" xfId="0" applyFont="1" applyAlignment="1">
      <alignment horizontal="center" vertical="center" wrapText="1"/>
    </xf>
    <xf numFmtId="0" fontId="33" fillId="11" borderId="0" xfId="0" applyFont="1" applyFill="1" applyBorder="1" applyAlignment="1" applyProtection="1">
      <alignment horizontal="left" wrapText="1"/>
      <protection locked="0"/>
    </xf>
    <xf numFmtId="0" fontId="29" fillId="12" borderId="0" xfId="4" applyFont="1" applyFill="1" applyAlignment="1">
      <alignment horizontal="left" vertical="center"/>
    </xf>
    <xf numFmtId="0" fontId="27" fillId="0" borderId="6" xfId="0" applyFont="1" applyBorder="1" applyAlignment="1">
      <alignment horizontal="left" vertical="top"/>
    </xf>
    <xf numFmtId="0" fontId="27" fillId="0" borderId="24" xfId="0" applyFont="1" applyBorder="1" applyAlignment="1">
      <alignment horizontal="left" vertical="top" wrapText="1"/>
    </xf>
    <xf numFmtId="0" fontId="27" fillId="0" borderId="25" xfId="0" applyFont="1" applyBorder="1" applyAlignment="1">
      <alignment horizontal="left" vertical="top" wrapText="1"/>
    </xf>
    <xf numFmtId="0" fontId="27" fillId="0" borderId="26" xfId="0" applyFont="1" applyBorder="1" applyAlignment="1">
      <alignment horizontal="left" vertical="top" wrapText="1"/>
    </xf>
    <xf numFmtId="0" fontId="27" fillId="0" borderId="27" xfId="0" applyFont="1" applyBorder="1" applyAlignment="1">
      <alignment horizontal="left" vertical="top" wrapText="1"/>
    </xf>
    <xf numFmtId="0" fontId="27" fillId="0" borderId="0" xfId="0" applyFont="1" applyBorder="1" applyAlignment="1">
      <alignment horizontal="left" vertical="top" wrapText="1"/>
    </xf>
    <xf numFmtId="0" fontId="27" fillId="0" borderId="28" xfId="0" applyFont="1" applyBorder="1" applyAlignment="1">
      <alignment horizontal="left" vertical="top" wrapText="1"/>
    </xf>
    <xf numFmtId="0" fontId="27" fillId="0" borderId="29" xfId="0" applyFont="1" applyBorder="1" applyAlignment="1">
      <alignment horizontal="left" vertical="top" wrapText="1"/>
    </xf>
    <xf numFmtId="0" fontId="27" fillId="0" borderId="22" xfId="0" applyFont="1" applyBorder="1" applyAlignment="1">
      <alignment horizontal="left" vertical="top" wrapText="1"/>
    </xf>
    <xf numFmtId="0" fontId="27" fillId="0" borderId="30" xfId="0" applyFont="1" applyBorder="1" applyAlignment="1">
      <alignment horizontal="left" vertical="top" wrapText="1"/>
    </xf>
    <xf numFmtId="0" fontId="27" fillId="0" borderId="6" xfId="0" applyFont="1" applyBorder="1" applyAlignment="1">
      <alignment horizontal="left"/>
    </xf>
    <xf numFmtId="0" fontId="0" fillId="10" borderId="14" xfId="0" applyFill="1" applyBorder="1" applyAlignment="1">
      <alignment horizontal="left" vertical="top" wrapText="1"/>
    </xf>
    <xf numFmtId="0" fontId="0" fillId="10" borderId="23" xfId="0" applyFill="1" applyBorder="1" applyAlignment="1">
      <alignment horizontal="left" vertical="top" wrapText="1"/>
    </xf>
    <xf numFmtId="0" fontId="0" fillId="10" borderId="15" xfId="0" applyFill="1" applyBorder="1" applyAlignment="1">
      <alignment horizontal="left" vertical="top" wrapText="1"/>
    </xf>
    <xf numFmtId="0" fontId="4" fillId="12" borderId="0" xfId="0" applyFont="1" applyFill="1" applyAlignment="1">
      <alignment horizontal="left" vertical="top" wrapText="1"/>
    </xf>
    <xf numFmtId="0" fontId="0" fillId="0" borderId="13" xfId="0" applyBorder="1" applyAlignment="1">
      <alignment horizontal="left"/>
    </xf>
    <xf numFmtId="0" fontId="28" fillId="0" borderId="14" xfId="0" applyFont="1" applyBorder="1" applyAlignment="1">
      <alignment horizontal="left" vertical="top" wrapText="1"/>
    </xf>
    <xf numFmtId="0" fontId="28" fillId="0" borderId="23" xfId="0" applyFont="1" applyBorder="1" applyAlignment="1">
      <alignment horizontal="left" vertical="top"/>
    </xf>
    <xf numFmtId="0" fontId="28" fillId="0" borderId="15" xfId="0" applyFont="1" applyBorder="1" applyAlignment="1">
      <alignment horizontal="left" vertical="top"/>
    </xf>
    <xf numFmtId="0" fontId="28" fillId="10" borderId="14" xfId="0" applyFont="1" applyFill="1" applyBorder="1" applyAlignment="1">
      <alignment horizontal="left" vertical="top" wrapText="1"/>
    </xf>
    <xf numFmtId="0" fontId="28" fillId="10" borderId="23" xfId="0" applyFont="1" applyFill="1" applyBorder="1" applyAlignment="1">
      <alignment horizontal="left" vertical="top" wrapText="1"/>
    </xf>
    <xf numFmtId="0" fontId="28" fillId="10" borderId="15" xfId="0" applyFont="1" applyFill="1" applyBorder="1" applyAlignment="1">
      <alignment horizontal="left" vertical="top" wrapText="1"/>
    </xf>
    <xf numFmtId="0" fontId="27" fillId="16" borderId="14" xfId="0" applyFont="1" applyFill="1" applyBorder="1" applyAlignment="1">
      <alignment horizontal="left" vertical="top"/>
    </xf>
    <xf numFmtId="0" fontId="27" fillId="16" borderId="23" xfId="0" applyFont="1" applyFill="1" applyBorder="1" applyAlignment="1">
      <alignment horizontal="left" vertical="top"/>
    </xf>
    <xf numFmtId="0" fontId="27" fillId="16" borderId="15" xfId="0" applyFont="1" applyFill="1" applyBorder="1" applyAlignment="1">
      <alignment horizontal="left" vertical="top"/>
    </xf>
    <xf numFmtId="0" fontId="26" fillId="14" borderId="13" xfId="5" applyFont="1" applyFill="1" applyBorder="1" applyAlignment="1">
      <alignment horizontal="center" vertical="top"/>
    </xf>
    <xf numFmtId="0" fontId="26" fillId="14" borderId="0" xfId="0" applyFont="1" applyFill="1" applyAlignment="1">
      <alignment horizontal="left" indent="7"/>
    </xf>
    <xf numFmtId="0" fontId="4" fillId="14" borderId="13" xfId="0" applyFont="1" applyFill="1" applyBorder="1" applyAlignment="1">
      <alignment horizontal="center"/>
    </xf>
    <xf numFmtId="0" fontId="0" fillId="0" borderId="23" xfId="0" applyBorder="1" applyAlignment="1">
      <alignment horizontal="left" vertical="top"/>
    </xf>
    <xf numFmtId="0" fontId="0" fillId="0" borderId="15" xfId="0" applyBorder="1" applyAlignment="1">
      <alignment horizontal="left" vertical="top"/>
    </xf>
    <xf numFmtId="0" fontId="27" fillId="0" borderId="0" xfId="0" applyFont="1" applyBorder="1" applyAlignment="1">
      <alignment horizontal="left"/>
    </xf>
    <xf numFmtId="0" fontId="26" fillId="15" borderId="0" xfId="0" applyFont="1" applyFill="1" applyAlignment="1">
      <alignment horizontal="left" indent="7"/>
    </xf>
  </cellXfs>
  <cellStyles count="6">
    <cellStyle name="Accent1" xfId="3" builtinId="29"/>
    <cellStyle name="Accent2" xfId="4" builtinId="33"/>
    <cellStyle name="Accent5" xfId="5" builtinId="45"/>
    <cellStyle name="Heading 1" xfId="1" builtinId="16"/>
    <cellStyle name="Normal" xfId="0" builtinId="0"/>
    <cellStyle name="Style 1" xfId="2"/>
  </cellStyles>
  <dxfs count="0"/>
  <tableStyles count="0" defaultTableStyle="TableStyleMedium2" defaultPivotStyle="PivotStyleLight16"/>
  <colors>
    <mruColors>
      <color rgb="FF00589A"/>
      <color rgb="FF0F2EB1"/>
      <color rgb="FFDF4B2D"/>
      <color rgb="FFE06B0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82243584"/>
        <c:axId val="82245120"/>
      </c:scatterChart>
      <c:valAx>
        <c:axId val="82243584"/>
        <c:scaling>
          <c:orientation val="minMax"/>
          <c:max val="100"/>
          <c:min val="0"/>
        </c:scaling>
        <c:delete val="1"/>
        <c:axPos val="b"/>
        <c:majorTickMark val="out"/>
        <c:minorTickMark val="none"/>
        <c:tickLblPos val="nextTo"/>
        <c:crossAx val="82245120"/>
        <c:crosses val="autoZero"/>
        <c:crossBetween val="midCat"/>
      </c:valAx>
      <c:valAx>
        <c:axId val="82245120"/>
        <c:scaling>
          <c:orientation val="minMax"/>
          <c:max val="60"/>
          <c:min val="-10"/>
        </c:scaling>
        <c:delete val="1"/>
        <c:axPos val="l"/>
        <c:majorTickMark val="out"/>
        <c:minorTickMark val="none"/>
        <c:tickLblPos val="nextTo"/>
        <c:crossAx val="82243584"/>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xdr:row>
      <xdr:rowOff>38100</xdr:rowOff>
    </xdr:from>
    <xdr:to>
      <xdr:col>3</xdr:col>
      <xdr:colOff>251460</xdr:colOff>
      <xdr:row>3</xdr:row>
      <xdr:rowOff>45720</xdr:rowOff>
    </xdr:to>
    <xdr:pic>
      <xdr:nvPicPr>
        <xdr:cNvPr id="2" name="Picture 6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228600"/>
          <a:ext cx="2638425" cy="636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26880</xdr:colOff>
      <xdr:row>5</xdr:row>
      <xdr:rowOff>25843</xdr:rowOff>
    </xdr:from>
    <xdr:to>
      <xdr:col>14</xdr:col>
      <xdr:colOff>41645</xdr:colOff>
      <xdr:row>5</xdr:row>
      <xdr:rowOff>25843</xdr:rowOff>
    </xdr:to>
    <xdr:sp macro="" textlink="">
      <xdr:nvSpPr>
        <xdr:cNvPr id="2" name="Text Box 11"/>
        <xdr:cNvSpPr txBox="1">
          <a:spLocks/>
        </xdr:cNvSpPr>
      </xdr:nvSpPr>
      <xdr:spPr bwMode="auto">
        <a:xfrm>
          <a:off x="21172380" y="6045643"/>
          <a:ext cx="605315"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6</xdr:col>
      <xdr:colOff>11642</xdr:colOff>
      <xdr:row>4</xdr:row>
      <xdr:rowOff>869585</xdr:rowOff>
    </xdr:from>
    <xdr:to>
      <xdr:col>7</xdr:col>
      <xdr:colOff>137668</xdr:colOff>
      <xdr:row>4</xdr:row>
      <xdr:rowOff>869887</xdr:rowOff>
    </xdr:to>
    <xdr:sp macro="" textlink="">
      <xdr:nvSpPr>
        <xdr:cNvPr id="3" name="Text Box 11"/>
        <xdr:cNvSpPr txBox="1">
          <a:spLocks/>
        </xdr:cNvSpPr>
      </xdr:nvSpPr>
      <xdr:spPr bwMode="auto">
        <a:xfrm>
          <a:off x="16899467" y="4346210"/>
          <a:ext cx="716576" cy="302"/>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4</xdr:col>
      <xdr:colOff>617220</xdr:colOff>
      <xdr:row>6</xdr:row>
      <xdr:rowOff>7620</xdr:rowOff>
    </xdr:from>
    <xdr:to>
      <xdr:col>5</xdr:col>
      <xdr:colOff>381000</xdr:colOff>
      <xdr:row>6</xdr:row>
      <xdr:rowOff>0</xdr:rowOff>
    </xdr:to>
    <xdr:sp macro="" textlink="">
      <xdr:nvSpPr>
        <xdr:cNvPr id="4" name="Text Box 11"/>
        <xdr:cNvSpPr txBox="1">
          <a:spLocks/>
        </xdr:cNvSpPr>
      </xdr:nvSpPr>
      <xdr:spPr bwMode="auto">
        <a:xfrm>
          <a:off x="16247745" y="8570595"/>
          <a:ext cx="430530"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endParaRPr lang="en-US"/>
        </a:p>
      </xdr:txBody>
    </xdr:sp>
    <xdr:clientData/>
  </xdr:twoCellAnchor>
  <xdr:twoCellAnchor>
    <xdr:from>
      <xdr:col>10</xdr:col>
      <xdr:colOff>369570</xdr:colOff>
      <xdr:row>6</xdr:row>
      <xdr:rowOff>3266</xdr:rowOff>
    </xdr:from>
    <xdr:to>
      <xdr:col>11</xdr:col>
      <xdr:colOff>76172</xdr:colOff>
      <xdr:row>6</xdr:row>
      <xdr:rowOff>3266</xdr:rowOff>
    </xdr:to>
    <xdr:sp macro="" textlink="">
      <xdr:nvSpPr>
        <xdr:cNvPr id="5" name="Text Box 11"/>
        <xdr:cNvSpPr txBox="1">
          <a:spLocks/>
        </xdr:cNvSpPr>
      </xdr:nvSpPr>
      <xdr:spPr bwMode="auto">
        <a:xfrm>
          <a:off x="19619595" y="8566241"/>
          <a:ext cx="420977"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p>
      </xdr:txBody>
    </xdr:sp>
    <xdr:clientData/>
  </xdr:twoCellAnchor>
  <xdr:twoCellAnchor>
    <xdr:from>
      <xdr:col>10</xdr:col>
      <xdr:colOff>495884</xdr:colOff>
      <xdr:row>22</xdr:row>
      <xdr:rowOff>114722</xdr:rowOff>
    </xdr:from>
    <xdr:to>
      <xdr:col>11</xdr:col>
      <xdr:colOff>34307</xdr:colOff>
      <xdr:row>24</xdr:row>
      <xdr:rowOff>119122</xdr:rowOff>
    </xdr:to>
    <xdr:sp macro="" textlink="">
      <xdr:nvSpPr>
        <xdr:cNvPr id="6" name="Text Box 11"/>
        <xdr:cNvSpPr txBox="1">
          <a:spLocks/>
        </xdr:cNvSpPr>
      </xdr:nvSpPr>
      <xdr:spPr bwMode="auto">
        <a:xfrm>
          <a:off x="19745909" y="18631322"/>
          <a:ext cx="252798" cy="40445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2032908</xdr:colOff>
      <xdr:row>0</xdr:row>
      <xdr:rowOff>13607</xdr:rowOff>
    </xdr:from>
    <xdr:to>
      <xdr:col>4</xdr:col>
      <xdr:colOff>59328</xdr:colOff>
      <xdr:row>1</xdr:row>
      <xdr:rowOff>51707</xdr:rowOff>
    </xdr:to>
    <xdr:grpSp>
      <xdr:nvGrpSpPr>
        <xdr:cNvPr id="7" name="Group 238"/>
        <xdr:cNvGrpSpPr>
          <a:grpSpLocks/>
        </xdr:cNvGrpSpPr>
      </xdr:nvGrpSpPr>
      <xdr:grpSpPr bwMode="auto">
        <a:xfrm>
          <a:off x="10360479" y="13607"/>
          <a:ext cx="5224599" cy="2895600"/>
          <a:chOff x="33279" y="2690897"/>
          <a:chExt cx="6469945" cy="3769529"/>
        </a:xfrm>
      </xdr:grpSpPr>
      <xdr:sp macro="" textlink="">
        <xdr:nvSpPr>
          <xdr:cNvPr id="8" name="Rounded Rectangle 7"/>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9" name="Group 427"/>
          <xdr:cNvGrpSpPr>
            <a:grpSpLocks/>
          </xdr:cNvGrpSpPr>
        </xdr:nvGrpSpPr>
        <xdr:grpSpPr bwMode="auto">
          <a:xfrm>
            <a:off x="443139" y="3753976"/>
            <a:ext cx="3680279" cy="1795402"/>
            <a:chOff x="193063" y="1155645"/>
            <a:chExt cx="3658893" cy="1807321"/>
          </a:xfrm>
        </xdr:grpSpPr>
        <xdr:sp macro="" textlink="">
          <xdr:nvSpPr>
            <xdr:cNvPr id="16"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7"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8"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9"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20"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10"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1" name="TextBox 10"/>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DDD3ED6F-0ED8-4FC4-9549-9C7227929496}"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2" name="TextBox 11"/>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615BF090-ECF5-4882-B7E3-C76641E535FD}"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3" name="TextBox 12"/>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5FBBBA36-E28B-429D-9319-622A87645D02}"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4" name="TextBox 13"/>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19C44260-83C4-4E44-B048-BF2F0F5FE61E}"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5" name="TextBox 14"/>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AC3A664-75C0-44EE-AB76-09AA56A90790}"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3796318</xdr:colOff>
      <xdr:row>0</xdr:row>
      <xdr:rowOff>1169469</xdr:rowOff>
    </xdr:from>
    <xdr:to>
      <xdr:col>3</xdr:col>
      <xdr:colOff>4556290</xdr:colOff>
      <xdr:row>0</xdr:row>
      <xdr:rowOff>2159263</xdr:rowOff>
    </xdr:to>
    <xdr:sp macro="" textlink="">
      <xdr:nvSpPr>
        <xdr:cNvPr id="21" name="Freeform 5"/>
        <xdr:cNvSpPr>
          <a:spLocks/>
        </xdr:cNvSpPr>
      </xdr:nvSpPr>
      <xdr:spPr bwMode="auto">
        <a:xfrm rot="5225662">
          <a:off x="11999907" y="1284380"/>
          <a:ext cx="989794" cy="759972"/>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Kristian/Performance%20Evaluations/2014%20Corpoare%20Goals%20Evaluations/2014%20Midyear-Corporate%20Perforamance%20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esidents Office"/>
      <sheetName val="Finance &amp; Administration"/>
      <sheetName val="Program Development"/>
      <sheetName val="Communications"/>
      <sheetName val="Partnerships &amp; Programs"/>
      <sheetName val="Agriculture &amp; Food Security"/>
      <sheetName val="Combating Child Labor"/>
      <sheetName val="Sport for Development"/>
      <sheetName val="Dashboard Info"/>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32"/>
  <sheetViews>
    <sheetView zoomScale="80" zoomScaleNormal="80" workbookViewId="0">
      <selection activeCell="E2" sqref="E2:F4"/>
    </sheetView>
  </sheetViews>
  <sheetFormatPr defaultRowHeight="15" x14ac:dyDescent="0.25"/>
  <cols>
    <col min="1" max="1" width="4.28515625" customWidth="1"/>
    <col min="2" max="2" width="3.140625" customWidth="1"/>
    <col min="3" max="3" width="33" bestFit="1" customWidth="1"/>
    <col min="4" max="4" width="22.7109375" customWidth="1"/>
    <col min="5" max="5" width="21.28515625" customWidth="1"/>
    <col min="6" max="6" width="28.140625" bestFit="1" customWidth="1"/>
    <col min="7" max="7" width="24.140625" bestFit="1" customWidth="1"/>
  </cols>
  <sheetData>
    <row r="2" spans="2:7" ht="34.5" customHeight="1" x14ac:dyDescent="0.25">
      <c r="D2" s="25" t="s">
        <v>4</v>
      </c>
      <c r="E2" s="48" t="s">
        <v>51</v>
      </c>
      <c r="F2" s="48"/>
      <c r="G2" s="25"/>
    </row>
    <row r="3" spans="2:7" ht="15" customHeight="1" x14ac:dyDescent="0.25">
      <c r="D3" s="25"/>
      <c r="E3" s="48"/>
      <c r="F3" s="48"/>
      <c r="G3" s="25"/>
    </row>
    <row r="4" spans="2:7" ht="18.75" customHeight="1" x14ac:dyDescent="0.25">
      <c r="E4" s="48"/>
      <c r="F4" s="48"/>
    </row>
    <row r="6" spans="2:7" x14ac:dyDescent="0.25">
      <c r="B6" s="26"/>
      <c r="C6" s="26"/>
      <c r="D6" s="26"/>
      <c r="E6" s="26"/>
      <c r="F6" s="26"/>
    </row>
    <row r="7" spans="2:7" ht="15.75" x14ac:dyDescent="0.25">
      <c r="B7" s="27"/>
      <c r="C7" s="28" t="s">
        <v>5</v>
      </c>
      <c r="D7" s="29"/>
      <c r="E7" s="29"/>
      <c r="F7" s="29"/>
    </row>
    <row r="8" spans="2:7" ht="38.25" customHeight="1" x14ac:dyDescent="0.25">
      <c r="B8" s="9"/>
      <c r="C8" s="53" t="s">
        <v>6</v>
      </c>
      <c r="D8" s="49"/>
      <c r="E8" s="54">
        <v>5</v>
      </c>
      <c r="F8" s="54"/>
    </row>
    <row r="9" spans="2:7" ht="37.5" customHeight="1" x14ac:dyDescent="0.25">
      <c r="B9" s="9"/>
      <c r="C9" s="49" t="s">
        <v>7</v>
      </c>
      <c r="D9" s="50"/>
      <c r="E9" s="51">
        <v>4</v>
      </c>
      <c r="F9" s="52"/>
    </row>
    <row r="10" spans="2:7" ht="34.5" customHeight="1" x14ac:dyDescent="0.25">
      <c r="B10" s="9"/>
      <c r="C10" s="49" t="s">
        <v>8</v>
      </c>
      <c r="D10" s="50"/>
      <c r="E10" s="51">
        <v>3</v>
      </c>
      <c r="F10" s="52"/>
    </row>
    <row r="11" spans="2:7" ht="41.25" customHeight="1" x14ac:dyDescent="0.25">
      <c r="B11" s="9"/>
      <c r="C11" s="55" t="s">
        <v>9</v>
      </c>
      <c r="D11" s="56"/>
      <c r="E11" s="57">
        <v>2</v>
      </c>
      <c r="F11" s="58"/>
    </row>
    <row r="12" spans="2:7" ht="37.5" customHeight="1" x14ac:dyDescent="0.25">
      <c r="B12" s="9"/>
      <c r="C12" s="55" t="s">
        <v>10</v>
      </c>
      <c r="D12" s="56"/>
      <c r="E12" s="57">
        <v>1</v>
      </c>
      <c r="F12" s="58"/>
    </row>
    <row r="13" spans="2:7" ht="18" customHeight="1" x14ac:dyDescent="0.25"/>
    <row r="17" spans="2:7" ht="15.75" x14ac:dyDescent="0.25">
      <c r="B17" s="30"/>
      <c r="C17" s="31" t="s">
        <v>11</v>
      </c>
      <c r="D17" s="30"/>
      <c r="E17" s="30"/>
      <c r="F17" s="30"/>
      <c r="G17" s="30"/>
    </row>
    <row r="18" spans="2:7" ht="15" customHeight="1" x14ac:dyDescent="0.25">
      <c r="B18" s="32"/>
      <c r="C18" s="59" t="s">
        <v>20</v>
      </c>
      <c r="D18" s="60"/>
      <c r="E18" s="60"/>
      <c r="F18" s="60"/>
      <c r="G18" s="61"/>
    </row>
    <row r="19" spans="2:7" x14ac:dyDescent="0.25">
      <c r="B19" s="32"/>
      <c r="C19" s="62"/>
      <c r="D19" s="63"/>
      <c r="E19" s="63"/>
      <c r="F19" s="63"/>
      <c r="G19" s="64"/>
    </row>
    <row r="20" spans="2:7" x14ac:dyDescent="0.25">
      <c r="B20" s="32"/>
      <c r="C20" s="62"/>
      <c r="D20" s="63"/>
      <c r="E20" s="63"/>
      <c r="F20" s="63"/>
      <c r="G20" s="64"/>
    </row>
    <row r="21" spans="2:7" x14ac:dyDescent="0.25">
      <c r="B21" s="32"/>
      <c r="C21" s="62"/>
      <c r="D21" s="63"/>
      <c r="E21" s="63"/>
      <c r="F21" s="63"/>
      <c r="G21" s="64"/>
    </row>
    <row r="22" spans="2:7" x14ac:dyDescent="0.25">
      <c r="B22" s="32"/>
      <c r="C22" s="62"/>
      <c r="D22" s="63"/>
      <c r="E22" s="63"/>
      <c r="F22" s="63"/>
      <c r="G22" s="64"/>
    </row>
    <row r="23" spans="2:7" x14ac:dyDescent="0.25">
      <c r="B23" s="32"/>
      <c r="C23" s="62"/>
      <c r="D23" s="63"/>
      <c r="E23" s="63"/>
      <c r="F23" s="63"/>
      <c r="G23" s="64"/>
    </row>
    <row r="24" spans="2:7" x14ac:dyDescent="0.25">
      <c r="B24" s="32"/>
      <c r="C24" s="62"/>
      <c r="D24" s="63"/>
      <c r="E24" s="63"/>
      <c r="F24" s="63"/>
      <c r="G24" s="64"/>
    </row>
    <row r="25" spans="2:7" x14ac:dyDescent="0.25">
      <c r="B25" s="32"/>
      <c r="C25" s="62"/>
      <c r="D25" s="63"/>
      <c r="E25" s="63"/>
      <c r="F25" s="63"/>
      <c r="G25" s="64"/>
    </row>
    <row r="26" spans="2:7" x14ac:dyDescent="0.25">
      <c r="B26" s="32"/>
      <c r="C26" s="62"/>
      <c r="D26" s="63"/>
      <c r="E26" s="63"/>
      <c r="F26" s="63"/>
      <c r="G26" s="64"/>
    </row>
    <row r="27" spans="2:7" x14ac:dyDescent="0.25">
      <c r="B27" s="32"/>
      <c r="C27" s="62"/>
      <c r="D27" s="63"/>
      <c r="E27" s="63"/>
      <c r="F27" s="63"/>
      <c r="G27" s="64"/>
    </row>
    <row r="28" spans="2:7" x14ac:dyDescent="0.25">
      <c r="B28" s="32"/>
      <c r="C28" s="62"/>
      <c r="D28" s="63"/>
      <c r="E28" s="63"/>
      <c r="F28" s="63"/>
      <c r="G28" s="64"/>
    </row>
    <row r="29" spans="2:7" x14ac:dyDescent="0.25">
      <c r="B29" s="32"/>
      <c r="C29" s="62"/>
      <c r="D29" s="63"/>
      <c r="E29" s="63"/>
      <c r="F29" s="63"/>
      <c r="G29" s="64"/>
    </row>
    <row r="30" spans="2:7" x14ac:dyDescent="0.25">
      <c r="B30" s="32"/>
      <c r="C30" s="62"/>
      <c r="D30" s="63"/>
      <c r="E30" s="63"/>
      <c r="F30" s="63"/>
      <c r="G30" s="64"/>
    </row>
    <row r="31" spans="2:7" x14ac:dyDescent="0.25">
      <c r="B31" s="32"/>
      <c r="C31" s="62"/>
      <c r="D31" s="63"/>
      <c r="E31" s="63"/>
      <c r="F31" s="63"/>
      <c r="G31" s="64"/>
    </row>
    <row r="32" spans="2:7" ht="102.75" customHeight="1" x14ac:dyDescent="0.25">
      <c r="B32" s="32"/>
      <c r="C32" s="65"/>
      <c r="D32" s="66"/>
      <c r="E32" s="66"/>
      <c r="F32" s="66"/>
      <c r="G32" s="67"/>
    </row>
  </sheetData>
  <mergeCells count="12">
    <mergeCell ref="C11:D11"/>
    <mergeCell ref="E11:F11"/>
    <mergeCell ref="C12:D12"/>
    <mergeCell ref="E12:F12"/>
    <mergeCell ref="C18:G32"/>
    <mergeCell ref="E2:F4"/>
    <mergeCell ref="C10:D10"/>
    <mergeCell ref="E10:F10"/>
    <mergeCell ref="C8:D8"/>
    <mergeCell ref="E8:F8"/>
    <mergeCell ref="C9:D9"/>
    <mergeCell ref="E9:F9"/>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tabSelected="1" topLeftCell="A6" zoomScale="70" zoomScaleNormal="70" workbookViewId="0">
      <selection activeCell="C8" sqref="C8"/>
    </sheetView>
  </sheetViews>
  <sheetFormatPr defaultColWidth="8.85546875" defaultRowHeight="15.75" x14ac:dyDescent="0.2"/>
  <cols>
    <col min="1" max="1" width="2.28515625" style="1" customWidth="1"/>
    <col min="2" max="2" width="3.42578125" style="1" customWidth="1"/>
    <col min="3" max="3" width="119.140625" style="23" customWidth="1"/>
    <col min="4" max="4" width="107.85546875" style="24" customWidth="1"/>
    <col min="5" max="5" width="10" style="1" customWidth="1"/>
    <col min="6" max="10" width="8.85546875" style="1"/>
    <col min="11" max="11" width="10.7109375" style="1" customWidth="1"/>
    <col min="12" max="16384" width="8.85546875" style="1"/>
  </cols>
  <sheetData>
    <row r="1" spans="2:8" ht="225" customHeight="1" x14ac:dyDescent="0.2">
      <c r="C1" s="2" t="s">
        <v>21</v>
      </c>
      <c r="D1" s="68"/>
      <c r="E1" s="68"/>
    </row>
    <row r="2" spans="2:8" s="4" customFormat="1" ht="18.75" x14ac:dyDescent="0.3">
      <c r="B2" s="69" t="s">
        <v>22</v>
      </c>
      <c r="C2" s="69"/>
      <c r="D2" s="3"/>
    </row>
    <row r="3" spans="2:8" ht="18.75" x14ac:dyDescent="0.2">
      <c r="B3" s="70" t="s">
        <v>50</v>
      </c>
      <c r="C3" s="70"/>
    </row>
    <row r="4" spans="2:8" s="8" customFormat="1" ht="18.75" thickBot="1" x14ac:dyDescent="0.3">
      <c r="B4" s="5"/>
      <c r="C4" s="6" t="s">
        <v>0</v>
      </c>
      <c r="D4" s="6" t="s">
        <v>1</v>
      </c>
      <c r="E4" s="7"/>
    </row>
    <row r="5" spans="2:8" s="4" customFormat="1" ht="200.25" customHeight="1" x14ac:dyDescent="0.25">
      <c r="B5" s="9"/>
      <c r="C5" s="10" t="s">
        <v>14</v>
      </c>
      <c r="D5" s="10" t="s">
        <v>18</v>
      </c>
      <c r="E5" s="11">
        <v>4</v>
      </c>
      <c r="H5" s="40"/>
    </row>
    <row r="6" spans="2:8" ht="246" customHeight="1" x14ac:dyDescent="0.2">
      <c r="B6" s="12"/>
      <c r="C6" s="13" t="s">
        <v>13</v>
      </c>
      <c r="D6" s="10" t="s">
        <v>17</v>
      </c>
      <c r="E6" s="14">
        <v>4</v>
      </c>
    </row>
    <row r="7" spans="2:8" ht="204.75" customHeight="1" x14ac:dyDescent="0.2">
      <c r="B7" s="12"/>
      <c r="C7" s="10" t="s">
        <v>12</v>
      </c>
      <c r="D7" s="34" t="s">
        <v>16</v>
      </c>
      <c r="E7" s="14">
        <v>4</v>
      </c>
    </row>
    <row r="8" spans="2:8" ht="203.25" customHeight="1" x14ac:dyDescent="0.2">
      <c r="B8" s="12"/>
      <c r="C8" s="15" t="s">
        <v>52</v>
      </c>
      <c r="D8" s="33" t="s">
        <v>15</v>
      </c>
      <c r="E8" s="16">
        <v>4.5</v>
      </c>
    </row>
    <row r="9" spans="2:8" ht="200.25" customHeight="1" thickBot="1" x14ac:dyDescent="0.25">
      <c r="B9" s="12"/>
      <c r="C9" s="17" t="s">
        <v>2</v>
      </c>
      <c r="D9" s="18" t="s">
        <v>19</v>
      </c>
      <c r="E9" s="19"/>
    </row>
    <row r="10" spans="2:8" ht="16.5" thickBot="1" x14ac:dyDescent="0.25">
      <c r="C10" s="1"/>
      <c r="D10" s="47" t="s">
        <v>3</v>
      </c>
      <c r="E10" s="21">
        <f>AVERAGE(E5,E6,E7,E8)</f>
        <v>4.125</v>
      </c>
    </row>
    <row r="11" spans="2:8" x14ac:dyDescent="0.2">
      <c r="C11" s="20"/>
      <c r="D11" s="22"/>
    </row>
    <row r="12" spans="2:8" ht="12.75" x14ac:dyDescent="0.2">
      <c r="C12" s="1"/>
      <c r="D12" s="1"/>
    </row>
    <row r="13" spans="2:8" ht="12.75" x14ac:dyDescent="0.2">
      <c r="C13" s="1"/>
      <c r="D13" s="1"/>
    </row>
    <row r="14" spans="2:8" ht="12.75" x14ac:dyDescent="0.2">
      <c r="C14" s="1"/>
      <c r="D14" s="1"/>
    </row>
    <row r="15" spans="2:8" ht="12.75" x14ac:dyDescent="0.2">
      <c r="C15" s="1"/>
      <c r="D15" s="1"/>
    </row>
    <row r="16" spans="2:8" ht="12.75" x14ac:dyDescent="0.2">
      <c r="C16" s="1"/>
      <c r="D16" s="1"/>
    </row>
    <row r="17" spans="3:4" ht="12.75" x14ac:dyDescent="0.2">
      <c r="C17" s="1"/>
      <c r="D17" s="1"/>
    </row>
    <row r="18" spans="3:4" ht="12.75" x14ac:dyDescent="0.2">
      <c r="C18" s="1"/>
      <c r="D18" s="1"/>
    </row>
    <row r="19" spans="3:4" ht="12.75" x14ac:dyDescent="0.2">
      <c r="C19" s="1"/>
      <c r="D19" s="1"/>
    </row>
  </sheetData>
  <mergeCells count="3">
    <mergeCell ref="D1:E1"/>
    <mergeCell ref="B2:C2"/>
    <mergeCell ref="B3:C3"/>
  </mergeCells>
  <printOptions horizontalCentered="1"/>
  <pageMargins left="0.5" right="0.5" top="0.5" bottom="0.5" header="0.5" footer="0.5"/>
  <pageSetup scale="39" fitToHeight="0" orientation="landscape" r:id="rId1"/>
  <headerFooter alignWithMargins="0">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zoomScale="90" zoomScaleNormal="90" workbookViewId="0">
      <selection activeCell="M51" sqref="M51"/>
    </sheetView>
  </sheetViews>
  <sheetFormatPr defaultRowHeight="15" x14ac:dyDescent="0.25"/>
  <cols>
    <col min="1" max="1" width="3.5703125" customWidth="1"/>
    <col min="4" max="4" width="21.7109375" customWidth="1"/>
    <col min="7" max="7" width="27.7109375" customWidth="1"/>
    <col min="13" max="13" width="27.7109375" customWidth="1"/>
  </cols>
  <sheetData>
    <row r="1" spans="2:14" ht="15.75" thickBot="1" x14ac:dyDescent="0.3"/>
    <row r="2" spans="2:14" ht="15" customHeight="1" x14ac:dyDescent="0.25">
      <c r="B2" s="72" t="s">
        <v>49</v>
      </c>
      <c r="C2" s="73"/>
      <c r="D2" s="73"/>
      <c r="E2" s="73"/>
      <c r="F2" s="73"/>
      <c r="G2" s="73"/>
      <c r="H2" s="73"/>
      <c r="I2" s="73"/>
      <c r="J2" s="73"/>
      <c r="K2" s="73"/>
      <c r="L2" s="74"/>
    </row>
    <row r="3" spans="2:14" x14ac:dyDescent="0.25">
      <c r="B3" s="75"/>
      <c r="C3" s="76"/>
      <c r="D3" s="76"/>
      <c r="E3" s="76"/>
      <c r="F3" s="76"/>
      <c r="G3" s="76"/>
      <c r="H3" s="76"/>
      <c r="I3" s="76"/>
      <c r="J3" s="76"/>
      <c r="K3" s="76"/>
      <c r="L3" s="77"/>
    </row>
    <row r="4" spans="2:14" x14ac:dyDescent="0.25">
      <c r="B4" s="75"/>
      <c r="C4" s="76"/>
      <c r="D4" s="76"/>
      <c r="E4" s="76"/>
      <c r="F4" s="76"/>
      <c r="G4" s="76"/>
      <c r="H4" s="76"/>
      <c r="I4" s="76"/>
      <c r="J4" s="76"/>
      <c r="K4" s="76"/>
      <c r="L4" s="77"/>
    </row>
    <row r="5" spans="2:14" x14ac:dyDescent="0.25">
      <c r="B5" s="75"/>
      <c r="C5" s="76"/>
      <c r="D5" s="76"/>
      <c r="E5" s="76"/>
      <c r="F5" s="76"/>
      <c r="G5" s="76"/>
      <c r="H5" s="76"/>
      <c r="I5" s="76"/>
      <c r="J5" s="76"/>
      <c r="K5" s="76"/>
      <c r="L5" s="77"/>
    </row>
    <row r="6" spans="2:14" ht="40.5" customHeight="1" thickBot="1" x14ac:dyDescent="0.3">
      <c r="B6" s="78"/>
      <c r="C6" s="79"/>
      <c r="D6" s="79"/>
      <c r="E6" s="79"/>
      <c r="F6" s="79"/>
      <c r="G6" s="79"/>
      <c r="H6" s="79"/>
      <c r="I6" s="79"/>
      <c r="J6" s="79"/>
      <c r="K6" s="79"/>
      <c r="L6" s="80"/>
    </row>
    <row r="8" spans="2:14" ht="11.25" customHeight="1" x14ac:dyDescent="0.25">
      <c r="B8" s="70" t="s">
        <v>27</v>
      </c>
      <c r="C8" s="70"/>
      <c r="D8" s="70"/>
      <c r="E8" s="70"/>
      <c r="F8" s="70"/>
      <c r="G8" s="70"/>
    </row>
    <row r="10" spans="2:14" x14ac:dyDescent="0.25">
      <c r="B10" s="98" t="s">
        <v>23</v>
      </c>
      <c r="C10" s="98"/>
      <c r="D10" s="98"/>
      <c r="E10" s="98"/>
      <c r="F10" s="98"/>
      <c r="G10" s="98"/>
      <c r="H10" s="97" t="s">
        <v>28</v>
      </c>
      <c r="I10" s="97"/>
      <c r="J10" s="97"/>
      <c r="K10" s="97"/>
      <c r="L10" s="97"/>
      <c r="M10" s="97"/>
    </row>
    <row r="11" spans="2:14" ht="60" customHeight="1" x14ac:dyDescent="0.25">
      <c r="B11" s="87" t="s">
        <v>29</v>
      </c>
      <c r="C11" s="99"/>
      <c r="D11" s="99"/>
      <c r="E11" s="99"/>
      <c r="F11" s="99"/>
      <c r="G11" s="100"/>
      <c r="H11" s="90"/>
      <c r="I11" s="91"/>
      <c r="J11" s="91"/>
      <c r="K11" s="91"/>
      <c r="L11" s="91"/>
      <c r="M11" s="92"/>
    </row>
    <row r="12" spans="2:14" ht="15.75" thickBot="1" x14ac:dyDescent="0.3">
      <c r="K12" s="81"/>
      <c r="L12" s="81"/>
      <c r="M12" s="101" t="s">
        <v>26</v>
      </c>
      <c r="N12" s="101"/>
    </row>
    <row r="13" spans="2:14" ht="15.75" x14ac:dyDescent="0.25">
      <c r="K13" s="41"/>
      <c r="L13" s="41"/>
      <c r="M13" s="44">
        <v>0</v>
      </c>
    </row>
    <row r="15" spans="2:14" x14ac:dyDescent="0.25">
      <c r="B15" s="98" t="s">
        <v>30</v>
      </c>
      <c r="C15" s="98"/>
      <c r="D15" s="98"/>
      <c r="E15" s="98"/>
      <c r="F15" s="98"/>
      <c r="G15" s="98"/>
      <c r="H15" s="102" t="s">
        <v>28</v>
      </c>
      <c r="I15" s="102"/>
      <c r="J15" s="102"/>
      <c r="K15" s="102"/>
      <c r="L15" s="102"/>
      <c r="M15" s="102"/>
    </row>
    <row r="16" spans="2:14" ht="60" customHeight="1" x14ac:dyDescent="0.25">
      <c r="B16" s="87" t="s">
        <v>31</v>
      </c>
      <c r="C16" s="88"/>
      <c r="D16" s="88"/>
      <c r="E16" s="88"/>
      <c r="F16" s="88"/>
      <c r="G16" s="89"/>
      <c r="H16" s="90"/>
      <c r="I16" s="91"/>
      <c r="J16" s="91"/>
      <c r="K16" s="91"/>
      <c r="L16" s="91"/>
      <c r="M16" s="92"/>
    </row>
    <row r="17" spans="2:13" ht="15.75" thickBot="1" x14ac:dyDescent="0.3">
      <c r="K17" s="81"/>
      <c r="L17" s="81"/>
      <c r="M17" s="43" t="s">
        <v>26</v>
      </c>
    </row>
    <row r="18" spans="2:13" ht="15.75" x14ac:dyDescent="0.25">
      <c r="K18" s="42"/>
      <c r="L18" s="42"/>
      <c r="M18" s="44">
        <v>0</v>
      </c>
    </row>
    <row r="20" spans="2:13" x14ac:dyDescent="0.25">
      <c r="B20" s="96" t="s">
        <v>32</v>
      </c>
      <c r="C20" s="96"/>
      <c r="D20" s="96"/>
      <c r="E20" s="96"/>
      <c r="F20" s="96"/>
      <c r="G20" s="96"/>
      <c r="H20" s="97" t="s">
        <v>28</v>
      </c>
      <c r="I20" s="97"/>
      <c r="J20" s="97"/>
      <c r="K20" s="97"/>
      <c r="L20" s="97"/>
      <c r="M20" s="97"/>
    </row>
    <row r="21" spans="2:13" ht="60" customHeight="1" x14ac:dyDescent="0.25">
      <c r="B21" s="87" t="s">
        <v>33</v>
      </c>
      <c r="C21" s="88"/>
      <c r="D21" s="88"/>
      <c r="E21" s="88"/>
      <c r="F21" s="88"/>
      <c r="G21" s="89"/>
      <c r="H21" s="90"/>
      <c r="I21" s="91"/>
      <c r="J21" s="91"/>
      <c r="K21" s="91"/>
      <c r="L21" s="91"/>
      <c r="M21" s="92"/>
    </row>
    <row r="22" spans="2:13" ht="15.75" thickBot="1" x14ac:dyDescent="0.3">
      <c r="K22" s="81"/>
      <c r="L22" s="81"/>
      <c r="M22" s="43" t="s">
        <v>26</v>
      </c>
    </row>
    <row r="23" spans="2:13" ht="15.75" x14ac:dyDescent="0.25">
      <c r="K23" s="42"/>
      <c r="L23" s="42"/>
      <c r="M23" s="44">
        <v>0</v>
      </c>
    </row>
    <row r="25" spans="2:13" x14ac:dyDescent="0.25">
      <c r="B25" s="96" t="s">
        <v>24</v>
      </c>
      <c r="C25" s="96"/>
      <c r="D25" s="96"/>
      <c r="E25" s="96"/>
      <c r="F25" s="96"/>
      <c r="G25" s="96"/>
      <c r="H25" s="97" t="s">
        <v>28</v>
      </c>
      <c r="I25" s="97"/>
      <c r="J25" s="97"/>
      <c r="K25" s="97"/>
      <c r="L25" s="97"/>
      <c r="M25" s="97"/>
    </row>
    <row r="26" spans="2:13" ht="60" customHeight="1" x14ac:dyDescent="0.25">
      <c r="B26" s="87" t="s">
        <v>34</v>
      </c>
      <c r="C26" s="88"/>
      <c r="D26" s="88"/>
      <c r="E26" s="88"/>
      <c r="F26" s="88"/>
      <c r="G26" s="89"/>
      <c r="H26" s="90"/>
      <c r="I26" s="91"/>
      <c r="J26" s="91"/>
      <c r="K26" s="91"/>
      <c r="L26" s="91"/>
      <c r="M26" s="92"/>
    </row>
    <row r="27" spans="2:13" ht="15.75" thickBot="1" x14ac:dyDescent="0.3">
      <c r="K27" s="81"/>
      <c r="L27" s="81"/>
      <c r="M27" s="43" t="s">
        <v>26</v>
      </c>
    </row>
    <row r="28" spans="2:13" ht="15.75" x14ac:dyDescent="0.25">
      <c r="K28" s="42"/>
      <c r="L28" s="42"/>
      <c r="M28" s="44">
        <v>0</v>
      </c>
    </row>
    <row r="30" spans="2:13" x14ac:dyDescent="0.25">
      <c r="B30" s="96" t="s">
        <v>25</v>
      </c>
      <c r="C30" s="96"/>
      <c r="D30" s="96"/>
      <c r="E30" s="96"/>
      <c r="F30" s="96"/>
      <c r="G30" s="96"/>
      <c r="H30" s="97" t="s">
        <v>28</v>
      </c>
      <c r="I30" s="97"/>
      <c r="J30" s="97"/>
      <c r="K30" s="97"/>
      <c r="L30" s="97"/>
      <c r="M30" s="97"/>
    </row>
    <row r="31" spans="2:13" ht="60" customHeight="1" x14ac:dyDescent="0.25">
      <c r="B31" s="87" t="s">
        <v>35</v>
      </c>
      <c r="C31" s="88"/>
      <c r="D31" s="88"/>
      <c r="E31" s="88"/>
      <c r="F31" s="88"/>
      <c r="G31" s="89"/>
      <c r="H31" s="90"/>
      <c r="I31" s="91"/>
      <c r="J31" s="91"/>
      <c r="K31" s="91"/>
      <c r="L31" s="91"/>
      <c r="M31" s="92"/>
    </row>
    <row r="32" spans="2:13" ht="15.75" thickBot="1" x14ac:dyDescent="0.3">
      <c r="K32" s="81"/>
      <c r="L32" s="81"/>
      <c r="M32" s="43" t="s">
        <v>26</v>
      </c>
    </row>
    <row r="33" spans="2:13" ht="15.75" x14ac:dyDescent="0.25">
      <c r="K33" s="42"/>
      <c r="L33" s="42"/>
      <c r="M33" s="44">
        <v>0</v>
      </c>
    </row>
    <row r="35" spans="2:13" x14ac:dyDescent="0.25">
      <c r="B35" s="96" t="s">
        <v>36</v>
      </c>
      <c r="C35" s="96"/>
      <c r="D35" s="96"/>
      <c r="E35" s="96"/>
      <c r="F35" s="96"/>
      <c r="G35" s="96"/>
      <c r="H35" s="97" t="s">
        <v>28</v>
      </c>
      <c r="I35" s="97"/>
      <c r="J35" s="97"/>
      <c r="K35" s="97"/>
      <c r="L35" s="97"/>
      <c r="M35" s="97"/>
    </row>
    <row r="36" spans="2:13" ht="60" customHeight="1" x14ac:dyDescent="0.25">
      <c r="B36" s="87" t="s">
        <v>37</v>
      </c>
      <c r="C36" s="88"/>
      <c r="D36" s="88"/>
      <c r="E36" s="88"/>
      <c r="F36" s="88"/>
      <c r="G36" s="89"/>
      <c r="H36" s="90"/>
      <c r="I36" s="91"/>
      <c r="J36" s="91"/>
      <c r="K36" s="91"/>
      <c r="L36" s="91"/>
      <c r="M36" s="92"/>
    </row>
    <row r="37" spans="2:13" ht="15.75" thickBot="1" x14ac:dyDescent="0.3">
      <c r="K37" s="81"/>
      <c r="L37" s="81"/>
      <c r="M37" s="43" t="s">
        <v>26</v>
      </c>
    </row>
    <row r="38" spans="2:13" ht="15.75" x14ac:dyDescent="0.25">
      <c r="K38" s="42"/>
      <c r="L38" s="42"/>
      <c r="M38" s="44">
        <v>0</v>
      </c>
    </row>
    <row r="40" spans="2:13" x14ac:dyDescent="0.25">
      <c r="B40" s="96" t="s">
        <v>48</v>
      </c>
      <c r="C40" s="96"/>
      <c r="D40" s="96"/>
      <c r="E40" s="96"/>
      <c r="F40" s="96"/>
      <c r="G40" s="96"/>
      <c r="H40" s="97" t="s">
        <v>28</v>
      </c>
      <c r="I40" s="97"/>
      <c r="J40" s="97"/>
      <c r="K40" s="97"/>
      <c r="L40" s="97"/>
      <c r="M40" s="97"/>
    </row>
    <row r="41" spans="2:13" ht="60" customHeight="1" x14ac:dyDescent="0.25">
      <c r="B41" s="87" t="s">
        <v>38</v>
      </c>
      <c r="C41" s="88"/>
      <c r="D41" s="88"/>
      <c r="E41" s="88"/>
      <c r="F41" s="88"/>
      <c r="G41" s="89"/>
      <c r="H41" s="90"/>
      <c r="I41" s="91"/>
      <c r="J41" s="91"/>
      <c r="K41" s="91"/>
      <c r="L41" s="91"/>
      <c r="M41" s="92"/>
    </row>
    <row r="42" spans="2:13" ht="15.75" thickBot="1" x14ac:dyDescent="0.3">
      <c r="K42" s="81"/>
      <c r="L42" s="81"/>
      <c r="M42" s="43" t="s">
        <v>26</v>
      </c>
    </row>
    <row r="43" spans="2:13" ht="15.75" x14ac:dyDescent="0.25">
      <c r="K43" s="42"/>
      <c r="L43" s="42"/>
      <c r="M43" s="44">
        <v>0</v>
      </c>
    </row>
    <row r="45" spans="2:13" x14ac:dyDescent="0.25">
      <c r="B45" s="93" t="s">
        <v>46</v>
      </c>
      <c r="C45" s="94"/>
      <c r="D45" s="94"/>
      <c r="E45" s="94"/>
      <c r="F45" s="94"/>
      <c r="G45" s="95"/>
      <c r="H45" s="93" t="s">
        <v>47</v>
      </c>
      <c r="I45" s="94"/>
      <c r="J45" s="94"/>
      <c r="K45" s="94"/>
      <c r="L45" s="94"/>
      <c r="M45" s="95"/>
    </row>
    <row r="46" spans="2:13" ht="105.75" customHeight="1" x14ac:dyDescent="0.25">
      <c r="B46" s="82"/>
      <c r="C46" s="83"/>
      <c r="D46" s="83"/>
      <c r="E46" s="83"/>
      <c r="F46" s="83"/>
      <c r="G46" s="84"/>
      <c r="H46" s="82"/>
      <c r="I46" s="83"/>
      <c r="J46" s="83"/>
      <c r="K46" s="83"/>
      <c r="L46" s="83"/>
      <c r="M46" s="84"/>
    </row>
    <row r="47" spans="2:13" s="36" customFormat="1" ht="23.25" customHeight="1" thickBot="1" x14ac:dyDescent="0.3">
      <c r="B47" s="37"/>
      <c r="C47" s="37"/>
      <c r="D47" s="37"/>
      <c r="E47" s="37"/>
      <c r="F47" s="37"/>
      <c r="G47" s="37"/>
      <c r="H47" s="37"/>
      <c r="I47" s="37"/>
      <c r="J47" s="37"/>
      <c r="K47" s="37"/>
      <c r="L47" s="37"/>
      <c r="M47" s="39" t="s">
        <v>39</v>
      </c>
    </row>
    <row r="48" spans="2:13" ht="21" customHeight="1" thickBot="1" x14ac:dyDescent="0.3">
      <c r="M48" s="46">
        <f>AVERAGE(M13,M18,M23,M28,M33,M38,M43)</f>
        <v>0</v>
      </c>
    </row>
    <row r="49" spans="2:13" ht="21" customHeight="1" x14ac:dyDescent="0.25">
      <c r="M49" s="35"/>
    </row>
    <row r="50" spans="2:13" ht="21" customHeight="1" thickBot="1" x14ac:dyDescent="0.3">
      <c r="B50" s="85" t="s">
        <v>40</v>
      </c>
      <c r="C50" s="85"/>
      <c r="D50" s="85"/>
      <c r="E50" s="85"/>
      <c r="F50" s="85"/>
      <c r="G50" s="85"/>
      <c r="M50" s="38" t="s">
        <v>41</v>
      </c>
    </row>
    <row r="51" spans="2:13" ht="22.5" customHeight="1" thickBot="1" x14ac:dyDescent="0.3">
      <c r="M51" s="45">
        <f>(AVERAGE('Section A- Goals Review'!E10)*0.75)+(AVERAGE('Section B-Perf. Expectations'!M48)*0.25)</f>
        <v>3.09375</v>
      </c>
    </row>
    <row r="52" spans="2:13" ht="45" customHeight="1" x14ac:dyDescent="0.25">
      <c r="B52" s="86"/>
      <c r="C52" s="86"/>
      <c r="D52" s="86"/>
      <c r="E52" s="86"/>
      <c r="F52" s="86"/>
      <c r="G52" s="86"/>
      <c r="I52" s="66"/>
      <c r="J52" s="66"/>
      <c r="K52" s="66"/>
      <c r="L52" s="66"/>
      <c r="M52" s="66"/>
    </row>
    <row r="53" spans="2:13" x14ac:dyDescent="0.25">
      <c r="B53" s="81" t="s">
        <v>45</v>
      </c>
      <c r="C53" s="81"/>
      <c r="D53" s="81"/>
      <c r="E53" s="81"/>
      <c r="F53" s="81"/>
      <c r="G53" s="81"/>
      <c r="I53" s="71" t="s">
        <v>44</v>
      </c>
      <c r="J53" s="71"/>
      <c r="K53" s="71"/>
      <c r="L53" s="71"/>
      <c r="M53" s="71"/>
    </row>
    <row r="54" spans="2:13" ht="45" customHeight="1" x14ac:dyDescent="0.25">
      <c r="B54" s="66"/>
      <c r="C54" s="66"/>
      <c r="D54" s="66"/>
      <c r="E54" s="66"/>
      <c r="F54" s="66"/>
      <c r="G54" s="66"/>
      <c r="I54" s="66"/>
      <c r="J54" s="66"/>
      <c r="K54" s="66"/>
      <c r="L54" s="66"/>
      <c r="M54" s="66"/>
    </row>
    <row r="55" spans="2:13" x14ac:dyDescent="0.25">
      <c r="B55" s="71" t="s">
        <v>42</v>
      </c>
      <c r="C55" s="71"/>
      <c r="D55" s="71"/>
      <c r="E55" s="71"/>
      <c r="F55" s="71"/>
      <c r="G55" s="71"/>
      <c r="I55" s="71" t="s">
        <v>43</v>
      </c>
      <c r="J55" s="71"/>
      <c r="K55" s="71"/>
      <c r="L55" s="71"/>
      <c r="M55" s="71"/>
    </row>
  </sheetData>
  <mergeCells count="51">
    <mergeCell ref="B16:G16"/>
    <mergeCell ref="H16:M16"/>
    <mergeCell ref="B10:G10"/>
    <mergeCell ref="H10:M10"/>
    <mergeCell ref="B8:G8"/>
    <mergeCell ref="B11:G11"/>
    <mergeCell ref="H11:M11"/>
    <mergeCell ref="M12:N12"/>
    <mergeCell ref="B15:G15"/>
    <mergeCell ref="H15:M15"/>
    <mergeCell ref="K22:L22"/>
    <mergeCell ref="B25:G25"/>
    <mergeCell ref="H25:M25"/>
    <mergeCell ref="K17:L17"/>
    <mergeCell ref="B20:G20"/>
    <mergeCell ref="H20:M20"/>
    <mergeCell ref="B21:G21"/>
    <mergeCell ref="H21:M21"/>
    <mergeCell ref="B26:G26"/>
    <mergeCell ref="H26:M26"/>
    <mergeCell ref="K27:L27"/>
    <mergeCell ref="B30:G30"/>
    <mergeCell ref="H30:M30"/>
    <mergeCell ref="B31:G31"/>
    <mergeCell ref="H31:M31"/>
    <mergeCell ref="K32:L32"/>
    <mergeCell ref="B35:G35"/>
    <mergeCell ref="H35:M35"/>
    <mergeCell ref="B45:G45"/>
    <mergeCell ref="H45:M45"/>
    <mergeCell ref="B36:G36"/>
    <mergeCell ref="H36:M36"/>
    <mergeCell ref="K37:L37"/>
    <mergeCell ref="B40:G40"/>
    <mergeCell ref="H40:M40"/>
    <mergeCell ref="B54:G54"/>
    <mergeCell ref="I54:M54"/>
    <mergeCell ref="I55:M55"/>
    <mergeCell ref="B55:G55"/>
    <mergeCell ref="B2:L6"/>
    <mergeCell ref="K12:L12"/>
    <mergeCell ref="B46:G46"/>
    <mergeCell ref="H46:M46"/>
    <mergeCell ref="B50:G50"/>
    <mergeCell ref="B52:G52"/>
    <mergeCell ref="B53:G53"/>
    <mergeCell ref="I52:M52"/>
    <mergeCell ref="I53:M53"/>
    <mergeCell ref="B41:G41"/>
    <mergeCell ref="H41:M41"/>
    <mergeCell ref="K42:L42"/>
  </mergeCells>
  <pageMargins left="0.7" right="0.7" top="0.75" bottom="0.75" header="0.3" footer="0.3"/>
  <pageSetup scale="70" orientation="landscape" r:id="rId1"/>
  <rowBreaks count="1" manualBreakCount="1">
    <brk id="3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CF70A9-18C3-4FC4-9EFC-9B821D057688}"/>
</file>

<file path=customXml/itemProps2.xml><?xml version="1.0" encoding="utf-8"?>
<ds:datastoreItem xmlns:ds="http://schemas.openxmlformats.org/officeDocument/2006/customXml" ds:itemID="{EDF8F3E9-9767-4473-8BDA-EAD229546DAE}"/>
</file>

<file path=customXml/itemProps3.xml><?xml version="1.0" encoding="utf-8"?>
<ds:datastoreItem xmlns:ds="http://schemas.openxmlformats.org/officeDocument/2006/customXml" ds:itemID="{9A7A2A21-8206-42E5-8ECB-8C5CB520E7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Section A- Goals Review</vt:lpstr>
      <vt:lpstr>Section B-Perf. Expectations</vt:lpstr>
      <vt:lpstr>'Section A- Goals Review'!Print_Area</vt:lpstr>
      <vt:lpstr>'Section B-Perf. Expectations'!Print_Area</vt:lpstr>
      <vt:lpstr>Summary!Print_Area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cp:lastPrinted>2014-12-22T21:53:14Z</cp:lastPrinted>
  <dcterms:created xsi:type="dcterms:W3CDTF">2014-06-16T22:02:18Z</dcterms:created>
  <dcterms:modified xsi:type="dcterms:W3CDTF">2015-01-26T14:27:23Z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714000</vt:r8>
  </property>
</Properties>
</file>