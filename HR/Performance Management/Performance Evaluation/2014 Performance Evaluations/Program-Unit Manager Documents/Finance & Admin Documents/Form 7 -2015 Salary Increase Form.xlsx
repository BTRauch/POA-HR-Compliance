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<sst xmlns="http://schemas.openxmlformats.org/spreadsheetml/2006/main" count="29" uniqueCount="26">
  <si>
    <t>(Retroactive to this date, if applicable)</t>
  </si>
  <si>
    <t>Current Salary</t>
  </si>
  <si>
    <t>Salary Increase</t>
  </si>
  <si>
    <t>Reasons for Change</t>
  </si>
  <si>
    <t>Annual Increase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</si>
  <si>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</si>
  <si>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</si>
  <si>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</si>
  <si>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</si>
  <si>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</si>
  <si>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</si>
  <si>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</si>
  <si>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</si>
  <si>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</si>
  <si>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</si>
  <si>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</si>
  <si>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</si>
  <si>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</si>
  <si>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</si>
  <si>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</si>
  <si>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</si>
  <si>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</si>
  <si>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</si>
  <si>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2014 Annual Salary:</t>
  </si>
  <si>
    <t>2015 Salary:</t>
  </si>
  <si>
    <t>Months Worked in 2014: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</si>
</sst>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2015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132523</xdr:colOff>
      <xdr:row>0</xdr:row>
      <xdr:rowOff>240196</xdr:rowOff>
    </xdr:from>
    <xdr:to>
      <xdr:col>2</xdr:col>
      <xdr:colOff>248479</xdr:colOff>
      <xdr:row>0</xdr:row>
      <xdr:rowOff>720587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3" y="240196"/>
          <a:ext cx="1880152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C3" sqref="C3:E3"/>
    </sheetView>
  </sheetViews>
  <sheetFormatPr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14</v>
      </c>
      <c r="C3" s="76"/>
      <c r="D3" s="76"/>
      <c r="E3" s="7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15</v>
      </c>
      <c r="C5" s="77">
        <v>42005</v>
      </c>
      <c r="D5" s="78"/>
      <c r="F5" s="14"/>
      <c r="G5" s="13"/>
      <c r="H5" s="6"/>
    </row>
    <row r="6" spans="2:8" s="5" customFormat="1" x14ac:dyDescent="0.25">
      <c r="B6" s="75" t="s">
        <v>0</v>
      </c>
      <c r="C6" s="7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6" t="s">
        <v>1</v>
      </c>
      <c r="D8" s="67"/>
      <c r="E8" s="67"/>
      <c r="F8" s="67"/>
      <c r="G8" s="68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23</v>
      </c>
      <c r="F10" s="31"/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13</v>
      </c>
    </row>
    <row r="12" spans="2:8" s="5" customFormat="1" x14ac:dyDescent="0.25">
      <c r="B12" s="15"/>
      <c r="C12" s="32"/>
      <c r="D12" s="49"/>
      <c r="E12" s="39" t="s">
        <v>25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6" t="s">
        <v>2</v>
      </c>
      <c r="D15" s="67"/>
      <c r="E15" s="67"/>
      <c r="F15" s="67"/>
      <c r="G15" s="68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16</v>
      </c>
      <c r="F17" s="41">
        <v>0.05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18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17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/>
      <c r="C21" s="11"/>
      <c r="D21" s="11"/>
      <c r="E21" s="4"/>
      <c r="F21" s="4"/>
      <c r="G21" s="13"/>
      <c r="H21" s="6"/>
    </row>
    <row r="22" spans="1:8" x14ac:dyDescent="0.25">
      <c r="A22" s="5"/>
      <c r="B22" s="66" t="s">
        <v>3</v>
      </c>
      <c r="C22" s="67"/>
      <c r="D22" s="68"/>
      <c r="E22" s="72" t="s">
        <v>21</v>
      </c>
      <c r="F22" s="73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/>
      <c r="E23" s="72"/>
      <c r="F23" s="74"/>
      <c r="G23" s="7"/>
      <c r="H23" s="6"/>
    </row>
    <row r="24" spans="1:8" x14ac:dyDescent="0.25">
      <c r="A24" s="5"/>
      <c r="B24" s="61" t="s">
        <v>5</v>
      </c>
      <c r="C24" s="23"/>
      <c r="D24" s="50"/>
      <c r="E24" s="69" t="s">
        <v>24</v>
      </c>
      <c r="F24" s="70">
        <f>ROUND(F10+F22,0)</f>
        <v>0</v>
      </c>
      <c r="G24" s="7"/>
      <c r="H24" s="6"/>
    </row>
    <row r="25" spans="1:8" x14ac:dyDescent="0.25">
      <c r="A25" s="5"/>
      <c r="B25" s="61" t="s">
        <v>6</v>
      </c>
      <c r="C25" s="23"/>
      <c r="D25" s="50"/>
      <c r="E25" s="69"/>
      <c r="F25" s="71"/>
      <c r="G25" s="7"/>
      <c r="H25" s="6"/>
    </row>
    <row r="26" spans="1:8" x14ac:dyDescent="0.25">
      <c r="B26" s="61" t="s">
        <v>7</v>
      </c>
      <c r="C26" s="23"/>
      <c r="D26" s="50"/>
      <c r="E26" s="17" t="s">
        <v>22</v>
      </c>
      <c r="F26" s="48">
        <f>ROUND(F24/24,2)</f>
        <v>0</v>
      </c>
      <c r="G26" s="7"/>
      <c r="H26" s="6"/>
    </row>
    <row r="27" spans="1:8" x14ac:dyDescent="0.25">
      <c r="B27" s="61" t="s">
        <v>8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2" t="s">
        <v>19</v>
      </c>
      <c r="C29" s="62"/>
      <c r="D29" s="62"/>
      <c r="E29" s="62"/>
      <c r="F29" s="12"/>
      <c r="G29" s="12"/>
      <c r="H29" s="6"/>
    </row>
    <row r="30" spans="1:8" ht="37.5" customHeight="1" x14ac:dyDescent="0.25">
      <c r="B30" s="63"/>
      <c r="C30" s="64"/>
      <c r="D30" s="64"/>
      <c r="E30" s="64"/>
      <c r="F30" s="65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11</v>
      </c>
      <c r="C33" s="52" t="s">
        <v>10</v>
      </c>
      <c r="D33" s="53"/>
      <c r="E33" s="54" t="s">
        <v>20</v>
      </c>
      <c r="F33" s="51" t="s">
        <v>10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9</v>
      </c>
      <c r="C35" s="52" t="s">
        <v>10</v>
      </c>
      <c r="D35" s="53"/>
      <c r="E35" s="54" t="s">
        <v>12</v>
      </c>
      <c r="F35" s="51" t="s">
        <v>10</v>
      </c>
      <c r="G35" s="55"/>
      <c r="H35" s="6"/>
    </row>
  </sheetData>
  <mergeCells count="12">
    <mergeCell ref="C8:G8"/>
    <mergeCell ref="C15:G15"/>
    <mergeCell ref="B6:C6"/>
    <mergeCell ref="C3:E3"/>
    <mergeCell ref="C5:D5"/>
    <mergeCell ref="B29:E29"/>
    <mergeCell ref="B30:F30"/>
    <mergeCell ref="B22:D22"/>
    <mergeCell ref="E24:E25"/>
    <mergeCell ref="F24:F25"/>
    <mergeCell ref="E22:E23"/>
    <mergeCell ref="F22:F23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66DA6A-8751-469D-9C44-E5C2348BE9E2}"/>
</file>

<file path=customXml/itemProps2.xml><?xml version="1.0" encoding="utf-8"?>
<ds:datastoreItem xmlns:ds="http://schemas.openxmlformats.org/officeDocument/2006/customXml" ds:itemID="{2302A9C4-DE0B-44F2-8BB9-A6D671B02C12}"/>
</file>

<file path=customXml/itemProps3.xml><?xml version="1.0" encoding="utf-8"?>
<ds:datastoreItem xmlns:ds="http://schemas.openxmlformats.org/officeDocument/2006/customXml" ds:itemID="{3CAE8CC8-8D61-44E3-A43A-9757A2BD02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Kristian C. Vasquez</cp:lastModifiedBy>
  <cp:lastPrinted>2014-12-30T21:58:57Z</cp:lastPrinted>
  <dcterms:created xsi:type="dcterms:W3CDTF">2011-12-13T18:23:43Z</dcterms:created>
  <dcterms:modified xsi:type="dcterms:W3CDTF">2014-12-30T22:00:41Z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716000</vt:r8>
  </property>
</Properties>
</file>