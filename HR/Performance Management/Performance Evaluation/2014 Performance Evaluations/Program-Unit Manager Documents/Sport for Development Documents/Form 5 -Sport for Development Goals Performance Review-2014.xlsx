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charts/chart1.xml" ContentType="application/vnd.openxmlformats-officedocument.drawingml.chart+xml"/>
  <Override PartName="/xl/worksheets/sheet1.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defaultThemeVersion="124226"/>
  <bookViews>
    <workbookView xWindow="480" yWindow="120" windowWidth="21840" windowHeight="12585" activeTab="1"/>
  </bookViews>
  <sheets>
    <sheet name="Summary" sheetId="3" r:id="rId1"/>
    <sheet name="Part A-Goals Review" sheetId="1" r:id="rId2"/>
    <sheet name="Section B-Perf. Expectations" sheetId="5" r:id="rId3"/>
  </sheets>
  <externalReferences>
    <externalReference r:id="rId4"/>
  </externalReferences>
  <definedNames>
    <definedName name="Descriptions" localSheetId="2">#REF!</definedName>
    <definedName name="Descriptions" localSheetId="0">#REF!</definedName>
    <definedName name="Descriptions">#REF!</definedName>
    <definedName name="_xlnm.Print_Area" localSheetId="1">'Part A-Goals Review'!$A$1:$E$11</definedName>
    <definedName name="_xlnm.Print_Area" localSheetId="2">'Section B-Perf. Expectations'!$A$7:$N$57</definedName>
    <definedName name="_xlnm.Print_Area" localSheetId="0">Summary!$A$2:$N$33</definedName>
    <definedName name="Ratings" localSheetId="2">#REF!</definedName>
    <definedName name="Ratings" localSheetId="0">#REF!</definedName>
    <definedName name="Ratings">#REF!</definedName>
  </definedNames>
  <calcPr calcId="145621"/>
  <extLst>
    <ext xmlns:mx="http://schemas.microsoft.com/office/mac/excel/2008/main" uri="http://schemas.microsoft.com/office/mac/excel/2008/main">
      <mx:ArchID Flags="2"/>
    </ext>
  </extLst>
</workbook>
</file>

<file path=xl/calcChain.xml><?xml version="1.0" encoding="utf-8"?>
<calcChain xmlns="http://schemas.openxmlformats.org/spreadsheetml/2006/main">
  <c r="M51" i="5" l="1"/>
  <c r="M48" i="5"/>
  <c r="E10" i="1" l="1"/>
</calcChain>
</file>

<file path=xl/sharedStrings.xml><?xml version="1.0" encoding="utf-8"?>
<sst xmlns="http://schemas.openxmlformats.org/spreadsheetml/2006/main" count="63" uniqueCount="51">
  <si>
    <t>Although A Ganar has taken the intiative to improve M&amp;E systems, implementation has taken more time than expected.  Nevertheless great strides have been taken to produce tools and methods that are practical and in line with realistic program situations.  Outputs so far include:  1.  Hiring of M&amp;E senior consultant;  2.  Development of M&amp;E reform action plan; 3.  Development of draft performance monitoring plan; 3.  Engagement of IT firm NiM to focus on improvements to data management system.    Additionally, our team conceptualized, proposed and implemented the "Using Soccer to Combat Youth Violence in Honduras" campaign with USAID and the Honduras MNT.  As a result, features articles have appeared in the Washington Post, the San Jose Mercury News, the Contra Costa Times and Soccerly, all mentioning Partners.   The event was also covered by Univision and Reuters.   Another result from this is that USAID has invited Partners to conduct an informational event on A Ganar at USAID before the end of the World Cup.  Finally, A Ganar has been asked to speak at the CSIS event on June 23.  All of these activities contribute to establishing and communicating Partners' Impact and Value.</t>
    <phoneticPr fontId="23" type="noConversion"/>
  </si>
  <si>
    <r>
      <rPr>
        <sz val="12"/>
        <rFont val="Verdana"/>
        <family val="2"/>
      </rPr>
      <t xml:space="preserve">(1) Raised approximately $55K for Brazil. (2) Supported PD and Professional Exchanges with the successful S4C Brazil proposal   (3) In discussions with Mexican gov't, Carlos Slim Foundation and others requesting support for programs in between $290,000 and $500,000.  (4) Facilitated Partners new relationship with DAI to partner on both the Caribbean and Guatemala youth proposal (5) travelled to Barbados and Guatemala for proposal development activities (6) Established relationship with GlideSlope to support development of new partnership, with focus on Brazil  (7) supporting Soccer Saved My Life campaign (8) conceptualized the #MilGraciasPele campaign </t>
    </r>
    <r>
      <rPr>
        <b/>
        <sz val="12"/>
        <rFont val="Verdana"/>
        <family val="2"/>
      </rPr>
      <t xml:space="preserve">  </t>
    </r>
  </si>
  <si>
    <t>(1) have met on various occassions with Partners Connects to establish a framework.   Have determined to iniciate this effort after the World Cup and the #MilGraciasPele campaign has concluded</t>
  </si>
  <si>
    <t xml:space="preserve">A Ganar has taken tremendous steps to build team capacity, improve systems, and standardize program products and services.  Illustrative examples include:                     1.  Team re-organization and establishment of new roles and responsibilities;                 2.  Greater accountability and centralization of operations through regional coordinators;  3.  Training of staff in donoro compliance and rules (Nadia attended USAID regs. training) - internal training planned for team in September.                                                          4.  Development of standardized budget templates to cost out A Ganar ToT                       5.  Development of new technical approaches in proposals to implement A Ganar              6.  Support and inclusion of BDO consulting services to develop new policies and procedures for sub-recipient oversight;                                                                        7.  Development of reporting tools for CCO's and system of checks and balances for wire approvals   </t>
  </si>
  <si>
    <t>Major Corrective Actions</t>
  </si>
  <si>
    <t>Sport for Development</t>
  </si>
  <si>
    <t>Actual Performance to Date:</t>
  </si>
  <si>
    <r>
      <rPr>
        <b/>
        <sz val="12"/>
        <rFont val="Verdana"/>
        <family val="2"/>
      </rPr>
      <t>Goal 1 - Build a Financially Stable Organization</t>
    </r>
    <r>
      <rPr>
        <sz val="12"/>
        <rFont val="Verdana"/>
        <family val="2"/>
      </rPr>
      <t xml:space="preserve">
   A Ganar's program spending target for 2014 is $2.3M.  To grow and continue A Ganar 
   implementation in all 17 of its current countries, fundraising targets are as follows:
   - For 2014 Raise $500K for Mexico and Brazil, and an additional $100K for Colombia 
   - For 2015 Raise $1.5M  for Mexico and Brazil
   - Pursue an additional $4.0M in funds from governnment and private sector donors </t>
    </r>
  </si>
  <si>
    <r>
      <t xml:space="preserve">Goal 2 - Strengthen Network of Volunteers, Programs &amp; Projects
</t>
    </r>
    <r>
      <rPr>
        <sz val="12"/>
        <rFont val="Verdana"/>
        <family val="2"/>
      </rPr>
      <t xml:space="preserve">Work with A Ganar Alliance Member Organizations to get 50% of them signed up on PartnersConnect at the "Friend" level or above. </t>
    </r>
  </si>
  <si>
    <r>
      <rPr>
        <b/>
        <sz val="12"/>
        <rFont val="Verdana"/>
        <family val="2"/>
      </rPr>
      <t>Goal 3 - Well-Governed, Accountable &amp; Transparent Organization</t>
    </r>
    <r>
      <rPr>
        <sz val="12"/>
        <rFont val="Verdana"/>
        <family val="2"/>
      </rPr>
      <t xml:space="preserve">
Develop program management systems and build staff capacity to ensure quality and accountability of program implementation and Complete Standardization of Program Products and Services. Submit quarterly and annual reports to donors and board. </t>
    </r>
  </si>
  <si>
    <t>Department Total</t>
  </si>
  <si>
    <t xml:space="preserve">
Summary</t>
  </si>
  <si>
    <t>Rating Definitions</t>
  </si>
  <si>
    <r>
      <rPr>
        <b/>
        <sz val="12"/>
        <rFont val="Verdana"/>
        <family val="2"/>
      </rPr>
      <t xml:space="preserve">Comments:  </t>
    </r>
    <r>
      <rPr>
        <sz val="12"/>
        <rFont val="Verdana"/>
        <family val="2"/>
      </rPr>
      <t xml:space="preserve">
</t>
    </r>
  </si>
  <si>
    <t xml:space="preserve">Sport for Development 2014 Goals 
Performance Evaluation </t>
  </si>
  <si>
    <t>2014 Corporate Performance Evaluation  Ratings</t>
  </si>
  <si>
    <r>
      <t xml:space="preserve">Exemplary: </t>
    </r>
    <r>
      <rPr>
        <sz val="10"/>
        <rFont val="Verdana"/>
        <family val="2"/>
      </rPr>
      <t>Consistently achieves at a high level. Exceeds expectations.</t>
    </r>
  </si>
  <si>
    <r>
      <t xml:space="preserve">Solid: </t>
    </r>
    <r>
      <rPr>
        <sz val="10"/>
        <rFont val="Verdana"/>
        <family val="2"/>
      </rPr>
      <t>Consistently achieves above the satisfactory level. Meets all expectations</t>
    </r>
  </si>
  <si>
    <r>
      <t xml:space="preserve">Satisfactory: </t>
    </r>
    <r>
      <rPr>
        <sz val="10"/>
        <rFont val="Verdana"/>
        <family val="2"/>
      </rPr>
      <t>Accomplishes tasks in a satisfactory manner. Meets most expectations.</t>
    </r>
  </si>
  <si>
    <r>
      <rPr>
        <b/>
        <sz val="10"/>
        <rFont val="Verdana"/>
        <family val="2"/>
      </rPr>
      <t xml:space="preserve">Needs Improvement: </t>
    </r>
    <r>
      <rPr>
        <sz val="10"/>
        <rFont val="Verdana"/>
        <family val="2"/>
      </rPr>
      <t xml:space="preserve">Improvement is necesssary to more consistently meet expectations. </t>
    </r>
  </si>
  <si>
    <r>
      <rPr>
        <b/>
        <sz val="10"/>
        <rFont val="Verdana"/>
        <family val="2"/>
      </rPr>
      <t xml:space="preserve">Seriously Deficient: </t>
    </r>
    <r>
      <rPr>
        <sz val="10"/>
        <rFont val="Verdana"/>
        <family val="2"/>
      </rPr>
      <t>Problems with approach or execution. Expectations are generally not met.</t>
    </r>
  </si>
  <si>
    <r>
      <rPr>
        <b/>
        <u/>
        <sz val="11"/>
        <color indexed="8"/>
        <rFont val="Calibri"/>
        <family val="2"/>
      </rPr>
      <t>Corrective Actions in 2014:</t>
    </r>
    <r>
      <rPr>
        <sz val="11"/>
        <color theme="1"/>
        <rFont val="Calibri"/>
        <family val="2"/>
        <scheme val="minor"/>
      </rPr>
      <t xml:space="preserve">
1) Budget &amp; NICRA - Internal restructuring to allow VP of Operations to directly oversee the Program Managers for our largest grants to ensure timely execution of operations and spending. As a result, the Corporation should successfully avoid significant program underspending and lower NICRA to the competitive rate of 25%
2) PartnersConnect &amp; Rechartering - Established Engagement Strategy Working Group to strengthen Chapter Network and improve the overall affiliations strategy.
3) A Ganar now fully staffed and procedures in place to fulfill donor requirements and hit program spending targets
4) Inter-American Development Bank (IDB) reimbursement and audit will recieve additional technical support
</t>
    </r>
    <r>
      <rPr>
        <b/>
        <u/>
        <sz val="11"/>
        <color indexed="8"/>
        <rFont val="Calibri"/>
        <family val="2"/>
      </rPr>
      <t xml:space="preserve">Corrective Actions Outlined for 2015:
</t>
    </r>
    <r>
      <rPr>
        <sz val="11"/>
        <color theme="1"/>
        <rFont val="Calibri"/>
        <family val="2"/>
        <scheme val="minor"/>
      </rPr>
      <t xml:space="preserve">
</t>
    </r>
    <r>
      <rPr>
        <b/>
        <sz val="11"/>
        <color indexed="8"/>
        <rFont val="Calibri"/>
        <family val="2"/>
      </rPr>
      <t/>
    </r>
  </si>
  <si>
    <r>
      <t xml:space="preserve">                                                                                                                   </t>
    </r>
    <r>
      <rPr>
        <b/>
        <sz val="12"/>
        <color theme="1"/>
        <rFont val="Calibri"/>
        <family val="2"/>
        <scheme val="minor"/>
      </rPr>
      <t>Rating Definitions (This portion will not print).</t>
    </r>
    <r>
      <rPr>
        <b/>
        <sz val="11"/>
        <color theme="1"/>
        <rFont val="Calibri"/>
        <family val="2"/>
        <scheme val="minor"/>
      </rPr>
      <t xml:space="preserve">
5.0 Exemplary  Consistently achieves at a high level. Exceeds expectations.
4.0 – 4.5 Solid Performance Consistently achieves above the satisfactory level. Meets all expectations. 
3.0 – 3.5 Satisfactory  Accomplishes the task in a satisfactory manner.  Meets most expectations.
1.5 – 2.5 Needs Improvement Improvement is necessary to more consistently meet expectations.
0.0 – 1.0 Seriously Deficient Problems with approach or execution.  Expectations are generally not met.
</t>
    </r>
  </si>
  <si>
    <t>B. Performance Expectations - 25%</t>
  </si>
  <si>
    <t>Financial Management</t>
  </si>
  <si>
    <t>Comments</t>
  </si>
  <si>
    <t>• Manages funds and resources responsibly and judiciously within area of responsibility.  
• Works proactively to improve program/unit financial oversight and sustainability.</t>
  </si>
  <si>
    <t>Rating:</t>
  </si>
  <si>
    <t>Time Management</t>
  </si>
  <si>
    <t>• Prioritizes effectively according to program/unit goals, based on outside feedback and own judgment. 
• Consistently meets deadlines and program/unit goals with quality and accuracy.</t>
  </si>
  <si>
    <t>Internal &amp; External Communication</t>
  </si>
  <si>
    <t>• Responds promptly and accurately to requests.
• Communicates program/unit activities and accomplishments appropriately.</t>
  </si>
  <si>
    <t>Problem Solving</t>
  </si>
  <si>
    <t>• Responds to unexpected demands and problems with resilience and resourcefulness. 
• Works proactively to improve program/unit functions and efficiency.</t>
  </si>
  <si>
    <t>Accountability</t>
  </si>
  <si>
    <t>• Follows policies and procedures. 
• Complies with program/unit requirements when submitting reports and maintaining records.</t>
  </si>
  <si>
    <t>Personal &amp; Professional Development</t>
  </si>
  <si>
    <t>• Exhibits strong communication and listening skills. 
• Brings an attitude of positivity and cooperation to the workplace. 
• Exercises leadership within area of responsibility.</t>
  </si>
  <si>
    <t>Supervisory Functions</t>
  </si>
  <si>
    <t>• Provides leadership to staff and organization. Manages conflict successfully. 
• Sets clear expectations, gives effective feedback and provides strong oversight.
• Follows and enforces policies and procedures.</t>
  </si>
  <si>
    <r>
      <t>Section B- Supervisor Comments (</t>
    </r>
    <r>
      <rPr>
        <i/>
        <sz val="11"/>
        <color theme="1"/>
        <rFont val="Calibri"/>
        <family val="2"/>
        <scheme val="minor"/>
      </rPr>
      <t>optional</t>
    </r>
    <r>
      <rPr>
        <b/>
        <sz val="11"/>
        <color theme="1"/>
        <rFont val="Calibri"/>
        <family val="2"/>
        <scheme val="minor"/>
      </rPr>
      <t>):</t>
    </r>
  </si>
  <si>
    <r>
      <t>Section B- Employee Comments (</t>
    </r>
    <r>
      <rPr>
        <i/>
        <sz val="11"/>
        <color theme="1"/>
        <rFont val="Calibri"/>
        <family val="2"/>
        <scheme val="minor"/>
      </rPr>
      <t>optional</t>
    </r>
    <r>
      <rPr>
        <b/>
        <sz val="11"/>
        <color theme="1"/>
        <rFont val="Calibri"/>
        <family val="2"/>
        <scheme val="minor"/>
      </rPr>
      <t>):</t>
    </r>
  </si>
  <si>
    <t>SECTION B</t>
  </si>
  <si>
    <t>C. OVERALL PERFORMANCE</t>
  </si>
  <si>
    <t>OVERALL SCORE</t>
  </si>
  <si>
    <t>Supervisor Signature                            Date</t>
  </si>
  <si>
    <t>President Signature                                     Date</t>
  </si>
  <si>
    <t>Employee Signature                              Date</t>
  </si>
  <si>
    <t>Vice President Signature ( if applicable)    Date</t>
  </si>
  <si>
    <r>
      <rPr>
        <b/>
        <sz val="12"/>
        <rFont val="Verdana"/>
        <family val="2"/>
      </rPr>
      <t xml:space="preserve">Corrective Action(s):  
</t>
    </r>
    <r>
      <rPr>
        <sz val="12"/>
        <rFont val="Verdana"/>
        <family val="2"/>
      </rPr>
      <t>Actions on Partners Campus have been delayed until after the SSML and #milgraciaspele campaigns conclude.  We have had conversations with PC about value but would be interested in discussing more with them and other programs on how best to explain and make sure that PC dovetails with our own plans and how we manage relationships with our A Ganar Alliance members and other collaborators.
Action ius already being taken to address big issue concerns including M&amp;E systems and management of sub-recipients.  Concrete examples of this include:  1.  Engagement of BDO services an development of procurement policies; 2.  Development of M&amp;E action plan and  performance monitoring plan for submission to USAID for approval.</t>
    </r>
    <r>
      <rPr>
        <b/>
        <sz val="10"/>
        <rFont val="Verdana"/>
        <family val="2"/>
      </rPr>
      <t xml:space="preserve">  </t>
    </r>
  </si>
  <si>
    <r>
      <t xml:space="preserve">Goal 4 - Evaluate and Communicate Our Impact and Value
</t>
    </r>
    <r>
      <rPr>
        <sz val="12"/>
        <rFont val="Verdana"/>
        <family val="2"/>
      </rPr>
      <t xml:space="preserve"> Develop performance monitoring plan that is practical and aligned with donor expectations; Hire 
  new M&amp;E and grant management advisor to develop tools, train staff, and execute M&amp;E strategy.</t>
    </r>
  </si>
</sst>
</file>

<file path=xl/styles.xml><?xml version="1.0" encoding="utf-8"?>
<styleSheet xmlns="http://schemas.openxmlformats.org/spreadsheetml/2006/main" xmlns:mc="http://schemas.openxmlformats.org/markup-compatibility/2006" xmlns:x14ac="http://schemas.microsoft.com/office/spreadsheetml/2009/9/ac" mc:Ignorable="x14ac">
  <fonts count="33" x14ac:knownFonts="1">
    <font>
      <sz val="11"/>
      <color theme="1"/>
      <name val="Calibri"/>
      <family val="2"/>
      <scheme val="minor"/>
    </font>
    <font>
      <sz val="11"/>
      <color theme="1"/>
      <name val="Calibri"/>
      <family val="2"/>
      <scheme val="minor"/>
    </font>
    <font>
      <b/>
      <sz val="15"/>
      <color theme="3"/>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28"/>
      <color theme="2" tint="-0.749992370372631"/>
      <name val="Cambria"/>
      <family val="1"/>
      <scheme val="major"/>
    </font>
    <font>
      <b/>
      <sz val="11"/>
      <name val="Calibri"/>
      <family val="2"/>
      <scheme val="minor"/>
    </font>
    <font>
      <sz val="11"/>
      <name val="Calibri"/>
      <family val="2"/>
      <scheme val="minor"/>
    </font>
    <font>
      <sz val="14"/>
      <name val="Cambria"/>
      <family val="1"/>
      <scheme val="major"/>
    </font>
    <font>
      <b/>
      <sz val="14"/>
      <color theme="0"/>
      <name val="Cambria"/>
      <family val="1"/>
      <scheme val="major"/>
    </font>
    <font>
      <b/>
      <sz val="14"/>
      <name val="Cambria"/>
      <family val="1"/>
      <scheme val="major"/>
    </font>
    <font>
      <sz val="12"/>
      <name val="Verdana"/>
      <family val="2"/>
    </font>
    <font>
      <b/>
      <sz val="12"/>
      <name val="Verdana"/>
      <family val="2"/>
    </font>
    <font>
      <b/>
      <sz val="12"/>
      <name val="Calibri"/>
      <family val="2"/>
      <scheme val="minor"/>
    </font>
    <font>
      <b/>
      <sz val="10"/>
      <name val="Calibri"/>
      <family val="2"/>
      <scheme val="minor"/>
    </font>
    <font>
      <sz val="12"/>
      <name val="Calibri"/>
      <family val="2"/>
      <scheme val="minor"/>
    </font>
    <font>
      <b/>
      <sz val="22"/>
      <color theme="1"/>
      <name val="Cambria"/>
      <family val="1"/>
      <scheme val="major"/>
    </font>
    <font>
      <b/>
      <sz val="20"/>
      <color theme="1"/>
      <name val="Cambria"/>
      <family val="1"/>
      <scheme val="major"/>
    </font>
    <font>
      <b/>
      <sz val="12"/>
      <color theme="0"/>
      <name val="Cambria"/>
      <family val="1"/>
      <scheme val="major"/>
    </font>
    <font>
      <b/>
      <u/>
      <sz val="11"/>
      <color indexed="8"/>
      <name val="Calibri"/>
      <family val="2"/>
    </font>
    <font>
      <b/>
      <sz val="11"/>
      <color indexed="8"/>
      <name val="Calibri"/>
      <family val="2"/>
    </font>
    <font>
      <sz val="8"/>
      <name val="Verdana"/>
    </font>
    <font>
      <b/>
      <sz val="11"/>
      <color theme="0"/>
      <name val="Calibri"/>
      <family val="2"/>
      <scheme val="minor"/>
    </font>
    <font>
      <b/>
      <sz val="10"/>
      <name val="Verdana"/>
      <family val="2"/>
    </font>
    <font>
      <sz val="10"/>
      <name val="Verdana"/>
      <family val="2"/>
    </font>
    <font>
      <b/>
      <sz val="12"/>
      <color theme="0"/>
      <name val="Times New Roman"/>
      <family val="1"/>
    </font>
    <font>
      <b/>
      <sz val="12"/>
      <color theme="1"/>
      <name val="Calibri"/>
      <family val="2"/>
      <scheme val="minor"/>
    </font>
    <font>
      <b/>
      <sz val="14"/>
      <color theme="0"/>
      <name val="Calibri"/>
      <family val="2"/>
      <scheme val="minor"/>
    </font>
    <font>
      <sz val="10"/>
      <color theme="1"/>
      <name val="Calibri"/>
      <family val="2"/>
      <scheme val="minor"/>
    </font>
    <font>
      <i/>
      <sz val="11"/>
      <color theme="1"/>
      <name val="Calibri"/>
      <family val="2"/>
      <scheme val="minor"/>
    </font>
    <font>
      <b/>
      <sz val="12"/>
      <color theme="0"/>
      <name val="Calibri"/>
      <family val="2"/>
      <scheme val="minor"/>
    </font>
  </fonts>
  <fills count="17">
    <fill>
      <patternFill patternType="none"/>
    </fill>
    <fill>
      <patternFill patternType="gray125"/>
    </fill>
    <fill>
      <patternFill patternType="solid">
        <fgColor rgb="FFF47914"/>
        <bgColor indexed="64"/>
      </patternFill>
    </fill>
    <fill>
      <patternFill patternType="solid">
        <fgColor theme="0" tint="-4.9989318521683403E-2"/>
        <bgColor indexed="64"/>
      </patternFill>
    </fill>
    <fill>
      <patternFill patternType="solid">
        <fgColor rgb="FFFEF6F4"/>
        <bgColor indexed="64"/>
      </patternFill>
    </fill>
    <fill>
      <patternFill patternType="solid">
        <fgColor rgb="FFF57B17"/>
        <bgColor indexed="64"/>
      </patternFill>
    </fill>
    <fill>
      <patternFill patternType="solid">
        <fgColor rgb="FFFFFFFF"/>
        <bgColor indexed="64"/>
      </patternFill>
    </fill>
    <fill>
      <patternFill patternType="solid">
        <fgColor theme="4"/>
      </patternFill>
    </fill>
    <fill>
      <patternFill patternType="solid">
        <fgColor theme="5"/>
      </patternFill>
    </fill>
    <fill>
      <patternFill patternType="solid">
        <fgColor theme="8"/>
      </patternFill>
    </fill>
    <fill>
      <patternFill patternType="solid">
        <fgColor theme="2" tint="-0.749992370372631"/>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rgb="FF00589A"/>
        <bgColor indexed="64"/>
      </patternFill>
    </fill>
    <fill>
      <patternFill patternType="solid">
        <fgColor theme="2" tint="-0.249977111117893"/>
        <bgColor indexed="64"/>
      </patternFill>
    </fill>
    <fill>
      <patternFill patternType="solid">
        <fgColor theme="2" tint="-0.749961851863155"/>
        <bgColor indexed="64"/>
      </patternFill>
    </fill>
    <fill>
      <patternFill patternType="solid">
        <fgColor rgb="FFDF4B2D"/>
        <bgColor indexed="64"/>
      </patternFill>
    </fill>
  </fills>
  <borders count="31">
    <border>
      <left/>
      <right/>
      <top/>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0" fontId="2" fillId="0" borderId="1" applyNumberFormat="0" applyFill="0" applyAlignment="0" applyProtection="0"/>
    <xf numFmtId="0" fontId="1" fillId="4" borderId="2"/>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cellStyleXfs>
  <cellXfs count="101">
    <xf numFmtId="0" fontId="0" fillId="0" borderId="0" xfId="0"/>
    <xf numFmtId="0" fontId="6" fillId="0" borderId="0" xfId="0" applyFont="1" applyFill="1" applyBorder="1" applyAlignment="1" applyProtection="1">
      <alignment wrapText="1"/>
    </xf>
    <xf numFmtId="0" fontId="7" fillId="0" borderId="0" xfId="0" applyFont="1" applyFill="1" applyBorder="1" applyAlignment="1" applyProtection="1">
      <alignment horizontal="center" vertical="center" wrapText="1"/>
    </xf>
    <xf numFmtId="0" fontId="0" fillId="0" borderId="0" xfId="0" applyFont="1" applyAlignment="1">
      <alignment wrapText="1"/>
    </xf>
    <xf numFmtId="0" fontId="8" fillId="0" borderId="0" xfId="0" applyFont="1" applyBorder="1" applyAlignment="1" applyProtection="1">
      <alignment wrapText="1"/>
      <protection locked="0"/>
    </xf>
    <xf numFmtId="0" fontId="9" fillId="0" borderId="0" xfId="0" applyFont="1" applyAlignment="1" applyProtection="1">
      <alignment wrapText="1"/>
    </xf>
    <xf numFmtId="0" fontId="0" fillId="0" borderId="0" xfId="0" applyAlignment="1">
      <alignment wrapText="1"/>
    </xf>
    <xf numFmtId="0" fontId="10" fillId="2" borderId="0" xfId="0" applyFont="1" applyFill="1" applyBorder="1" applyAlignment="1" applyProtection="1">
      <alignment wrapText="1"/>
    </xf>
    <xf numFmtId="0" fontId="11" fillId="2" borderId="0" xfId="1" applyFont="1" applyFill="1" applyBorder="1" applyAlignment="1" applyProtection="1">
      <alignment vertical="center" wrapText="1"/>
    </xf>
    <xf numFmtId="0" fontId="12" fillId="2" borderId="0" xfId="1" applyFont="1" applyFill="1" applyBorder="1" applyAlignment="1" applyProtection="1">
      <alignment vertical="top" wrapText="1"/>
    </xf>
    <xf numFmtId="0" fontId="10" fillId="0" borderId="0" xfId="0" applyFont="1" applyFill="1" applyBorder="1" applyAlignment="1" applyProtection="1">
      <alignment wrapText="1"/>
    </xf>
    <xf numFmtId="0" fontId="0" fillId="2" borderId="0" xfId="0" applyFont="1" applyFill="1" applyAlignment="1">
      <alignment wrapText="1"/>
    </xf>
    <xf numFmtId="0" fontId="13" fillId="0" borderId="3" xfId="0" applyFont="1" applyFill="1" applyBorder="1" applyAlignment="1" applyProtection="1">
      <alignment horizontal="left" vertical="center" wrapText="1" indent="1"/>
    </xf>
    <xf numFmtId="0" fontId="14" fillId="0" borderId="3" xfId="0" applyFont="1" applyFill="1" applyBorder="1" applyAlignment="1" applyProtection="1">
      <alignment horizontal="left" vertical="center" wrapText="1" indent="1"/>
    </xf>
    <xf numFmtId="2" fontId="15" fillId="0" borderId="4" xfId="0" applyNumberFormat="1" applyFont="1" applyFill="1" applyBorder="1" applyAlignment="1" applyProtection="1">
      <alignment horizontal="center" vertical="center" wrapText="1"/>
    </xf>
    <xf numFmtId="0" fontId="6" fillId="2" borderId="0" xfId="0" applyFont="1" applyFill="1" applyBorder="1" applyAlignment="1" applyProtection="1">
      <alignment wrapText="1"/>
    </xf>
    <xf numFmtId="2" fontId="15" fillId="0" borderId="5" xfId="0" applyNumberFormat="1" applyFont="1" applyFill="1" applyBorder="1" applyAlignment="1" applyProtection="1">
      <alignment horizontal="center" vertical="center" wrapText="1"/>
    </xf>
    <xf numFmtId="0" fontId="14" fillId="0" borderId="6" xfId="0" applyFont="1" applyFill="1" applyBorder="1" applyAlignment="1" applyProtection="1">
      <alignment horizontal="left" vertical="center" wrapText="1" indent="1"/>
    </xf>
    <xf numFmtId="0" fontId="13" fillId="0" borderId="7" xfId="0" applyFont="1" applyFill="1" applyBorder="1" applyAlignment="1" applyProtection="1">
      <alignment horizontal="left" vertical="center" wrapText="1" indent="1"/>
    </xf>
    <xf numFmtId="2" fontId="15" fillId="0" borderId="8" xfId="0" applyNumberFormat="1" applyFont="1" applyFill="1" applyBorder="1" applyAlignment="1" applyProtection="1">
      <alignment horizontal="center" vertical="center" wrapText="1"/>
    </xf>
    <xf numFmtId="0" fontId="13" fillId="3" borderId="10" xfId="0" applyFont="1" applyFill="1" applyBorder="1" applyAlignment="1" applyProtection="1">
      <alignment vertical="top" wrapText="1"/>
    </xf>
    <xf numFmtId="0" fontId="16" fillId="3" borderId="11" xfId="0" applyFont="1" applyFill="1" applyBorder="1" applyAlignment="1" applyProtection="1">
      <alignment vertical="top" wrapText="1"/>
    </xf>
    <xf numFmtId="0" fontId="16" fillId="0" borderId="0" xfId="0" applyFont="1" applyFill="1" applyBorder="1" applyAlignment="1" applyProtection="1">
      <alignment horizontal="right" vertical="center" wrapText="1" indent="1"/>
    </xf>
    <xf numFmtId="2" fontId="15" fillId="0" borderId="12" xfId="0" applyNumberFormat="1" applyFont="1" applyFill="1" applyBorder="1" applyAlignment="1" applyProtection="1">
      <alignment horizontal="center" vertical="center" wrapText="1"/>
    </xf>
    <xf numFmtId="2" fontId="15" fillId="0" borderId="0" xfId="0" applyNumberFormat="1" applyFont="1" applyFill="1" applyBorder="1" applyAlignment="1" applyProtection="1">
      <alignment horizontal="center" vertical="center" wrapText="1"/>
    </xf>
    <xf numFmtId="0" fontId="6" fillId="0" borderId="0" xfId="0" applyFont="1" applyFill="1" applyBorder="1" applyAlignment="1" applyProtection="1">
      <alignment horizontal="left" vertical="top" wrapText="1"/>
    </xf>
    <xf numFmtId="2" fontId="17" fillId="0" borderId="0" xfId="0" applyNumberFormat="1" applyFont="1" applyFill="1" applyBorder="1" applyAlignment="1" applyProtection="1">
      <alignment horizontal="center" vertical="center" wrapText="1"/>
    </xf>
    <xf numFmtId="0" fontId="18" fillId="0" borderId="0" xfId="0" applyFont="1" applyAlignment="1">
      <alignment vertical="top" wrapText="1"/>
    </xf>
    <xf numFmtId="0" fontId="3" fillId="0" borderId="0" xfId="0" applyFont="1" applyFill="1"/>
    <xf numFmtId="0" fontId="0" fillId="5" borderId="0" xfId="0" applyFont="1" applyFill="1" applyAlignment="1">
      <alignment wrapText="1"/>
    </xf>
    <xf numFmtId="0" fontId="20" fillId="5" borderId="0" xfId="0" applyFont="1" applyFill="1" applyBorder="1" applyAlignment="1" applyProtection="1">
      <alignment vertical="center" wrapText="1"/>
      <protection locked="0"/>
    </xf>
    <xf numFmtId="0" fontId="9" fillId="5" borderId="13" xfId="0" applyFont="1" applyFill="1" applyBorder="1" applyAlignment="1" applyProtection="1">
      <alignment wrapText="1"/>
    </xf>
    <xf numFmtId="0" fontId="5" fillId="5" borderId="0" xfId="0" applyFont="1" applyFill="1"/>
    <xf numFmtId="0" fontId="0" fillId="5" borderId="0" xfId="0" applyFill="1"/>
    <xf numFmtId="0" fontId="27" fillId="5" borderId="0" xfId="0" applyFont="1" applyFill="1"/>
    <xf numFmtId="0" fontId="0" fillId="0" borderId="0" xfId="0" applyFill="1" applyBorder="1" applyAlignment="1">
      <alignment vertical="top"/>
    </xf>
    <xf numFmtId="2" fontId="15" fillId="12" borderId="4" xfId="0" applyNumberFormat="1" applyFont="1" applyFill="1" applyBorder="1" applyAlignment="1" applyProtection="1">
      <alignment horizontal="center" vertical="center" wrapText="1"/>
    </xf>
    <xf numFmtId="0" fontId="4" fillId="0" borderId="0" xfId="0" applyFont="1"/>
    <xf numFmtId="0" fontId="0" fillId="0" borderId="0" xfId="0" applyFill="1" applyBorder="1" applyAlignment="1"/>
    <xf numFmtId="0" fontId="0" fillId="0" borderId="0" xfId="0" applyFill="1" applyBorder="1" applyAlignment="1">
      <alignment horizontal="left" vertical="top" wrapText="1"/>
    </xf>
    <xf numFmtId="0" fontId="32" fillId="15" borderId="0" xfId="0" applyFont="1" applyFill="1" applyBorder="1" applyAlignment="1">
      <alignment horizontal="center" vertical="center" wrapText="1"/>
    </xf>
    <xf numFmtId="0" fontId="0" fillId="0" borderId="0" xfId="0" applyFill="1"/>
    <xf numFmtId="2" fontId="28" fillId="0" borderId="30" xfId="0" applyNumberFormat="1" applyFont="1" applyBorder="1" applyAlignment="1">
      <alignment horizontal="center"/>
    </xf>
    <xf numFmtId="0" fontId="0" fillId="0" borderId="0" xfId="0" applyBorder="1"/>
    <xf numFmtId="0" fontId="32" fillId="16" borderId="27" xfId="3" applyFont="1" applyFill="1" applyBorder="1" applyAlignment="1">
      <alignment horizontal="center" vertical="center"/>
    </xf>
    <xf numFmtId="2" fontId="0" fillId="0" borderId="30" xfId="0" applyNumberFormat="1" applyBorder="1"/>
    <xf numFmtId="0" fontId="25" fillId="3" borderId="9" xfId="0" applyFont="1" applyFill="1" applyBorder="1" applyAlignment="1" applyProtection="1">
      <alignment vertical="top" wrapText="1"/>
    </xf>
    <xf numFmtId="0" fontId="26" fillId="6" borderId="14" xfId="0" applyFont="1" applyFill="1" applyBorder="1" applyAlignment="1">
      <alignment horizontal="left" vertical="center" wrapText="1"/>
    </xf>
    <xf numFmtId="0" fontId="26" fillId="6" borderId="15" xfId="0" applyFont="1" applyFill="1" applyBorder="1" applyAlignment="1">
      <alignment horizontal="left" vertical="center" wrapText="1"/>
    </xf>
    <xf numFmtId="2" fontId="26" fillId="0" borderId="14" xfId="0" applyNumberFormat="1" applyFont="1" applyFill="1" applyBorder="1" applyAlignment="1" applyProtection="1">
      <alignment horizontal="center" vertical="center" wrapText="1"/>
    </xf>
    <xf numFmtId="2" fontId="26" fillId="0" borderId="15" xfId="0" applyNumberFormat="1" applyFont="1" applyFill="1" applyBorder="1" applyAlignment="1" applyProtection="1">
      <alignment horizontal="center" vertical="center" wrapText="1"/>
    </xf>
    <xf numFmtId="0" fontId="0" fillId="0" borderId="7" xfId="0" applyBorder="1" applyAlignment="1">
      <alignment horizontal="left" vertical="top" wrapText="1"/>
    </xf>
    <xf numFmtId="0" fontId="0" fillId="0" borderId="6"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0" fillId="0" borderId="0" xfId="0"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0" fillId="0" borderId="13" xfId="0" applyBorder="1" applyAlignment="1">
      <alignment horizontal="left" vertical="top"/>
    </xf>
    <xf numFmtId="0" fontId="0" fillId="0" borderId="20" xfId="0" applyBorder="1" applyAlignment="1">
      <alignment horizontal="left" vertical="top"/>
    </xf>
    <xf numFmtId="0" fontId="25" fillId="6" borderId="14" xfId="0" applyFont="1" applyFill="1" applyBorder="1" applyAlignment="1">
      <alignment horizontal="left" vertical="center" wrapText="1"/>
    </xf>
    <xf numFmtId="0" fontId="25" fillId="6" borderId="15" xfId="0" applyFont="1" applyFill="1" applyBorder="1" applyAlignment="1">
      <alignment horizontal="left" vertical="center" wrapText="1"/>
    </xf>
    <xf numFmtId="2" fontId="26" fillId="0" borderId="14" xfId="0" applyNumberFormat="1" applyFont="1" applyBorder="1" applyAlignment="1" applyProtection="1">
      <alignment horizontal="center" vertical="center" wrapText="1"/>
    </xf>
    <xf numFmtId="2" fontId="26" fillId="0" borderId="15" xfId="0" applyNumberFormat="1" applyFont="1" applyBorder="1" applyAlignment="1" applyProtection="1">
      <alignment horizontal="center" vertical="center" wrapText="1"/>
    </xf>
    <xf numFmtId="0" fontId="19" fillId="0" borderId="0" xfId="0" applyFont="1" applyAlignment="1">
      <alignment horizontal="left" vertical="center" wrapText="1"/>
    </xf>
    <xf numFmtId="0" fontId="25" fillId="6" borderId="3" xfId="0" applyFont="1" applyFill="1" applyBorder="1" applyAlignment="1">
      <alignment horizontal="left" vertical="center" wrapText="1"/>
    </xf>
    <xf numFmtId="2" fontId="26" fillId="0" borderId="3" xfId="0" applyNumberFormat="1" applyFont="1" applyBorder="1" applyAlignment="1" applyProtection="1">
      <alignment horizontal="center" vertical="center" wrapText="1"/>
    </xf>
    <xf numFmtId="0" fontId="7" fillId="0" borderId="0" xfId="0" applyFont="1" applyAlignment="1">
      <alignment horizontal="center" vertical="center" wrapText="1"/>
    </xf>
    <xf numFmtId="0" fontId="4" fillId="0" borderId="6" xfId="0" applyFont="1" applyBorder="1" applyAlignment="1">
      <alignment horizontal="left"/>
    </xf>
    <xf numFmtId="0" fontId="4" fillId="0" borderId="6" xfId="0" applyFont="1" applyBorder="1" applyAlignment="1">
      <alignment horizontal="left" vertical="top"/>
    </xf>
    <xf numFmtId="0" fontId="0" fillId="0" borderId="13" xfId="0" applyBorder="1" applyAlignment="1">
      <alignment horizontal="left"/>
    </xf>
    <xf numFmtId="0" fontId="24" fillId="11" borderId="13" xfId="5" applyFont="1" applyFill="1" applyBorder="1" applyAlignment="1">
      <alignment horizontal="center" vertical="top"/>
    </xf>
    <xf numFmtId="0" fontId="24" fillId="11" borderId="0" xfId="0" applyFont="1" applyFill="1" applyAlignment="1">
      <alignment horizontal="left" indent="7"/>
    </xf>
    <xf numFmtId="0" fontId="30" fillId="0" borderId="14" xfId="0" applyFont="1" applyBorder="1" applyAlignment="1">
      <alignment horizontal="left" vertical="top" wrapText="1"/>
    </xf>
    <xf numFmtId="0" fontId="30" fillId="0" borderId="29" xfId="0" applyFont="1" applyBorder="1" applyAlignment="1">
      <alignment horizontal="left" vertical="top"/>
    </xf>
    <xf numFmtId="0" fontId="30" fillId="0" borderId="15" xfId="0" applyFont="1" applyBorder="1" applyAlignment="1">
      <alignment horizontal="left" vertical="top"/>
    </xf>
    <xf numFmtId="0" fontId="30" fillId="12" borderId="14" xfId="0" applyFont="1" applyFill="1" applyBorder="1" applyAlignment="1">
      <alignment horizontal="left" vertical="top" wrapText="1"/>
    </xf>
    <xf numFmtId="0" fontId="30" fillId="12" borderId="29" xfId="0" applyFont="1" applyFill="1" applyBorder="1" applyAlignment="1">
      <alignment horizontal="left" vertical="top" wrapText="1"/>
    </xf>
    <xf numFmtId="0" fontId="30" fillId="12" borderId="15" xfId="0" applyFont="1" applyFill="1" applyBorder="1" applyAlignment="1">
      <alignment horizontal="left" vertical="top" wrapText="1"/>
    </xf>
    <xf numFmtId="0" fontId="4" fillId="14" borderId="14" xfId="0" applyFont="1" applyFill="1" applyBorder="1" applyAlignment="1">
      <alignment horizontal="left" vertical="top"/>
    </xf>
    <xf numFmtId="0" fontId="4" fillId="14" borderId="29" xfId="0" applyFont="1" applyFill="1" applyBorder="1" applyAlignment="1">
      <alignment horizontal="left" vertical="top"/>
    </xf>
    <xf numFmtId="0" fontId="4" fillId="14" borderId="15" xfId="0" applyFont="1" applyFill="1" applyBorder="1" applyAlignment="1">
      <alignment horizontal="left" vertical="top"/>
    </xf>
    <xf numFmtId="0" fontId="0" fillId="12" borderId="14" xfId="0" applyFill="1" applyBorder="1" applyAlignment="1">
      <alignment horizontal="left" vertical="top" wrapText="1"/>
    </xf>
    <xf numFmtId="0" fontId="0" fillId="12" borderId="29" xfId="0" applyFill="1" applyBorder="1" applyAlignment="1">
      <alignment horizontal="left" vertical="top" wrapText="1"/>
    </xf>
    <xf numFmtId="0" fontId="0" fillId="12" borderId="15" xfId="0" applyFill="1" applyBorder="1" applyAlignment="1">
      <alignment horizontal="left" vertical="top" wrapText="1"/>
    </xf>
    <xf numFmtId="0" fontId="5" fillId="10" borderId="0" xfId="0" applyFont="1" applyFill="1" applyAlignment="1">
      <alignment horizontal="left" vertical="top" wrapText="1"/>
    </xf>
    <xf numFmtId="0" fontId="4" fillId="0" borderId="0" xfId="0" applyFont="1" applyBorder="1" applyAlignment="1">
      <alignment horizontal="left"/>
    </xf>
    <xf numFmtId="0" fontId="5" fillId="11" borderId="13" xfId="0" applyFont="1" applyFill="1" applyBorder="1" applyAlignment="1">
      <alignment horizontal="center"/>
    </xf>
    <xf numFmtId="0" fontId="24" fillId="13" borderId="0" xfId="0" applyFont="1" applyFill="1" applyAlignment="1">
      <alignment horizontal="left" indent="7"/>
    </xf>
    <xf numFmtId="0" fontId="4" fillId="0" borderId="21" xfId="0" applyFont="1" applyBorder="1" applyAlignment="1">
      <alignment horizontal="left" vertical="top" wrapText="1"/>
    </xf>
    <xf numFmtId="0" fontId="4" fillId="0" borderId="22" xfId="0" applyFont="1" applyBorder="1" applyAlignment="1">
      <alignment horizontal="left" vertical="top" wrapText="1"/>
    </xf>
    <xf numFmtId="0" fontId="4" fillId="0" borderId="23" xfId="0" applyFont="1" applyBorder="1" applyAlignment="1">
      <alignment horizontal="left" vertical="top" wrapText="1"/>
    </xf>
    <xf numFmtId="0" fontId="4" fillId="0" borderId="24" xfId="0" applyFont="1" applyBorder="1" applyAlignment="1">
      <alignment horizontal="left" vertical="top" wrapText="1"/>
    </xf>
    <xf numFmtId="0" fontId="4" fillId="0" borderId="0" xfId="0" applyFont="1" applyBorder="1" applyAlignment="1">
      <alignment horizontal="left" vertical="top" wrapText="1"/>
    </xf>
    <xf numFmtId="0" fontId="4" fillId="0" borderId="25" xfId="0" applyFont="1" applyBorder="1" applyAlignment="1">
      <alignment horizontal="left" vertical="top" wrapText="1"/>
    </xf>
    <xf numFmtId="0" fontId="4" fillId="0" borderId="26" xfId="0" applyFont="1" applyBorder="1" applyAlignment="1">
      <alignment horizontal="left" vertical="top" wrapText="1"/>
    </xf>
    <xf numFmtId="0" fontId="4" fillId="0" borderId="27" xfId="0" applyFont="1" applyBorder="1" applyAlignment="1">
      <alignment horizontal="left" vertical="top" wrapText="1"/>
    </xf>
    <xf numFmtId="0" fontId="4" fillId="0" borderId="28" xfId="0" applyFont="1" applyBorder="1" applyAlignment="1">
      <alignment horizontal="left" vertical="top" wrapText="1"/>
    </xf>
    <xf numFmtId="0" fontId="29" fillId="10" borderId="0" xfId="4" applyFont="1" applyFill="1" applyAlignment="1">
      <alignment horizontal="left" vertical="center"/>
    </xf>
    <xf numFmtId="0" fontId="0" fillId="0" borderId="29" xfId="0" applyBorder="1" applyAlignment="1">
      <alignment horizontal="left" vertical="top"/>
    </xf>
    <xf numFmtId="0" fontId="0" fillId="0" borderId="15" xfId="0" applyBorder="1" applyAlignment="1">
      <alignment horizontal="left" vertical="top"/>
    </xf>
  </cellXfs>
  <cellStyles count="6">
    <cellStyle name="Accent1" xfId="3" builtinId="29"/>
    <cellStyle name="Accent2" xfId="4" builtinId="33"/>
    <cellStyle name="Accent5" xfId="5" builtinId="45"/>
    <cellStyle name="Heading 1" xfId="1" builtinId="16"/>
    <cellStyle name="Normal" xfId="0" builtinId="0"/>
    <cellStyle name="Style 1" xfId="2"/>
  </cellStyles>
  <dxfs count="0"/>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
          <c:y val="0"/>
          <c:w val="1"/>
          <c:h val="1"/>
        </c:manualLayout>
      </c:layout>
      <c:scatterChart>
        <c:scatterStyle val="lineMarker"/>
        <c:varyColors val="0"/>
        <c:dLbls>
          <c:showLegendKey val="0"/>
          <c:showVal val="0"/>
          <c:showCatName val="0"/>
          <c:showSerName val="0"/>
          <c:showPercent val="0"/>
          <c:showBubbleSize val="0"/>
        </c:dLbls>
        <c:axId val="99741696"/>
        <c:axId val="99743232"/>
      </c:scatterChart>
      <c:valAx>
        <c:axId val="99741696"/>
        <c:scaling>
          <c:orientation val="minMax"/>
          <c:max val="100"/>
          <c:min val="0"/>
        </c:scaling>
        <c:delete val="1"/>
        <c:axPos val="b"/>
        <c:majorTickMark val="out"/>
        <c:minorTickMark val="none"/>
        <c:tickLblPos val="nextTo"/>
        <c:crossAx val="99743232"/>
        <c:crosses val="autoZero"/>
        <c:crossBetween val="midCat"/>
      </c:valAx>
      <c:valAx>
        <c:axId val="99743232"/>
        <c:scaling>
          <c:orientation val="minMax"/>
          <c:max val="60"/>
          <c:min val="-10"/>
        </c:scaling>
        <c:delete val="1"/>
        <c:axPos val="l"/>
        <c:majorTickMark val="out"/>
        <c:minorTickMark val="none"/>
        <c:tickLblPos val="nextTo"/>
        <c:crossAx val="99741696"/>
        <c:crosses val="autoZero"/>
        <c:crossBetween val="midCat"/>
      </c:valAx>
      <c:spPr>
        <a:noFill/>
        <a:ln w="25400">
          <a:noFill/>
        </a:ln>
      </c:spPr>
    </c:plotArea>
    <c:plotVisOnly val="1"/>
    <c:dispBlanksAs val="gap"/>
    <c:showDLblsOverMax val="0"/>
  </c:chart>
  <c:spPr>
    <a:no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4" l="0.70000000000000095" r="0.70000000000000095" t="0.750000000000004"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22860</xdr:colOff>
      <xdr:row>1</xdr:row>
      <xdr:rowOff>38100</xdr:rowOff>
    </xdr:from>
    <xdr:to>
      <xdr:col>3</xdr:col>
      <xdr:colOff>251460</xdr:colOff>
      <xdr:row>3</xdr:row>
      <xdr:rowOff>45720</xdr:rowOff>
    </xdr:to>
    <xdr:pic>
      <xdr:nvPicPr>
        <xdr:cNvPr id="2" name="Picture 6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8610" y="228600"/>
          <a:ext cx="2638425" cy="636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9735</xdr:colOff>
      <xdr:row>5</xdr:row>
      <xdr:rowOff>25843</xdr:rowOff>
    </xdr:from>
    <xdr:to>
      <xdr:col>14</xdr:col>
      <xdr:colOff>41606</xdr:colOff>
      <xdr:row>5</xdr:row>
      <xdr:rowOff>29410</xdr:rowOff>
    </xdr:to>
    <xdr:sp macro="" textlink="">
      <xdr:nvSpPr>
        <xdr:cNvPr id="2" name="Text Box 11"/>
        <xdr:cNvSpPr txBox="1">
          <a:spLocks/>
        </xdr:cNvSpPr>
      </xdr:nvSpPr>
      <xdr:spPr bwMode="auto">
        <a:xfrm>
          <a:off x="21479085" y="6045643"/>
          <a:ext cx="622421" cy="3567"/>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4</a:t>
          </a:r>
        </a:p>
      </xdr:txBody>
    </xdr:sp>
    <xdr:clientData/>
  </xdr:twoCellAnchor>
  <xdr:twoCellAnchor>
    <xdr:from>
      <xdr:col>4</xdr:col>
      <xdr:colOff>616947</xdr:colOff>
      <xdr:row>6</xdr:row>
      <xdr:rowOff>9374</xdr:rowOff>
    </xdr:from>
    <xdr:to>
      <xdr:col>5</xdr:col>
      <xdr:colOff>380599</xdr:colOff>
      <xdr:row>6</xdr:row>
      <xdr:rowOff>4362</xdr:rowOff>
    </xdr:to>
    <xdr:sp macro="" textlink="">
      <xdr:nvSpPr>
        <xdr:cNvPr id="3" name="Text Box 11"/>
        <xdr:cNvSpPr txBox="1">
          <a:spLocks/>
        </xdr:cNvSpPr>
      </xdr:nvSpPr>
      <xdr:spPr bwMode="auto">
        <a:xfrm>
          <a:off x="16571322" y="8572349"/>
          <a:ext cx="430402"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1</a:t>
          </a:r>
        </a:p>
      </xdr:txBody>
    </xdr:sp>
    <xdr:clientData/>
  </xdr:twoCellAnchor>
  <xdr:twoCellAnchor>
    <xdr:from>
      <xdr:col>10</xdr:col>
      <xdr:colOff>369570</xdr:colOff>
      <xdr:row>5</xdr:row>
      <xdr:rowOff>1333500</xdr:rowOff>
    </xdr:from>
    <xdr:to>
      <xdr:col>11</xdr:col>
      <xdr:colOff>76172</xdr:colOff>
      <xdr:row>5</xdr:row>
      <xdr:rowOff>1333500</xdr:rowOff>
    </xdr:to>
    <xdr:sp macro="" textlink="">
      <xdr:nvSpPr>
        <xdr:cNvPr id="4" name="Text Box 11"/>
        <xdr:cNvSpPr txBox="1">
          <a:spLocks/>
        </xdr:cNvSpPr>
      </xdr:nvSpPr>
      <xdr:spPr bwMode="auto">
        <a:xfrm>
          <a:off x="19943445" y="7353300"/>
          <a:ext cx="420977"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5</a:t>
          </a:r>
        </a:p>
      </xdr:txBody>
    </xdr:sp>
    <xdr:clientData/>
  </xdr:twoCellAnchor>
  <xdr:twoCellAnchor>
    <xdr:from>
      <xdr:col>10</xdr:col>
      <xdr:colOff>495884</xdr:colOff>
      <xdr:row>22</xdr:row>
      <xdr:rowOff>114722</xdr:rowOff>
    </xdr:from>
    <xdr:to>
      <xdr:col>11</xdr:col>
      <xdr:colOff>34307</xdr:colOff>
      <xdr:row>24</xdr:row>
      <xdr:rowOff>128637</xdr:rowOff>
    </xdr:to>
    <xdr:sp macro="" textlink="">
      <xdr:nvSpPr>
        <xdr:cNvPr id="5" name="Text Box 11"/>
        <xdr:cNvSpPr txBox="1">
          <a:spLocks/>
        </xdr:cNvSpPr>
      </xdr:nvSpPr>
      <xdr:spPr bwMode="auto">
        <a:xfrm>
          <a:off x="20069759" y="18631322"/>
          <a:ext cx="252798" cy="413965"/>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endParaRPr lang="en-US" sz="1800" b="1" i="0" u="none" strike="noStrike" baseline="0">
            <a:solidFill>
              <a:srgbClr val="000000"/>
            </a:solidFill>
            <a:latin typeface="Courier"/>
          </a:endParaRPr>
        </a:p>
      </xdr:txBody>
    </xdr:sp>
    <xdr:clientData/>
  </xdr:twoCellAnchor>
  <xdr:twoCellAnchor>
    <xdr:from>
      <xdr:col>3</xdr:col>
      <xdr:colOff>2019300</xdr:colOff>
      <xdr:row>0</xdr:row>
      <xdr:rowOff>0</xdr:rowOff>
    </xdr:from>
    <xdr:to>
      <xdr:col>4</xdr:col>
      <xdr:colOff>45720</xdr:colOff>
      <xdr:row>1</xdr:row>
      <xdr:rowOff>38100</xdr:rowOff>
    </xdr:to>
    <xdr:grpSp>
      <xdr:nvGrpSpPr>
        <xdr:cNvPr id="6" name="Group 238"/>
        <xdr:cNvGrpSpPr>
          <a:grpSpLocks/>
        </xdr:cNvGrpSpPr>
      </xdr:nvGrpSpPr>
      <xdr:grpSpPr bwMode="auto">
        <a:xfrm>
          <a:off x="10795907" y="0"/>
          <a:ext cx="5224599" cy="2895600"/>
          <a:chOff x="33279" y="2690897"/>
          <a:chExt cx="6469945" cy="3769529"/>
        </a:xfrm>
      </xdr:grpSpPr>
      <xdr:sp macro="" textlink="">
        <xdr:nvSpPr>
          <xdr:cNvPr id="7" name="Rounded Rectangle 6"/>
          <xdr:cNvSpPr/>
        </xdr:nvSpPr>
        <xdr:spPr>
          <a:xfrm>
            <a:off x="187758" y="2690897"/>
            <a:ext cx="4252717" cy="3769529"/>
          </a:xfrm>
          <a:prstGeom prst="roundRect">
            <a:avLst>
              <a:gd name="adj" fmla="val 10723"/>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grpSp>
        <xdr:nvGrpSpPr>
          <xdr:cNvPr id="8" name="Group 427"/>
          <xdr:cNvGrpSpPr>
            <a:grpSpLocks/>
          </xdr:cNvGrpSpPr>
        </xdr:nvGrpSpPr>
        <xdr:grpSpPr bwMode="auto">
          <a:xfrm>
            <a:off x="443139" y="3753976"/>
            <a:ext cx="3680279" cy="1795402"/>
            <a:chOff x="193063" y="1155645"/>
            <a:chExt cx="3658893" cy="1807321"/>
          </a:xfrm>
        </xdr:grpSpPr>
        <xdr:sp macro="" textlink="">
          <xdr:nvSpPr>
            <xdr:cNvPr id="15" name="Freeform 362"/>
            <xdr:cNvSpPr>
              <a:spLocks/>
            </xdr:cNvSpPr>
          </xdr:nvSpPr>
          <xdr:spPr bwMode="auto">
            <a:xfrm>
              <a:off x="1495146" y="1155645"/>
              <a:ext cx="1054728" cy="663196"/>
            </a:xfrm>
            <a:custGeom>
              <a:avLst/>
              <a:gdLst>
                <a:gd name="T0" fmla="*/ 2147483647 w 2344"/>
                <a:gd name="T1" fmla="*/ 2147483647 h 1470"/>
                <a:gd name="T2" fmla="*/ 2147483647 w 2344"/>
                <a:gd name="T3" fmla="*/ 2147483647 h 1470"/>
                <a:gd name="T4" fmla="*/ 2147483647 w 2344"/>
                <a:gd name="T5" fmla="*/ 2147483647 h 1470"/>
                <a:gd name="T6" fmla="*/ 2147483647 w 2344"/>
                <a:gd name="T7" fmla="*/ 2147483647 h 1470"/>
                <a:gd name="T8" fmla="*/ 2147483647 w 2344"/>
                <a:gd name="T9" fmla="*/ 2147483647 h 1470"/>
                <a:gd name="T10" fmla="*/ 2147483647 w 2344"/>
                <a:gd name="T11" fmla="*/ 2147483647 h 1470"/>
                <a:gd name="T12" fmla="*/ 2147483647 w 2344"/>
                <a:gd name="T13" fmla="*/ 2147483647 h 1470"/>
                <a:gd name="T14" fmla="*/ 2147483647 w 2344"/>
                <a:gd name="T15" fmla="*/ 2147483647 h 1470"/>
                <a:gd name="T16" fmla="*/ 2147483647 w 2344"/>
                <a:gd name="T17" fmla="*/ 2147483647 h 1470"/>
                <a:gd name="T18" fmla="*/ 2147483647 w 2344"/>
                <a:gd name="T19" fmla="*/ 2147483647 h 1470"/>
                <a:gd name="T20" fmla="*/ 2147483647 w 2344"/>
                <a:gd name="T21" fmla="*/ 2147483647 h 1470"/>
                <a:gd name="T22" fmla="*/ 2147483647 w 2344"/>
                <a:gd name="T23" fmla="*/ 2147483647 h 1470"/>
                <a:gd name="T24" fmla="*/ 2147483647 w 2344"/>
                <a:gd name="T25" fmla="*/ 2147483647 h 1470"/>
                <a:gd name="T26" fmla="*/ 2147483647 w 2344"/>
                <a:gd name="T27" fmla="*/ 2147483647 h 1470"/>
                <a:gd name="T28" fmla="*/ 2147483647 w 2344"/>
                <a:gd name="T29" fmla="*/ 2147483647 h 1470"/>
                <a:gd name="T30" fmla="*/ 2147483647 w 2344"/>
                <a:gd name="T31" fmla="*/ 2147483647 h 1470"/>
                <a:gd name="T32" fmla="*/ 2147483647 w 2344"/>
                <a:gd name="T33" fmla="*/ 2147483647 h 1470"/>
                <a:gd name="T34" fmla="*/ 2147483647 w 2344"/>
                <a:gd name="T35" fmla="*/ 0 h 1470"/>
                <a:gd name="T36" fmla="*/ 2147483647 w 2344"/>
                <a:gd name="T37" fmla="*/ 0 h 1470"/>
                <a:gd name="T38" fmla="*/ 2147483647 w 2344"/>
                <a:gd name="T39" fmla="*/ 2147483647 h 1470"/>
                <a:gd name="T40" fmla="*/ 2147483647 w 2344"/>
                <a:gd name="T41" fmla="*/ 2147483647 h 1470"/>
                <a:gd name="T42" fmla="*/ 2147483647 w 2344"/>
                <a:gd name="T43" fmla="*/ 2147483647 h 1470"/>
                <a:gd name="T44" fmla="*/ 2147483647 w 2344"/>
                <a:gd name="T45" fmla="*/ 2147483647 h 1470"/>
                <a:gd name="T46" fmla="*/ 2147483647 w 2344"/>
                <a:gd name="T47" fmla="*/ 2147483647 h 1470"/>
                <a:gd name="T48" fmla="*/ 2147483647 w 2344"/>
                <a:gd name="T49" fmla="*/ 2147483647 h 1470"/>
                <a:gd name="T50" fmla="*/ 2147483647 w 2344"/>
                <a:gd name="T51" fmla="*/ 2147483647 h 1470"/>
                <a:gd name="T52" fmla="*/ 2147483647 w 2344"/>
                <a:gd name="T53" fmla="*/ 2147483647 h 1470"/>
                <a:gd name="T54" fmla="*/ 2147483647 w 2344"/>
                <a:gd name="T55" fmla="*/ 2147483647 h 1470"/>
                <a:gd name="T56" fmla="*/ 2147483647 w 2344"/>
                <a:gd name="T57" fmla="*/ 2147483647 h 1470"/>
                <a:gd name="T58" fmla="*/ 2147483647 w 2344"/>
                <a:gd name="T59" fmla="*/ 2147483647 h 1470"/>
                <a:gd name="T60" fmla="*/ 2147483647 w 2344"/>
                <a:gd name="T61" fmla="*/ 2147483647 h 1470"/>
                <a:gd name="T62" fmla="*/ 2147483647 w 2344"/>
                <a:gd name="T63" fmla="*/ 2147483647 h 1470"/>
                <a:gd name="T64" fmla="*/ 2147483647 w 2344"/>
                <a:gd name="T65" fmla="*/ 2147483647 h 1470"/>
                <a:gd name="T66" fmla="*/ 2147483647 w 2344"/>
                <a:gd name="T67" fmla="*/ 2147483647 h 1470"/>
                <a:gd name="T68" fmla="*/ 2147483647 w 2344"/>
                <a:gd name="T69" fmla="*/ 2147483647 h 1470"/>
                <a:gd name="T70" fmla="*/ 2147483647 w 2344"/>
                <a:gd name="T71" fmla="*/ 2147483647 h 1470"/>
                <a:gd name="T72" fmla="*/ 2147483647 w 2344"/>
                <a:gd name="T73" fmla="*/ 2147483647 h 1470"/>
                <a:gd name="T74" fmla="*/ 2147483647 w 2344"/>
                <a:gd name="T75" fmla="*/ 2147483647 h 1470"/>
                <a:gd name="T76" fmla="*/ 2147483647 w 2344"/>
                <a:gd name="T77" fmla="*/ 2147483647 h 1470"/>
                <a:gd name="T78" fmla="*/ 2147483647 w 2344"/>
                <a:gd name="T79" fmla="*/ 2147483647 h 1470"/>
                <a:gd name="T80" fmla="*/ 2147483647 w 2344"/>
                <a:gd name="T81" fmla="*/ 2147483647 h 1470"/>
                <a:gd name="T82" fmla="*/ 2147483647 w 2344"/>
                <a:gd name="T83" fmla="*/ 2147483647 h 1470"/>
                <a:gd name="T84" fmla="*/ 2147483647 w 2344"/>
                <a:gd name="T85" fmla="*/ 2147483647 h 1470"/>
                <a:gd name="T86" fmla="*/ 2147483647 w 2344"/>
                <a:gd name="T87" fmla="*/ 2147483647 h 1470"/>
                <a:gd name="T88" fmla="*/ 2147483647 w 2344"/>
                <a:gd name="T89" fmla="*/ 2147483647 h 1470"/>
                <a:gd name="T90" fmla="*/ 2147483647 w 2344"/>
                <a:gd name="T91" fmla="*/ 2147483647 h 1470"/>
                <a:gd name="T92" fmla="*/ 2147483647 w 2344"/>
                <a:gd name="T93" fmla="*/ 2147483647 h 1470"/>
                <a:gd name="T94" fmla="*/ 2147483647 w 2344"/>
                <a:gd name="T95" fmla="*/ 2147483647 h 1470"/>
                <a:gd name="T96" fmla="*/ 2147483647 w 2344"/>
                <a:gd name="T97" fmla="*/ 2147483647 h 1470"/>
                <a:gd name="T98" fmla="*/ 2147483647 w 2344"/>
                <a:gd name="T99" fmla="*/ 2147483647 h 1470"/>
                <a:gd name="T100" fmla="*/ 2147483647 w 2344"/>
                <a:gd name="T101" fmla="*/ 2147483647 h 1470"/>
                <a:gd name="T102" fmla="*/ 2147483647 w 2344"/>
                <a:gd name="T103" fmla="*/ 2147483647 h 1470"/>
                <a:gd name="T104" fmla="*/ 2147483647 w 2344"/>
                <a:gd name="T105" fmla="*/ 2147483647 h 1470"/>
                <a:gd name="T106" fmla="*/ 2147483647 w 2344"/>
                <a:gd name="T107" fmla="*/ 2147483647 h 1470"/>
                <a:gd name="T108" fmla="*/ 2147483647 w 2344"/>
                <a:gd name="T109" fmla="*/ 2147483647 h 1470"/>
                <a:gd name="T110" fmla="*/ 2147483647 w 2344"/>
                <a:gd name="T111" fmla="*/ 2147483647 h 1470"/>
                <a:gd name="T112" fmla="*/ 2147483647 w 2344"/>
                <a:gd name="T113" fmla="*/ 2147483647 h 1470"/>
                <a:gd name="T114" fmla="*/ 2147483647 w 2344"/>
                <a:gd name="T115" fmla="*/ 2147483647 h 1470"/>
                <a:gd name="T116" fmla="*/ 2147483647 w 2344"/>
                <a:gd name="T117" fmla="*/ 2147483647 h 1470"/>
                <a:gd name="T118" fmla="*/ 2147483647 w 2344"/>
                <a:gd name="T119" fmla="*/ 2147483647 h 1470"/>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4"/>
                <a:gd name="T181" fmla="*/ 0 h 1470"/>
                <a:gd name="T182" fmla="*/ 2344 w 2344"/>
                <a:gd name="T183" fmla="*/ 1470 h 1470"/>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4" h="1470">
                  <a:moveTo>
                    <a:pt x="1953" y="1470"/>
                  </a:moveTo>
                  <a:lnTo>
                    <a:pt x="1986" y="1362"/>
                  </a:lnTo>
                  <a:lnTo>
                    <a:pt x="2018" y="1254"/>
                  </a:lnTo>
                  <a:lnTo>
                    <a:pt x="2051" y="1146"/>
                  </a:lnTo>
                  <a:lnTo>
                    <a:pt x="2083" y="1038"/>
                  </a:lnTo>
                  <a:lnTo>
                    <a:pt x="2116" y="929"/>
                  </a:lnTo>
                  <a:lnTo>
                    <a:pt x="2149" y="821"/>
                  </a:lnTo>
                  <a:lnTo>
                    <a:pt x="2181" y="713"/>
                  </a:lnTo>
                  <a:lnTo>
                    <a:pt x="2214" y="605"/>
                  </a:lnTo>
                  <a:lnTo>
                    <a:pt x="2246" y="497"/>
                  </a:lnTo>
                  <a:lnTo>
                    <a:pt x="2279" y="389"/>
                  </a:lnTo>
                  <a:lnTo>
                    <a:pt x="2311" y="281"/>
                  </a:lnTo>
                  <a:lnTo>
                    <a:pt x="2344" y="172"/>
                  </a:lnTo>
                  <a:lnTo>
                    <a:pt x="2296" y="158"/>
                  </a:lnTo>
                  <a:lnTo>
                    <a:pt x="2249" y="145"/>
                  </a:lnTo>
                  <a:lnTo>
                    <a:pt x="2201" y="132"/>
                  </a:lnTo>
                  <a:lnTo>
                    <a:pt x="2153" y="120"/>
                  </a:lnTo>
                  <a:lnTo>
                    <a:pt x="2105" y="108"/>
                  </a:lnTo>
                  <a:lnTo>
                    <a:pt x="2057" y="97"/>
                  </a:lnTo>
                  <a:lnTo>
                    <a:pt x="2008" y="87"/>
                  </a:lnTo>
                  <a:lnTo>
                    <a:pt x="1960" y="77"/>
                  </a:lnTo>
                  <a:lnTo>
                    <a:pt x="1911" y="68"/>
                  </a:lnTo>
                  <a:lnTo>
                    <a:pt x="1862" y="59"/>
                  </a:lnTo>
                  <a:lnTo>
                    <a:pt x="1813" y="51"/>
                  </a:lnTo>
                  <a:lnTo>
                    <a:pt x="1764" y="43"/>
                  </a:lnTo>
                  <a:lnTo>
                    <a:pt x="1715" y="36"/>
                  </a:lnTo>
                  <a:lnTo>
                    <a:pt x="1666" y="30"/>
                  </a:lnTo>
                  <a:lnTo>
                    <a:pt x="1617" y="24"/>
                  </a:lnTo>
                  <a:lnTo>
                    <a:pt x="1568" y="19"/>
                  </a:lnTo>
                  <a:lnTo>
                    <a:pt x="1518" y="15"/>
                  </a:lnTo>
                  <a:lnTo>
                    <a:pt x="1469" y="11"/>
                  </a:lnTo>
                  <a:lnTo>
                    <a:pt x="1420" y="7"/>
                  </a:lnTo>
                  <a:lnTo>
                    <a:pt x="1370" y="5"/>
                  </a:lnTo>
                  <a:lnTo>
                    <a:pt x="1321" y="3"/>
                  </a:lnTo>
                  <a:lnTo>
                    <a:pt x="1271" y="1"/>
                  </a:lnTo>
                  <a:lnTo>
                    <a:pt x="1222" y="0"/>
                  </a:lnTo>
                  <a:lnTo>
                    <a:pt x="1172" y="0"/>
                  </a:lnTo>
                  <a:lnTo>
                    <a:pt x="1123" y="0"/>
                  </a:lnTo>
                  <a:lnTo>
                    <a:pt x="1073" y="1"/>
                  </a:lnTo>
                  <a:lnTo>
                    <a:pt x="1024" y="3"/>
                  </a:lnTo>
                  <a:lnTo>
                    <a:pt x="974" y="5"/>
                  </a:lnTo>
                  <a:lnTo>
                    <a:pt x="925" y="7"/>
                  </a:lnTo>
                  <a:lnTo>
                    <a:pt x="875" y="11"/>
                  </a:lnTo>
                  <a:lnTo>
                    <a:pt x="826" y="15"/>
                  </a:lnTo>
                  <a:lnTo>
                    <a:pt x="777" y="19"/>
                  </a:lnTo>
                  <a:lnTo>
                    <a:pt x="727" y="24"/>
                  </a:lnTo>
                  <a:lnTo>
                    <a:pt x="678" y="30"/>
                  </a:lnTo>
                  <a:lnTo>
                    <a:pt x="629" y="36"/>
                  </a:lnTo>
                  <a:lnTo>
                    <a:pt x="580" y="43"/>
                  </a:lnTo>
                  <a:lnTo>
                    <a:pt x="531" y="51"/>
                  </a:lnTo>
                  <a:lnTo>
                    <a:pt x="482" y="59"/>
                  </a:lnTo>
                  <a:lnTo>
                    <a:pt x="433" y="68"/>
                  </a:lnTo>
                  <a:lnTo>
                    <a:pt x="385" y="77"/>
                  </a:lnTo>
                  <a:lnTo>
                    <a:pt x="336" y="87"/>
                  </a:lnTo>
                  <a:lnTo>
                    <a:pt x="288" y="97"/>
                  </a:lnTo>
                  <a:lnTo>
                    <a:pt x="239" y="108"/>
                  </a:lnTo>
                  <a:lnTo>
                    <a:pt x="191" y="120"/>
                  </a:lnTo>
                  <a:lnTo>
                    <a:pt x="143" y="132"/>
                  </a:lnTo>
                  <a:lnTo>
                    <a:pt x="96" y="145"/>
                  </a:lnTo>
                  <a:lnTo>
                    <a:pt x="48" y="158"/>
                  </a:lnTo>
                  <a:lnTo>
                    <a:pt x="0" y="172"/>
                  </a:lnTo>
                  <a:lnTo>
                    <a:pt x="33" y="281"/>
                  </a:lnTo>
                  <a:lnTo>
                    <a:pt x="66" y="389"/>
                  </a:lnTo>
                  <a:lnTo>
                    <a:pt x="98" y="497"/>
                  </a:lnTo>
                  <a:lnTo>
                    <a:pt x="131" y="605"/>
                  </a:lnTo>
                  <a:lnTo>
                    <a:pt x="163" y="713"/>
                  </a:lnTo>
                  <a:lnTo>
                    <a:pt x="196" y="821"/>
                  </a:lnTo>
                  <a:lnTo>
                    <a:pt x="228" y="929"/>
                  </a:lnTo>
                  <a:lnTo>
                    <a:pt x="261" y="1038"/>
                  </a:lnTo>
                  <a:lnTo>
                    <a:pt x="293" y="1146"/>
                  </a:lnTo>
                  <a:lnTo>
                    <a:pt x="326" y="1254"/>
                  </a:lnTo>
                  <a:lnTo>
                    <a:pt x="358" y="1362"/>
                  </a:lnTo>
                  <a:lnTo>
                    <a:pt x="391" y="1470"/>
                  </a:lnTo>
                  <a:lnTo>
                    <a:pt x="423" y="1461"/>
                  </a:lnTo>
                  <a:lnTo>
                    <a:pt x="454" y="1452"/>
                  </a:lnTo>
                  <a:lnTo>
                    <a:pt x="486" y="1443"/>
                  </a:lnTo>
                  <a:lnTo>
                    <a:pt x="518" y="1435"/>
                  </a:lnTo>
                  <a:lnTo>
                    <a:pt x="550" y="1427"/>
                  </a:lnTo>
                  <a:lnTo>
                    <a:pt x="583" y="1420"/>
                  </a:lnTo>
                  <a:lnTo>
                    <a:pt x="615" y="1413"/>
                  </a:lnTo>
                  <a:lnTo>
                    <a:pt x="647" y="1406"/>
                  </a:lnTo>
                  <a:lnTo>
                    <a:pt x="680" y="1400"/>
                  </a:lnTo>
                  <a:lnTo>
                    <a:pt x="712" y="1394"/>
                  </a:lnTo>
                  <a:lnTo>
                    <a:pt x="745" y="1389"/>
                  </a:lnTo>
                  <a:lnTo>
                    <a:pt x="777" y="1384"/>
                  </a:lnTo>
                  <a:lnTo>
                    <a:pt x="810" y="1379"/>
                  </a:lnTo>
                  <a:lnTo>
                    <a:pt x="843" y="1375"/>
                  </a:lnTo>
                  <a:lnTo>
                    <a:pt x="876" y="1371"/>
                  </a:lnTo>
                  <a:lnTo>
                    <a:pt x="909" y="1368"/>
                  </a:lnTo>
                  <a:lnTo>
                    <a:pt x="941" y="1365"/>
                  </a:lnTo>
                  <a:lnTo>
                    <a:pt x="974" y="1362"/>
                  </a:lnTo>
                  <a:lnTo>
                    <a:pt x="1007" y="1360"/>
                  </a:lnTo>
                  <a:lnTo>
                    <a:pt x="1040" y="1358"/>
                  </a:lnTo>
                  <a:lnTo>
                    <a:pt x="1073" y="1357"/>
                  </a:lnTo>
                  <a:lnTo>
                    <a:pt x="1106" y="1356"/>
                  </a:lnTo>
                  <a:lnTo>
                    <a:pt x="1139" y="1355"/>
                  </a:lnTo>
                  <a:lnTo>
                    <a:pt x="1172" y="1355"/>
                  </a:lnTo>
                  <a:lnTo>
                    <a:pt x="1205" y="1355"/>
                  </a:lnTo>
                  <a:lnTo>
                    <a:pt x="1238" y="1356"/>
                  </a:lnTo>
                  <a:lnTo>
                    <a:pt x="1271" y="1357"/>
                  </a:lnTo>
                  <a:lnTo>
                    <a:pt x="1304" y="1358"/>
                  </a:lnTo>
                  <a:lnTo>
                    <a:pt x="1337" y="1360"/>
                  </a:lnTo>
                  <a:lnTo>
                    <a:pt x="1370" y="1362"/>
                  </a:lnTo>
                  <a:lnTo>
                    <a:pt x="1403" y="1365"/>
                  </a:lnTo>
                  <a:lnTo>
                    <a:pt x="1436" y="1368"/>
                  </a:lnTo>
                  <a:lnTo>
                    <a:pt x="1469" y="1371"/>
                  </a:lnTo>
                  <a:lnTo>
                    <a:pt x="1501" y="1375"/>
                  </a:lnTo>
                  <a:lnTo>
                    <a:pt x="1534" y="1379"/>
                  </a:lnTo>
                  <a:lnTo>
                    <a:pt x="1567" y="1384"/>
                  </a:lnTo>
                  <a:lnTo>
                    <a:pt x="1600" y="1389"/>
                  </a:lnTo>
                  <a:lnTo>
                    <a:pt x="1632" y="1394"/>
                  </a:lnTo>
                  <a:lnTo>
                    <a:pt x="1665" y="1400"/>
                  </a:lnTo>
                  <a:lnTo>
                    <a:pt x="1697" y="1406"/>
                  </a:lnTo>
                  <a:lnTo>
                    <a:pt x="1730" y="1413"/>
                  </a:lnTo>
                  <a:lnTo>
                    <a:pt x="1762" y="1420"/>
                  </a:lnTo>
                  <a:lnTo>
                    <a:pt x="1794" y="1427"/>
                  </a:lnTo>
                  <a:lnTo>
                    <a:pt x="1826" y="1435"/>
                  </a:lnTo>
                  <a:lnTo>
                    <a:pt x="1858" y="1443"/>
                  </a:lnTo>
                  <a:lnTo>
                    <a:pt x="1890" y="1452"/>
                  </a:lnTo>
                  <a:lnTo>
                    <a:pt x="1922" y="1461"/>
                  </a:lnTo>
                  <a:lnTo>
                    <a:pt x="1953" y="1470"/>
                  </a:lnTo>
                </a:path>
              </a:pathLst>
            </a:custGeom>
            <a:solidFill>
              <a:srgbClr val="FAC090"/>
            </a:solidFill>
            <a:ln w="25400">
              <a:solidFill>
                <a:srgbClr val="262626"/>
              </a:solidFill>
              <a:prstDash val="solid"/>
              <a:round/>
              <a:headEnd/>
              <a:tailEnd/>
            </a:ln>
          </xdr:spPr>
        </xdr:sp>
        <xdr:sp macro="" textlink="">
          <xdr:nvSpPr>
            <xdr:cNvPr id="16" name="Freeform 367"/>
            <xdr:cNvSpPr>
              <a:spLocks/>
            </xdr:cNvSpPr>
          </xdr:nvSpPr>
          <xdr:spPr bwMode="auto">
            <a:xfrm>
              <a:off x="2424832" y="1258057"/>
              <a:ext cx="1054247" cy="991636"/>
            </a:xfrm>
            <a:custGeom>
              <a:avLst/>
              <a:gdLst>
                <a:gd name="T0" fmla="*/ 2147483647 w 2342"/>
                <a:gd name="T1" fmla="*/ 2147483647 h 2198"/>
                <a:gd name="T2" fmla="*/ 2147483647 w 2342"/>
                <a:gd name="T3" fmla="*/ 2147483647 h 2198"/>
                <a:gd name="T4" fmla="*/ 2147483647 w 2342"/>
                <a:gd name="T5" fmla="*/ 2147483647 h 2198"/>
                <a:gd name="T6" fmla="*/ 2147483647 w 2342"/>
                <a:gd name="T7" fmla="*/ 2147483647 h 2198"/>
                <a:gd name="T8" fmla="*/ 2147483647 w 2342"/>
                <a:gd name="T9" fmla="*/ 2147483647 h 2198"/>
                <a:gd name="T10" fmla="*/ 2147483647 w 2342"/>
                <a:gd name="T11" fmla="*/ 2147483647 h 2198"/>
                <a:gd name="T12" fmla="*/ 2147483647 w 2342"/>
                <a:gd name="T13" fmla="*/ 2147483647 h 2198"/>
                <a:gd name="T14" fmla="*/ 2147483647 w 2342"/>
                <a:gd name="T15" fmla="*/ 2147483647 h 2198"/>
                <a:gd name="T16" fmla="*/ 2147483647 w 2342"/>
                <a:gd name="T17" fmla="*/ 2147483647 h 2198"/>
                <a:gd name="T18" fmla="*/ 2147483647 w 2342"/>
                <a:gd name="T19" fmla="*/ 2147483647 h 2198"/>
                <a:gd name="T20" fmla="*/ 2147483647 w 2342"/>
                <a:gd name="T21" fmla="*/ 2147483647 h 2198"/>
                <a:gd name="T22" fmla="*/ 2147483647 w 2342"/>
                <a:gd name="T23" fmla="*/ 2147483647 h 2198"/>
                <a:gd name="T24" fmla="*/ 2147483647 w 2342"/>
                <a:gd name="T25" fmla="*/ 2147483647 h 2198"/>
                <a:gd name="T26" fmla="*/ 2147483647 w 2342"/>
                <a:gd name="T27" fmla="*/ 2147483647 h 2198"/>
                <a:gd name="T28" fmla="*/ 2147483647 w 2342"/>
                <a:gd name="T29" fmla="*/ 2147483647 h 2198"/>
                <a:gd name="T30" fmla="*/ 2147483647 w 2342"/>
                <a:gd name="T31" fmla="*/ 2147483647 h 2198"/>
                <a:gd name="T32" fmla="*/ 2147483647 w 2342"/>
                <a:gd name="T33" fmla="*/ 2147483647 h 2198"/>
                <a:gd name="T34" fmla="*/ 2147483647 w 2342"/>
                <a:gd name="T35" fmla="*/ 2147483647 h 2198"/>
                <a:gd name="T36" fmla="*/ 2147483647 w 2342"/>
                <a:gd name="T37" fmla="*/ 2147483647 h 2198"/>
                <a:gd name="T38" fmla="*/ 2147483647 w 2342"/>
                <a:gd name="T39" fmla="*/ 2147483647 h 2198"/>
                <a:gd name="T40" fmla="*/ 2147483647 w 2342"/>
                <a:gd name="T41" fmla="*/ 2147483647 h 2198"/>
                <a:gd name="T42" fmla="*/ 2147483647 w 2342"/>
                <a:gd name="T43" fmla="*/ 2147483647 h 2198"/>
                <a:gd name="T44" fmla="*/ 2147483647 w 2342"/>
                <a:gd name="T45" fmla="*/ 2147483647 h 2198"/>
                <a:gd name="T46" fmla="*/ 2147483647 w 2342"/>
                <a:gd name="T47" fmla="*/ 2147483647 h 2198"/>
                <a:gd name="T48" fmla="*/ 2147483647 w 2342"/>
                <a:gd name="T49" fmla="*/ 2147483647 h 2198"/>
                <a:gd name="T50" fmla="*/ 2147483647 w 2342"/>
                <a:gd name="T51" fmla="*/ 2147483647 h 2198"/>
                <a:gd name="T52" fmla="*/ 2147483647 w 2342"/>
                <a:gd name="T53" fmla="*/ 2147483647 h 2198"/>
                <a:gd name="T54" fmla="*/ 2147483647 w 2342"/>
                <a:gd name="T55" fmla="*/ 2147483647 h 2198"/>
                <a:gd name="T56" fmla="*/ 2147483647 w 2342"/>
                <a:gd name="T57" fmla="*/ 2147483647 h 2198"/>
                <a:gd name="T58" fmla="*/ 2147483647 w 2342"/>
                <a:gd name="T59" fmla="*/ 2147483647 h 2198"/>
                <a:gd name="T60" fmla="*/ 2147483647 w 2342"/>
                <a:gd name="T61" fmla="*/ 2147483647 h 2198"/>
                <a:gd name="T62" fmla="*/ 2147483647 w 2342"/>
                <a:gd name="T63" fmla="*/ 2147483647 h 2198"/>
                <a:gd name="T64" fmla="*/ 2147483647 w 2342"/>
                <a:gd name="T65" fmla="*/ 2147483647 h 2198"/>
                <a:gd name="T66" fmla="*/ 2147483647 w 2342"/>
                <a:gd name="T67" fmla="*/ 2147483647 h 2198"/>
                <a:gd name="T68" fmla="*/ 2147483647 w 2342"/>
                <a:gd name="T69" fmla="*/ 2147483647 h 2198"/>
                <a:gd name="T70" fmla="*/ 2147483647 w 2342"/>
                <a:gd name="T71" fmla="*/ 2147483647 h 2198"/>
                <a:gd name="T72" fmla="*/ 2147483647 w 2342"/>
                <a:gd name="T73" fmla="*/ 2147483647 h 2198"/>
                <a:gd name="T74" fmla="*/ 2147483647 w 2342"/>
                <a:gd name="T75" fmla="*/ 2147483647 h 2198"/>
                <a:gd name="T76" fmla="*/ 2147483647 w 2342"/>
                <a:gd name="T77" fmla="*/ 2147483647 h 2198"/>
                <a:gd name="T78" fmla="*/ 2147483647 w 2342"/>
                <a:gd name="T79" fmla="*/ 2147483647 h 2198"/>
                <a:gd name="T80" fmla="*/ 2147483647 w 2342"/>
                <a:gd name="T81" fmla="*/ 2147483647 h 2198"/>
                <a:gd name="T82" fmla="*/ 2147483647 w 2342"/>
                <a:gd name="T83" fmla="*/ 2147483647 h 2198"/>
                <a:gd name="T84" fmla="*/ 2147483647 w 2342"/>
                <a:gd name="T85" fmla="*/ 2147483647 h 2198"/>
                <a:gd name="T86" fmla="*/ 2147483647 w 2342"/>
                <a:gd name="T87" fmla="*/ 2147483647 h 2198"/>
                <a:gd name="T88" fmla="*/ 2147483647 w 2342"/>
                <a:gd name="T89" fmla="*/ 2147483647 h 2198"/>
                <a:gd name="T90" fmla="*/ 2147483647 w 2342"/>
                <a:gd name="T91" fmla="*/ 2147483647 h 2198"/>
                <a:gd name="T92" fmla="*/ 2147483647 w 2342"/>
                <a:gd name="T93" fmla="*/ 2147483647 h 2198"/>
                <a:gd name="T94" fmla="*/ 2147483647 w 2342"/>
                <a:gd name="T95" fmla="*/ 2147483647 h 2198"/>
                <a:gd name="T96" fmla="*/ 2147483647 w 2342"/>
                <a:gd name="T97" fmla="*/ 2147483647 h 2198"/>
                <a:gd name="T98" fmla="*/ 2147483647 w 2342"/>
                <a:gd name="T99" fmla="*/ 2147483647 h 2198"/>
                <a:gd name="T100" fmla="*/ 2147483647 w 2342"/>
                <a:gd name="T101" fmla="*/ 2147483647 h 2198"/>
                <a:gd name="T102" fmla="*/ 2147483647 w 2342"/>
                <a:gd name="T103" fmla="*/ 2147483647 h 2198"/>
                <a:gd name="T104" fmla="*/ 2147483647 w 2342"/>
                <a:gd name="T105" fmla="*/ 2147483647 h 2198"/>
                <a:gd name="T106" fmla="*/ 2147483647 w 2342"/>
                <a:gd name="T107" fmla="*/ 2147483647 h 2198"/>
                <a:gd name="T108" fmla="*/ 2147483647 w 2342"/>
                <a:gd name="T109" fmla="*/ 2147483647 h 2198"/>
                <a:gd name="T110" fmla="*/ 2147483647 w 2342"/>
                <a:gd name="T111" fmla="*/ 2147483647 h 2198"/>
                <a:gd name="T112" fmla="*/ 2147483647 w 2342"/>
                <a:gd name="T113" fmla="*/ 2147483647 h 2198"/>
                <a:gd name="T114" fmla="*/ 2147483647 w 2342"/>
                <a:gd name="T115" fmla="*/ 2147483647 h 2198"/>
                <a:gd name="T116" fmla="*/ 2147483647 w 2342"/>
                <a:gd name="T117" fmla="*/ 2147483647 h 2198"/>
                <a:gd name="T118" fmla="*/ 2147483647 w 2342"/>
                <a:gd name="T119" fmla="*/ 2147483647 h 219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2"/>
                <a:gd name="T181" fmla="*/ 0 h 2198"/>
                <a:gd name="T182" fmla="*/ 2342 w 2342"/>
                <a:gd name="T183" fmla="*/ 2198 h 219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2" h="2198">
                  <a:moveTo>
                    <a:pt x="1264" y="2198"/>
                  </a:moveTo>
                  <a:lnTo>
                    <a:pt x="1354" y="2130"/>
                  </a:lnTo>
                  <a:lnTo>
                    <a:pt x="1443" y="2061"/>
                  </a:lnTo>
                  <a:lnTo>
                    <a:pt x="1533" y="1993"/>
                  </a:lnTo>
                  <a:lnTo>
                    <a:pt x="1623" y="1924"/>
                  </a:lnTo>
                  <a:lnTo>
                    <a:pt x="1713" y="1856"/>
                  </a:lnTo>
                  <a:lnTo>
                    <a:pt x="1803" y="1788"/>
                  </a:lnTo>
                  <a:lnTo>
                    <a:pt x="1893" y="1719"/>
                  </a:lnTo>
                  <a:lnTo>
                    <a:pt x="1983" y="1651"/>
                  </a:lnTo>
                  <a:lnTo>
                    <a:pt x="2073" y="1583"/>
                  </a:lnTo>
                  <a:lnTo>
                    <a:pt x="2163" y="1514"/>
                  </a:lnTo>
                  <a:lnTo>
                    <a:pt x="2252" y="1446"/>
                  </a:lnTo>
                  <a:lnTo>
                    <a:pt x="2342" y="1378"/>
                  </a:lnTo>
                  <a:lnTo>
                    <a:pt x="2312" y="1338"/>
                  </a:lnTo>
                  <a:lnTo>
                    <a:pt x="2282" y="1300"/>
                  </a:lnTo>
                  <a:lnTo>
                    <a:pt x="2250" y="1261"/>
                  </a:lnTo>
                  <a:lnTo>
                    <a:pt x="2219" y="1223"/>
                  </a:lnTo>
                  <a:lnTo>
                    <a:pt x="2187" y="1185"/>
                  </a:lnTo>
                  <a:lnTo>
                    <a:pt x="2154" y="1148"/>
                  </a:lnTo>
                  <a:lnTo>
                    <a:pt x="2121" y="1111"/>
                  </a:lnTo>
                  <a:lnTo>
                    <a:pt x="2088" y="1075"/>
                  </a:lnTo>
                  <a:lnTo>
                    <a:pt x="2054" y="1038"/>
                  </a:lnTo>
                  <a:lnTo>
                    <a:pt x="2019" y="1003"/>
                  </a:lnTo>
                  <a:lnTo>
                    <a:pt x="1985" y="967"/>
                  </a:lnTo>
                  <a:lnTo>
                    <a:pt x="1949" y="933"/>
                  </a:lnTo>
                  <a:lnTo>
                    <a:pt x="1914" y="898"/>
                  </a:lnTo>
                  <a:lnTo>
                    <a:pt x="1878" y="864"/>
                  </a:lnTo>
                  <a:lnTo>
                    <a:pt x="1841" y="831"/>
                  </a:lnTo>
                  <a:lnTo>
                    <a:pt x="1805" y="797"/>
                  </a:lnTo>
                  <a:lnTo>
                    <a:pt x="1767" y="765"/>
                  </a:lnTo>
                  <a:lnTo>
                    <a:pt x="1730" y="733"/>
                  </a:lnTo>
                  <a:lnTo>
                    <a:pt x="1692" y="701"/>
                  </a:lnTo>
                  <a:lnTo>
                    <a:pt x="1653" y="670"/>
                  </a:lnTo>
                  <a:lnTo>
                    <a:pt x="1614" y="639"/>
                  </a:lnTo>
                  <a:lnTo>
                    <a:pt x="1575" y="609"/>
                  </a:lnTo>
                  <a:lnTo>
                    <a:pt x="1536" y="579"/>
                  </a:lnTo>
                  <a:lnTo>
                    <a:pt x="1496" y="549"/>
                  </a:lnTo>
                  <a:lnTo>
                    <a:pt x="1456" y="521"/>
                  </a:lnTo>
                  <a:lnTo>
                    <a:pt x="1415" y="492"/>
                  </a:lnTo>
                  <a:lnTo>
                    <a:pt x="1374" y="464"/>
                  </a:lnTo>
                  <a:lnTo>
                    <a:pt x="1333" y="437"/>
                  </a:lnTo>
                  <a:lnTo>
                    <a:pt x="1291" y="410"/>
                  </a:lnTo>
                  <a:lnTo>
                    <a:pt x="1249" y="384"/>
                  </a:lnTo>
                  <a:lnTo>
                    <a:pt x="1207" y="358"/>
                  </a:lnTo>
                  <a:lnTo>
                    <a:pt x="1165" y="333"/>
                  </a:lnTo>
                  <a:lnTo>
                    <a:pt x="1122" y="308"/>
                  </a:lnTo>
                  <a:lnTo>
                    <a:pt x="1079" y="283"/>
                  </a:lnTo>
                  <a:lnTo>
                    <a:pt x="1035" y="260"/>
                  </a:lnTo>
                  <a:lnTo>
                    <a:pt x="991" y="236"/>
                  </a:lnTo>
                  <a:lnTo>
                    <a:pt x="947" y="214"/>
                  </a:lnTo>
                  <a:lnTo>
                    <a:pt x="903" y="192"/>
                  </a:lnTo>
                  <a:lnTo>
                    <a:pt x="858" y="170"/>
                  </a:lnTo>
                  <a:lnTo>
                    <a:pt x="813" y="149"/>
                  </a:lnTo>
                  <a:lnTo>
                    <a:pt x="768" y="128"/>
                  </a:lnTo>
                  <a:lnTo>
                    <a:pt x="723" y="108"/>
                  </a:lnTo>
                  <a:lnTo>
                    <a:pt x="678" y="89"/>
                  </a:lnTo>
                  <a:lnTo>
                    <a:pt x="632" y="70"/>
                  </a:lnTo>
                  <a:lnTo>
                    <a:pt x="586" y="52"/>
                  </a:lnTo>
                  <a:lnTo>
                    <a:pt x="540" y="34"/>
                  </a:lnTo>
                  <a:lnTo>
                    <a:pt x="493" y="17"/>
                  </a:lnTo>
                  <a:lnTo>
                    <a:pt x="447" y="0"/>
                  </a:lnTo>
                  <a:lnTo>
                    <a:pt x="409" y="107"/>
                  </a:lnTo>
                  <a:lnTo>
                    <a:pt x="372" y="213"/>
                  </a:lnTo>
                  <a:lnTo>
                    <a:pt x="335" y="320"/>
                  </a:lnTo>
                  <a:lnTo>
                    <a:pt x="298" y="427"/>
                  </a:lnTo>
                  <a:lnTo>
                    <a:pt x="260" y="533"/>
                  </a:lnTo>
                  <a:lnTo>
                    <a:pt x="223" y="640"/>
                  </a:lnTo>
                  <a:lnTo>
                    <a:pt x="186" y="747"/>
                  </a:lnTo>
                  <a:lnTo>
                    <a:pt x="149" y="853"/>
                  </a:lnTo>
                  <a:lnTo>
                    <a:pt x="111" y="960"/>
                  </a:lnTo>
                  <a:lnTo>
                    <a:pt x="74" y="1066"/>
                  </a:lnTo>
                  <a:lnTo>
                    <a:pt x="37" y="1173"/>
                  </a:lnTo>
                  <a:lnTo>
                    <a:pt x="0" y="1280"/>
                  </a:lnTo>
                  <a:lnTo>
                    <a:pt x="31" y="1291"/>
                  </a:lnTo>
                  <a:lnTo>
                    <a:pt x="62" y="1302"/>
                  </a:lnTo>
                  <a:lnTo>
                    <a:pt x="93" y="1314"/>
                  </a:lnTo>
                  <a:lnTo>
                    <a:pt x="123" y="1326"/>
                  </a:lnTo>
                  <a:lnTo>
                    <a:pt x="154" y="1339"/>
                  </a:lnTo>
                  <a:lnTo>
                    <a:pt x="184" y="1352"/>
                  </a:lnTo>
                  <a:lnTo>
                    <a:pt x="214" y="1365"/>
                  </a:lnTo>
                  <a:lnTo>
                    <a:pt x="244" y="1379"/>
                  </a:lnTo>
                  <a:lnTo>
                    <a:pt x="274" y="1393"/>
                  </a:lnTo>
                  <a:lnTo>
                    <a:pt x="304" y="1407"/>
                  </a:lnTo>
                  <a:lnTo>
                    <a:pt x="334" y="1422"/>
                  </a:lnTo>
                  <a:lnTo>
                    <a:pt x="363" y="1437"/>
                  </a:lnTo>
                  <a:lnTo>
                    <a:pt x="392" y="1453"/>
                  </a:lnTo>
                  <a:lnTo>
                    <a:pt x="421" y="1468"/>
                  </a:lnTo>
                  <a:lnTo>
                    <a:pt x="450" y="1485"/>
                  </a:lnTo>
                  <a:lnTo>
                    <a:pt x="478" y="1501"/>
                  </a:lnTo>
                  <a:lnTo>
                    <a:pt x="507" y="1518"/>
                  </a:lnTo>
                  <a:lnTo>
                    <a:pt x="535" y="1535"/>
                  </a:lnTo>
                  <a:lnTo>
                    <a:pt x="563" y="1553"/>
                  </a:lnTo>
                  <a:lnTo>
                    <a:pt x="591" y="1571"/>
                  </a:lnTo>
                  <a:lnTo>
                    <a:pt x="618" y="1589"/>
                  </a:lnTo>
                  <a:lnTo>
                    <a:pt x="645" y="1608"/>
                  </a:lnTo>
                  <a:lnTo>
                    <a:pt x="672" y="1626"/>
                  </a:lnTo>
                  <a:lnTo>
                    <a:pt x="699" y="1646"/>
                  </a:lnTo>
                  <a:lnTo>
                    <a:pt x="726" y="1665"/>
                  </a:lnTo>
                  <a:lnTo>
                    <a:pt x="752" y="1685"/>
                  </a:lnTo>
                  <a:lnTo>
                    <a:pt x="778" y="1705"/>
                  </a:lnTo>
                  <a:lnTo>
                    <a:pt x="804" y="1726"/>
                  </a:lnTo>
                  <a:lnTo>
                    <a:pt x="830" y="1747"/>
                  </a:lnTo>
                  <a:lnTo>
                    <a:pt x="855" y="1768"/>
                  </a:lnTo>
                  <a:lnTo>
                    <a:pt x="880" y="1789"/>
                  </a:lnTo>
                  <a:lnTo>
                    <a:pt x="905" y="1811"/>
                  </a:lnTo>
                  <a:lnTo>
                    <a:pt x="930" y="1833"/>
                  </a:lnTo>
                  <a:lnTo>
                    <a:pt x="954" y="1856"/>
                  </a:lnTo>
                  <a:lnTo>
                    <a:pt x="978" y="1878"/>
                  </a:lnTo>
                  <a:lnTo>
                    <a:pt x="1002" y="1901"/>
                  </a:lnTo>
                  <a:lnTo>
                    <a:pt x="1025" y="1924"/>
                  </a:lnTo>
                  <a:lnTo>
                    <a:pt x="1048" y="1948"/>
                  </a:lnTo>
                  <a:lnTo>
                    <a:pt x="1071" y="1972"/>
                  </a:lnTo>
                  <a:lnTo>
                    <a:pt x="1094" y="1996"/>
                  </a:lnTo>
                  <a:lnTo>
                    <a:pt x="1116" y="2020"/>
                  </a:lnTo>
                  <a:lnTo>
                    <a:pt x="1138" y="2045"/>
                  </a:lnTo>
                  <a:lnTo>
                    <a:pt x="1160" y="2070"/>
                  </a:lnTo>
                  <a:lnTo>
                    <a:pt x="1181" y="2095"/>
                  </a:lnTo>
                  <a:lnTo>
                    <a:pt x="1202" y="2120"/>
                  </a:lnTo>
                  <a:lnTo>
                    <a:pt x="1223" y="2146"/>
                  </a:lnTo>
                  <a:lnTo>
                    <a:pt x="1244" y="2172"/>
                  </a:lnTo>
                  <a:lnTo>
                    <a:pt x="1264" y="2198"/>
                  </a:lnTo>
                </a:path>
              </a:pathLst>
            </a:custGeom>
            <a:solidFill>
              <a:srgbClr val="FFFF57"/>
            </a:solidFill>
            <a:ln w="25400">
              <a:solidFill>
                <a:srgbClr val="262626"/>
              </a:solidFill>
              <a:prstDash val="solid"/>
              <a:round/>
              <a:headEnd/>
              <a:tailEnd/>
            </a:ln>
          </xdr:spPr>
        </xdr:sp>
        <xdr:sp macro="" textlink="">
          <xdr:nvSpPr>
            <xdr:cNvPr id="17" name="Freeform 372"/>
            <xdr:cNvSpPr>
              <a:spLocks/>
            </xdr:cNvSpPr>
          </xdr:nvSpPr>
          <xdr:spPr bwMode="auto">
            <a:xfrm>
              <a:off x="3024822" y="1944261"/>
              <a:ext cx="827134" cy="1018705"/>
            </a:xfrm>
            <a:custGeom>
              <a:avLst/>
              <a:gdLst>
                <a:gd name="T0" fmla="*/ 2147483647 w 1838"/>
                <a:gd name="T1" fmla="*/ 2147483647 h 2258"/>
                <a:gd name="T2" fmla="*/ 2147483647 w 1838"/>
                <a:gd name="T3" fmla="*/ 2147483647 h 2258"/>
                <a:gd name="T4" fmla="*/ 2147483647 w 1838"/>
                <a:gd name="T5" fmla="*/ 2147483647 h 2258"/>
                <a:gd name="T6" fmla="*/ 2147483647 w 1838"/>
                <a:gd name="T7" fmla="*/ 2147483647 h 2258"/>
                <a:gd name="T8" fmla="*/ 2147483647 w 1838"/>
                <a:gd name="T9" fmla="*/ 2147483647 h 2258"/>
                <a:gd name="T10" fmla="*/ 2147483647 w 1838"/>
                <a:gd name="T11" fmla="*/ 2147483647 h 2258"/>
                <a:gd name="T12" fmla="*/ 2147483647 w 1838"/>
                <a:gd name="T13" fmla="*/ 2147483647 h 2258"/>
                <a:gd name="T14" fmla="*/ 2147483647 w 1838"/>
                <a:gd name="T15" fmla="*/ 2147483647 h 2258"/>
                <a:gd name="T16" fmla="*/ 2147483647 w 1838"/>
                <a:gd name="T17" fmla="*/ 2147483647 h 2258"/>
                <a:gd name="T18" fmla="*/ 2147483647 w 1838"/>
                <a:gd name="T19" fmla="*/ 2147483647 h 2258"/>
                <a:gd name="T20" fmla="*/ 2147483647 w 1838"/>
                <a:gd name="T21" fmla="*/ 2147483647 h 2258"/>
                <a:gd name="T22" fmla="*/ 2147483647 w 1838"/>
                <a:gd name="T23" fmla="*/ 2147483647 h 2258"/>
                <a:gd name="T24" fmla="*/ 2147483647 w 1838"/>
                <a:gd name="T25" fmla="*/ 2147483647 h 2258"/>
                <a:gd name="T26" fmla="*/ 2147483647 w 1838"/>
                <a:gd name="T27" fmla="*/ 2147483647 h 2258"/>
                <a:gd name="T28" fmla="*/ 2147483647 w 1838"/>
                <a:gd name="T29" fmla="*/ 2147483647 h 2258"/>
                <a:gd name="T30" fmla="*/ 2147483647 w 1838"/>
                <a:gd name="T31" fmla="*/ 2147483647 h 2258"/>
                <a:gd name="T32" fmla="*/ 2147483647 w 1838"/>
                <a:gd name="T33" fmla="*/ 2147483647 h 2258"/>
                <a:gd name="T34" fmla="*/ 2147483647 w 1838"/>
                <a:gd name="T35" fmla="*/ 2147483647 h 2258"/>
                <a:gd name="T36" fmla="*/ 2147483647 w 1838"/>
                <a:gd name="T37" fmla="*/ 2147483647 h 2258"/>
                <a:gd name="T38" fmla="*/ 2147483647 w 1838"/>
                <a:gd name="T39" fmla="*/ 2147483647 h 2258"/>
                <a:gd name="T40" fmla="*/ 2147483647 w 1838"/>
                <a:gd name="T41" fmla="*/ 2147483647 h 2258"/>
                <a:gd name="T42" fmla="*/ 2147483647 w 1838"/>
                <a:gd name="T43" fmla="*/ 2147483647 h 2258"/>
                <a:gd name="T44" fmla="*/ 2147483647 w 1838"/>
                <a:gd name="T45" fmla="*/ 2147483647 h 2258"/>
                <a:gd name="T46" fmla="*/ 2147483647 w 1838"/>
                <a:gd name="T47" fmla="*/ 2147483647 h 2258"/>
                <a:gd name="T48" fmla="*/ 2147483647 w 1838"/>
                <a:gd name="T49" fmla="*/ 2147483647 h 2258"/>
                <a:gd name="T50" fmla="*/ 2147483647 w 1838"/>
                <a:gd name="T51" fmla="*/ 2147483647 h 2258"/>
                <a:gd name="T52" fmla="*/ 2147483647 w 1838"/>
                <a:gd name="T53" fmla="*/ 2147483647 h 2258"/>
                <a:gd name="T54" fmla="*/ 2147483647 w 1838"/>
                <a:gd name="T55" fmla="*/ 2147483647 h 2258"/>
                <a:gd name="T56" fmla="*/ 2147483647 w 1838"/>
                <a:gd name="T57" fmla="*/ 2147483647 h 2258"/>
                <a:gd name="T58" fmla="*/ 2147483647 w 1838"/>
                <a:gd name="T59" fmla="*/ 2147483647 h 2258"/>
                <a:gd name="T60" fmla="*/ 2147483647 w 1838"/>
                <a:gd name="T61" fmla="*/ 2147483647 h 2258"/>
                <a:gd name="T62" fmla="*/ 2147483647 w 1838"/>
                <a:gd name="T63" fmla="*/ 2147483647 h 2258"/>
                <a:gd name="T64" fmla="*/ 2147483647 w 1838"/>
                <a:gd name="T65" fmla="*/ 2147483647 h 2258"/>
                <a:gd name="T66" fmla="*/ 2147483647 w 1838"/>
                <a:gd name="T67" fmla="*/ 2147483647 h 2258"/>
                <a:gd name="T68" fmla="*/ 2147483647 w 1838"/>
                <a:gd name="T69" fmla="*/ 2147483647 h 2258"/>
                <a:gd name="T70" fmla="*/ 2147483647 w 1838"/>
                <a:gd name="T71" fmla="*/ 2147483647 h 2258"/>
                <a:gd name="T72" fmla="*/ 2147483647 w 1838"/>
                <a:gd name="T73" fmla="*/ 2147483647 h 2258"/>
                <a:gd name="T74" fmla="*/ 2147483647 w 1838"/>
                <a:gd name="T75" fmla="*/ 2147483647 h 2258"/>
                <a:gd name="T76" fmla="*/ 2147483647 w 1838"/>
                <a:gd name="T77" fmla="*/ 2147483647 h 2258"/>
                <a:gd name="T78" fmla="*/ 2147483647 w 1838"/>
                <a:gd name="T79" fmla="*/ 2147483647 h 2258"/>
                <a:gd name="T80" fmla="*/ 2147483647 w 1838"/>
                <a:gd name="T81" fmla="*/ 2147483647 h 2258"/>
                <a:gd name="T82" fmla="*/ 2147483647 w 1838"/>
                <a:gd name="T83" fmla="*/ 2147483647 h 2258"/>
                <a:gd name="T84" fmla="*/ 2147483647 w 1838"/>
                <a:gd name="T85" fmla="*/ 2147483647 h 2258"/>
                <a:gd name="T86" fmla="*/ 2147483647 w 1838"/>
                <a:gd name="T87" fmla="*/ 2147483647 h 2258"/>
                <a:gd name="T88" fmla="*/ 2147483647 w 1838"/>
                <a:gd name="T89" fmla="*/ 2147483647 h 2258"/>
                <a:gd name="T90" fmla="*/ 2147483647 w 1838"/>
                <a:gd name="T91" fmla="*/ 2147483647 h 2258"/>
                <a:gd name="T92" fmla="*/ 2147483647 w 1838"/>
                <a:gd name="T93" fmla="*/ 2147483647 h 2258"/>
                <a:gd name="T94" fmla="*/ 2147483647 w 1838"/>
                <a:gd name="T95" fmla="*/ 2147483647 h 2258"/>
                <a:gd name="T96" fmla="*/ 2147483647 w 1838"/>
                <a:gd name="T97" fmla="*/ 2147483647 h 2258"/>
                <a:gd name="T98" fmla="*/ 2147483647 w 1838"/>
                <a:gd name="T99" fmla="*/ 2147483647 h 2258"/>
                <a:gd name="T100" fmla="*/ 2147483647 w 1838"/>
                <a:gd name="T101" fmla="*/ 2147483647 h 2258"/>
                <a:gd name="T102" fmla="*/ 2147483647 w 1838"/>
                <a:gd name="T103" fmla="*/ 2147483647 h 2258"/>
                <a:gd name="T104" fmla="*/ 2147483647 w 1838"/>
                <a:gd name="T105" fmla="*/ 2147483647 h 2258"/>
                <a:gd name="T106" fmla="*/ 2147483647 w 1838"/>
                <a:gd name="T107" fmla="*/ 2147483647 h 2258"/>
                <a:gd name="T108" fmla="*/ 2147483647 w 1838"/>
                <a:gd name="T109" fmla="*/ 2147483647 h 2258"/>
                <a:gd name="T110" fmla="*/ 2147483647 w 1838"/>
                <a:gd name="T111" fmla="*/ 2147483647 h 2258"/>
                <a:gd name="T112" fmla="*/ 2147483647 w 1838"/>
                <a:gd name="T113" fmla="*/ 2147483647 h 2258"/>
                <a:gd name="T114" fmla="*/ 2147483647 w 1838"/>
                <a:gd name="T115" fmla="*/ 2147483647 h 2258"/>
                <a:gd name="T116" fmla="*/ 2147483647 w 1838"/>
                <a:gd name="T117" fmla="*/ 2147483647 h 2258"/>
                <a:gd name="T118" fmla="*/ 2147483647 w 1838"/>
                <a:gd name="T119" fmla="*/ 2147483647 h 225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1838"/>
                <a:gd name="T181" fmla="*/ 0 h 2258"/>
                <a:gd name="T182" fmla="*/ 1838 w 1838"/>
                <a:gd name="T183" fmla="*/ 2258 h 225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1838" h="2258">
                  <a:moveTo>
                    <a:pt x="483" y="2258"/>
                  </a:moveTo>
                  <a:lnTo>
                    <a:pt x="596" y="2256"/>
                  </a:lnTo>
                  <a:lnTo>
                    <a:pt x="709" y="2253"/>
                  </a:lnTo>
                  <a:lnTo>
                    <a:pt x="822" y="2251"/>
                  </a:lnTo>
                  <a:lnTo>
                    <a:pt x="935" y="2248"/>
                  </a:lnTo>
                  <a:lnTo>
                    <a:pt x="1047" y="2246"/>
                  </a:lnTo>
                  <a:lnTo>
                    <a:pt x="1160" y="2243"/>
                  </a:lnTo>
                  <a:lnTo>
                    <a:pt x="1273" y="2241"/>
                  </a:lnTo>
                  <a:lnTo>
                    <a:pt x="1386" y="2239"/>
                  </a:lnTo>
                  <a:lnTo>
                    <a:pt x="1499" y="2236"/>
                  </a:lnTo>
                  <a:lnTo>
                    <a:pt x="1612" y="2234"/>
                  </a:lnTo>
                  <a:lnTo>
                    <a:pt x="1725" y="2231"/>
                  </a:lnTo>
                  <a:lnTo>
                    <a:pt x="1838" y="2229"/>
                  </a:lnTo>
                  <a:lnTo>
                    <a:pt x="1836" y="2179"/>
                  </a:lnTo>
                  <a:lnTo>
                    <a:pt x="1834" y="2130"/>
                  </a:lnTo>
                  <a:lnTo>
                    <a:pt x="1832" y="2080"/>
                  </a:lnTo>
                  <a:lnTo>
                    <a:pt x="1829" y="2031"/>
                  </a:lnTo>
                  <a:lnTo>
                    <a:pt x="1825" y="1982"/>
                  </a:lnTo>
                  <a:lnTo>
                    <a:pt x="1820" y="1932"/>
                  </a:lnTo>
                  <a:lnTo>
                    <a:pt x="1815" y="1883"/>
                  </a:lnTo>
                  <a:lnTo>
                    <a:pt x="1810" y="1834"/>
                  </a:lnTo>
                  <a:lnTo>
                    <a:pt x="1804" y="1785"/>
                  </a:lnTo>
                  <a:lnTo>
                    <a:pt x="1797" y="1736"/>
                  </a:lnTo>
                  <a:lnTo>
                    <a:pt x="1789" y="1687"/>
                  </a:lnTo>
                  <a:lnTo>
                    <a:pt x="1782" y="1638"/>
                  </a:lnTo>
                  <a:lnTo>
                    <a:pt x="1773" y="1589"/>
                  </a:lnTo>
                  <a:lnTo>
                    <a:pt x="1764" y="1540"/>
                  </a:lnTo>
                  <a:lnTo>
                    <a:pt x="1754" y="1492"/>
                  </a:lnTo>
                  <a:lnTo>
                    <a:pt x="1744" y="1443"/>
                  </a:lnTo>
                  <a:lnTo>
                    <a:pt x="1733" y="1395"/>
                  </a:lnTo>
                  <a:lnTo>
                    <a:pt x="1721" y="1347"/>
                  </a:lnTo>
                  <a:lnTo>
                    <a:pt x="1709" y="1299"/>
                  </a:lnTo>
                  <a:lnTo>
                    <a:pt x="1696" y="1251"/>
                  </a:lnTo>
                  <a:lnTo>
                    <a:pt x="1683" y="1203"/>
                  </a:lnTo>
                  <a:lnTo>
                    <a:pt x="1669" y="1156"/>
                  </a:lnTo>
                  <a:lnTo>
                    <a:pt x="1655" y="1108"/>
                  </a:lnTo>
                  <a:lnTo>
                    <a:pt x="1640" y="1061"/>
                  </a:lnTo>
                  <a:lnTo>
                    <a:pt x="1624" y="1014"/>
                  </a:lnTo>
                  <a:lnTo>
                    <a:pt x="1608" y="967"/>
                  </a:lnTo>
                  <a:lnTo>
                    <a:pt x="1591" y="921"/>
                  </a:lnTo>
                  <a:lnTo>
                    <a:pt x="1574" y="874"/>
                  </a:lnTo>
                  <a:lnTo>
                    <a:pt x="1556" y="828"/>
                  </a:lnTo>
                  <a:lnTo>
                    <a:pt x="1538" y="782"/>
                  </a:lnTo>
                  <a:lnTo>
                    <a:pt x="1519" y="736"/>
                  </a:lnTo>
                  <a:lnTo>
                    <a:pt x="1499" y="691"/>
                  </a:lnTo>
                  <a:lnTo>
                    <a:pt x="1479" y="646"/>
                  </a:lnTo>
                  <a:lnTo>
                    <a:pt x="1458" y="601"/>
                  </a:lnTo>
                  <a:lnTo>
                    <a:pt x="1437" y="556"/>
                  </a:lnTo>
                  <a:lnTo>
                    <a:pt x="1416" y="511"/>
                  </a:lnTo>
                  <a:lnTo>
                    <a:pt x="1393" y="467"/>
                  </a:lnTo>
                  <a:lnTo>
                    <a:pt x="1370" y="423"/>
                  </a:lnTo>
                  <a:lnTo>
                    <a:pt x="1347" y="379"/>
                  </a:lnTo>
                  <a:lnTo>
                    <a:pt x="1323" y="336"/>
                  </a:lnTo>
                  <a:lnTo>
                    <a:pt x="1299" y="293"/>
                  </a:lnTo>
                  <a:lnTo>
                    <a:pt x="1274" y="250"/>
                  </a:lnTo>
                  <a:lnTo>
                    <a:pt x="1248" y="208"/>
                  </a:lnTo>
                  <a:lnTo>
                    <a:pt x="1222" y="165"/>
                  </a:lnTo>
                  <a:lnTo>
                    <a:pt x="1196" y="124"/>
                  </a:lnTo>
                  <a:lnTo>
                    <a:pt x="1169" y="82"/>
                  </a:lnTo>
                  <a:lnTo>
                    <a:pt x="1142" y="41"/>
                  </a:lnTo>
                  <a:lnTo>
                    <a:pt x="1114" y="0"/>
                  </a:lnTo>
                  <a:lnTo>
                    <a:pt x="1021" y="64"/>
                  </a:lnTo>
                  <a:lnTo>
                    <a:pt x="928" y="129"/>
                  </a:lnTo>
                  <a:lnTo>
                    <a:pt x="835" y="193"/>
                  </a:lnTo>
                  <a:lnTo>
                    <a:pt x="742" y="258"/>
                  </a:lnTo>
                  <a:lnTo>
                    <a:pt x="650" y="322"/>
                  </a:lnTo>
                  <a:lnTo>
                    <a:pt x="557" y="386"/>
                  </a:lnTo>
                  <a:lnTo>
                    <a:pt x="464" y="451"/>
                  </a:lnTo>
                  <a:lnTo>
                    <a:pt x="371" y="515"/>
                  </a:lnTo>
                  <a:lnTo>
                    <a:pt x="279" y="579"/>
                  </a:lnTo>
                  <a:lnTo>
                    <a:pt x="186" y="644"/>
                  </a:lnTo>
                  <a:lnTo>
                    <a:pt x="93" y="708"/>
                  </a:lnTo>
                  <a:lnTo>
                    <a:pt x="0" y="773"/>
                  </a:lnTo>
                  <a:lnTo>
                    <a:pt x="19" y="800"/>
                  </a:lnTo>
                  <a:lnTo>
                    <a:pt x="37" y="827"/>
                  </a:lnTo>
                  <a:lnTo>
                    <a:pt x="55" y="855"/>
                  </a:lnTo>
                  <a:lnTo>
                    <a:pt x="73" y="883"/>
                  </a:lnTo>
                  <a:lnTo>
                    <a:pt x="90" y="911"/>
                  </a:lnTo>
                  <a:lnTo>
                    <a:pt x="107" y="939"/>
                  </a:lnTo>
                  <a:lnTo>
                    <a:pt x="124" y="968"/>
                  </a:lnTo>
                  <a:lnTo>
                    <a:pt x="140" y="996"/>
                  </a:lnTo>
                  <a:lnTo>
                    <a:pt x="156" y="1025"/>
                  </a:lnTo>
                  <a:lnTo>
                    <a:pt x="171" y="1055"/>
                  </a:lnTo>
                  <a:lnTo>
                    <a:pt x="187" y="1084"/>
                  </a:lnTo>
                  <a:lnTo>
                    <a:pt x="201" y="1113"/>
                  </a:lnTo>
                  <a:lnTo>
                    <a:pt x="216" y="1143"/>
                  </a:lnTo>
                  <a:lnTo>
                    <a:pt x="230" y="1173"/>
                  </a:lnTo>
                  <a:lnTo>
                    <a:pt x="244" y="1203"/>
                  </a:lnTo>
                  <a:lnTo>
                    <a:pt x="257" y="1233"/>
                  </a:lnTo>
                  <a:lnTo>
                    <a:pt x="270" y="1263"/>
                  </a:lnTo>
                  <a:lnTo>
                    <a:pt x="283" y="1294"/>
                  </a:lnTo>
                  <a:lnTo>
                    <a:pt x="295" y="1325"/>
                  </a:lnTo>
                  <a:lnTo>
                    <a:pt x="307" y="1355"/>
                  </a:lnTo>
                  <a:lnTo>
                    <a:pt x="319" y="1386"/>
                  </a:lnTo>
                  <a:lnTo>
                    <a:pt x="330" y="1417"/>
                  </a:lnTo>
                  <a:lnTo>
                    <a:pt x="341" y="1449"/>
                  </a:lnTo>
                  <a:lnTo>
                    <a:pt x="351" y="1480"/>
                  </a:lnTo>
                  <a:lnTo>
                    <a:pt x="361" y="1511"/>
                  </a:lnTo>
                  <a:lnTo>
                    <a:pt x="371" y="1543"/>
                  </a:lnTo>
                  <a:lnTo>
                    <a:pt x="380" y="1575"/>
                  </a:lnTo>
                  <a:lnTo>
                    <a:pt x="389" y="1606"/>
                  </a:lnTo>
                  <a:lnTo>
                    <a:pt x="397" y="1638"/>
                  </a:lnTo>
                  <a:lnTo>
                    <a:pt x="405" y="1670"/>
                  </a:lnTo>
                  <a:lnTo>
                    <a:pt x="413" y="1702"/>
                  </a:lnTo>
                  <a:lnTo>
                    <a:pt x="420" y="1735"/>
                  </a:lnTo>
                  <a:lnTo>
                    <a:pt x="427" y="1767"/>
                  </a:lnTo>
                  <a:lnTo>
                    <a:pt x="434" y="1799"/>
                  </a:lnTo>
                  <a:lnTo>
                    <a:pt x="440" y="1832"/>
                  </a:lnTo>
                  <a:lnTo>
                    <a:pt x="445" y="1864"/>
                  </a:lnTo>
                  <a:lnTo>
                    <a:pt x="451" y="1897"/>
                  </a:lnTo>
                  <a:lnTo>
                    <a:pt x="456" y="1930"/>
                  </a:lnTo>
                  <a:lnTo>
                    <a:pt x="460" y="1962"/>
                  </a:lnTo>
                  <a:lnTo>
                    <a:pt x="464" y="1995"/>
                  </a:lnTo>
                  <a:lnTo>
                    <a:pt x="468" y="2028"/>
                  </a:lnTo>
                  <a:lnTo>
                    <a:pt x="471" y="2061"/>
                  </a:lnTo>
                  <a:lnTo>
                    <a:pt x="474" y="2094"/>
                  </a:lnTo>
                  <a:lnTo>
                    <a:pt x="477" y="2126"/>
                  </a:lnTo>
                  <a:lnTo>
                    <a:pt x="479" y="2159"/>
                  </a:lnTo>
                  <a:lnTo>
                    <a:pt x="481" y="2192"/>
                  </a:lnTo>
                  <a:lnTo>
                    <a:pt x="482" y="2225"/>
                  </a:lnTo>
                  <a:lnTo>
                    <a:pt x="483" y="2258"/>
                  </a:lnTo>
                </a:path>
              </a:pathLst>
            </a:custGeom>
            <a:solidFill>
              <a:srgbClr val="54E349"/>
            </a:solidFill>
            <a:ln w="25400">
              <a:solidFill>
                <a:srgbClr val="262626"/>
              </a:solidFill>
              <a:prstDash val="solid"/>
              <a:round/>
              <a:headEnd/>
              <a:tailEnd/>
            </a:ln>
          </xdr:spPr>
        </xdr:sp>
        <xdr:sp macro="" textlink="">
          <xdr:nvSpPr>
            <xdr:cNvPr id="18" name="Freeform 377"/>
            <xdr:cNvSpPr>
              <a:spLocks/>
            </xdr:cNvSpPr>
          </xdr:nvSpPr>
          <xdr:spPr bwMode="auto">
            <a:xfrm>
              <a:off x="193063" y="1944261"/>
              <a:ext cx="827134" cy="1018705"/>
            </a:xfrm>
            <a:custGeom>
              <a:avLst/>
              <a:gdLst>
                <a:gd name="T0" fmla="*/ 2147483647 w 1838"/>
                <a:gd name="T1" fmla="*/ 2147483647 h 2258"/>
                <a:gd name="T2" fmla="*/ 2147483647 w 1838"/>
                <a:gd name="T3" fmla="*/ 2147483647 h 2258"/>
                <a:gd name="T4" fmla="*/ 2147483647 w 1838"/>
                <a:gd name="T5" fmla="*/ 2147483647 h 2258"/>
                <a:gd name="T6" fmla="*/ 2147483647 w 1838"/>
                <a:gd name="T7" fmla="*/ 2147483647 h 2258"/>
                <a:gd name="T8" fmla="*/ 2147483647 w 1838"/>
                <a:gd name="T9" fmla="*/ 2147483647 h 2258"/>
                <a:gd name="T10" fmla="*/ 2147483647 w 1838"/>
                <a:gd name="T11" fmla="*/ 2147483647 h 2258"/>
                <a:gd name="T12" fmla="*/ 2147483647 w 1838"/>
                <a:gd name="T13" fmla="*/ 2147483647 h 2258"/>
                <a:gd name="T14" fmla="*/ 2147483647 w 1838"/>
                <a:gd name="T15" fmla="*/ 2147483647 h 2258"/>
                <a:gd name="T16" fmla="*/ 2147483647 w 1838"/>
                <a:gd name="T17" fmla="*/ 2147483647 h 2258"/>
                <a:gd name="T18" fmla="*/ 2147483647 w 1838"/>
                <a:gd name="T19" fmla="*/ 2147483647 h 2258"/>
                <a:gd name="T20" fmla="*/ 2147483647 w 1838"/>
                <a:gd name="T21" fmla="*/ 2147483647 h 2258"/>
                <a:gd name="T22" fmla="*/ 2147483647 w 1838"/>
                <a:gd name="T23" fmla="*/ 2147483647 h 2258"/>
                <a:gd name="T24" fmla="*/ 2147483647 w 1838"/>
                <a:gd name="T25" fmla="*/ 2147483647 h 2258"/>
                <a:gd name="T26" fmla="*/ 2147483647 w 1838"/>
                <a:gd name="T27" fmla="*/ 2147483647 h 2258"/>
                <a:gd name="T28" fmla="*/ 2147483647 w 1838"/>
                <a:gd name="T29" fmla="*/ 2147483647 h 2258"/>
                <a:gd name="T30" fmla="*/ 2147483647 w 1838"/>
                <a:gd name="T31" fmla="*/ 2147483647 h 2258"/>
                <a:gd name="T32" fmla="*/ 2147483647 w 1838"/>
                <a:gd name="T33" fmla="*/ 2147483647 h 2258"/>
                <a:gd name="T34" fmla="*/ 2147483647 w 1838"/>
                <a:gd name="T35" fmla="*/ 2147483647 h 2258"/>
                <a:gd name="T36" fmla="*/ 2147483647 w 1838"/>
                <a:gd name="T37" fmla="*/ 2147483647 h 2258"/>
                <a:gd name="T38" fmla="*/ 2147483647 w 1838"/>
                <a:gd name="T39" fmla="*/ 2147483647 h 2258"/>
                <a:gd name="T40" fmla="*/ 2147483647 w 1838"/>
                <a:gd name="T41" fmla="*/ 2147483647 h 2258"/>
                <a:gd name="T42" fmla="*/ 2147483647 w 1838"/>
                <a:gd name="T43" fmla="*/ 2147483647 h 2258"/>
                <a:gd name="T44" fmla="*/ 2147483647 w 1838"/>
                <a:gd name="T45" fmla="*/ 2147483647 h 2258"/>
                <a:gd name="T46" fmla="*/ 2147483647 w 1838"/>
                <a:gd name="T47" fmla="*/ 2147483647 h 2258"/>
                <a:gd name="T48" fmla="*/ 2147483647 w 1838"/>
                <a:gd name="T49" fmla="*/ 2147483647 h 2258"/>
                <a:gd name="T50" fmla="*/ 2147483647 w 1838"/>
                <a:gd name="T51" fmla="*/ 2147483647 h 2258"/>
                <a:gd name="T52" fmla="*/ 2147483647 w 1838"/>
                <a:gd name="T53" fmla="*/ 2147483647 h 2258"/>
                <a:gd name="T54" fmla="*/ 2147483647 w 1838"/>
                <a:gd name="T55" fmla="*/ 2147483647 h 2258"/>
                <a:gd name="T56" fmla="*/ 2147483647 w 1838"/>
                <a:gd name="T57" fmla="*/ 2147483647 h 2258"/>
                <a:gd name="T58" fmla="*/ 2147483647 w 1838"/>
                <a:gd name="T59" fmla="*/ 2147483647 h 2258"/>
                <a:gd name="T60" fmla="*/ 2147483647 w 1838"/>
                <a:gd name="T61" fmla="*/ 2147483647 h 2258"/>
                <a:gd name="T62" fmla="*/ 2147483647 w 1838"/>
                <a:gd name="T63" fmla="*/ 2147483647 h 2258"/>
                <a:gd name="T64" fmla="*/ 2147483647 w 1838"/>
                <a:gd name="T65" fmla="*/ 2147483647 h 2258"/>
                <a:gd name="T66" fmla="*/ 2147483647 w 1838"/>
                <a:gd name="T67" fmla="*/ 2147483647 h 2258"/>
                <a:gd name="T68" fmla="*/ 2147483647 w 1838"/>
                <a:gd name="T69" fmla="*/ 2147483647 h 2258"/>
                <a:gd name="T70" fmla="*/ 2147483647 w 1838"/>
                <a:gd name="T71" fmla="*/ 2147483647 h 2258"/>
                <a:gd name="T72" fmla="*/ 2147483647 w 1838"/>
                <a:gd name="T73" fmla="*/ 2147483647 h 2258"/>
                <a:gd name="T74" fmla="*/ 2147483647 w 1838"/>
                <a:gd name="T75" fmla="*/ 2147483647 h 2258"/>
                <a:gd name="T76" fmla="*/ 2147483647 w 1838"/>
                <a:gd name="T77" fmla="*/ 2147483647 h 2258"/>
                <a:gd name="T78" fmla="*/ 2147483647 w 1838"/>
                <a:gd name="T79" fmla="*/ 2147483647 h 2258"/>
                <a:gd name="T80" fmla="*/ 2147483647 w 1838"/>
                <a:gd name="T81" fmla="*/ 2147483647 h 2258"/>
                <a:gd name="T82" fmla="*/ 2147483647 w 1838"/>
                <a:gd name="T83" fmla="*/ 2147483647 h 2258"/>
                <a:gd name="T84" fmla="*/ 2147483647 w 1838"/>
                <a:gd name="T85" fmla="*/ 2147483647 h 2258"/>
                <a:gd name="T86" fmla="*/ 2147483647 w 1838"/>
                <a:gd name="T87" fmla="*/ 2147483647 h 2258"/>
                <a:gd name="T88" fmla="*/ 2147483647 w 1838"/>
                <a:gd name="T89" fmla="*/ 2147483647 h 2258"/>
                <a:gd name="T90" fmla="*/ 2147483647 w 1838"/>
                <a:gd name="T91" fmla="*/ 2147483647 h 2258"/>
                <a:gd name="T92" fmla="*/ 2147483647 w 1838"/>
                <a:gd name="T93" fmla="*/ 2147483647 h 2258"/>
                <a:gd name="T94" fmla="*/ 2147483647 w 1838"/>
                <a:gd name="T95" fmla="*/ 2147483647 h 2258"/>
                <a:gd name="T96" fmla="*/ 2147483647 w 1838"/>
                <a:gd name="T97" fmla="*/ 2147483647 h 2258"/>
                <a:gd name="T98" fmla="*/ 2147483647 w 1838"/>
                <a:gd name="T99" fmla="*/ 2147483647 h 2258"/>
                <a:gd name="T100" fmla="*/ 2147483647 w 1838"/>
                <a:gd name="T101" fmla="*/ 2147483647 h 2258"/>
                <a:gd name="T102" fmla="*/ 2147483647 w 1838"/>
                <a:gd name="T103" fmla="*/ 2147483647 h 2258"/>
                <a:gd name="T104" fmla="*/ 2147483647 w 1838"/>
                <a:gd name="T105" fmla="*/ 2147483647 h 2258"/>
                <a:gd name="T106" fmla="*/ 2147483647 w 1838"/>
                <a:gd name="T107" fmla="*/ 2147483647 h 2258"/>
                <a:gd name="T108" fmla="*/ 2147483647 w 1838"/>
                <a:gd name="T109" fmla="*/ 2147483647 h 2258"/>
                <a:gd name="T110" fmla="*/ 2147483647 w 1838"/>
                <a:gd name="T111" fmla="*/ 2147483647 h 2258"/>
                <a:gd name="T112" fmla="*/ 2147483647 w 1838"/>
                <a:gd name="T113" fmla="*/ 2147483647 h 2258"/>
                <a:gd name="T114" fmla="*/ 2147483647 w 1838"/>
                <a:gd name="T115" fmla="*/ 2147483647 h 2258"/>
                <a:gd name="T116" fmla="*/ 2147483647 w 1838"/>
                <a:gd name="T117" fmla="*/ 2147483647 h 2258"/>
                <a:gd name="T118" fmla="*/ 2147483647 w 1838"/>
                <a:gd name="T119" fmla="*/ 2147483647 h 225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1838"/>
                <a:gd name="T181" fmla="*/ 0 h 2258"/>
                <a:gd name="T182" fmla="*/ 1838 w 1838"/>
                <a:gd name="T183" fmla="*/ 2258 h 225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1838" h="2258">
                  <a:moveTo>
                    <a:pt x="1838" y="773"/>
                  </a:moveTo>
                  <a:lnTo>
                    <a:pt x="1745" y="708"/>
                  </a:lnTo>
                  <a:lnTo>
                    <a:pt x="1653" y="644"/>
                  </a:lnTo>
                  <a:lnTo>
                    <a:pt x="1560" y="579"/>
                  </a:lnTo>
                  <a:lnTo>
                    <a:pt x="1467" y="515"/>
                  </a:lnTo>
                  <a:lnTo>
                    <a:pt x="1374" y="451"/>
                  </a:lnTo>
                  <a:lnTo>
                    <a:pt x="1281" y="386"/>
                  </a:lnTo>
                  <a:lnTo>
                    <a:pt x="1189" y="322"/>
                  </a:lnTo>
                  <a:lnTo>
                    <a:pt x="1096" y="258"/>
                  </a:lnTo>
                  <a:lnTo>
                    <a:pt x="1003" y="193"/>
                  </a:lnTo>
                  <a:lnTo>
                    <a:pt x="910" y="129"/>
                  </a:lnTo>
                  <a:lnTo>
                    <a:pt x="817" y="64"/>
                  </a:lnTo>
                  <a:lnTo>
                    <a:pt x="725" y="0"/>
                  </a:lnTo>
                  <a:lnTo>
                    <a:pt x="697" y="41"/>
                  </a:lnTo>
                  <a:lnTo>
                    <a:pt x="669" y="82"/>
                  </a:lnTo>
                  <a:lnTo>
                    <a:pt x="642" y="124"/>
                  </a:lnTo>
                  <a:lnTo>
                    <a:pt x="616" y="165"/>
                  </a:lnTo>
                  <a:lnTo>
                    <a:pt x="590" y="208"/>
                  </a:lnTo>
                  <a:lnTo>
                    <a:pt x="564" y="250"/>
                  </a:lnTo>
                  <a:lnTo>
                    <a:pt x="540" y="293"/>
                  </a:lnTo>
                  <a:lnTo>
                    <a:pt x="515" y="336"/>
                  </a:lnTo>
                  <a:lnTo>
                    <a:pt x="491" y="379"/>
                  </a:lnTo>
                  <a:lnTo>
                    <a:pt x="468" y="423"/>
                  </a:lnTo>
                  <a:lnTo>
                    <a:pt x="445" y="467"/>
                  </a:lnTo>
                  <a:lnTo>
                    <a:pt x="423" y="511"/>
                  </a:lnTo>
                  <a:lnTo>
                    <a:pt x="401" y="556"/>
                  </a:lnTo>
                  <a:lnTo>
                    <a:pt x="380" y="601"/>
                  </a:lnTo>
                  <a:lnTo>
                    <a:pt x="359" y="646"/>
                  </a:lnTo>
                  <a:lnTo>
                    <a:pt x="339" y="691"/>
                  </a:lnTo>
                  <a:lnTo>
                    <a:pt x="320" y="736"/>
                  </a:lnTo>
                  <a:lnTo>
                    <a:pt x="301" y="782"/>
                  </a:lnTo>
                  <a:lnTo>
                    <a:pt x="282" y="828"/>
                  </a:lnTo>
                  <a:lnTo>
                    <a:pt x="264" y="874"/>
                  </a:lnTo>
                  <a:lnTo>
                    <a:pt x="247" y="921"/>
                  </a:lnTo>
                  <a:lnTo>
                    <a:pt x="230" y="967"/>
                  </a:lnTo>
                  <a:lnTo>
                    <a:pt x="214" y="1014"/>
                  </a:lnTo>
                  <a:lnTo>
                    <a:pt x="199" y="1061"/>
                  </a:lnTo>
                  <a:lnTo>
                    <a:pt x="183" y="1108"/>
                  </a:lnTo>
                  <a:lnTo>
                    <a:pt x="169" y="1156"/>
                  </a:lnTo>
                  <a:lnTo>
                    <a:pt x="155" y="1203"/>
                  </a:lnTo>
                  <a:lnTo>
                    <a:pt x="142" y="1251"/>
                  </a:lnTo>
                  <a:lnTo>
                    <a:pt x="129" y="1299"/>
                  </a:lnTo>
                  <a:lnTo>
                    <a:pt x="117" y="1347"/>
                  </a:lnTo>
                  <a:lnTo>
                    <a:pt x="106" y="1395"/>
                  </a:lnTo>
                  <a:lnTo>
                    <a:pt x="95" y="1443"/>
                  </a:lnTo>
                  <a:lnTo>
                    <a:pt x="84" y="1492"/>
                  </a:lnTo>
                  <a:lnTo>
                    <a:pt x="75" y="1540"/>
                  </a:lnTo>
                  <a:lnTo>
                    <a:pt x="65" y="1589"/>
                  </a:lnTo>
                  <a:lnTo>
                    <a:pt x="57" y="1638"/>
                  </a:lnTo>
                  <a:lnTo>
                    <a:pt x="49" y="1687"/>
                  </a:lnTo>
                  <a:lnTo>
                    <a:pt x="41" y="1736"/>
                  </a:lnTo>
                  <a:lnTo>
                    <a:pt x="35" y="1785"/>
                  </a:lnTo>
                  <a:lnTo>
                    <a:pt x="28" y="1834"/>
                  </a:lnTo>
                  <a:lnTo>
                    <a:pt x="23" y="1883"/>
                  </a:lnTo>
                  <a:lnTo>
                    <a:pt x="18" y="1932"/>
                  </a:lnTo>
                  <a:lnTo>
                    <a:pt x="13" y="1982"/>
                  </a:lnTo>
                  <a:lnTo>
                    <a:pt x="10" y="2031"/>
                  </a:lnTo>
                  <a:lnTo>
                    <a:pt x="6" y="2080"/>
                  </a:lnTo>
                  <a:lnTo>
                    <a:pt x="4" y="2130"/>
                  </a:lnTo>
                  <a:lnTo>
                    <a:pt x="2" y="2179"/>
                  </a:lnTo>
                  <a:lnTo>
                    <a:pt x="0" y="2229"/>
                  </a:lnTo>
                  <a:lnTo>
                    <a:pt x="113" y="2231"/>
                  </a:lnTo>
                  <a:lnTo>
                    <a:pt x="226" y="2234"/>
                  </a:lnTo>
                  <a:lnTo>
                    <a:pt x="339" y="2236"/>
                  </a:lnTo>
                  <a:lnTo>
                    <a:pt x="452" y="2239"/>
                  </a:lnTo>
                  <a:lnTo>
                    <a:pt x="565" y="2241"/>
                  </a:lnTo>
                  <a:lnTo>
                    <a:pt x="678" y="2243"/>
                  </a:lnTo>
                  <a:lnTo>
                    <a:pt x="791" y="2246"/>
                  </a:lnTo>
                  <a:lnTo>
                    <a:pt x="904" y="2248"/>
                  </a:lnTo>
                  <a:lnTo>
                    <a:pt x="1017" y="2251"/>
                  </a:lnTo>
                  <a:lnTo>
                    <a:pt x="1130" y="2253"/>
                  </a:lnTo>
                  <a:lnTo>
                    <a:pt x="1242" y="2256"/>
                  </a:lnTo>
                  <a:lnTo>
                    <a:pt x="1355" y="2258"/>
                  </a:lnTo>
                  <a:lnTo>
                    <a:pt x="1356" y="2225"/>
                  </a:lnTo>
                  <a:lnTo>
                    <a:pt x="1358" y="2192"/>
                  </a:lnTo>
                  <a:lnTo>
                    <a:pt x="1359" y="2159"/>
                  </a:lnTo>
                  <a:lnTo>
                    <a:pt x="1361" y="2126"/>
                  </a:lnTo>
                  <a:lnTo>
                    <a:pt x="1364" y="2094"/>
                  </a:lnTo>
                  <a:lnTo>
                    <a:pt x="1367" y="2061"/>
                  </a:lnTo>
                  <a:lnTo>
                    <a:pt x="1370" y="2028"/>
                  </a:lnTo>
                  <a:lnTo>
                    <a:pt x="1374" y="1995"/>
                  </a:lnTo>
                  <a:lnTo>
                    <a:pt x="1378" y="1962"/>
                  </a:lnTo>
                  <a:lnTo>
                    <a:pt x="1383" y="1930"/>
                  </a:lnTo>
                  <a:lnTo>
                    <a:pt x="1388" y="1897"/>
                  </a:lnTo>
                  <a:lnTo>
                    <a:pt x="1393" y="1864"/>
                  </a:lnTo>
                  <a:lnTo>
                    <a:pt x="1399" y="1832"/>
                  </a:lnTo>
                  <a:lnTo>
                    <a:pt x="1405" y="1799"/>
                  </a:lnTo>
                  <a:lnTo>
                    <a:pt x="1411" y="1767"/>
                  </a:lnTo>
                  <a:lnTo>
                    <a:pt x="1418" y="1735"/>
                  </a:lnTo>
                  <a:lnTo>
                    <a:pt x="1425" y="1702"/>
                  </a:lnTo>
                  <a:lnTo>
                    <a:pt x="1433" y="1670"/>
                  </a:lnTo>
                  <a:lnTo>
                    <a:pt x="1441" y="1638"/>
                  </a:lnTo>
                  <a:lnTo>
                    <a:pt x="1450" y="1606"/>
                  </a:lnTo>
                  <a:lnTo>
                    <a:pt x="1459" y="1575"/>
                  </a:lnTo>
                  <a:lnTo>
                    <a:pt x="1468" y="1543"/>
                  </a:lnTo>
                  <a:lnTo>
                    <a:pt x="1477" y="1511"/>
                  </a:lnTo>
                  <a:lnTo>
                    <a:pt x="1487" y="1480"/>
                  </a:lnTo>
                  <a:lnTo>
                    <a:pt x="1498" y="1449"/>
                  </a:lnTo>
                  <a:lnTo>
                    <a:pt x="1509" y="1417"/>
                  </a:lnTo>
                  <a:lnTo>
                    <a:pt x="1520" y="1386"/>
                  </a:lnTo>
                  <a:lnTo>
                    <a:pt x="1531" y="1355"/>
                  </a:lnTo>
                  <a:lnTo>
                    <a:pt x="1543" y="1325"/>
                  </a:lnTo>
                  <a:lnTo>
                    <a:pt x="1555" y="1294"/>
                  </a:lnTo>
                  <a:lnTo>
                    <a:pt x="1568" y="1263"/>
                  </a:lnTo>
                  <a:lnTo>
                    <a:pt x="1581" y="1233"/>
                  </a:lnTo>
                  <a:lnTo>
                    <a:pt x="1595" y="1203"/>
                  </a:lnTo>
                  <a:lnTo>
                    <a:pt x="1608" y="1173"/>
                  </a:lnTo>
                  <a:lnTo>
                    <a:pt x="1622" y="1143"/>
                  </a:lnTo>
                  <a:lnTo>
                    <a:pt x="1637" y="1113"/>
                  </a:lnTo>
                  <a:lnTo>
                    <a:pt x="1652" y="1084"/>
                  </a:lnTo>
                  <a:lnTo>
                    <a:pt x="1667" y="1055"/>
                  </a:lnTo>
                  <a:lnTo>
                    <a:pt x="1683" y="1025"/>
                  </a:lnTo>
                  <a:lnTo>
                    <a:pt x="1698" y="996"/>
                  </a:lnTo>
                  <a:lnTo>
                    <a:pt x="1715" y="968"/>
                  </a:lnTo>
                  <a:lnTo>
                    <a:pt x="1731" y="939"/>
                  </a:lnTo>
                  <a:lnTo>
                    <a:pt x="1748" y="911"/>
                  </a:lnTo>
                  <a:lnTo>
                    <a:pt x="1766" y="883"/>
                  </a:lnTo>
                  <a:lnTo>
                    <a:pt x="1783" y="855"/>
                  </a:lnTo>
                  <a:lnTo>
                    <a:pt x="1801" y="827"/>
                  </a:lnTo>
                  <a:lnTo>
                    <a:pt x="1820" y="800"/>
                  </a:lnTo>
                  <a:lnTo>
                    <a:pt x="1838" y="773"/>
                  </a:lnTo>
                </a:path>
              </a:pathLst>
            </a:custGeom>
            <a:solidFill>
              <a:srgbClr val="FF3333"/>
            </a:solidFill>
            <a:ln w="25400">
              <a:solidFill>
                <a:srgbClr val="262626"/>
              </a:solidFill>
              <a:prstDash val="solid"/>
              <a:round/>
              <a:headEnd/>
              <a:tailEnd/>
            </a:ln>
          </xdr:spPr>
        </xdr:sp>
        <xdr:sp macro="" textlink="">
          <xdr:nvSpPr>
            <xdr:cNvPr id="19" name="Freeform 383"/>
            <xdr:cNvSpPr>
              <a:spLocks/>
            </xdr:cNvSpPr>
          </xdr:nvSpPr>
          <xdr:spPr bwMode="auto">
            <a:xfrm>
              <a:off x="565940" y="1258057"/>
              <a:ext cx="1054698" cy="991636"/>
            </a:xfrm>
            <a:custGeom>
              <a:avLst/>
              <a:gdLst>
                <a:gd name="T0" fmla="*/ 2147483647 w 2343"/>
                <a:gd name="T1" fmla="*/ 2147483647 h 2198"/>
                <a:gd name="T2" fmla="*/ 2147483647 w 2343"/>
                <a:gd name="T3" fmla="*/ 2147483647 h 2198"/>
                <a:gd name="T4" fmla="*/ 2147483647 w 2343"/>
                <a:gd name="T5" fmla="*/ 2147483647 h 2198"/>
                <a:gd name="T6" fmla="*/ 2147483647 w 2343"/>
                <a:gd name="T7" fmla="*/ 2147483647 h 2198"/>
                <a:gd name="T8" fmla="*/ 2147483647 w 2343"/>
                <a:gd name="T9" fmla="*/ 2147483647 h 2198"/>
                <a:gd name="T10" fmla="*/ 2147483647 w 2343"/>
                <a:gd name="T11" fmla="*/ 2147483647 h 2198"/>
                <a:gd name="T12" fmla="*/ 2147483647 w 2343"/>
                <a:gd name="T13" fmla="*/ 2147483647 h 2198"/>
                <a:gd name="T14" fmla="*/ 2147483647 w 2343"/>
                <a:gd name="T15" fmla="*/ 2147483647 h 2198"/>
                <a:gd name="T16" fmla="*/ 2147483647 w 2343"/>
                <a:gd name="T17" fmla="*/ 2147483647 h 2198"/>
                <a:gd name="T18" fmla="*/ 2147483647 w 2343"/>
                <a:gd name="T19" fmla="*/ 2147483647 h 2198"/>
                <a:gd name="T20" fmla="*/ 2147483647 w 2343"/>
                <a:gd name="T21" fmla="*/ 2147483647 h 2198"/>
                <a:gd name="T22" fmla="*/ 2147483647 w 2343"/>
                <a:gd name="T23" fmla="*/ 2147483647 h 2198"/>
                <a:gd name="T24" fmla="*/ 2147483647 w 2343"/>
                <a:gd name="T25" fmla="*/ 2147483647 h 2198"/>
                <a:gd name="T26" fmla="*/ 2147483647 w 2343"/>
                <a:gd name="T27" fmla="*/ 2147483647 h 2198"/>
                <a:gd name="T28" fmla="*/ 2147483647 w 2343"/>
                <a:gd name="T29" fmla="*/ 2147483647 h 2198"/>
                <a:gd name="T30" fmla="*/ 2147483647 w 2343"/>
                <a:gd name="T31" fmla="*/ 2147483647 h 2198"/>
                <a:gd name="T32" fmla="*/ 2147483647 w 2343"/>
                <a:gd name="T33" fmla="*/ 2147483647 h 2198"/>
                <a:gd name="T34" fmla="*/ 2147483647 w 2343"/>
                <a:gd name="T35" fmla="*/ 2147483647 h 2198"/>
                <a:gd name="T36" fmla="*/ 2147483647 w 2343"/>
                <a:gd name="T37" fmla="*/ 2147483647 h 2198"/>
                <a:gd name="T38" fmla="*/ 2147483647 w 2343"/>
                <a:gd name="T39" fmla="*/ 2147483647 h 2198"/>
                <a:gd name="T40" fmla="*/ 2147483647 w 2343"/>
                <a:gd name="T41" fmla="*/ 2147483647 h 2198"/>
                <a:gd name="T42" fmla="*/ 2147483647 w 2343"/>
                <a:gd name="T43" fmla="*/ 2147483647 h 2198"/>
                <a:gd name="T44" fmla="*/ 2147483647 w 2343"/>
                <a:gd name="T45" fmla="*/ 2147483647 h 2198"/>
                <a:gd name="T46" fmla="*/ 2147483647 w 2343"/>
                <a:gd name="T47" fmla="*/ 2147483647 h 2198"/>
                <a:gd name="T48" fmla="*/ 2147483647 w 2343"/>
                <a:gd name="T49" fmla="*/ 2147483647 h 2198"/>
                <a:gd name="T50" fmla="*/ 2147483647 w 2343"/>
                <a:gd name="T51" fmla="*/ 2147483647 h 2198"/>
                <a:gd name="T52" fmla="*/ 2147483647 w 2343"/>
                <a:gd name="T53" fmla="*/ 2147483647 h 2198"/>
                <a:gd name="T54" fmla="*/ 2147483647 w 2343"/>
                <a:gd name="T55" fmla="*/ 2147483647 h 2198"/>
                <a:gd name="T56" fmla="*/ 2147483647 w 2343"/>
                <a:gd name="T57" fmla="*/ 2147483647 h 2198"/>
                <a:gd name="T58" fmla="*/ 2147483647 w 2343"/>
                <a:gd name="T59" fmla="*/ 2147483647 h 2198"/>
                <a:gd name="T60" fmla="*/ 2147483647 w 2343"/>
                <a:gd name="T61" fmla="*/ 2147483647 h 2198"/>
                <a:gd name="T62" fmla="*/ 2147483647 w 2343"/>
                <a:gd name="T63" fmla="*/ 2147483647 h 2198"/>
                <a:gd name="T64" fmla="*/ 2147483647 w 2343"/>
                <a:gd name="T65" fmla="*/ 2147483647 h 2198"/>
                <a:gd name="T66" fmla="*/ 2147483647 w 2343"/>
                <a:gd name="T67" fmla="*/ 2147483647 h 2198"/>
                <a:gd name="T68" fmla="*/ 2147483647 w 2343"/>
                <a:gd name="T69" fmla="*/ 2147483647 h 2198"/>
                <a:gd name="T70" fmla="*/ 2147483647 w 2343"/>
                <a:gd name="T71" fmla="*/ 2147483647 h 2198"/>
                <a:gd name="T72" fmla="*/ 2147483647 w 2343"/>
                <a:gd name="T73" fmla="*/ 2147483647 h 2198"/>
                <a:gd name="T74" fmla="*/ 2147483647 w 2343"/>
                <a:gd name="T75" fmla="*/ 2147483647 h 2198"/>
                <a:gd name="T76" fmla="*/ 2147483647 w 2343"/>
                <a:gd name="T77" fmla="*/ 2147483647 h 2198"/>
                <a:gd name="T78" fmla="*/ 2147483647 w 2343"/>
                <a:gd name="T79" fmla="*/ 2147483647 h 2198"/>
                <a:gd name="T80" fmla="*/ 2147483647 w 2343"/>
                <a:gd name="T81" fmla="*/ 2147483647 h 2198"/>
                <a:gd name="T82" fmla="*/ 2147483647 w 2343"/>
                <a:gd name="T83" fmla="*/ 2147483647 h 2198"/>
                <a:gd name="T84" fmla="*/ 2147483647 w 2343"/>
                <a:gd name="T85" fmla="*/ 2147483647 h 2198"/>
                <a:gd name="T86" fmla="*/ 2147483647 w 2343"/>
                <a:gd name="T87" fmla="*/ 2147483647 h 2198"/>
                <a:gd name="T88" fmla="*/ 2147483647 w 2343"/>
                <a:gd name="T89" fmla="*/ 2147483647 h 2198"/>
                <a:gd name="T90" fmla="*/ 2147483647 w 2343"/>
                <a:gd name="T91" fmla="*/ 2147483647 h 2198"/>
                <a:gd name="T92" fmla="*/ 2147483647 w 2343"/>
                <a:gd name="T93" fmla="*/ 2147483647 h 2198"/>
                <a:gd name="T94" fmla="*/ 2147483647 w 2343"/>
                <a:gd name="T95" fmla="*/ 2147483647 h 2198"/>
                <a:gd name="T96" fmla="*/ 2147483647 w 2343"/>
                <a:gd name="T97" fmla="*/ 2147483647 h 2198"/>
                <a:gd name="T98" fmla="*/ 2147483647 w 2343"/>
                <a:gd name="T99" fmla="*/ 2147483647 h 2198"/>
                <a:gd name="T100" fmla="*/ 2147483647 w 2343"/>
                <a:gd name="T101" fmla="*/ 2147483647 h 2198"/>
                <a:gd name="T102" fmla="*/ 2147483647 w 2343"/>
                <a:gd name="T103" fmla="*/ 2147483647 h 2198"/>
                <a:gd name="T104" fmla="*/ 2147483647 w 2343"/>
                <a:gd name="T105" fmla="*/ 2147483647 h 2198"/>
                <a:gd name="T106" fmla="*/ 2147483647 w 2343"/>
                <a:gd name="T107" fmla="*/ 2147483647 h 2198"/>
                <a:gd name="T108" fmla="*/ 2147483647 w 2343"/>
                <a:gd name="T109" fmla="*/ 2147483647 h 2198"/>
                <a:gd name="T110" fmla="*/ 2147483647 w 2343"/>
                <a:gd name="T111" fmla="*/ 2147483647 h 2198"/>
                <a:gd name="T112" fmla="*/ 2147483647 w 2343"/>
                <a:gd name="T113" fmla="*/ 2147483647 h 2198"/>
                <a:gd name="T114" fmla="*/ 2147483647 w 2343"/>
                <a:gd name="T115" fmla="*/ 2147483647 h 2198"/>
                <a:gd name="T116" fmla="*/ 2147483647 w 2343"/>
                <a:gd name="T117" fmla="*/ 2147483647 h 2198"/>
                <a:gd name="T118" fmla="*/ 2147483647 w 2343"/>
                <a:gd name="T119" fmla="*/ 2147483647 h 219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3"/>
                <a:gd name="T181" fmla="*/ 0 h 2198"/>
                <a:gd name="T182" fmla="*/ 2343 w 2343"/>
                <a:gd name="T183" fmla="*/ 2198 h 219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3" h="2198">
                  <a:moveTo>
                    <a:pt x="2343" y="1280"/>
                  </a:moveTo>
                  <a:lnTo>
                    <a:pt x="2305" y="1173"/>
                  </a:lnTo>
                  <a:lnTo>
                    <a:pt x="2268" y="1066"/>
                  </a:lnTo>
                  <a:lnTo>
                    <a:pt x="2231" y="960"/>
                  </a:lnTo>
                  <a:lnTo>
                    <a:pt x="2194" y="853"/>
                  </a:lnTo>
                  <a:lnTo>
                    <a:pt x="2156" y="747"/>
                  </a:lnTo>
                  <a:lnTo>
                    <a:pt x="2119" y="640"/>
                  </a:lnTo>
                  <a:lnTo>
                    <a:pt x="2082" y="533"/>
                  </a:lnTo>
                  <a:lnTo>
                    <a:pt x="2045" y="427"/>
                  </a:lnTo>
                  <a:lnTo>
                    <a:pt x="2007" y="320"/>
                  </a:lnTo>
                  <a:lnTo>
                    <a:pt x="1970" y="213"/>
                  </a:lnTo>
                  <a:lnTo>
                    <a:pt x="1933" y="107"/>
                  </a:lnTo>
                  <a:lnTo>
                    <a:pt x="1896" y="0"/>
                  </a:lnTo>
                  <a:lnTo>
                    <a:pt x="1849" y="17"/>
                  </a:lnTo>
                  <a:lnTo>
                    <a:pt x="1803" y="34"/>
                  </a:lnTo>
                  <a:lnTo>
                    <a:pt x="1757" y="52"/>
                  </a:lnTo>
                  <a:lnTo>
                    <a:pt x="1711" y="70"/>
                  </a:lnTo>
                  <a:lnTo>
                    <a:pt x="1665" y="89"/>
                  </a:lnTo>
                  <a:lnTo>
                    <a:pt x="1619" y="108"/>
                  </a:lnTo>
                  <a:lnTo>
                    <a:pt x="1574" y="128"/>
                  </a:lnTo>
                  <a:lnTo>
                    <a:pt x="1529" y="149"/>
                  </a:lnTo>
                  <a:lnTo>
                    <a:pt x="1484" y="170"/>
                  </a:lnTo>
                  <a:lnTo>
                    <a:pt x="1439" y="192"/>
                  </a:lnTo>
                  <a:lnTo>
                    <a:pt x="1395" y="214"/>
                  </a:lnTo>
                  <a:lnTo>
                    <a:pt x="1351" y="236"/>
                  </a:lnTo>
                  <a:lnTo>
                    <a:pt x="1307" y="260"/>
                  </a:lnTo>
                  <a:lnTo>
                    <a:pt x="1264" y="283"/>
                  </a:lnTo>
                  <a:lnTo>
                    <a:pt x="1221" y="308"/>
                  </a:lnTo>
                  <a:lnTo>
                    <a:pt x="1178" y="333"/>
                  </a:lnTo>
                  <a:lnTo>
                    <a:pt x="1135" y="358"/>
                  </a:lnTo>
                  <a:lnTo>
                    <a:pt x="1093" y="384"/>
                  </a:lnTo>
                  <a:lnTo>
                    <a:pt x="1051" y="410"/>
                  </a:lnTo>
                  <a:lnTo>
                    <a:pt x="1009" y="437"/>
                  </a:lnTo>
                  <a:lnTo>
                    <a:pt x="968" y="464"/>
                  </a:lnTo>
                  <a:lnTo>
                    <a:pt x="927" y="492"/>
                  </a:lnTo>
                  <a:lnTo>
                    <a:pt x="887" y="520"/>
                  </a:lnTo>
                  <a:lnTo>
                    <a:pt x="846" y="549"/>
                  </a:lnTo>
                  <a:lnTo>
                    <a:pt x="807" y="579"/>
                  </a:lnTo>
                  <a:lnTo>
                    <a:pt x="767" y="609"/>
                  </a:lnTo>
                  <a:lnTo>
                    <a:pt x="728" y="639"/>
                  </a:lnTo>
                  <a:lnTo>
                    <a:pt x="689" y="670"/>
                  </a:lnTo>
                  <a:lnTo>
                    <a:pt x="651" y="701"/>
                  </a:lnTo>
                  <a:lnTo>
                    <a:pt x="613" y="733"/>
                  </a:lnTo>
                  <a:lnTo>
                    <a:pt x="575" y="765"/>
                  </a:lnTo>
                  <a:lnTo>
                    <a:pt x="538" y="797"/>
                  </a:lnTo>
                  <a:lnTo>
                    <a:pt x="501" y="831"/>
                  </a:lnTo>
                  <a:lnTo>
                    <a:pt x="465" y="864"/>
                  </a:lnTo>
                  <a:lnTo>
                    <a:pt x="428" y="898"/>
                  </a:lnTo>
                  <a:lnTo>
                    <a:pt x="393" y="933"/>
                  </a:lnTo>
                  <a:lnTo>
                    <a:pt x="358" y="967"/>
                  </a:lnTo>
                  <a:lnTo>
                    <a:pt x="323" y="1003"/>
                  </a:lnTo>
                  <a:lnTo>
                    <a:pt x="289" y="1038"/>
                  </a:lnTo>
                  <a:lnTo>
                    <a:pt x="255" y="1075"/>
                  </a:lnTo>
                  <a:lnTo>
                    <a:pt x="221" y="1111"/>
                  </a:lnTo>
                  <a:lnTo>
                    <a:pt x="188" y="1148"/>
                  </a:lnTo>
                  <a:lnTo>
                    <a:pt x="156" y="1185"/>
                  </a:lnTo>
                  <a:lnTo>
                    <a:pt x="124" y="1223"/>
                  </a:lnTo>
                  <a:lnTo>
                    <a:pt x="92" y="1261"/>
                  </a:lnTo>
                  <a:lnTo>
                    <a:pt x="61" y="1300"/>
                  </a:lnTo>
                  <a:lnTo>
                    <a:pt x="30" y="1338"/>
                  </a:lnTo>
                  <a:lnTo>
                    <a:pt x="0" y="1378"/>
                  </a:lnTo>
                  <a:lnTo>
                    <a:pt x="90" y="1446"/>
                  </a:lnTo>
                  <a:lnTo>
                    <a:pt x="180" y="1514"/>
                  </a:lnTo>
                  <a:lnTo>
                    <a:pt x="270" y="1583"/>
                  </a:lnTo>
                  <a:lnTo>
                    <a:pt x="359" y="1651"/>
                  </a:lnTo>
                  <a:lnTo>
                    <a:pt x="449" y="1719"/>
                  </a:lnTo>
                  <a:lnTo>
                    <a:pt x="539" y="1788"/>
                  </a:lnTo>
                  <a:lnTo>
                    <a:pt x="629" y="1856"/>
                  </a:lnTo>
                  <a:lnTo>
                    <a:pt x="719" y="1924"/>
                  </a:lnTo>
                  <a:lnTo>
                    <a:pt x="809" y="1993"/>
                  </a:lnTo>
                  <a:lnTo>
                    <a:pt x="899" y="2061"/>
                  </a:lnTo>
                  <a:lnTo>
                    <a:pt x="989" y="2130"/>
                  </a:lnTo>
                  <a:lnTo>
                    <a:pt x="1079" y="2198"/>
                  </a:lnTo>
                  <a:lnTo>
                    <a:pt x="1099" y="2172"/>
                  </a:lnTo>
                  <a:lnTo>
                    <a:pt x="1119" y="2146"/>
                  </a:lnTo>
                  <a:lnTo>
                    <a:pt x="1140" y="2120"/>
                  </a:lnTo>
                  <a:lnTo>
                    <a:pt x="1161" y="2095"/>
                  </a:lnTo>
                  <a:lnTo>
                    <a:pt x="1182" y="2070"/>
                  </a:lnTo>
                  <a:lnTo>
                    <a:pt x="1204" y="2045"/>
                  </a:lnTo>
                  <a:lnTo>
                    <a:pt x="1226" y="2020"/>
                  </a:lnTo>
                  <a:lnTo>
                    <a:pt x="1248" y="1996"/>
                  </a:lnTo>
                  <a:lnTo>
                    <a:pt x="1271" y="1972"/>
                  </a:lnTo>
                  <a:lnTo>
                    <a:pt x="1294" y="1948"/>
                  </a:lnTo>
                  <a:lnTo>
                    <a:pt x="1317" y="1924"/>
                  </a:lnTo>
                  <a:lnTo>
                    <a:pt x="1341" y="1901"/>
                  </a:lnTo>
                  <a:lnTo>
                    <a:pt x="1364" y="1878"/>
                  </a:lnTo>
                  <a:lnTo>
                    <a:pt x="1388" y="1856"/>
                  </a:lnTo>
                  <a:lnTo>
                    <a:pt x="1413" y="1833"/>
                  </a:lnTo>
                  <a:lnTo>
                    <a:pt x="1437" y="1811"/>
                  </a:lnTo>
                  <a:lnTo>
                    <a:pt x="1462" y="1789"/>
                  </a:lnTo>
                  <a:lnTo>
                    <a:pt x="1487" y="1768"/>
                  </a:lnTo>
                  <a:lnTo>
                    <a:pt x="1513" y="1747"/>
                  </a:lnTo>
                  <a:lnTo>
                    <a:pt x="1538" y="1726"/>
                  </a:lnTo>
                  <a:lnTo>
                    <a:pt x="1564" y="1705"/>
                  </a:lnTo>
                  <a:lnTo>
                    <a:pt x="1590" y="1685"/>
                  </a:lnTo>
                  <a:lnTo>
                    <a:pt x="1616" y="1665"/>
                  </a:lnTo>
                  <a:lnTo>
                    <a:pt x="1643" y="1646"/>
                  </a:lnTo>
                  <a:lnTo>
                    <a:pt x="1670" y="1626"/>
                  </a:lnTo>
                  <a:lnTo>
                    <a:pt x="1697" y="1608"/>
                  </a:lnTo>
                  <a:lnTo>
                    <a:pt x="1724" y="1589"/>
                  </a:lnTo>
                  <a:lnTo>
                    <a:pt x="1752" y="1571"/>
                  </a:lnTo>
                  <a:lnTo>
                    <a:pt x="1779" y="1553"/>
                  </a:lnTo>
                  <a:lnTo>
                    <a:pt x="1807" y="1535"/>
                  </a:lnTo>
                  <a:lnTo>
                    <a:pt x="1836" y="1518"/>
                  </a:lnTo>
                  <a:lnTo>
                    <a:pt x="1864" y="1501"/>
                  </a:lnTo>
                  <a:lnTo>
                    <a:pt x="1892" y="1485"/>
                  </a:lnTo>
                  <a:lnTo>
                    <a:pt x="1921" y="1468"/>
                  </a:lnTo>
                  <a:lnTo>
                    <a:pt x="1950" y="1453"/>
                  </a:lnTo>
                  <a:lnTo>
                    <a:pt x="1979" y="1437"/>
                  </a:lnTo>
                  <a:lnTo>
                    <a:pt x="2009" y="1422"/>
                  </a:lnTo>
                  <a:lnTo>
                    <a:pt x="2038" y="1407"/>
                  </a:lnTo>
                  <a:lnTo>
                    <a:pt x="2068" y="1393"/>
                  </a:lnTo>
                  <a:lnTo>
                    <a:pt x="2098" y="1379"/>
                  </a:lnTo>
                  <a:lnTo>
                    <a:pt x="2128" y="1365"/>
                  </a:lnTo>
                  <a:lnTo>
                    <a:pt x="2158" y="1352"/>
                  </a:lnTo>
                  <a:lnTo>
                    <a:pt x="2189" y="1339"/>
                  </a:lnTo>
                  <a:lnTo>
                    <a:pt x="2219" y="1326"/>
                  </a:lnTo>
                  <a:lnTo>
                    <a:pt x="2250" y="1314"/>
                  </a:lnTo>
                  <a:lnTo>
                    <a:pt x="2281" y="1302"/>
                  </a:lnTo>
                  <a:lnTo>
                    <a:pt x="2311" y="1291"/>
                  </a:lnTo>
                  <a:lnTo>
                    <a:pt x="2343" y="1280"/>
                  </a:lnTo>
                </a:path>
              </a:pathLst>
            </a:custGeom>
            <a:solidFill>
              <a:srgbClr val="FFC229"/>
            </a:solidFill>
            <a:ln w="25400">
              <a:solidFill>
                <a:srgbClr val="262626"/>
              </a:solidFill>
              <a:prstDash val="solid"/>
              <a:round/>
              <a:headEnd/>
              <a:tailEnd/>
            </a:ln>
          </xdr:spPr>
        </xdr:sp>
      </xdr:grpSp>
      <xdr:graphicFrame macro="">
        <xdr:nvGraphicFramePr>
          <xdr:cNvPr id="9" name="Chart 2"/>
          <xdr:cNvGraphicFramePr>
            <a:graphicFrameLocks/>
          </xdr:cNvGraphicFramePr>
        </xdr:nvGraphicFramePr>
        <xdr:xfrm>
          <a:off x="2438770" y="3537723"/>
          <a:ext cx="4064454" cy="2720094"/>
        </xdr:xfrm>
        <a:graphic>
          <a:graphicData uri="http://schemas.openxmlformats.org/drawingml/2006/chart">
            <c:chart xmlns:c="http://schemas.openxmlformats.org/drawingml/2006/chart" xmlns:r="http://schemas.openxmlformats.org/officeDocument/2006/relationships" r:id="rId1"/>
          </a:graphicData>
        </a:graphic>
      </xdr:graphicFrame>
      <xdr:sp macro="" textlink="'[1]Dashboard Info'!C14">
        <xdr:nvSpPr>
          <xdr:cNvPr id="10" name="TextBox 9"/>
          <xdr:cNvSpPr txBox="1"/>
        </xdr:nvSpPr>
        <xdr:spPr>
          <a:xfrm>
            <a:off x="33279" y="5260129"/>
            <a:ext cx="545220" cy="267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F9802101-8DD8-437D-BA10-F2D69F38537F}" type="TxLink">
              <a:rPr lang="en-US" sz="2200" b="1" i="0" u="none" strike="noStrike" cap="none" spc="0">
                <a:ln>
                  <a:noFill/>
                </a:ln>
                <a:solidFill>
                  <a:srgbClr val="000000"/>
                </a:solidFill>
                <a:effectLst/>
                <a:latin typeface="Calibri"/>
                <a:cs typeface="Calibri"/>
              </a:rPr>
              <a:pPr algn="ctr"/>
              <a:t>1</a:t>
            </a:fld>
            <a:endParaRPr lang="en-US" sz="1100" b="1" cap="none" spc="0">
              <a:ln>
                <a:noFill/>
              </a:ln>
              <a:solidFill>
                <a:schemeClr val="tx1"/>
              </a:solidFill>
              <a:effectLst/>
            </a:endParaRPr>
          </a:p>
        </xdr:txBody>
      </xdr:sp>
      <xdr:sp macro="" textlink="'[1]Dashboard Info'!C15">
        <xdr:nvSpPr>
          <xdr:cNvPr id="11" name="TextBox 10"/>
          <xdr:cNvSpPr txBox="1"/>
        </xdr:nvSpPr>
        <xdr:spPr>
          <a:xfrm>
            <a:off x="769326" y="3742397"/>
            <a:ext cx="563394" cy="277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0551A4D9-60A1-4A4B-A820-1F872C086B20}" type="TxLink">
              <a:rPr lang="en-US" sz="2200" b="1" i="0" u="none" strike="noStrike" cap="none" spc="0">
                <a:ln>
                  <a:noFill/>
                </a:ln>
                <a:solidFill>
                  <a:srgbClr val="000000"/>
                </a:solidFill>
                <a:effectLst/>
                <a:latin typeface="Calibri"/>
                <a:cs typeface="Calibri"/>
              </a:rPr>
              <a:pPr algn="ctr"/>
              <a:t>2</a:t>
            </a:fld>
            <a:endParaRPr lang="en-US" sz="1100" b="1" cap="none" spc="0">
              <a:ln>
                <a:noFill/>
              </a:ln>
              <a:solidFill>
                <a:schemeClr val="tx1"/>
              </a:solidFill>
              <a:effectLst/>
            </a:endParaRPr>
          </a:p>
        </xdr:txBody>
      </xdr:sp>
      <xdr:sp macro="" textlink="'[1]Dashboard Info'!C16">
        <xdr:nvSpPr>
          <xdr:cNvPr id="12" name="TextBox 11"/>
          <xdr:cNvSpPr txBox="1"/>
        </xdr:nvSpPr>
        <xdr:spPr>
          <a:xfrm>
            <a:off x="2032419" y="3345605"/>
            <a:ext cx="572481" cy="28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497DAD16-086C-44E1-94B6-4565441D1845}" type="TxLink">
              <a:rPr lang="en-US" sz="2200" b="1" i="0" u="none" strike="noStrike" cap="none" spc="0">
                <a:ln>
                  <a:noFill/>
                </a:ln>
                <a:solidFill>
                  <a:srgbClr val="000000"/>
                </a:solidFill>
                <a:effectLst/>
                <a:latin typeface="Calibri"/>
                <a:cs typeface="Calibri"/>
              </a:rPr>
              <a:pPr algn="ctr"/>
              <a:t>3</a:t>
            </a:fld>
            <a:endParaRPr lang="en-US" sz="1100" b="1" cap="none" spc="0">
              <a:ln>
                <a:noFill/>
              </a:ln>
              <a:solidFill>
                <a:schemeClr val="tx1"/>
              </a:solidFill>
              <a:effectLst/>
            </a:endParaRPr>
          </a:p>
        </xdr:txBody>
      </xdr:sp>
      <xdr:sp macro="" textlink="'[1]Dashboard Info'!C17">
        <xdr:nvSpPr>
          <xdr:cNvPr id="13" name="TextBox 12"/>
          <xdr:cNvSpPr txBox="1"/>
        </xdr:nvSpPr>
        <xdr:spPr>
          <a:xfrm>
            <a:off x="3268251" y="3841595"/>
            <a:ext cx="563394" cy="277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C0B670D3-98F6-4876-9455-1FA5DC5840D0}" type="TxLink">
              <a:rPr lang="en-US" sz="2200" b="1" i="0" u="none" strike="noStrike" cap="none" spc="0">
                <a:ln>
                  <a:noFill/>
                </a:ln>
                <a:solidFill>
                  <a:srgbClr val="000000"/>
                </a:solidFill>
                <a:effectLst/>
                <a:latin typeface="Calibri"/>
                <a:cs typeface="Calibri"/>
              </a:rPr>
              <a:pPr algn="ctr"/>
              <a:t>4</a:t>
            </a:fld>
            <a:endParaRPr lang="en-US" sz="1100" b="1" cap="none" spc="0">
              <a:ln>
                <a:noFill/>
              </a:ln>
              <a:solidFill>
                <a:schemeClr val="tx1"/>
              </a:solidFill>
              <a:effectLst/>
            </a:endParaRPr>
          </a:p>
        </xdr:txBody>
      </xdr:sp>
      <xdr:sp macro="" textlink="'[1]Dashboard Info'!C18">
        <xdr:nvSpPr>
          <xdr:cNvPr id="14" name="TextBox 13"/>
          <xdr:cNvSpPr txBox="1"/>
        </xdr:nvSpPr>
        <xdr:spPr>
          <a:xfrm>
            <a:off x="3995212" y="5279968"/>
            <a:ext cx="554307" cy="28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82762DC1-B908-4D04-97D2-86852E5C133A}" type="TxLink">
              <a:rPr lang="en-US" sz="2200" b="1" i="0" u="none" strike="noStrike" cap="none" spc="0">
                <a:ln>
                  <a:noFill/>
                </a:ln>
                <a:solidFill>
                  <a:srgbClr val="000000"/>
                </a:solidFill>
                <a:effectLst/>
                <a:latin typeface="Calibri"/>
                <a:cs typeface="Calibri"/>
              </a:rPr>
              <a:pPr algn="ctr"/>
              <a:t>5</a:t>
            </a:fld>
            <a:endParaRPr lang="en-US" sz="1100" b="1" cap="none" spc="0">
              <a:ln>
                <a:noFill/>
              </a:ln>
              <a:solidFill>
                <a:schemeClr val="tx1"/>
              </a:solidFill>
              <a:effectLst/>
            </a:endParaRPr>
          </a:p>
        </xdr:txBody>
      </xdr:sp>
    </xdr:grpSp>
    <xdr:clientData/>
  </xdr:twoCellAnchor>
  <xdr:twoCellAnchor>
    <xdr:from>
      <xdr:col>3</xdr:col>
      <xdr:colOff>3472480</xdr:colOff>
      <xdr:row>0</xdr:row>
      <xdr:rowOff>1123954</xdr:rowOff>
    </xdr:from>
    <xdr:to>
      <xdr:col>3</xdr:col>
      <xdr:colOff>3616639</xdr:colOff>
      <xdr:row>0</xdr:row>
      <xdr:rowOff>2188164</xdr:rowOff>
    </xdr:to>
    <xdr:sp macro="" textlink="">
      <xdr:nvSpPr>
        <xdr:cNvPr id="20" name="Freeform 5"/>
        <xdr:cNvSpPr>
          <a:spLocks/>
        </xdr:cNvSpPr>
      </xdr:nvSpPr>
      <xdr:spPr bwMode="auto">
        <a:xfrm rot="2924208">
          <a:off x="11789062" y="1583979"/>
          <a:ext cx="1064210" cy="144159"/>
        </a:xfrm>
        <a:custGeom>
          <a:avLst/>
          <a:gdLst>
            <a:gd name="T0" fmla="*/ 2147483647 w 183"/>
            <a:gd name="T1" fmla="*/ 2147483647 h 1008"/>
            <a:gd name="T2" fmla="*/ 0 w 183"/>
            <a:gd name="T3" fmla="*/ 0 h 1008"/>
            <a:gd name="T4" fmla="*/ 0 60000 65536"/>
            <a:gd name="T5" fmla="*/ 0 60000 65536"/>
          </a:gdLst>
          <a:ahLst/>
          <a:cxnLst>
            <a:cxn ang="T4">
              <a:pos x="T0" y="T1"/>
            </a:cxn>
            <a:cxn ang="T5">
              <a:pos x="T2" y="T3"/>
            </a:cxn>
          </a:cxnLst>
          <a:rect l="0" t="0" r="r" b="b"/>
          <a:pathLst>
            <a:path w="183" h="1008">
              <a:moveTo>
                <a:pt x="183" y="1008"/>
              </a:moveTo>
              <a:lnTo>
                <a:pt x="0" y="0"/>
              </a:lnTo>
            </a:path>
          </a:pathLst>
        </a:custGeom>
        <a:noFill/>
        <a:ln w="95250">
          <a:solidFill>
            <a:srgbClr val="000000"/>
          </a:solidFill>
          <a:miter lim="0"/>
          <a:headEnd type="oval" w="med" len="med"/>
          <a:tailEnd type="triangle" w="med"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EEECE1"/>
                </a:outerShdw>
              </a:effectLst>
            </a14:hiddenEffects>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_Kristian/Performance%20Evaluations/2014%20Corpoare%20Goals%20Evaluations/2014%20Midyear-Corporate%20Perforamance%20Evaluatio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Info"/>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G32"/>
  <sheetViews>
    <sheetView zoomScale="80" zoomScaleNormal="80" workbookViewId="0">
      <selection activeCell="M11" sqref="M11"/>
    </sheetView>
  </sheetViews>
  <sheetFormatPr defaultRowHeight="15" x14ac:dyDescent="0.25"/>
  <cols>
    <col min="1" max="1" width="4.28515625" customWidth="1"/>
    <col min="2" max="2" width="3.140625" customWidth="1"/>
    <col min="3" max="3" width="33" bestFit="1" customWidth="1"/>
    <col min="4" max="4" width="22.7109375" customWidth="1"/>
    <col min="5" max="5" width="21.28515625" customWidth="1"/>
    <col min="6" max="6" width="28.140625" bestFit="1" customWidth="1"/>
    <col min="7" max="7" width="24.140625" bestFit="1" customWidth="1"/>
  </cols>
  <sheetData>
    <row r="2" spans="2:7" ht="34.5" customHeight="1" x14ac:dyDescent="0.25">
      <c r="D2" s="27" t="s">
        <v>11</v>
      </c>
      <c r="E2" s="64" t="s">
        <v>15</v>
      </c>
      <c r="F2" s="64"/>
      <c r="G2" s="27"/>
    </row>
    <row r="3" spans="2:7" ht="15" customHeight="1" x14ac:dyDescent="0.25">
      <c r="D3" s="27"/>
      <c r="E3" s="64"/>
      <c r="F3" s="64"/>
      <c r="G3" s="27"/>
    </row>
    <row r="4" spans="2:7" ht="21" customHeight="1" x14ac:dyDescent="0.25">
      <c r="E4" s="64"/>
      <c r="F4" s="64"/>
    </row>
    <row r="6" spans="2:7" x14ac:dyDescent="0.25">
      <c r="B6" s="28"/>
      <c r="C6" s="28"/>
      <c r="D6" s="28"/>
      <c r="E6" s="28"/>
      <c r="F6" s="28"/>
    </row>
    <row r="7" spans="2:7" ht="15.75" x14ac:dyDescent="0.25">
      <c r="B7" s="29"/>
      <c r="C7" s="30" t="s">
        <v>12</v>
      </c>
      <c r="D7" s="31"/>
      <c r="E7" s="31"/>
      <c r="F7" s="31"/>
    </row>
    <row r="8" spans="2:7" ht="38.25" customHeight="1" x14ac:dyDescent="0.25">
      <c r="B8" s="11"/>
      <c r="C8" s="65" t="s">
        <v>16</v>
      </c>
      <c r="D8" s="60"/>
      <c r="E8" s="66">
        <v>5</v>
      </c>
      <c r="F8" s="66"/>
    </row>
    <row r="9" spans="2:7" ht="37.5" customHeight="1" x14ac:dyDescent="0.25">
      <c r="B9" s="11"/>
      <c r="C9" s="60" t="s">
        <v>17</v>
      </c>
      <c r="D9" s="61"/>
      <c r="E9" s="62">
        <v>4</v>
      </c>
      <c r="F9" s="63"/>
    </row>
    <row r="10" spans="2:7" ht="34.5" customHeight="1" x14ac:dyDescent="0.25">
      <c r="B10" s="11"/>
      <c r="C10" s="60" t="s">
        <v>18</v>
      </c>
      <c r="D10" s="61"/>
      <c r="E10" s="62">
        <v>3</v>
      </c>
      <c r="F10" s="63"/>
    </row>
    <row r="11" spans="2:7" ht="41.25" customHeight="1" x14ac:dyDescent="0.25">
      <c r="B11" s="11"/>
      <c r="C11" s="47" t="s">
        <v>19</v>
      </c>
      <c r="D11" s="48"/>
      <c r="E11" s="49">
        <v>2</v>
      </c>
      <c r="F11" s="50"/>
    </row>
    <row r="12" spans="2:7" ht="37.5" customHeight="1" x14ac:dyDescent="0.25">
      <c r="B12" s="11"/>
      <c r="C12" s="47" t="s">
        <v>20</v>
      </c>
      <c r="D12" s="48"/>
      <c r="E12" s="49">
        <v>1</v>
      </c>
      <c r="F12" s="50"/>
    </row>
    <row r="13" spans="2:7" ht="18" customHeight="1" x14ac:dyDescent="0.25"/>
    <row r="17" spans="2:7" ht="15.75" x14ac:dyDescent="0.25">
      <c r="B17" s="32"/>
      <c r="C17" s="34" t="s">
        <v>4</v>
      </c>
      <c r="D17" s="32"/>
      <c r="E17" s="32"/>
      <c r="F17" s="32"/>
      <c r="G17" s="32"/>
    </row>
    <row r="18" spans="2:7" ht="15" customHeight="1" x14ac:dyDescent="0.25">
      <c r="B18" s="33"/>
      <c r="C18" s="51" t="s">
        <v>21</v>
      </c>
      <c r="D18" s="52"/>
      <c r="E18" s="52"/>
      <c r="F18" s="52"/>
      <c r="G18" s="53"/>
    </row>
    <row r="19" spans="2:7" x14ac:dyDescent="0.25">
      <c r="B19" s="33"/>
      <c r="C19" s="54"/>
      <c r="D19" s="55"/>
      <c r="E19" s="55"/>
      <c r="F19" s="55"/>
      <c r="G19" s="56"/>
    </row>
    <row r="20" spans="2:7" x14ac:dyDescent="0.25">
      <c r="B20" s="33"/>
      <c r="C20" s="54"/>
      <c r="D20" s="55"/>
      <c r="E20" s="55"/>
      <c r="F20" s="55"/>
      <c r="G20" s="56"/>
    </row>
    <row r="21" spans="2:7" x14ac:dyDescent="0.25">
      <c r="B21" s="33"/>
      <c r="C21" s="54"/>
      <c r="D21" s="55"/>
      <c r="E21" s="55"/>
      <c r="F21" s="55"/>
      <c r="G21" s="56"/>
    </row>
    <row r="22" spans="2:7" x14ac:dyDescent="0.25">
      <c r="B22" s="33"/>
      <c r="C22" s="54"/>
      <c r="D22" s="55"/>
      <c r="E22" s="55"/>
      <c r="F22" s="55"/>
      <c r="G22" s="56"/>
    </row>
    <row r="23" spans="2:7" x14ac:dyDescent="0.25">
      <c r="B23" s="33"/>
      <c r="C23" s="54"/>
      <c r="D23" s="55"/>
      <c r="E23" s="55"/>
      <c r="F23" s="55"/>
      <c r="G23" s="56"/>
    </row>
    <row r="24" spans="2:7" x14ac:dyDescent="0.25">
      <c r="B24" s="33"/>
      <c r="C24" s="54"/>
      <c r="D24" s="55"/>
      <c r="E24" s="55"/>
      <c r="F24" s="55"/>
      <c r="G24" s="56"/>
    </row>
    <row r="25" spans="2:7" x14ac:dyDescent="0.25">
      <c r="B25" s="33"/>
      <c r="C25" s="54"/>
      <c r="D25" s="55"/>
      <c r="E25" s="55"/>
      <c r="F25" s="55"/>
      <c r="G25" s="56"/>
    </row>
    <row r="26" spans="2:7" x14ac:dyDescent="0.25">
      <c r="B26" s="33"/>
      <c r="C26" s="54"/>
      <c r="D26" s="55"/>
      <c r="E26" s="55"/>
      <c r="F26" s="55"/>
      <c r="G26" s="56"/>
    </row>
    <row r="27" spans="2:7" x14ac:dyDescent="0.25">
      <c r="B27" s="33"/>
      <c r="C27" s="54"/>
      <c r="D27" s="55"/>
      <c r="E27" s="55"/>
      <c r="F27" s="55"/>
      <c r="G27" s="56"/>
    </row>
    <row r="28" spans="2:7" x14ac:dyDescent="0.25">
      <c r="B28" s="33"/>
      <c r="C28" s="54"/>
      <c r="D28" s="55"/>
      <c r="E28" s="55"/>
      <c r="F28" s="55"/>
      <c r="G28" s="56"/>
    </row>
    <row r="29" spans="2:7" x14ac:dyDescent="0.25">
      <c r="B29" s="33"/>
      <c r="C29" s="54"/>
      <c r="D29" s="55"/>
      <c r="E29" s="55"/>
      <c r="F29" s="55"/>
      <c r="G29" s="56"/>
    </row>
    <row r="30" spans="2:7" x14ac:dyDescent="0.25">
      <c r="B30" s="33"/>
      <c r="C30" s="54"/>
      <c r="D30" s="55"/>
      <c r="E30" s="55"/>
      <c r="F30" s="55"/>
      <c r="G30" s="56"/>
    </row>
    <row r="31" spans="2:7" x14ac:dyDescent="0.25">
      <c r="B31" s="33"/>
      <c r="C31" s="54"/>
      <c r="D31" s="55"/>
      <c r="E31" s="55"/>
      <c r="F31" s="55"/>
      <c r="G31" s="56"/>
    </row>
    <row r="32" spans="2:7" ht="102.75" customHeight="1" x14ac:dyDescent="0.25">
      <c r="B32" s="33"/>
      <c r="C32" s="57"/>
      <c r="D32" s="58"/>
      <c r="E32" s="58"/>
      <c r="F32" s="58"/>
      <c r="G32" s="59"/>
    </row>
  </sheetData>
  <mergeCells count="12">
    <mergeCell ref="C10:D10"/>
    <mergeCell ref="E10:F10"/>
    <mergeCell ref="E2:F4"/>
    <mergeCell ref="C8:D8"/>
    <mergeCell ref="E8:F8"/>
    <mergeCell ref="C9:D9"/>
    <mergeCell ref="E9:F9"/>
    <mergeCell ref="C11:D11"/>
    <mergeCell ref="E11:F11"/>
    <mergeCell ref="C12:D12"/>
    <mergeCell ref="E12:F12"/>
    <mergeCell ref="C18:G32"/>
  </mergeCells>
  <pageMargins left="0.7" right="0.7" top="0.75" bottom="0.75" header="0.3" footer="0.3"/>
  <pageSetup scale="5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enableFormatConditionsCalculation="0">
    <pageSetUpPr fitToPage="1"/>
  </sheetPr>
  <dimension ref="B1:E19"/>
  <sheetViews>
    <sheetView tabSelected="1" zoomScale="70" zoomScaleNormal="70" zoomScalePageLayoutView="70" workbookViewId="0">
      <selection activeCell="C5" sqref="C5"/>
    </sheetView>
  </sheetViews>
  <sheetFormatPr defaultColWidth="8.85546875" defaultRowHeight="15.75" x14ac:dyDescent="0.2"/>
  <cols>
    <col min="1" max="1" width="4" style="1" customWidth="1"/>
    <col min="2" max="2" width="3.42578125" style="1" customWidth="1"/>
    <col min="3" max="3" width="124" style="25" customWidth="1"/>
    <col min="4" max="4" width="107.85546875" style="26" customWidth="1"/>
    <col min="5" max="5" width="10" style="1" customWidth="1"/>
    <col min="6" max="10" width="8.85546875" style="1"/>
    <col min="11" max="11" width="10.7109375" style="1" customWidth="1"/>
    <col min="12" max="16384" width="8.85546875" style="1"/>
  </cols>
  <sheetData>
    <row r="1" spans="2:5" ht="225" customHeight="1" x14ac:dyDescent="0.2">
      <c r="C1" s="2" t="s">
        <v>14</v>
      </c>
      <c r="D1" s="67"/>
      <c r="E1" s="67"/>
    </row>
    <row r="2" spans="2:5" s="6" customFormat="1" ht="15" x14ac:dyDescent="0.25">
      <c r="B2" s="3"/>
      <c r="C2" s="4"/>
      <c r="D2" s="5"/>
    </row>
    <row r="4" spans="2:5" s="10" customFormat="1" ht="18.75" thickBot="1" x14ac:dyDescent="0.3">
      <c r="B4" s="7"/>
      <c r="C4" s="8" t="s">
        <v>5</v>
      </c>
      <c r="D4" s="8" t="s">
        <v>6</v>
      </c>
      <c r="E4" s="9"/>
    </row>
    <row r="5" spans="2:5" s="6" customFormat="1" ht="200.25" customHeight="1" x14ac:dyDescent="0.25">
      <c r="B5" s="11"/>
      <c r="C5" s="12" t="s">
        <v>7</v>
      </c>
      <c r="D5" s="13" t="s">
        <v>1</v>
      </c>
      <c r="E5" s="14">
        <v>3</v>
      </c>
    </row>
    <row r="6" spans="2:5" ht="200.25" customHeight="1" x14ac:dyDescent="0.2">
      <c r="B6" s="15"/>
      <c r="C6" s="13" t="s">
        <v>8</v>
      </c>
      <c r="D6" s="12" t="s">
        <v>2</v>
      </c>
      <c r="E6" s="16">
        <v>2</v>
      </c>
    </row>
    <row r="7" spans="2:5" ht="200.25" customHeight="1" x14ac:dyDescent="0.2">
      <c r="B7" s="15"/>
      <c r="C7" s="12" t="s">
        <v>9</v>
      </c>
      <c r="D7" s="12" t="s">
        <v>3</v>
      </c>
      <c r="E7" s="16">
        <v>3</v>
      </c>
    </row>
    <row r="8" spans="2:5" ht="284.10000000000002" customHeight="1" x14ac:dyDescent="0.2">
      <c r="B8" s="15"/>
      <c r="C8" s="17" t="s">
        <v>50</v>
      </c>
      <c r="D8" s="18" t="s">
        <v>0</v>
      </c>
      <c r="E8" s="19">
        <v>3</v>
      </c>
    </row>
    <row r="9" spans="2:5" ht="201.75" customHeight="1" thickBot="1" x14ac:dyDescent="0.25">
      <c r="B9" s="15"/>
      <c r="C9" s="46" t="s">
        <v>49</v>
      </c>
      <c r="D9" s="20" t="s">
        <v>13</v>
      </c>
      <c r="E9" s="21"/>
    </row>
    <row r="10" spans="2:5" ht="16.5" thickBot="1" x14ac:dyDescent="0.25">
      <c r="C10" s="1"/>
      <c r="D10" s="22" t="s">
        <v>10</v>
      </c>
      <c r="E10" s="23">
        <f>AVERAGE(E5,E6,E7,E8)</f>
        <v>2.75</v>
      </c>
    </row>
    <row r="11" spans="2:5" x14ac:dyDescent="0.2">
      <c r="C11" s="22"/>
      <c r="D11" s="24"/>
    </row>
    <row r="12" spans="2:5" ht="12.75" x14ac:dyDescent="0.2">
      <c r="C12" s="1"/>
      <c r="D12" s="1"/>
    </row>
    <row r="13" spans="2:5" ht="12.75" x14ac:dyDescent="0.2">
      <c r="C13" s="1"/>
      <c r="D13" s="1"/>
    </row>
    <row r="14" spans="2:5" ht="12.75" x14ac:dyDescent="0.2">
      <c r="C14" s="1"/>
      <c r="D14" s="1"/>
    </row>
    <row r="15" spans="2:5" ht="12.75" x14ac:dyDescent="0.2">
      <c r="C15" s="1"/>
      <c r="D15" s="1"/>
    </row>
    <row r="16" spans="2:5" ht="12.75" x14ac:dyDescent="0.2">
      <c r="C16" s="1"/>
      <c r="D16" s="1"/>
    </row>
    <row r="17" spans="3:4" ht="12.75" x14ac:dyDescent="0.2">
      <c r="C17" s="1"/>
      <c r="D17" s="1"/>
    </row>
    <row r="18" spans="3:4" ht="12.75" x14ac:dyDescent="0.2">
      <c r="C18" s="1"/>
      <c r="D18" s="1"/>
    </row>
    <row r="19" spans="3:4" ht="12.75" x14ac:dyDescent="0.2">
      <c r="C19" s="1"/>
      <c r="D19" s="1"/>
    </row>
  </sheetData>
  <mergeCells count="1">
    <mergeCell ref="D1:E1"/>
  </mergeCells>
  <phoneticPr fontId="23" type="noConversion"/>
  <pageMargins left="0.7" right="0.7" top="0.75" bottom="0.75" header="0.3" footer="0.3"/>
  <pageSetup orientation="portrait" r:id="rId1"/>
  <headerFooter alignWithMargins="0">
    <oddFooter>Page &amp;P of &amp;N</oddFooter>
  </headerFooter>
  <drawing r:id="rId2"/>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5"/>
  <sheetViews>
    <sheetView zoomScale="90" zoomScaleNormal="90" workbookViewId="0">
      <selection activeCell="Q56" sqref="Q56"/>
    </sheetView>
  </sheetViews>
  <sheetFormatPr defaultRowHeight="15" x14ac:dyDescent="0.25"/>
  <cols>
    <col min="1" max="1" width="3.5703125" customWidth="1"/>
    <col min="4" max="4" width="21.7109375" customWidth="1"/>
    <col min="7" max="7" width="27.7109375" customWidth="1"/>
    <col min="13" max="13" width="27.7109375" customWidth="1"/>
  </cols>
  <sheetData>
    <row r="1" spans="2:14" ht="15.75" thickBot="1" x14ac:dyDescent="0.3"/>
    <row r="2" spans="2:14" ht="15" customHeight="1" x14ac:dyDescent="0.25">
      <c r="B2" s="89" t="s">
        <v>22</v>
      </c>
      <c r="C2" s="90"/>
      <c r="D2" s="90"/>
      <c r="E2" s="90"/>
      <c r="F2" s="90"/>
      <c r="G2" s="90"/>
      <c r="H2" s="90"/>
      <c r="I2" s="90"/>
      <c r="J2" s="90"/>
      <c r="K2" s="90"/>
      <c r="L2" s="91"/>
    </row>
    <row r="3" spans="2:14" x14ac:dyDescent="0.25">
      <c r="B3" s="92"/>
      <c r="C3" s="93"/>
      <c r="D3" s="93"/>
      <c r="E3" s="93"/>
      <c r="F3" s="93"/>
      <c r="G3" s="93"/>
      <c r="H3" s="93"/>
      <c r="I3" s="93"/>
      <c r="J3" s="93"/>
      <c r="K3" s="93"/>
      <c r="L3" s="94"/>
    </row>
    <row r="4" spans="2:14" x14ac:dyDescent="0.25">
      <c r="B4" s="92"/>
      <c r="C4" s="93"/>
      <c r="D4" s="93"/>
      <c r="E4" s="93"/>
      <c r="F4" s="93"/>
      <c r="G4" s="93"/>
      <c r="H4" s="93"/>
      <c r="I4" s="93"/>
      <c r="J4" s="93"/>
      <c r="K4" s="93"/>
      <c r="L4" s="94"/>
    </row>
    <row r="5" spans="2:14" x14ac:dyDescent="0.25">
      <c r="B5" s="92"/>
      <c r="C5" s="93"/>
      <c r="D5" s="93"/>
      <c r="E5" s="93"/>
      <c r="F5" s="93"/>
      <c r="G5" s="93"/>
      <c r="H5" s="93"/>
      <c r="I5" s="93"/>
      <c r="J5" s="93"/>
      <c r="K5" s="93"/>
      <c r="L5" s="94"/>
    </row>
    <row r="6" spans="2:14" ht="40.5" customHeight="1" thickBot="1" x14ac:dyDescent="0.3">
      <c r="B6" s="95"/>
      <c r="C6" s="96"/>
      <c r="D6" s="96"/>
      <c r="E6" s="96"/>
      <c r="F6" s="96"/>
      <c r="G6" s="96"/>
      <c r="H6" s="96"/>
      <c r="I6" s="96"/>
      <c r="J6" s="96"/>
      <c r="K6" s="96"/>
      <c r="L6" s="97"/>
    </row>
    <row r="8" spans="2:14" ht="11.25" customHeight="1" x14ac:dyDescent="0.25">
      <c r="B8" s="98" t="s">
        <v>23</v>
      </c>
      <c r="C8" s="98"/>
      <c r="D8" s="98"/>
      <c r="E8" s="98"/>
      <c r="F8" s="98"/>
      <c r="G8" s="98"/>
    </row>
    <row r="10" spans="2:14" x14ac:dyDescent="0.25">
      <c r="B10" s="87" t="s">
        <v>24</v>
      </c>
      <c r="C10" s="87"/>
      <c r="D10" s="87"/>
      <c r="E10" s="87"/>
      <c r="F10" s="87"/>
      <c r="G10" s="87"/>
      <c r="H10" s="72" t="s">
        <v>25</v>
      </c>
      <c r="I10" s="72"/>
      <c r="J10" s="72"/>
      <c r="K10" s="72"/>
      <c r="L10" s="72"/>
      <c r="M10" s="72"/>
    </row>
    <row r="11" spans="2:14" ht="60" customHeight="1" x14ac:dyDescent="0.25">
      <c r="B11" s="73" t="s">
        <v>26</v>
      </c>
      <c r="C11" s="99"/>
      <c r="D11" s="99"/>
      <c r="E11" s="99"/>
      <c r="F11" s="99"/>
      <c r="G11" s="100"/>
      <c r="H11" s="76"/>
      <c r="I11" s="77"/>
      <c r="J11" s="77"/>
      <c r="K11" s="77"/>
      <c r="L11" s="77"/>
      <c r="M11" s="78"/>
    </row>
    <row r="12" spans="2:14" ht="15.75" thickBot="1" x14ac:dyDescent="0.3">
      <c r="K12" s="68"/>
      <c r="L12" s="68"/>
      <c r="M12" s="86" t="s">
        <v>27</v>
      </c>
      <c r="N12" s="86"/>
    </row>
    <row r="13" spans="2:14" ht="15.75" x14ac:dyDescent="0.25">
      <c r="K13" s="35"/>
      <c r="L13" s="35"/>
      <c r="M13" s="36">
        <v>0</v>
      </c>
    </row>
    <row r="15" spans="2:14" x14ac:dyDescent="0.25">
      <c r="B15" s="87" t="s">
        <v>28</v>
      </c>
      <c r="C15" s="87"/>
      <c r="D15" s="87"/>
      <c r="E15" s="87"/>
      <c r="F15" s="87"/>
      <c r="G15" s="87"/>
      <c r="H15" s="88" t="s">
        <v>25</v>
      </c>
      <c r="I15" s="88"/>
      <c r="J15" s="88"/>
      <c r="K15" s="88"/>
      <c r="L15" s="88"/>
      <c r="M15" s="88"/>
    </row>
    <row r="16" spans="2:14" ht="60" customHeight="1" x14ac:dyDescent="0.25">
      <c r="B16" s="73" t="s">
        <v>29</v>
      </c>
      <c r="C16" s="74"/>
      <c r="D16" s="74"/>
      <c r="E16" s="74"/>
      <c r="F16" s="74"/>
      <c r="G16" s="75"/>
      <c r="H16" s="76"/>
      <c r="I16" s="77"/>
      <c r="J16" s="77"/>
      <c r="K16" s="77"/>
      <c r="L16" s="77"/>
      <c r="M16" s="78"/>
    </row>
    <row r="17" spans="2:13" ht="15.75" thickBot="1" x14ac:dyDescent="0.3">
      <c r="K17" s="68"/>
      <c r="L17" s="68"/>
      <c r="M17" s="37" t="s">
        <v>27</v>
      </c>
    </row>
    <row r="18" spans="2:13" ht="15.75" x14ac:dyDescent="0.25">
      <c r="K18" s="38"/>
      <c r="L18" s="38"/>
      <c r="M18" s="36">
        <v>0</v>
      </c>
    </row>
    <row r="20" spans="2:13" x14ac:dyDescent="0.25">
      <c r="B20" s="71" t="s">
        <v>30</v>
      </c>
      <c r="C20" s="71"/>
      <c r="D20" s="71"/>
      <c r="E20" s="71"/>
      <c r="F20" s="71"/>
      <c r="G20" s="71"/>
      <c r="H20" s="72" t="s">
        <v>25</v>
      </c>
      <c r="I20" s="72"/>
      <c r="J20" s="72"/>
      <c r="K20" s="72"/>
      <c r="L20" s="72"/>
      <c r="M20" s="72"/>
    </row>
    <row r="21" spans="2:13" ht="60" customHeight="1" x14ac:dyDescent="0.25">
      <c r="B21" s="73" t="s">
        <v>31</v>
      </c>
      <c r="C21" s="74"/>
      <c r="D21" s="74"/>
      <c r="E21" s="74"/>
      <c r="F21" s="74"/>
      <c r="G21" s="75"/>
      <c r="H21" s="76"/>
      <c r="I21" s="77"/>
      <c r="J21" s="77"/>
      <c r="K21" s="77"/>
      <c r="L21" s="77"/>
      <c r="M21" s="78"/>
    </row>
    <row r="22" spans="2:13" ht="15.75" thickBot="1" x14ac:dyDescent="0.3">
      <c r="K22" s="68"/>
      <c r="L22" s="68"/>
      <c r="M22" s="37" t="s">
        <v>27</v>
      </c>
    </row>
    <row r="23" spans="2:13" ht="15.75" x14ac:dyDescent="0.25">
      <c r="K23" s="38"/>
      <c r="L23" s="38"/>
      <c r="M23" s="36">
        <v>0</v>
      </c>
    </row>
    <row r="25" spans="2:13" x14ac:dyDescent="0.25">
      <c r="B25" s="71" t="s">
        <v>32</v>
      </c>
      <c r="C25" s="71"/>
      <c r="D25" s="71"/>
      <c r="E25" s="71"/>
      <c r="F25" s="71"/>
      <c r="G25" s="71"/>
      <c r="H25" s="72" t="s">
        <v>25</v>
      </c>
      <c r="I25" s="72"/>
      <c r="J25" s="72"/>
      <c r="K25" s="72"/>
      <c r="L25" s="72"/>
      <c r="M25" s="72"/>
    </row>
    <row r="26" spans="2:13" ht="60" customHeight="1" x14ac:dyDescent="0.25">
      <c r="B26" s="73" t="s">
        <v>33</v>
      </c>
      <c r="C26" s="74"/>
      <c r="D26" s="74"/>
      <c r="E26" s="74"/>
      <c r="F26" s="74"/>
      <c r="G26" s="75"/>
      <c r="H26" s="76"/>
      <c r="I26" s="77"/>
      <c r="J26" s="77"/>
      <c r="K26" s="77"/>
      <c r="L26" s="77"/>
      <c r="M26" s="78"/>
    </row>
    <row r="27" spans="2:13" ht="15.75" thickBot="1" x14ac:dyDescent="0.3">
      <c r="K27" s="68"/>
      <c r="L27" s="68"/>
      <c r="M27" s="37" t="s">
        <v>27</v>
      </c>
    </row>
    <row r="28" spans="2:13" ht="15.75" x14ac:dyDescent="0.25">
      <c r="K28" s="38"/>
      <c r="L28" s="38"/>
      <c r="M28" s="36">
        <v>0</v>
      </c>
    </row>
    <row r="30" spans="2:13" x14ac:dyDescent="0.25">
      <c r="B30" s="71" t="s">
        <v>34</v>
      </c>
      <c r="C30" s="71"/>
      <c r="D30" s="71"/>
      <c r="E30" s="71"/>
      <c r="F30" s="71"/>
      <c r="G30" s="71"/>
      <c r="H30" s="72" t="s">
        <v>25</v>
      </c>
      <c r="I30" s="72"/>
      <c r="J30" s="72"/>
      <c r="K30" s="72"/>
      <c r="L30" s="72"/>
      <c r="M30" s="72"/>
    </row>
    <row r="31" spans="2:13" ht="60" customHeight="1" x14ac:dyDescent="0.25">
      <c r="B31" s="73" t="s">
        <v>35</v>
      </c>
      <c r="C31" s="74"/>
      <c r="D31" s="74"/>
      <c r="E31" s="74"/>
      <c r="F31" s="74"/>
      <c r="G31" s="75"/>
      <c r="H31" s="76"/>
      <c r="I31" s="77"/>
      <c r="J31" s="77"/>
      <c r="K31" s="77"/>
      <c r="L31" s="77"/>
      <c r="M31" s="78"/>
    </row>
    <row r="32" spans="2:13" ht="15.75" thickBot="1" x14ac:dyDescent="0.3">
      <c r="K32" s="68"/>
      <c r="L32" s="68"/>
      <c r="M32" s="37" t="s">
        <v>27</v>
      </c>
    </row>
    <row r="33" spans="2:13" ht="15.75" x14ac:dyDescent="0.25">
      <c r="K33" s="38"/>
      <c r="L33" s="38"/>
      <c r="M33" s="36">
        <v>0</v>
      </c>
    </row>
    <row r="35" spans="2:13" x14ac:dyDescent="0.25">
      <c r="B35" s="71" t="s">
        <v>36</v>
      </c>
      <c r="C35" s="71"/>
      <c r="D35" s="71"/>
      <c r="E35" s="71"/>
      <c r="F35" s="71"/>
      <c r="G35" s="71"/>
      <c r="H35" s="72" t="s">
        <v>25</v>
      </c>
      <c r="I35" s="72"/>
      <c r="J35" s="72"/>
      <c r="K35" s="72"/>
      <c r="L35" s="72"/>
      <c r="M35" s="72"/>
    </row>
    <row r="36" spans="2:13" ht="60" customHeight="1" x14ac:dyDescent="0.25">
      <c r="B36" s="73" t="s">
        <v>37</v>
      </c>
      <c r="C36" s="74"/>
      <c r="D36" s="74"/>
      <c r="E36" s="74"/>
      <c r="F36" s="74"/>
      <c r="G36" s="75"/>
      <c r="H36" s="76"/>
      <c r="I36" s="77"/>
      <c r="J36" s="77"/>
      <c r="K36" s="77"/>
      <c r="L36" s="77"/>
      <c r="M36" s="78"/>
    </row>
    <row r="37" spans="2:13" ht="15.75" thickBot="1" x14ac:dyDescent="0.3">
      <c r="K37" s="68"/>
      <c r="L37" s="68"/>
      <c r="M37" s="37" t="s">
        <v>27</v>
      </c>
    </row>
    <row r="38" spans="2:13" ht="15.75" x14ac:dyDescent="0.25">
      <c r="K38" s="38"/>
      <c r="L38" s="38"/>
      <c r="M38" s="36">
        <v>0</v>
      </c>
    </row>
    <row r="40" spans="2:13" x14ac:dyDescent="0.25">
      <c r="B40" s="71" t="s">
        <v>38</v>
      </c>
      <c r="C40" s="71"/>
      <c r="D40" s="71"/>
      <c r="E40" s="71"/>
      <c r="F40" s="71"/>
      <c r="G40" s="71"/>
      <c r="H40" s="72" t="s">
        <v>25</v>
      </c>
      <c r="I40" s="72"/>
      <c r="J40" s="72"/>
      <c r="K40" s="72"/>
      <c r="L40" s="72"/>
      <c r="M40" s="72"/>
    </row>
    <row r="41" spans="2:13" ht="60" customHeight="1" x14ac:dyDescent="0.25">
      <c r="B41" s="73" t="s">
        <v>39</v>
      </c>
      <c r="C41" s="74"/>
      <c r="D41" s="74"/>
      <c r="E41" s="74"/>
      <c r="F41" s="74"/>
      <c r="G41" s="75"/>
      <c r="H41" s="76"/>
      <c r="I41" s="77"/>
      <c r="J41" s="77"/>
      <c r="K41" s="77"/>
      <c r="L41" s="77"/>
      <c r="M41" s="78"/>
    </row>
    <row r="42" spans="2:13" ht="15.75" thickBot="1" x14ac:dyDescent="0.3">
      <c r="K42" s="68"/>
      <c r="L42" s="68"/>
      <c r="M42" s="37" t="s">
        <v>27</v>
      </c>
    </row>
    <row r="43" spans="2:13" ht="15.75" x14ac:dyDescent="0.25">
      <c r="K43" s="38"/>
      <c r="L43" s="38"/>
      <c r="M43" s="36">
        <v>0</v>
      </c>
    </row>
    <row r="45" spans="2:13" x14ac:dyDescent="0.25">
      <c r="B45" s="79" t="s">
        <v>40</v>
      </c>
      <c r="C45" s="80"/>
      <c r="D45" s="80"/>
      <c r="E45" s="80"/>
      <c r="F45" s="80"/>
      <c r="G45" s="81"/>
      <c r="H45" s="79" t="s">
        <v>41</v>
      </c>
      <c r="I45" s="80"/>
      <c r="J45" s="80"/>
      <c r="K45" s="80"/>
      <c r="L45" s="80"/>
      <c r="M45" s="81"/>
    </row>
    <row r="46" spans="2:13" ht="105.75" customHeight="1" x14ac:dyDescent="0.25">
      <c r="B46" s="82"/>
      <c r="C46" s="83"/>
      <c r="D46" s="83"/>
      <c r="E46" s="83"/>
      <c r="F46" s="83"/>
      <c r="G46" s="84"/>
      <c r="H46" s="82"/>
      <c r="I46" s="83"/>
      <c r="J46" s="83"/>
      <c r="K46" s="83"/>
      <c r="L46" s="83"/>
      <c r="M46" s="84"/>
    </row>
    <row r="47" spans="2:13" s="41" customFormat="1" ht="23.25" customHeight="1" thickBot="1" x14ac:dyDescent="0.3">
      <c r="B47" s="39"/>
      <c r="C47" s="39"/>
      <c r="D47" s="39"/>
      <c r="E47" s="39"/>
      <c r="F47" s="39"/>
      <c r="G47" s="39"/>
      <c r="H47" s="39"/>
      <c r="I47" s="39"/>
      <c r="J47" s="39"/>
      <c r="K47" s="39"/>
      <c r="L47" s="39"/>
      <c r="M47" s="40" t="s">
        <v>42</v>
      </c>
    </row>
    <row r="48" spans="2:13" ht="21" customHeight="1" thickBot="1" x14ac:dyDescent="0.3">
      <c r="M48" s="42">
        <f>AVERAGE(M13,M18,M23,M28,M33,M38,M43)</f>
        <v>0</v>
      </c>
    </row>
    <row r="49" spans="2:13" ht="21" customHeight="1" x14ac:dyDescent="0.25">
      <c r="M49" s="43"/>
    </row>
    <row r="50" spans="2:13" ht="21" customHeight="1" thickBot="1" x14ac:dyDescent="0.3">
      <c r="B50" s="85" t="s">
        <v>43</v>
      </c>
      <c r="C50" s="85"/>
      <c r="D50" s="85"/>
      <c r="E50" s="85"/>
      <c r="F50" s="85"/>
      <c r="G50" s="85"/>
      <c r="M50" s="44" t="s">
        <v>44</v>
      </c>
    </row>
    <row r="51" spans="2:13" ht="22.5" customHeight="1" thickBot="1" x14ac:dyDescent="0.3">
      <c r="M51" s="45">
        <f>('Part A-Goals Review'!E10*0.75)+('Section B-Perf. Expectations'!M48*0.25)</f>
        <v>2.0625</v>
      </c>
    </row>
    <row r="52" spans="2:13" ht="45" customHeight="1" x14ac:dyDescent="0.25">
      <c r="B52" s="70"/>
      <c r="C52" s="70"/>
      <c r="D52" s="70"/>
      <c r="E52" s="70"/>
      <c r="F52" s="70"/>
      <c r="G52" s="70"/>
      <c r="I52" s="58"/>
      <c r="J52" s="58"/>
      <c r="K52" s="58"/>
      <c r="L52" s="58"/>
      <c r="M52" s="58"/>
    </row>
    <row r="53" spans="2:13" x14ac:dyDescent="0.25">
      <c r="B53" s="68" t="s">
        <v>45</v>
      </c>
      <c r="C53" s="68"/>
      <c r="D53" s="68"/>
      <c r="E53" s="68"/>
      <c r="F53" s="68"/>
      <c r="G53" s="68"/>
      <c r="I53" s="69" t="s">
        <v>46</v>
      </c>
      <c r="J53" s="69"/>
      <c r="K53" s="69"/>
      <c r="L53" s="69"/>
      <c r="M53" s="69"/>
    </row>
    <row r="54" spans="2:13" ht="45" customHeight="1" x14ac:dyDescent="0.25">
      <c r="B54" s="58"/>
      <c r="C54" s="58"/>
      <c r="D54" s="58"/>
      <c r="E54" s="58"/>
      <c r="F54" s="58"/>
      <c r="G54" s="58"/>
      <c r="I54" s="58"/>
      <c r="J54" s="58"/>
      <c r="K54" s="58"/>
      <c r="L54" s="58"/>
      <c r="M54" s="58"/>
    </row>
    <row r="55" spans="2:13" x14ac:dyDescent="0.25">
      <c r="B55" s="69" t="s">
        <v>47</v>
      </c>
      <c r="C55" s="69"/>
      <c r="D55" s="69"/>
      <c r="E55" s="69"/>
      <c r="F55" s="69"/>
      <c r="G55" s="69"/>
      <c r="I55" s="69" t="s">
        <v>48</v>
      </c>
      <c r="J55" s="69"/>
      <c r="K55" s="69"/>
      <c r="L55" s="69"/>
      <c r="M55" s="69"/>
    </row>
  </sheetData>
  <mergeCells count="51">
    <mergeCell ref="B2:L6"/>
    <mergeCell ref="B8:G8"/>
    <mergeCell ref="B10:G10"/>
    <mergeCell ref="H10:M10"/>
    <mergeCell ref="B11:G11"/>
    <mergeCell ref="H11:M11"/>
    <mergeCell ref="K22:L22"/>
    <mergeCell ref="K12:L12"/>
    <mergeCell ref="M12:N12"/>
    <mergeCell ref="B15:G15"/>
    <mergeCell ref="H15:M15"/>
    <mergeCell ref="B16:G16"/>
    <mergeCell ref="H16:M16"/>
    <mergeCell ref="K17:L17"/>
    <mergeCell ref="B20:G20"/>
    <mergeCell ref="H20:M20"/>
    <mergeCell ref="B21:G21"/>
    <mergeCell ref="H21:M21"/>
    <mergeCell ref="B36:G36"/>
    <mergeCell ref="H36:M36"/>
    <mergeCell ref="B25:G25"/>
    <mergeCell ref="H25:M25"/>
    <mergeCell ref="B26:G26"/>
    <mergeCell ref="H26:M26"/>
    <mergeCell ref="K27:L27"/>
    <mergeCell ref="B30:G30"/>
    <mergeCell ref="H30:M30"/>
    <mergeCell ref="B31:G31"/>
    <mergeCell ref="H31:M31"/>
    <mergeCell ref="K32:L32"/>
    <mergeCell ref="B35:G35"/>
    <mergeCell ref="H35:M35"/>
    <mergeCell ref="B52:G52"/>
    <mergeCell ref="I52:M52"/>
    <mergeCell ref="K37:L37"/>
    <mergeCell ref="B40:G40"/>
    <mergeCell ref="H40:M40"/>
    <mergeCell ref="B41:G41"/>
    <mergeCell ref="H41:M41"/>
    <mergeCell ref="K42:L42"/>
    <mergeCell ref="B45:G45"/>
    <mergeCell ref="H45:M45"/>
    <mergeCell ref="B46:G46"/>
    <mergeCell ref="H46:M46"/>
    <mergeCell ref="B50:G50"/>
    <mergeCell ref="B53:G53"/>
    <mergeCell ref="I53:M53"/>
    <mergeCell ref="B54:G54"/>
    <mergeCell ref="I54:M54"/>
    <mergeCell ref="B55:G55"/>
    <mergeCell ref="I55:M55"/>
  </mergeCells>
  <pageMargins left="0.7" right="0.7" top="0.75" bottom="0.75" header="0.3" footer="0.3"/>
  <pageSetup scale="70" orientation="landscape" r:id="rId1"/>
  <rowBreaks count="1" manualBreakCount="1">
    <brk id="34" max="1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FBF6B8B-5C00-4B12-920B-6F77DC79CB43}"/>
</file>

<file path=customXml/itemProps2.xml><?xml version="1.0" encoding="utf-8"?>
<ds:datastoreItem xmlns:ds="http://schemas.openxmlformats.org/officeDocument/2006/customXml" ds:itemID="{FE0DF43A-7A26-4F42-BD41-A26C01113AB1}"/>
</file>

<file path=customXml/itemProps3.xml><?xml version="1.0" encoding="utf-8"?>
<ds:datastoreItem xmlns:ds="http://schemas.openxmlformats.org/officeDocument/2006/customXml" ds:itemID="{8B048E0B-AEA7-43D4-904C-D4CBC067329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Summary</vt:lpstr>
      <vt:lpstr>Part A-Goals Review</vt:lpstr>
      <vt:lpstr>Section B-Perf. Expectations</vt:lpstr>
      <vt:lpstr>'Part A-Goals Review'!Print_Area</vt:lpstr>
      <vt:lpstr>'Section B-Perf. Expectations'!Print_Area</vt:lpstr>
      <vt:lpstr>Summary!Print_Area</vt:lpstr>
    </vt:vector>
  </TitlesOfParts>
  <Company>Partners of the Americas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C. Vasquez</dc:creator>
  <cp:lastModifiedBy>Kristian C. Vasquez</cp:lastModifiedBy>
  <dcterms:created xsi:type="dcterms:W3CDTF">2014-06-16T22:04:56Z</dcterms:created>
  <dcterms:modified xsi:type="dcterms:W3CDTF">2015-01-26T14:36:38Z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719000</vt:r8>
  </property>
</Properties>
</file>