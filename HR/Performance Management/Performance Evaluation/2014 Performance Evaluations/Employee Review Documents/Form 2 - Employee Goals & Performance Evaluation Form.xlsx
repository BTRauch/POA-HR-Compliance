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5" yWindow="45" windowWidth="14400" windowHeight="12795"/>
  </bookViews>
  <sheets>
    <sheet name="Sheet1" sheetId="1" r:id="rId1"/>
    <sheet name="Sheet2" sheetId="2" r:id="rId2"/>
    <sheet name="Sheet3" sheetId="3" r:id="rId3"/>
  </sheets>
  <definedNames>
    <definedName name="Goal01" localSheetId="0">Sheet1!$C$27</definedName>
    <definedName name="Goal02" localSheetId="0">Sheet1!$C$39</definedName>
    <definedName name="Goal03" localSheetId="0">Sheet1!$C$45</definedName>
    <definedName name="_xlnm.Print_Area" localSheetId="0">Sheet1!$A$8:$H$94</definedName>
  </definedNames>
  <calcPr calcId="145621"/>
</workbook>
</file>

<file path=xl/calcChain.xml><?xml version="1.0" encoding="utf-8"?>
<calcChain xmlns="http://schemas.openxmlformats.org/spreadsheetml/2006/main">
  <c r="H37" i="1" l="1"/>
  <c r="H50" i="1" l="1"/>
  <c r="H55" i="1"/>
  <c r="H80" i="1"/>
  <c r="H75" i="1"/>
  <c r="H70" i="1"/>
  <c r="H65" i="1"/>
  <c r="H60" i="1"/>
  <c r="H31" i="1"/>
  <c r="H25" i="1"/>
  <c r="H19" i="1"/>
  <c r="G42" i="1" l="1"/>
  <c r="G85" i="1"/>
  <c r="F88" i="1" l="1"/>
</calcChain>
</file>

<file path=xl/sharedStrings.xml><?xml version="1.0" encoding="utf-8"?>
<sst xmlns="http://schemas.openxmlformats.org/spreadsheetml/2006/main" count="104" uniqueCount="57">
  <si>
    <t>Rating:</t>
  </si>
  <si>
    <t>Employee Name:</t>
  </si>
  <si>
    <t>Supervisor Name:</t>
  </si>
  <si>
    <t>Position Title:</t>
  </si>
  <si>
    <t>Choose one.</t>
  </si>
  <si>
    <t>5.0 Exemplary</t>
  </si>
  <si>
    <t>4.5 Solid Performance</t>
  </si>
  <si>
    <t>4.0 Solid Performance</t>
  </si>
  <si>
    <t>3.0 Satisfactory</t>
  </si>
  <si>
    <t>3.5 Satisfactory</t>
  </si>
  <si>
    <t>2.5 Needs Improvement</t>
  </si>
  <si>
    <t>2.0 Needs Improvement</t>
  </si>
  <si>
    <t>1.5 Seriously Deficient</t>
  </si>
  <si>
    <t>1.0 Seriously Deficient</t>
  </si>
  <si>
    <t>0.0 Seriously Deficient</t>
  </si>
  <si>
    <t>n/a Not Applicable</t>
  </si>
  <si>
    <t>n/a</t>
  </si>
  <si>
    <t>SECTION A</t>
  </si>
  <si>
    <t>Internal &amp; External Communication</t>
  </si>
  <si>
    <t>Comments</t>
  </si>
  <si>
    <t>• Responds promptly and accurately to requests.
• Communicates program/unit activities and accomplishments appropriately.</t>
  </si>
  <si>
    <t>B. Performance Expectations - 25%</t>
  </si>
  <si>
    <t>Time Management</t>
  </si>
  <si>
    <t>• Prioritizes effectively according to program/unit goals, based on outside feedback and own judgment. 
• Consistently meets deadlines and program/unit goals with quality and accuracy.</t>
  </si>
  <si>
    <t>Financial Management</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</si>
  <si>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</si>
  <si>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</si>
  <si>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</si>
  <si>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</si>
  <si>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</si>
  <si>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</si>
  <si>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SECTION B</t>
  </si>
  <si>
    <t>OVERALL SCORE</t>
  </si>
  <si>
    <t>C. OVERALL PERFORMANCE</t>
  </si>
  <si>
    <r>
      <t xml:space="preserve">Supervisory Functions </t>
    </r>
    <r>
      <rPr>
        <i/>
        <sz val="11"/>
        <color theme="0"/>
        <rFont val="Calibri"/>
        <family val="2"/>
        <scheme val="minor"/>
      </rPr>
      <t>(if applicable)</t>
    </r>
  </si>
  <si>
    <t>• Provides leadership to staff and organization. Manages conflict successfully. 
• Sets clear expectations, gives effective feedback and provides strong oversight.
• Follows and enforces policies and procedures.</t>
  </si>
  <si>
    <t>• Manages funds and resources responsibly and judiciously within area of responsibility.  
• Works proactively to improve program/unit financial oversight and sustainability.</t>
  </si>
  <si>
    <t>^^ THIS TOP SECTION DOES NOT PRINT ^^</t>
  </si>
  <si>
    <t>CORRECTIVE ACTION(S):</t>
  </si>
  <si>
    <t>Actual Performance to Date</t>
  </si>
  <si>
    <t>Goal 1: Build a Financially Stable Organization</t>
  </si>
  <si>
    <t>A. 2014 Goals Review - 75%</t>
  </si>
  <si>
    <t>If necessary, additional goals and details may be included as an attachment.</t>
  </si>
  <si>
    <t>Goal 3: Well-Governed, Accountable &amp; Transparent Organization</t>
  </si>
  <si>
    <t>Goal 2: Strengthen Network of Volunteers, Programs &amp; Projects</t>
  </si>
  <si>
    <t>Date of Self Review:</t>
  </si>
  <si>
    <r>
      <t>Section A - Supervisor Comments</t>
    </r>
    <r>
      <rPr>
        <i/>
        <sz val="11"/>
        <rFont val="Calibri"/>
        <family val="2"/>
        <scheme val="minor"/>
      </rPr>
      <t xml:space="preserve"> (optional)</t>
    </r>
  </si>
  <si>
    <r>
      <t xml:space="preserve">Section A- Empoyee Comments </t>
    </r>
    <r>
      <rPr>
        <i/>
        <sz val="11"/>
        <rFont val="Calibri"/>
        <family val="2"/>
        <scheme val="minor"/>
      </rPr>
      <t>(optional)</t>
    </r>
  </si>
  <si>
    <r>
      <t xml:space="preserve">Section B- Supervisor Comments </t>
    </r>
    <r>
      <rPr>
        <i/>
        <sz val="11"/>
        <rFont val="Calibri"/>
        <family val="2"/>
        <scheme val="minor"/>
      </rPr>
      <t>(optional)</t>
    </r>
    <r>
      <rPr>
        <b/>
        <sz val="11"/>
        <rFont val="Calibri"/>
        <family val="2"/>
        <scheme val="minor"/>
      </rPr>
      <t>:</t>
    </r>
  </si>
  <si>
    <r>
      <t xml:space="preserve">Section B- Employee Comments </t>
    </r>
    <r>
      <rPr>
        <i/>
        <sz val="11"/>
        <rFont val="Calibri"/>
        <family val="2"/>
        <scheme val="minor"/>
      </rPr>
      <t>(optional)</t>
    </r>
    <r>
      <rPr>
        <b/>
        <sz val="11"/>
        <rFont val="Calibri"/>
        <family val="2"/>
        <scheme val="minor"/>
      </rPr>
      <t>:</t>
    </r>
  </si>
  <si>
    <t>__________________________________________________</t>
  </si>
  <si>
    <t>Supervisor Signature                              Date</t>
  </si>
  <si>
    <t>Employee Signature                              Date</t>
  </si>
  <si>
    <t>_______________________________________________</t>
  </si>
  <si>
    <r>
      <rPr>
        <b/>
        <sz val="8"/>
        <color theme="1"/>
        <rFont val="Calibri"/>
        <family val="2"/>
        <scheme val="minor"/>
      </rPr>
      <t>Vice President Signature</t>
    </r>
    <r>
      <rPr>
        <sz val="8"/>
        <color theme="1"/>
        <rFont val="Calibri"/>
        <family val="2"/>
        <scheme val="minor"/>
      </rPr>
      <t xml:space="preserve"> ( if applicable)    </t>
    </r>
    <r>
      <rPr>
        <b/>
        <sz val="8"/>
        <color theme="1"/>
        <rFont val="Calibri"/>
        <family val="2"/>
        <scheme val="minor"/>
      </rPr>
      <t>Date</t>
    </r>
  </si>
  <si>
    <t>President Signature                                Date</t>
  </si>
  <si>
    <t>Goal 4: Evaluate and Communicate Our Impact and 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</si>
</sst>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0"/>
      <name val="Calibri"/>
      <family val="2"/>
      <scheme val="minor"/>
    </font>
    <font>
      <i/>
      <sz val="11"/>
      <name val="Calibri"/>
      <family val="2"/>
      <scheme val="minor"/>
    </font>
    <font>
      <b/>
      <sz val="8"/>
      <color theme="1"/>
      <name val="Calibri"/>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3" tint="0.59999389629810485"/>
        <bgColor indexed="64"/>
      </patternFill>
    </fill>
  </fills>
  <borders count="35">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style="thin">
        <color rgb="FFB2B2B2"/>
      </right>
      <top style="thin">
        <color rgb="FFB2B2B2"/>
      </top>
      <bottom style="thin">
        <color rgb="FFB2B2B2"/>
      </bottom>
      <diagonal/>
    </border>
    <border>
      <left/>
      <right/>
      <top/>
      <bottom style="thin">
        <color rgb="FFB2B2B2"/>
      </bottom>
      <diagonal/>
    </border>
    <border>
      <left/>
      <right/>
      <top/>
      <bottom style="medium">
        <color indexed="64"/>
      </bottom>
      <diagonal/>
    </border>
    <border>
      <left style="thin">
        <color indexed="64"/>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style="thin">
        <color indexed="64"/>
      </left>
      <right/>
      <top style="thin">
        <color rgb="FFB2B2B2"/>
      </top>
      <bottom style="thin">
        <color rgb="FFB2B2B2"/>
      </bottom>
      <diagonal/>
    </border>
    <border>
      <left style="thin">
        <color theme="2" tint="-0.34998626667073579"/>
      </left>
      <right/>
      <top style="thin">
        <color theme="2" tint="-0.34998626667073579"/>
      </top>
      <bottom style="thin">
        <color theme="2" tint="-0.34998626667073579"/>
      </bottom>
      <diagonal/>
    </border>
    <border>
      <left/>
      <right/>
      <top style="thin">
        <color theme="2" tint="-0.34998626667073579"/>
      </top>
      <bottom style="thin">
        <color theme="2" tint="-0.34998626667073579"/>
      </bottom>
      <diagonal/>
    </border>
    <border>
      <left/>
      <right style="thin">
        <color theme="2" tint="-0.34998626667073579"/>
      </right>
      <top style="thin">
        <color theme="2" tint="-0.34998626667073579"/>
      </top>
      <bottom style="thin">
        <color theme="2" tint="-0.34998626667073579"/>
      </bottom>
      <diagonal/>
    </border>
    <border>
      <left/>
      <right/>
      <top/>
      <bottom style="thin">
        <color theme="2" tint="-0.34998626667073579"/>
      </bottom>
      <diagonal/>
    </border>
    <border>
      <left style="thin">
        <color theme="2" tint="-0.34998626667073579"/>
      </left>
      <right/>
      <top style="thin">
        <color theme="2" tint="-0.34998626667073579"/>
      </top>
      <bottom/>
      <diagonal/>
    </border>
    <border>
      <left/>
      <right/>
      <top style="thin">
        <color theme="2" tint="-0.34998626667073579"/>
      </top>
      <bottom/>
      <diagonal/>
    </border>
    <border>
      <left/>
      <right style="thin">
        <color theme="2" tint="-0.34998626667073579"/>
      </right>
      <top style="thin">
        <color theme="2" tint="-0.34998626667073579"/>
      </top>
      <bottom/>
      <diagonal/>
    </border>
    <border>
      <left style="thin">
        <color theme="2" tint="-0.34998626667073579"/>
      </left>
      <right/>
      <top/>
      <bottom/>
      <diagonal/>
    </border>
    <border>
      <left/>
      <right style="thin">
        <color theme="2" tint="-0.34998626667073579"/>
      </right>
      <top/>
      <bottom/>
      <diagonal/>
    </border>
    <border>
      <left/>
      <right/>
      <top style="thin">
        <color theme="0" tint="-0.34998626667073579"/>
      </top>
      <bottom/>
      <diagonal/>
    </border>
    <border>
      <left style="thin">
        <color theme="2" tint="-0.34998626667073579"/>
      </left>
      <right/>
      <top style="thin">
        <color theme="2" tint="-0.34998626667073579"/>
      </top>
      <bottom style="thin">
        <color theme="0" tint="-0.34998626667073579"/>
      </bottom>
      <diagonal/>
    </border>
    <border>
      <left/>
      <right/>
      <top style="thin">
        <color theme="2" tint="-0.34998626667073579"/>
      </top>
      <bottom style="thin">
        <color theme="0" tint="-0.34998626667073579"/>
      </bottom>
      <diagonal/>
    </border>
    <border>
      <left/>
      <right style="thin">
        <color theme="2" tint="-0.34998626667073579"/>
      </right>
      <top style="thin">
        <color theme="2" tint="-0.34998626667073579"/>
      </top>
      <bottom style="thin">
        <color theme="0" tint="-0.34998626667073579"/>
      </bottom>
      <diagonal/>
    </border>
    <border>
      <left style="thin">
        <color rgb="FFB2B2B2"/>
      </left>
      <right/>
      <top style="thin">
        <color theme="0" tint="-0.499984740745262"/>
      </top>
      <bottom style="thin">
        <color rgb="FFB2B2B2"/>
      </bottom>
      <diagonal/>
    </border>
    <border>
      <left/>
      <right/>
      <top style="thin">
        <color theme="0" tint="-0.499984740745262"/>
      </top>
      <bottom style="thin">
        <color rgb="FFB2B2B2"/>
      </bottom>
      <diagonal/>
    </border>
    <border>
      <left style="thin">
        <color theme="0" tint="-0.499984740745262"/>
      </left>
      <right/>
      <top/>
      <bottom/>
      <diagonal/>
    </border>
    <border>
      <left/>
      <right style="thin">
        <color rgb="FFB2B2B2"/>
      </right>
      <top style="thin">
        <color theme="0" tint="-0.499984740745262"/>
      </top>
      <bottom style="thin">
        <color rgb="FFB2B2B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rgb="FFB2B2B2"/>
      </top>
      <bottom style="thin">
        <color rgb="FFB2B2B2"/>
      </bottom>
      <diagonal/>
    </border>
    <border>
      <left/>
      <right style="thin">
        <color theme="0" tint="-0.499984740745262"/>
      </right>
      <top style="thin">
        <color theme="0" tint="-0.499984740745262"/>
      </top>
      <bottom style="thin">
        <color rgb="FFB2B2B2"/>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85">
    <xf numFmtId="0" fontId="0" fillId="0" borderId="0" xfId="0"/>
    <xf numFmtId="0" fontId="1" fillId="9" borderId="1" xfId="8" applyAlignment="1">
      <alignment horizontal="left" vertical="center"/>
    </xf>
    <xf numFmtId="0" fontId="0" fillId="9" borderId="1" xfId="8" applyFont="1" applyAlignment="1">
      <alignment horizontal="left" vertical="center"/>
    </xf>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0" fontId="2" fillId="3" borderId="3" xfId="2" applyFont="1" applyBorder="1" applyAlignment="1">
      <alignment horizontal="center" vertical="center"/>
    </xf>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6"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0" borderId="0" xfId="0" applyFill="1"/>
    <xf numFmtId="0" fontId="5" fillId="10" borderId="0" xfId="0" applyFont="1" applyFill="1"/>
    <xf numFmtId="0" fontId="0" fillId="0" borderId="0" xfId="0"/>
    <xf numFmtId="0" fontId="3" fillId="0" borderId="0" xfId="8" applyFont="1" applyFill="1" applyBorder="1" applyAlignment="1">
      <alignment horizontal="center" vertical="center"/>
    </xf>
    <xf numFmtId="0" fontId="5" fillId="0" borderId="20" xfId="0" applyFont="1" applyBorder="1"/>
    <xf numFmtId="0" fontId="0" fillId="0" borderId="18" xfId="0" applyBorder="1"/>
    <xf numFmtId="0" fontId="0" fillId="0" borderId="21" xfId="0" applyBorder="1"/>
    <xf numFmtId="0" fontId="7" fillId="0" borderId="0" xfId="0" applyFont="1" applyFill="1" applyBorder="1"/>
    <xf numFmtId="0" fontId="6" fillId="0" borderId="0" xfId="0" applyFont="1" applyFill="1" applyBorder="1"/>
    <xf numFmtId="0" fontId="2" fillId="8" borderId="5" xfId="7" applyFont="1" applyBorder="1" applyAlignment="1">
      <alignment horizontal="center"/>
    </xf>
    <xf numFmtId="0" fontId="0" fillId="0" borderId="0" xfId="0"/>
    <xf numFmtId="0" fontId="5" fillId="0" borderId="28" xfId="0" applyFont="1" applyBorder="1"/>
    <xf numFmtId="0" fontId="0" fillId="0" borderId="0" xfId="0" applyBorder="1"/>
    <xf numFmtId="0" fontId="0" fillId="0" borderId="0" xfId="0" applyBorder="1" applyAlignment="1"/>
    <xf numFmtId="0" fontId="2" fillId="11" borderId="16" xfId="6" applyFont="1" applyFill="1" applyBorder="1" applyAlignment="1">
      <alignment horizontal="left"/>
    </xf>
    <xf numFmtId="0" fontId="6" fillId="0" borderId="7" xfId="8" applyFont="1" applyFill="1" applyBorder="1" applyAlignment="1">
      <alignment horizontal="left" vertical="top" wrapText="1"/>
    </xf>
    <xf numFmtId="0" fontId="6" fillId="0" borderId="8" xfId="8" applyFont="1" applyFill="1" applyBorder="1" applyAlignment="1">
      <alignment horizontal="left" vertical="top"/>
    </xf>
    <xf numFmtId="0" fontId="6" fillId="0" borderId="9" xfId="8" applyFont="1" applyFill="1" applyBorder="1" applyAlignment="1">
      <alignment horizontal="left" vertical="top"/>
    </xf>
    <xf numFmtId="0" fontId="11" fillId="3" borderId="0" xfId="2" applyFont="1" applyAlignment="1">
      <alignment horizontal="left" vertical="center" indent="1"/>
    </xf>
    <xf numFmtId="0" fontId="2" fillId="11" borderId="16" xfId="6" applyFont="1" applyFill="1" applyBorder="1" applyAlignment="1">
      <alignment horizontal="center"/>
    </xf>
    <xf numFmtId="0" fontId="1" fillId="9" borderId="10" xfId="8" applyFont="1" applyBorder="1" applyAlignment="1">
      <alignment horizontal="left" vertical="top" wrapText="1"/>
    </xf>
    <xf numFmtId="0" fontId="1" fillId="9" borderId="11" xfId="8" applyFont="1" applyBorder="1" applyAlignment="1">
      <alignment horizontal="left" vertical="top" wrapText="1"/>
    </xf>
    <xf numFmtId="0" fontId="1" fillId="9" borderId="4" xfId="8" applyFont="1" applyBorder="1" applyAlignment="1">
      <alignment horizontal="left" vertical="top" wrapText="1"/>
    </xf>
    <xf numFmtId="0" fontId="2" fillId="0" borderId="22" xfId="6" applyFont="1" applyFill="1" applyBorder="1" applyAlignment="1">
      <alignment horizontal="left"/>
    </xf>
    <xf numFmtId="0" fontId="7" fillId="0" borderId="0" xfId="0" applyFont="1" applyFill="1" applyBorder="1" applyAlignment="1">
      <alignment horizontal="left"/>
    </xf>
    <xf numFmtId="0" fontId="1" fillId="9" borderId="1" xfId="8"/>
    <xf numFmtId="0" fontId="2" fillId="0" borderId="0" xfId="6" applyFont="1" applyFill="1" applyBorder="1" applyAlignment="1">
      <alignment horizontal="left"/>
    </xf>
    <xf numFmtId="0" fontId="1" fillId="9" borderId="12" xfId="8" applyFont="1" applyBorder="1" applyAlignment="1">
      <alignment horizontal="left" vertical="top" wrapText="1"/>
    </xf>
    <xf numFmtId="0" fontId="1" fillId="9" borderId="33" xfId="8" applyFont="1" applyBorder="1" applyAlignment="1">
      <alignment horizontal="left" vertical="top" wrapText="1"/>
    </xf>
    <xf numFmtId="0" fontId="10" fillId="12" borderId="5" xfId="4" applyFont="1" applyFill="1" applyBorder="1" applyAlignment="1">
      <alignment horizontal="left"/>
    </xf>
    <xf numFmtId="0" fontId="2" fillId="6" borderId="16" xfId="5" applyFont="1" applyBorder="1" applyAlignment="1">
      <alignment horizontal="left" wrapText="1"/>
    </xf>
    <xf numFmtId="0" fontId="2" fillId="6" borderId="16" xfId="5" applyFont="1" applyBorder="1" applyAlignment="1">
      <alignment horizontal="center" vertical="center"/>
    </xf>
    <xf numFmtId="0" fontId="6" fillId="0" borderId="0" xfId="0" applyFont="1" applyFill="1" applyBorder="1" applyAlignment="1">
      <alignment horizontal="left"/>
    </xf>
    <xf numFmtId="0" fontId="0" fillId="9" borderId="10" xfId="8" applyFont="1" applyBorder="1" applyAlignment="1">
      <alignment horizontal="left" vertical="top" wrapText="1"/>
    </xf>
    <xf numFmtId="49" fontId="0" fillId="9" borderId="10" xfId="8" applyNumberFormat="1" applyFont="1" applyBorder="1" applyAlignment="1">
      <alignment horizontal="left" vertical="top" wrapText="1"/>
    </xf>
    <xf numFmtId="49" fontId="1" fillId="9" borderId="11" xfId="8" applyNumberFormat="1" applyFont="1" applyBorder="1" applyAlignment="1">
      <alignment horizontal="left" vertical="top" wrapText="1"/>
    </xf>
    <xf numFmtId="49" fontId="1" fillId="9" borderId="4" xfId="8" applyNumberFormat="1" applyFont="1" applyBorder="1" applyAlignment="1">
      <alignment horizontal="left" vertical="top" wrapText="1"/>
    </xf>
    <xf numFmtId="0" fontId="2" fillId="0" borderId="0" xfId="1" applyFont="1" applyFill="1" applyBorder="1" applyAlignment="1">
      <alignment horizontal="left"/>
    </xf>
    <xf numFmtId="0" fontId="2" fillId="0" borderId="0" xfId="5" applyFont="1" applyFill="1" applyBorder="1" applyAlignment="1">
      <alignment horizontal="left"/>
    </xf>
    <xf numFmtId="0" fontId="0" fillId="0" borderId="0" xfId="0" applyAlignment="1">
      <alignment horizontal="center"/>
    </xf>
    <xf numFmtId="0" fontId="2" fillId="8" borderId="5" xfId="7" applyFont="1" applyBorder="1" applyAlignment="1">
      <alignment horizontal="center"/>
    </xf>
    <xf numFmtId="0" fontId="1" fillId="9" borderId="1" xfId="8" applyAlignment="1">
      <alignment horizontal="left" vertical="center"/>
    </xf>
    <xf numFmtId="0" fontId="1" fillId="9" borderId="17" xfId="8" applyFont="1" applyBorder="1" applyAlignment="1">
      <alignment horizontal="left" vertical="top" wrapText="1"/>
    </xf>
    <xf numFmtId="0" fontId="1" fillId="9" borderId="18" xfId="8" applyFont="1" applyBorder="1" applyAlignment="1">
      <alignment horizontal="left" vertical="top" wrapText="1"/>
    </xf>
    <xf numFmtId="0" fontId="1" fillId="9" borderId="19" xfId="8" applyFont="1" applyBorder="1" applyAlignment="1">
      <alignment horizontal="left" vertical="top" wrapText="1"/>
    </xf>
    <xf numFmtId="0" fontId="2" fillId="2" borderId="16" xfId="1" applyFont="1" applyBorder="1" applyAlignment="1">
      <alignment horizontal="left"/>
    </xf>
    <xf numFmtId="0" fontId="2" fillId="2" borderId="0" xfId="1" applyFont="1" applyBorder="1" applyAlignment="1">
      <alignment horizontal="center"/>
    </xf>
    <xf numFmtId="0" fontId="10" fillId="12" borderId="30" xfId="2" applyFont="1" applyFill="1" applyBorder="1" applyAlignment="1">
      <alignment horizontal="left" vertical="top" wrapText="1"/>
    </xf>
    <xf numFmtId="0" fontId="10" fillId="12" borderId="31" xfId="2" applyFont="1" applyFill="1" applyBorder="1" applyAlignment="1">
      <alignment horizontal="left" vertical="top" wrapText="1"/>
    </xf>
    <xf numFmtId="0" fontId="5" fillId="0" borderId="0" xfId="0" applyFont="1" applyAlignment="1">
      <alignment horizontal="left" wrapText="1"/>
    </xf>
    <xf numFmtId="0" fontId="3" fillId="0" borderId="0" xfId="0" applyFont="1" applyBorder="1" applyAlignment="1">
      <alignment horizontal="left"/>
    </xf>
    <xf numFmtId="0" fontId="3" fillId="9" borderId="13" xfId="8" applyFont="1" applyBorder="1" applyAlignment="1">
      <alignment horizontal="left" vertical="top" wrapText="1"/>
    </xf>
    <xf numFmtId="0" fontId="1" fillId="9" borderId="14" xfId="8" applyFont="1" applyBorder="1" applyAlignment="1">
      <alignment horizontal="left" vertical="top" wrapText="1"/>
    </xf>
    <xf numFmtId="0" fontId="1" fillId="9" borderId="15" xfId="8" applyFont="1" applyBorder="1" applyAlignment="1">
      <alignment horizontal="left" vertical="top" wrapText="1"/>
    </xf>
    <xf numFmtId="0" fontId="2" fillId="8" borderId="0" xfId="7" applyFont="1" applyBorder="1" applyAlignment="1">
      <alignment horizontal="center"/>
    </xf>
    <xf numFmtId="49" fontId="3" fillId="9" borderId="23" xfId="8" applyNumberFormat="1" applyFont="1" applyBorder="1" applyAlignment="1">
      <alignment horizontal="left" vertical="top" wrapText="1"/>
    </xf>
    <xf numFmtId="49" fontId="3" fillId="9" borderId="24" xfId="8" applyNumberFormat="1" applyFont="1" applyBorder="1" applyAlignment="1">
      <alignment horizontal="left" vertical="top" wrapText="1"/>
    </xf>
    <xf numFmtId="49" fontId="3" fillId="9" borderId="25" xfId="8" applyNumberFormat="1" applyFont="1" applyBorder="1" applyAlignment="1">
      <alignment horizontal="left" vertical="top" wrapText="1"/>
    </xf>
    <xf numFmtId="49" fontId="3" fillId="9" borderId="17" xfId="8" applyNumberFormat="1" applyFont="1" applyBorder="1" applyAlignment="1">
      <alignment horizontal="left" vertical="top" wrapText="1"/>
    </xf>
    <xf numFmtId="49" fontId="3" fillId="9" borderId="18" xfId="8" applyNumberFormat="1" applyFont="1" applyBorder="1" applyAlignment="1">
      <alignment horizontal="left" vertical="top" wrapText="1"/>
    </xf>
    <xf numFmtId="49" fontId="3" fillId="9" borderId="14" xfId="8" applyNumberFormat="1" applyFont="1" applyBorder="1" applyAlignment="1">
      <alignment horizontal="left" vertical="top" wrapText="1"/>
    </xf>
    <xf numFmtId="49" fontId="3" fillId="9" borderId="15" xfId="8" applyNumberFormat="1" applyFont="1" applyBorder="1" applyAlignment="1">
      <alignment horizontal="left" vertical="top" wrapText="1"/>
    </xf>
    <xf numFmtId="0" fontId="2" fillId="13" borderId="16" xfId="6" applyFont="1" applyFill="1" applyBorder="1" applyAlignment="1">
      <alignment horizontal="left" vertical="top" wrapText="1"/>
    </xf>
    <xf numFmtId="0" fontId="2" fillId="13" borderId="0" xfId="6" applyFont="1" applyFill="1" applyAlignment="1">
      <alignment horizontal="center"/>
    </xf>
    <xf numFmtId="0" fontId="2" fillId="13" borderId="16" xfId="6" applyFont="1" applyFill="1" applyBorder="1" applyAlignment="1">
      <alignment horizontal="center"/>
    </xf>
    <xf numFmtId="0" fontId="1" fillId="9" borderId="27" xfId="8" applyFont="1" applyBorder="1" applyAlignment="1">
      <alignment horizontal="left" vertical="top" wrapText="1"/>
    </xf>
    <xf numFmtId="0" fontId="1" fillId="9" borderId="29" xfId="8" applyFont="1" applyBorder="1" applyAlignment="1">
      <alignment horizontal="left" vertical="top" wrapText="1"/>
    </xf>
    <xf numFmtId="0" fontId="1" fillId="9" borderId="26" xfId="8" applyFont="1" applyBorder="1" applyAlignment="1">
      <alignment horizontal="left" vertical="top" wrapText="1"/>
    </xf>
    <xf numFmtId="0" fontId="1" fillId="9" borderId="34" xfId="8" applyFont="1" applyBorder="1" applyAlignment="1">
      <alignment horizontal="left" vertical="top" wrapText="1"/>
    </xf>
    <xf numFmtId="0" fontId="10" fillId="12" borderId="32" xfId="2" applyFont="1" applyFill="1" applyBorder="1" applyAlignment="1">
      <alignment horizontal="left" vertical="top" wrapText="1"/>
    </xf>
    <xf numFmtId="0" fontId="5" fillId="0" borderId="0" xfId="0" applyFont="1" applyAlignment="1">
      <alignment horizontal="left"/>
    </xf>
    <xf numFmtId="0" fontId="0" fillId="0" borderId="0" xfId="0" applyBorder="1" applyAlignment="1">
      <alignment horizontal="left"/>
    </xf>
  </cellXfs>
  <cellStyles count="9">
    <cellStyle name="40% - Accent2" xfId="3" builtinId="35"/>
    <cellStyle name="60% - Accent2" xfId="4" builtinId="36"/>
    <cellStyle name="Accent1" xfId="1" builtinId="29"/>
    <cellStyle name="Accent2" xfId="2" builtinId="33"/>
    <cellStyle name="Accent3" xfId="5" builtinId="37"/>
    <cellStyle name="Accent4" xfId="6" builtinId="41"/>
    <cellStyle name="Accent5" xfId="7" builtinId="45"/>
    <cellStyle name="Normal" xfId="0" builtinId="0"/>
    <cellStyle name="Style 1" xfId="8"/>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82826</xdr:colOff>
      <xdr:row>7</xdr:row>
      <xdr:rowOff>66259</xdr:rowOff>
    </xdr:from>
    <xdr:to>
      <xdr:col>6</xdr:col>
      <xdr:colOff>1242391</xdr:colOff>
      <xdr:row>7</xdr:row>
      <xdr:rowOff>753716</xdr:rowOff>
    </xdr:to>
    <xdr:sp macro="" textlink="">
      <xdr:nvSpPr>
        <xdr:cNvPr id="4" name="Text Box 2"/>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a:solidFill>
                <a:srgbClr val="474822"/>
              </a:solidFill>
              <a:effectLst/>
              <a:latin typeface="+mj-lt"/>
              <a:ea typeface="Times New Roman"/>
              <a:cs typeface="Times New Roman"/>
            </a:rPr>
            <a:t>2014</a:t>
          </a:r>
          <a:r>
            <a:rPr lang="en-US" sz="2000" baseline="0">
              <a:solidFill>
                <a:srgbClr val="474822"/>
              </a:solidFill>
              <a:effectLst/>
              <a:latin typeface="+mj-lt"/>
              <a:ea typeface="Times New Roman"/>
              <a:cs typeface="Times New Roman"/>
            </a:rPr>
            <a:t> Employee </a:t>
          </a:r>
          <a:r>
            <a:rPr lang="en-US" sz="2000">
              <a:solidFill>
                <a:srgbClr val="474822"/>
              </a:solidFill>
              <a:effectLst/>
              <a:latin typeface="+mj-lt"/>
              <a:ea typeface="Times New Roman"/>
              <a:cs typeface="Times New Roman"/>
            </a:rPr>
            <a:t>Goals &amp; Performance Evaluation</a:t>
          </a:r>
        </a:p>
      </xdr:txBody>
    </xdr:sp>
    <xdr:clientData/>
  </xdr:twoCellAnchor>
  <xdr:twoCellAnchor>
    <xdr:from>
      <xdr:col>1</xdr:col>
      <xdr:colOff>91108</xdr:colOff>
      <xdr:row>2</xdr:row>
      <xdr:rowOff>-1</xdr:rowOff>
    </xdr:from>
    <xdr:to>
      <xdr:col>6</xdr:col>
      <xdr:colOff>1308652</xdr:colOff>
      <xdr:row>3</xdr:row>
      <xdr:rowOff>95249</xdr:rowOff>
    </xdr:to>
    <xdr:sp macro="" textlink="">
      <xdr:nvSpPr>
        <xdr:cNvPr id="5" name="TextBox 4"/>
        <xdr:cNvSpPr txBox="1"/>
      </xdr:nvSpPr>
      <xdr:spPr>
        <a:xfrm>
          <a:off x="293514" y="928687"/>
          <a:ext cx="9230451"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2014-2016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assure supporters that their contributions are wisely invested and buttress our reputation among competitors and members alike.</a:t>
          </a:r>
        </a:p>
        <a:p>
          <a:endParaRPr lang="en-US" sz="9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900" b="1" i="1">
              <a:solidFill>
                <a:schemeClr val="dk1"/>
              </a:solidFill>
              <a:effectLst/>
              <a:latin typeface="+mn-lt"/>
              <a:ea typeface="+mn-ea"/>
              <a:cs typeface="+mn-cs"/>
            </a:rPr>
            <a:t>Evaluate and Communicate Our Impact and Value</a:t>
          </a:r>
          <a:r>
            <a:rPr lang="en-US" sz="900" b="1" i="1" baseline="0">
              <a:solidFill>
                <a:schemeClr val="dk1"/>
              </a:solidFill>
              <a:effectLst/>
              <a:latin typeface="+mn-lt"/>
              <a:ea typeface="+mn-ea"/>
              <a:cs typeface="+mn-cs"/>
            </a:rPr>
            <a:t> - In progress</a:t>
          </a:r>
          <a:endParaRPr lang="en-US" sz="900">
            <a:effectLst/>
          </a:endParaRPr>
        </a:p>
        <a:p>
          <a:endParaRPr lang="en-US" sz="900">
            <a:solidFill>
              <a:schemeClr val="dk1"/>
            </a:solidFill>
            <a:effectLst/>
            <a:latin typeface="+mn-lt"/>
            <a:ea typeface="+mn-ea"/>
            <a:cs typeface="+mn-cs"/>
          </a:endParaRPr>
        </a:p>
        <a:p>
          <a:endParaRPr lang="en-US" sz="900">
            <a:solidFill>
              <a:schemeClr val="dk1"/>
            </a:solidFill>
            <a:effectLst/>
            <a:latin typeface="+mn-lt"/>
            <a:ea typeface="+mn-ea"/>
            <a:cs typeface="+mn-cs"/>
          </a:endParaRPr>
        </a:p>
        <a:p>
          <a:endParaRPr lang="en-US" sz="1100"/>
        </a:p>
      </xdr:txBody>
    </xdr:sp>
    <xdr:clientData/>
  </xdr:twoCellAnchor>
  <xdr:twoCellAnchor>
    <xdr:from>
      <xdr:col>2</xdr:col>
      <xdr:colOff>579782</xdr:colOff>
      <xdr:row>3</xdr:row>
      <xdr:rowOff>95251</xdr:rowOff>
    </xdr:from>
    <xdr:to>
      <xdr:col>6</xdr:col>
      <xdr:colOff>289890</xdr:colOff>
      <xdr:row>5</xdr:row>
      <xdr:rowOff>11906</xdr:rowOff>
    </xdr:to>
    <xdr:sp macro="" textlink="">
      <xdr:nvSpPr>
        <xdr:cNvPr id="6" name="TextBox 5"/>
        <xdr:cNvSpPr txBox="1"/>
      </xdr:nvSpPr>
      <xdr:spPr>
        <a:xfrm>
          <a:off x="1163188" y="3643314"/>
          <a:ext cx="7342015" cy="2035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a:p>
          <a:pPr algn="ctr"/>
          <a:r>
            <a:rPr lang="en-US" sz="1100" b="1">
              <a:solidFill>
                <a:srgbClr val="FF0000"/>
              </a:solidFill>
              <a:effectLst/>
              <a:latin typeface="+mn-lt"/>
              <a:ea typeface="+mn-ea"/>
              <a:cs typeface="+mn-cs"/>
            </a:rPr>
            <a:t>Note</a:t>
          </a:r>
          <a:r>
            <a:rPr lang="en-US" sz="1100">
              <a:solidFill>
                <a:srgbClr val="FF0000"/>
              </a:solidFill>
              <a:effectLst/>
              <a:latin typeface="+mn-lt"/>
              <a:ea typeface="+mn-ea"/>
              <a:cs typeface="+mn-cs"/>
            </a:rPr>
            <a:t>: In using this new format, you will need to adapt the goals from our earlier format to insert in this template. This is the new simplified standard for reporting and evaluating goals that we’ll be using for 2014 and beyond.</a:t>
          </a:r>
          <a:endParaRPr lang="en-US" sz="1100">
            <a:solidFill>
              <a:srgbClr val="FF0000"/>
            </a:solidFill>
          </a:endParaRPr>
        </a:p>
      </xdr:txBody>
    </xdr:sp>
    <xdr:clientData/>
  </xdr:twoCellAnchor>
  <xdr:twoCellAnchor editAs="oneCell">
    <xdr:from>
      <xdr:col>1</xdr:col>
      <xdr:colOff>47625</xdr:colOff>
      <xdr:row>1</xdr:row>
      <xdr:rowOff>47625</xdr:rowOff>
    </xdr:from>
    <xdr:to>
      <xdr:col>3</xdr:col>
      <xdr:colOff>1137708</xdr:colOff>
      <xdr:row>2</xdr:row>
      <xdr:rowOff>15875</xdr:rowOff>
    </xdr:to>
    <xdr:pic>
      <xdr:nvPicPr>
        <xdr:cNvPr id="8" name="Picture 7"/>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 y="238125"/>
          <a:ext cx="2852208" cy="706438"/>
        </a:xfrm>
        <a:prstGeom prst="rect">
          <a:avLst/>
        </a:prstGeom>
      </xdr:spPr>
    </xdr:pic>
    <xdr:clientData/>
  </xdr:twoCellAnchor>
  <xdr:twoCellAnchor editAs="oneCell">
    <xdr:from>
      <xdr:col>2</xdr:col>
      <xdr:colOff>11906</xdr:colOff>
      <xdr:row>7</xdr:row>
      <xdr:rowOff>71437</xdr:rowOff>
    </xdr:from>
    <xdr:to>
      <xdr:col>3</xdr:col>
      <xdr:colOff>1482989</xdr:colOff>
      <xdr:row>8</xdr:row>
      <xdr:rowOff>3969</xdr:rowOff>
    </xdr:to>
    <xdr:pic>
      <xdr:nvPicPr>
        <xdr:cNvPr id="7" name="Picture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 y="6119812"/>
          <a:ext cx="2852208" cy="706438"/>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
  <sheetViews>
    <sheetView tabSelected="1" zoomScale="90" zoomScaleNormal="90" workbookViewId="0">
      <selection activeCell="D10" sqref="D10"/>
    </sheetView>
  </sheetViews>
  <sheetFormatPr defaultRowHeight="15" x14ac:dyDescent="0.25"/>
  <cols>
    <col min="1" max="1" width="3" customWidth="1"/>
    <col min="2" max="2" width="5.7109375" customWidth="1"/>
    <col min="3" max="3" width="20.7109375" customWidth="1"/>
    <col min="4" max="4" width="47.28515625" customWidth="1"/>
    <col min="5" max="5" width="25.7109375" customWidth="1"/>
    <col min="6" max="7" width="20.7109375" customWidth="1"/>
    <col min="8" max="8" width="3.140625" style="4" bestFit="1" customWidth="1"/>
  </cols>
  <sheetData>
    <row r="1" spans="1:8" x14ac:dyDescent="0.25">
      <c r="A1" s="13"/>
      <c r="B1" s="13"/>
      <c r="C1" s="13"/>
      <c r="D1" s="13"/>
      <c r="E1" s="13"/>
      <c r="F1" s="13"/>
      <c r="G1" s="13"/>
      <c r="H1" s="14"/>
    </row>
    <row r="2" spans="1:8" ht="57.75" customHeight="1" x14ac:dyDescent="0.25">
      <c r="A2" s="13"/>
      <c r="H2" s="14"/>
    </row>
    <row r="3" spans="1:8" ht="206.25" customHeight="1" x14ac:dyDescent="0.25">
      <c r="A3" s="13"/>
      <c r="H3" s="14"/>
    </row>
    <row r="4" spans="1:8" ht="97.5" customHeight="1" x14ac:dyDescent="0.25">
      <c r="A4" s="13"/>
      <c r="H4" s="14"/>
    </row>
    <row r="5" spans="1:8" ht="69" customHeight="1" x14ac:dyDescent="0.25">
      <c r="A5" s="13"/>
      <c r="H5" s="14"/>
    </row>
    <row r="6" spans="1:8" x14ac:dyDescent="0.25">
      <c r="A6" s="13"/>
      <c r="B6" s="52" t="s">
        <v>37</v>
      </c>
      <c r="C6" s="52"/>
      <c r="D6" s="52"/>
      <c r="E6" s="52"/>
      <c r="F6" s="52"/>
      <c r="G6" s="52"/>
      <c r="H6" s="14"/>
    </row>
    <row r="7" spans="1:8" x14ac:dyDescent="0.25">
      <c r="A7" s="13"/>
      <c r="B7" s="13"/>
      <c r="C7" s="13"/>
      <c r="D7" s="13"/>
      <c r="E7" s="13"/>
      <c r="F7" s="13"/>
      <c r="G7" s="13"/>
      <c r="H7" s="14"/>
    </row>
    <row r="8" spans="1:8" ht="60.75" customHeight="1" x14ac:dyDescent="0.25"/>
    <row r="9" spans="1:8" ht="7.5" customHeight="1" x14ac:dyDescent="0.25"/>
    <row r="10" spans="1:8" x14ac:dyDescent="0.25">
      <c r="C10" s="3" t="s">
        <v>1</v>
      </c>
      <c r="D10" s="2"/>
      <c r="E10" s="3" t="s">
        <v>3</v>
      </c>
      <c r="F10" s="54"/>
      <c r="G10" s="54"/>
    </row>
    <row r="11" spans="1:8" x14ac:dyDescent="0.25">
      <c r="C11" s="3" t="s">
        <v>2</v>
      </c>
      <c r="D11" s="1"/>
      <c r="E11" s="3" t="s">
        <v>45</v>
      </c>
      <c r="F11" s="54"/>
      <c r="G11" s="54"/>
    </row>
    <row r="13" spans="1:8" ht="22.5" customHeight="1" x14ac:dyDescent="0.25">
      <c r="B13" s="31" t="s">
        <v>41</v>
      </c>
      <c r="C13" s="31"/>
      <c r="D13" s="31"/>
      <c r="E13" s="62" t="s">
        <v>42</v>
      </c>
      <c r="F13" s="62"/>
      <c r="G13" s="62"/>
    </row>
    <row r="14" spans="1:8" ht="7.5" customHeight="1" x14ac:dyDescent="0.25">
      <c r="H14"/>
    </row>
    <row r="15" spans="1:8" x14ac:dyDescent="0.25">
      <c r="B15" s="58" t="s">
        <v>40</v>
      </c>
      <c r="C15" s="58"/>
      <c r="D15" s="58"/>
      <c r="E15" s="59" t="s">
        <v>39</v>
      </c>
      <c r="F15" s="59"/>
      <c r="G15" s="59"/>
    </row>
    <row r="16" spans="1:8" ht="125.1" customHeight="1" x14ac:dyDescent="0.25">
      <c r="B16" s="46"/>
      <c r="C16" s="34"/>
      <c r="D16" s="35"/>
      <c r="E16" s="47"/>
      <c r="F16" s="48"/>
      <c r="G16" s="49"/>
    </row>
    <row r="17" spans="2:8" s="15" customFormat="1" ht="60" customHeight="1" x14ac:dyDescent="0.25">
      <c r="B17" s="68" t="s">
        <v>38</v>
      </c>
      <c r="C17" s="69"/>
      <c r="D17" s="69"/>
      <c r="E17" s="69"/>
      <c r="F17" s="69"/>
      <c r="G17" s="70"/>
      <c r="H17" s="4"/>
    </row>
    <row r="18" spans="2:8" x14ac:dyDescent="0.25">
      <c r="B18" s="50"/>
      <c r="C18" s="50"/>
      <c r="D18" s="50"/>
      <c r="F18" s="7" t="s">
        <v>0</v>
      </c>
    </row>
    <row r="19" spans="2:8" x14ac:dyDescent="0.25">
      <c r="B19" s="16"/>
      <c r="C19" s="45"/>
      <c r="D19" s="45"/>
      <c r="F19" s="38" t="s">
        <v>4</v>
      </c>
      <c r="G19" s="38"/>
      <c r="H19" s="5">
        <f>VLOOKUP(F19,Sheet2!$B$1:$C$12,2)</f>
        <v>9.9999999999999995E-7</v>
      </c>
    </row>
    <row r="21" spans="2:8" ht="15" customHeight="1" x14ac:dyDescent="0.25">
      <c r="B21" s="43" t="s">
        <v>44</v>
      </c>
      <c r="C21" s="43"/>
      <c r="D21" s="43"/>
      <c r="E21" s="44" t="s">
        <v>39</v>
      </c>
      <c r="F21" s="44"/>
      <c r="G21" s="44"/>
    </row>
    <row r="22" spans="2:8" ht="125.1" customHeight="1" x14ac:dyDescent="0.25">
      <c r="B22" s="33"/>
      <c r="C22" s="34"/>
      <c r="D22" s="35"/>
      <c r="E22" s="33"/>
      <c r="F22" s="34"/>
      <c r="G22" s="35"/>
    </row>
    <row r="23" spans="2:8" s="15" customFormat="1" ht="60" customHeight="1" x14ac:dyDescent="0.25">
      <c r="B23" s="68" t="s">
        <v>38</v>
      </c>
      <c r="C23" s="69"/>
      <c r="D23" s="69"/>
      <c r="E23" s="69"/>
      <c r="F23" s="69"/>
      <c r="G23" s="70"/>
      <c r="H23" s="4"/>
    </row>
    <row r="24" spans="2:8" x14ac:dyDescent="0.25">
      <c r="B24" s="51"/>
      <c r="C24" s="51"/>
      <c r="D24" s="51"/>
      <c r="F24" s="7" t="s">
        <v>0</v>
      </c>
    </row>
    <row r="25" spans="2:8" x14ac:dyDescent="0.25">
      <c r="B25" s="16"/>
      <c r="C25" s="45"/>
      <c r="D25" s="45"/>
      <c r="F25" s="38" t="s">
        <v>4</v>
      </c>
      <c r="G25" s="38"/>
      <c r="H25" s="5">
        <f>VLOOKUP(F25,Sheet2!$B$1:$C$12,2)</f>
        <v>9.9999999999999995E-7</v>
      </c>
    </row>
    <row r="26" spans="2:8" x14ac:dyDescent="0.25">
      <c r="B26" s="16"/>
      <c r="C26" s="21"/>
      <c r="D26" s="21"/>
    </row>
    <row r="27" spans="2:8" x14ac:dyDescent="0.25">
      <c r="B27" s="27" t="s">
        <v>43</v>
      </c>
      <c r="C27" s="27"/>
      <c r="D27" s="27"/>
      <c r="E27" s="32" t="s">
        <v>39</v>
      </c>
      <c r="F27" s="32"/>
      <c r="G27" s="32"/>
    </row>
    <row r="28" spans="2:8" ht="125.1" customHeight="1" x14ac:dyDescent="0.25">
      <c r="B28" s="33"/>
      <c r="C28" s="34"/>
      <c r="D28" s="35"/>
      <c r="E28" s="33"/>
      <c r="F28" s="34"/>
      <c r="G28" s="35"/>
    </row>
    <row r="29" spans="2:8" s="15" customFormat="1" ht="60" customHeight="1" x14ac:dyDescent="0.25">
      <c r="B29" s="71" t="s">
        <v>38</v>
      </c>
      <c r="C29" s="72"/>
      <c r="D29" s="72"/>
      <c r="E29" s="73"/>
      <c r="F29" s="73"/>
      <c r="G29" s="74"/>
      <c r="H29" s="4"/>
    </row>
    <row r="30" spans="2:8" x14ac:dyDescent="0.25">
      <c r="B30" s="36"/>
      <c r="C30" s="36"/>
      <c r="D30" s="36"/>
      <c r="F30" s="7" t="s">
        <v>0</v>
      </c>
    </row>
    <row r="31" spans="2:8" x14ac:dyDescent="0.25">
      <c r="B31" s="16"/>
      <c r="C31" s="37"/>
      <c r="D31" s="37"/>
      <c r="F31" s="38" t="s">
        <v>4</v>
      </c>
      <c r="G31" s="38"/>
      <c r="H31" s="5">
        <f>VLOOKUP(F31,Sheet2!$B$1:$C$12,2)</f>
        <v>9.9999999999999995E-7</v>
      </c>
    </row>
    <row r="32" spans="2:8" x14ac:dyDescent="0.25">
      <c r="B32" s="16"/>
      <c r="C32" s="20"/>
      <c r="D32" s="20"/>
    </row>
    <row r="33" spans="2:8" s="15" customFormat="1" ht="15.75" customHeight="1" x14ac:dyDescent="0.25">
      <c r="B33" s="75" t="s">
        <v>56</v>
      </c>
      <c r="C33" s="75"/>
      <c r="D33" s="75"/>
      <c r="E33" s="76" t="s">
        <v>39</v>
      </c>
      <c r="F33" s="77"/>
      <c r="G33" s="77"/>
      <c r="H33" s="4"/>
    </row>
    <row r="34" spans="2:8" s="15" customFormat="1" ht="119.25" customHeight="1" x14ac:dyDescent="0.25">
      <c r="B34" s="55"/>
      <c r="C34" s="56"/>
      <c r="D34" s="57"/>
      <c r="E34" s="55"/>
      <c r="F34" s="56"/>
      <c r="G34" s="57"/>
      <c r="H34" s="4"/>
    </row>
    <row r="35" spans="2:8" s="15" customFormat="1" ht="59.25" customHeight="1" x14ac:dyDescent="0.25">
      <c r="B35" s="64" t="s">
        <v>38</v>
      </c>
      <c r="C35" s="65"/>
      <c r="D35" s="65"/>
      <c r="E35" s="65"/>
      <c r="F35" s="65"/>
      <c r="G35" s="66"/>
      <c r="H35" s="17"/>
    </row>
    <row r="36" spans="2:8" s="15" customFormat="1" x14ac:dyDescent="0.25">
      <c r="B36" s="39"/>
      <c r="C36" s="39"/>
      <c r="D36" s="39"/>
      <c r="E36" s="18"/>
      <c r="F36" s="7" t="s">
        <v>0</v>
      </c>
      <c r="H36" s="4"/>
    </row>
    <row r="37" spans="2:8" s="15" customFormat="1" x14ac:dyDescent="0.25">
      <c r="B37" s="16"/>
      <c r="C37" s="37"/>
      <c r="D37" s="37"/>
      <c r="E37" s="19"/>
      <c r="F37" s="38" t="s">
        <v>4</v>
      </c>
      <c r="G37" s="38"/>
      <c r="H37" s="5">
        <f>VLOOKUP(F37,Sheet2!$B$1:$C$12,2)</f>
        <v>9.9999999999999995E-7</v>
      </c>
    </row>
    <row r="38" spans="2:8" s="15" customFormat="1" x14ac:dyDescent="0.25">
      <c r="B38" s="16"/>
      <c r="C38" s="6"/>
      <c r="D38" s="6"/>
      <c r="H38" s="4"/>
    </row>
    <row r="39" spans="2:8" x14ac:dyDescent="0.25">
      <c r="B39" s="42" t="s">
        <v>46</v>
      </c>
      <c r="C39" s="42"/>
      <c r="D39" s="42"/>
      <c r="E39" s="42" t="s">
        <v>47</v>
      </c>
      <c r="F39" s="42"/>
      <c r="G39" s="42"/>
    </row>
    <row r="40" spans="2:8" ht="55.5" customHeight="1" x14ac:dyDescent="0.25">
      <c r="B40" s="33"/>
      <c r="C40" s="34"/>
      <c r="D40" s="41"/>
      <c r="E40" s="34"/>
      <c r="F40" s="34"/>
      <c r="G40" s="35"/>
    </row>
    <row r="41" spans="2:8" ht="15.75" thickBot="1" x14ac:dyDescent="0.3">
      <c r="G41" s="8" t="s">
        <v>17</v>
      </c>
    </row>
    <row r="42" spans="2:8" ht="15.75" thickBot="1" x14ac:dyDescent="0.3">
      <c r="G42" s="9">
        <f>AVERAGEIF(H19:H37,"&gt;0")</f>
        <v>9.9999999999999995E-7</v>
      </c>
    </row>
    <row r="44" spans="2:8" x14ac:dyDescent="0.25">
      <c r="B44" s="23"/>
      <c r="C44" s="23"/>
      <c r="D44" s="23"/>
      <c r="E44" s="23"/>
      <c r="F44" s="23"/>
      <c r="G44" s="23"/>
      <c r="H44"/>
    </row>
    <row r="45" spans="2:8" ht="22.5" customHeight="1" x14ac:dyDescent="0.25">
      <c r="B45" s="31" t="s">
        <v>21</v>
      </c>
      <c r="C45" s="31"/>
      <c r="D45" s="31"/>
    </row>
    <row r="46" spans="2:8" x14ac:dyDescent="0.25">
      <c r="H46"/>
    </row>
    <row r="47" spans="2:8" x14ac:dyDescent="0.25">
      <c r="B47" s="67" t="s">
        <v>24</v>
      </c>
      <c r="C47" s="67"/>
      <c r="D47" s="67"/>
      <c r="E47" s="22" t="s">
        <v>19</v>
      </c>
      <c r="F47" s="22"/>
      <c r="G47" s="22"/>
    </row>
    <row r="48" spans="2:8" ht="50.1" customHeight="1" x14ac:dyDescent="0.25">
      <c r="B48" s="28" t="s">
        <v>36</v>
      </c>
      <c r="C48" s="29"/>
      <c r="D48" s="30"/>
      <c r="E48" s="40"/>
      <c r="F48" s="34"/>
      <c r="G48" s="35"/>
    </row>
    <row r="49" spans="2:8" x14ac:dyDescent="0.25">
      <c r="F49" s="7" t="s">
        <v>0</v>
      </c>
    </row>
    <row r="50" spans="2:8" x14ac:dyDescent="0.25">
      <c r="F50" s="38" t="s">
        <v>4</v>
      </c>
      <c r="G50" s="38"/>
      <c r="H50" s="5">
        <f>VLOOKUP(F50,Sheet2!$B$1:$C$12,2)</f>
        <v>9.9999999999999995E-7</v>
      </c>
    </row>
    <row r="51" spans="2:8" ht="7.5" customHeight="1" x14ac:dyDescent="0.25"/>
    <row r="52" spans="2:8" x14ac:dyDescent="0.25">
      <c r="B52" s="53" t="s">
        <v>22</v>
      </c>
      <c r="C52" s="53"/>
      <c r="D52" s="53"/>
      <c r="E52" s="22" t="s">
        <v>19</v>
      </c>
      <c r="F52" s="22"/>
      <c r="G52" s="22"/>
    </row>
    <row r="53" spans="2:8" ht="50.1" customHeight="1" x14ac:dyDescent="0.25">
      <c r="B53" s="28" t="s">
        <v>23</v>
      </c>
      <c r="C53" s="29"/>
      <c r="D53" s="30"/>
      <c r="E53" s="40"/>
      <c r="F53" s="34"/>
      <c r="G53" s="35"/>
    </row>
    <row r="54" spans="2:8" x14ac:dyDescent="0.25">
      <c r="F54" s="7" t="s">
        <v>0</v>
      </c>
    </row>
    <row r="55" spans="2:8" x14ac:dyDescent="0.25">
      <c r="F55" s="38" t="s">
        <v>4</v>
      </c>
      <c r="G55" s="38"/>
      <c r="H55" s="5">
        <f>VLOOKUP(F55,Sheet2!$B$1:$C$12,2)</f>
        <v>9.9999999999999995E-7</v>
      </c>
    </row>
    <row r="56" spans="2:8" ht="7.5" customHeight="1" x14ac:dyDescent="0.25"/>
    <row r="57" spans="2:8" x14ac:dyDescent="0.25">
      <c r="B57" s="53" t="s">
        <v>18</v>
      </c>
      <c r="C57" s="53"/>
      <c r="D57" s="53"/>
      <c r="E57" s="22" t="s">
        <v>19</v>
      </c>
      <c r="F57" s="22"/>
      <c r="G57" s="22"/>
    </row>
    <row r="58" spans="2:8" ht="50.1" customHeight="1" x14ac:dyDescent="0.25">
      <c r="B58" s="28" t="s">
        <v>20</v>
      </c>
      <c r="C58" s="29"/>
      <c r="D58" s="30"/>
      <c r="E58" s="40"/>
      <c r="F58" s="34"/>
      <c r="G58" s="35"/>
    </row>
    <row r="59" spans="2:8" x14ac:dyDescent="0.25">
      <c r="F59" s="7" t="s">
        <v>0</v>
      </c>
    </row>
    <row r="60" spans="2:8" x14ac:dyDescent="0.25">
      <c r="F60" s="38" t="s">
        <v>4</v>
      </c>
      <c r="G60" s="38"/>
      <c r="H60" s="5">
        <f>VLOOKUP(F60,Sheet2!$B$1:$C$12,2)</f>
        <v>9.9999999999999995E-7</v>
      </c>
    </row>
    <row r="61" spans="2:8" ht="7.5" customHeight="1" x14ac:dyDescent="0.25"/>
    <row r="62" spans="2:8" x14ac:dyDescent="0.25">
      <c r="B62" s="53" t="s">
        <v>25</v>
      </c>
      <c r="C62" s="53"/>
      <c r="D62" s="53"/>
      <c r="E62" s="22" t="s">
        <v>19</v>
      </c>
      <c r="F62" s="22"/>
      <c r="G62" s="22"/>
    </row>
    <row r="63" spans="2:8" ht="50.1" customHeight="1" x14ac:dyDescent="0.25">
      <c r="B63" s="28" t="s">
        <v>26</v>
      </c>
      <c r="C63" s="29"/>
      <c r="D63" s="30"/>
      <c r="E63" s="40"/>
      <c r="F63" s="34"/>
      <c r="G63" s="35"/>
    </row>
    <row r="64" spans="2:8" x14ac:dyDescent="0.25">
      <c r="F64" s="7" t="s">
        <v>0</v>
      </c>
    </row>
    <row r="65" spans="2:8" x14ac:dyDescent="0.25">
      <c r="F65" s="38" t="s">
        <v>4</v>
      </c>
      <c r="G65" s="38"/>
      <c r="H65" s="5">
        <f>VLOOKUP(F65,Sheet2!$B$1:$C$12,2)</f>
        <v>9.9999999999999995E-7</v>
      </c>
    </row>
    <row r="66" spans="2:8" ht="7.5" customHeight="1" x14ac:dyDescent="0.25"/>
    <row r="67" spans="2:8" x14ac:dyDescent="0.25">
      <c r="B67" s="53" t="s">
        <v>27</v>
      </c>
      <c r="C67" s="53"/>
      <c r="D67" s="53"/>
      <c r="E67" s="22" t="s">
        <v>19</v>
      </c>
      <c r="F67" s="22"/>
      <c r="G67" s="22"/>
    </row>
    <row r="68" spans="2:8" ht="50.1" customHeight="1" x14ac:dyDescent="0.25">
      <c r="B68" s="28" t="s">
        <v>28</v>
      </c>
      <c r="C68" s="29"/>
      <c r="D68" s="30"/>
      <c r="E68" s="40"/>
      <c r="F68" s="34"/>
      <c r="G68" s="35"/>
    </row>
    <row r="69" spans="2:8" x14ac:dyDescent="0.25">
      <c r="F69" s="7" t="s">
        <v>0</v>
      </c>
    </row>
    <row r="70" spans="2:8" x14ac:dyDescent="0.25">
      <c r="F70" s="38" t="s">
        <v>4</v>
      </c>
      <c r="G70" s="38"/>
      <c r="H70" s="5">
        <f>VLOOKUP(F70,Sheet2!$B$1:$C$12,2)</f>
        <v>9.9999999999999995E-7</v>
      </c>
    </row>
    <row r="71" spans="2:8" ht="7.5" customHeight="1" x14ac:dyDescent="0.25"/>
    <row r="72" spans="2:8" x14ac:dyDescent="0.25">
      <c r="B72" s="53" t="s">
        <v>29</v>
      </c>
      <c r="C72" s="53"/>
      <c r="D72" s="53"/>
      <c r="E72" s="22" t="s">
        <v>19</v>
      </c>
      <c r="F72" s="22"/>
      <c r="G72" s="22"/>
    </row>
    <row r="73" spans="2:8" ht="50.1" customHeight="1" x14ac:dyDescent="0.25">
      <c r="B73" s="28" t="s">
        <v>30</v>
      </c>
      <c r="C73" s="29"/>
      <c r="D73" s="30"/>
      <c r="E73" s="40"/>
      <c r="F73" s="34"/>
      <c r="G73" s="35"/>
    </row>
    <row r="74" spans="2:8" x14ac:dyDescent="0.25">
      <c r="F74" s="7" t="s">
        <v>0</v>
      </c>
    </row>
    <row r="75" spans="2:8" x14ac:dyDescent="0.25">
      <c r="F75" s="38" t="s">
        <v>4</v>
      </c>
      <c r="G75" s="38"/>
      <c r="H75" s="5">
        <f>VLOOKUP(F75,Sheet2!$B$1:$C$12,2)</f>
        <v>9.9999999999999995E-7</v>
      </c>
    </row>
    <row r="76" spans="2:8" ht="7.5" customHeight="1" x14ac:dyDescent="0.25"/>
    <row r="77" spans="2:8" x14ac:dyDescent="0.25">
      <c r="B77" s="53" t="s">
        <v>34</v>
      </c>
      <c r="C77" s="53"/>
      <c r="D77" s="53"/>
      <c r="E77" s="22" t="s">
        <v>19</v>
      </c>
      <c r="F77" s="22"/>
      <c r="G77" s="22"/>
    </row>
    <row r="78" spans="2:8" ht="50.1" customHeight="1" x14ac:dyDescent="0.25">
      <c r="B78" s="28" t="s">
        <v>35</v>
      </c>
      <c r="C78" s="29"/>
      <c r="D78" s="30"/>
      <c r="E78" s="40"/>
      <c r="F78" s="34"/>
      <c r="G78" s="35"/>
    </row>
    <row r="79" spans="2:8" x14ac:dyDescent="0.25">
      <c r="F79" s="7" t="s">
        <v>0</v>
      </c>
    </row>
    <row r="80" spans="2:8" x14ac:dyDescent="0.25">
      <c r="F80" s="38" t="s">
        <v>4</v>
      </c>
      <c r="G80" s="38"/>
      <c r="H80" s="5">
        <f>VLOOKUP(F80,Sheet2!$B$1:$C$12,2)</f>
        <v>9.9999999999999995E-7</v>
      </c>
    </row>
    <row r="82" spans="2:10" ht="15" customHeight="1" x14ac:dyDescent="0.25">
      <c r="B82" s="60" t="s">
        <v>48</v>
      </c>
      <c r="C82" s="61"/>
      <c r="D82" s="61"/>
      <c r="E82" s="61" t="s">
        <v>49</v>
      </c>
      <c r="F82" s="61"/>
      <c r="G82" s="82"/>
      <c r="H82" s="24"/>
    </row>
    <row r="83" spans="2:10" ht="99.95" customHeight="1" x14ac:dyDescent="0.25">
      <c r="B83" s="80"/>
      <c r="C83" s="78"/>
      <c r="D83" s="81"/>
      <c r="E83" s="78"/>
      <c r="F83" s="78"/>
      <c r="G83" s="79"/>
    </row>
    <row r="84" spans="2:10" ht="15.75" thickBot="1" x14ac:dyDescent="0.3">
      <c r="G84" s="8" t="s">
        <v>31</v>
      </c>
    </row>
    <row r="85" spans="2:10" ht="15.75" thickBot="1" x14ac:dyDescent="0.3">
      <c r="G85" s="9">
        <f>AVERAGEIF(H47:H83,"&gt;0")</f>
        <v>9.9999999999999995E-7</v>
      </c>
      <c r="J85" s="25"/>
    </row>
    <row r="86" spans="2:10" x14ac:dyDescent="0.25">
      <c r="G86" s="10"/>
      <c r="J86" s="25"/>
    </row>
    <row r="87" spans="2:10" ht="22.5" customHeight="1" thickBot="1" x14ac:dyDescent="0.3">
      <c r="B87" s="31" t="s">
        <v>33</v>
      </c>
      <c r="C87" s="31"/>
      <c r="D87" s="31"/>
      <c r="F87" s="11" t="s">
        <v>32</v>
      </c>
      <c r="J87" s="25"/>
    </row>
    <row r="88" spans="2:10" ht="19.5" thickBot="1" x14ac:dyDescent="0.3">
      <c r="F88" s="12">
        <f>(G42*0.75)+(G85*0.25)</f>
        <v>9.9999999999999995E-7</v>
      </c>
    </row>
    <row r="89" spans="2:10" ht="20.25" customHeight="1" x14ac:dyDescent="0.25"/>
    <row r="90" spans="2:10" ht="44.25" customHeight="1" x14ac:dyDescent="0.25">
      <c r="B90" s="25" t="s">
        <v>50</v>
      </c>
      <c r="C90" s="25"/>
      <c r="D90" s="25"/>
      <c r="E90" t="s">
        <v>53</v>
      </c>
      <c r="H90"/>
    </row>
    <row r="91" spans="2:10" x14ac:dyDescent="0.25">
      <c r="B91" s="63" t="s">
        <v>51</v>
      </c>
      <c r="C91" s="63"/>
      <c r="D91" s="63"/>
      <c r="E91" s="63" t="s">
        <v>55</v>
      </c>
      <c r="F91" s="63"/>
      <c r="G91" s="63"/>
      <c r="H91"/>
    </row>
    <row r="92" spans="2:10" ht="46.5" customHeight="1" x14ac:dyDescent="0.25">
      <c r="B92" s="26" t="s">
        <v>50</v>
      </c>
      <c r="C92" s="26"/>
      <c r="D92" s="26"/>
      <c r="E92" s="84" t="s">
        <v>53</v>
      </c>
      <c r="F92" s="84"/>
      <c r="G92" s="84"/>
      <c r="H92"/>
    </row>
    <row r="93" spans="2:10" x14ac:dyDescent="0.25">
      <c r="B93" s="63" t="s">
        <v>52</v>
      </c>
      <c r="C93" s="63"/>
      <c r="D93" s="63"/>
      <c r="E93" s="83" t="s">
        <v>54</v>
      </c>
      <c r="F93" s="83"/>
      <c r="G93" s="83"/>
      <c r="H93"/>
    </row>
    <row r="94" spans="2:10" x14ac:dyDescent="0.25">
      <c r="E94" s="4"/>
      <c r="H94"/>
    </row>
  </sheetData>
  <mergeCells count="80">
    <mergeCell ref="B39:D39"/>
    <mergeCell ref="F37:G37"/>
    <mergeCell ref="B57:D57"/>
    <mergeCell ref="B48:D48"/>
    <mergeCell ref="B58:D58"/>
    <mergeCell ref="B52:D52"/>
    <mergeCell ref="E58:G58"/>
    <mergeCell ref="B93:D93"/>
    <mergeCell ref="B73:D73"/>
    <mergeCell ref="E73:G73"/>
    <mergeCell ref="F75:G75"/>
    <mergeCell ref="B77:D77"/>
    <mergeCell ref="B78:D78"/>
    <mergeCell ref="E83:G83"/>
    <mergeCell ref="B83:D83"/>
    <mergeCell ref="E82:G82"/>
    <mergeCell ref="E91:G91"/>
    <mergeCell ref="E93:G93"/>
    <mergeCell ref="E92:G92"/>
    <mergeCell ref="B72:D72"/>
    <mergeCell ref="B82:D82"/>
    <mergeCell ref="E13:G13"/>
    <mergeCell ref="B91:D91"/>
    <mergeCell ref="F70:G70"/>
    <mergeCell ref="E48:G48"/>
    <mergeCell ref="F50:G50"/>
    <mergeCell ref="B62:D62"/>
    <mergeCell ref="B35:G35"/>
    <mergeCell ref="B47:D47"/>
    <mergeCell ref="B17:G17"/>
    <mergeCell ref="B23:G23"/>
    <mergeCell ref="B29:G29"/>
    <mergeCell ref="B33:D33"/>
    <mergeCell ref="E33:G33"/>
    <mergeCell ref="B34:D34"/>
    <mergeCell ref="B6:G6"/>
    <mergeCell ref="B87:D87"/>
    <mergeCell ref="E78:G78"/>
    <mergeCell ref="F80:G80"/>
    <mergeCell ref="B63:D63"/>
    <mergeCell ref="E63:G63"/>
    <mergeCell ref="B53:D53"/>
    <mergeCell ref="E53:G53"/>
    <mergeCell ref="F55:G55"/>
    <mergeCell ref="F65:G65"/>
    <mergeCell ref="B67:D67"/>
    <mergeCell ref="F10:G10"/>
    <mergeCell ref="E34:G34"/>
    <mergeCell ref="F11:G11"/>
    <mergeCell ref="B15:D15"/>
    <mergeCell ref="E15:G15"/>
    <mergeCell ref="C25:D25"/>
    <mergeCell ref="F25:G25"/>
    <mergeCell ref="B16:D16"/>
    <mergeCell ref="E16:G16"/>
    <mergeCell ref="B18:D18"/>
    <mergeCell ref="C19:D19"/>
    <mergeCell ref="F19:G19"/>
    <mergeCell ref="B24:D24"/>
    <mergeCell ref="B13:D13"/>
    <mergeCell ref="B21:D21"/>
    <mergeCell ref="E21:G21"/>
    <mergeCell ref="B22:D22"/>
    <mergeCell ref="E22:G22"/>
    <mergeCell ref="B27:D27"/>
    <mergeCell ref="B68:D68"/>
    <mergeCell ref="B45:D45"/>
    <mergeCell ref="E27:G27"/>
    <mergeCell ref="B28:D28"/>
    <mergeCell ref="E28:G28"/>
    <mergeCell ref="B30:D30"/>
    <mergeCell ref="C31:D31"/>
    <mergeCell ref="F31:G31"/>
    <mergeCell ref="B36:D36"/>
    <mergeCell ref="C37:D37"/>
    <mergeCell ref="E68:G68"/>
    <mergeCell ref="F60:G60"/>
    <mergeCell ref="B40:D40"/>
    <mergeCell ref="E40:G40"/>
    <mergeCell ref="E39:G39"/>
  </mergeCells>
  <pageMargins left="0.7" right="0.7" top="0.75" bottom="0.75" header="0.3" footer="0.3"/>
  <pageSetup scale="83" fitToHeight="0" orientation="landscape" r:id="rId1"/>
  <headerFooter>
    <oddFooter>&amp;L&amp;D &amp;T&amp;RPage &amp;P of &amp;N</oddFooter>
  </headerFooter>
  <rowBreaks count="2" manualBreakCount="2">
    <brk id="43" max="16383" man="1"/>
    <brk id="71" max="7"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Sheet2!$A$1:$A$12</xm:f>
          </x14:formula1>
          <xm:sqref>F19:G19 F25:G25 F31:G31 F60:G60 F55:G55 F50:G50 F65:G65 F70:G70 F75:G75 F80:G80 F37:G37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E8" sqref="E8"/>
    </sheetView>
  </sheetViews>
  <sheetFormatPr defaultRowHeight="15" x14ac:dyDescent="0.25"/>
  <cols>
    <col min="1" max="2" width="22.7109375" bestFit="1" customWidth="1"/>
    <col min="3" max="3" width="4" bestFit="1" customWidth="1"/>
  </cols>
  <sheetData>
    <row r="1" spans="1:3" x14ac:dyDescent="0.25">
      <c r="A1" t="s">
        <v>4</v>
      </c>
      <c r="B1" t="s">
        <v>14</v>
      </c>
      <c r="C1">
        <v>9.9999999999999995E-7</v>
      </c>
    </row>
    <row r="2" spans="1:3" x14ac:dyDescent="0.25">
      <c r="A2" t="s">
        <v>5</v>
      </c>
      <c r="B2" t="s">
        <v>13</v>
      </c>
      <c r="C2">
        <v>1</v>
      </c>
    </row>
    <row r="3" spans="1:3" x14ac:dyDescent="0.25">
      <c r="A3" t="s">
        <v>6</v>
      </c>
      <c r="B3" t="s">
        <v>12</v>
      </c>
      <c r="C3">
        <v>1.5</v>
      </c>
    </row>
    <row r="4" spans="1:3" x14ac:dyDescent="0.25">
      <c r="A4" t="s">
        <v>7</v>
      </c>
      <c r="B4" t="s">
        <v>11</v>
      </c>
      <c r="C4">
        <v>2</v>
      </c>
    </row>
    <row r="5" spans="1:3" x14ac:dyDescent="0.25">
      <c r="A5" t="s">
        <v>9</v>
      </c>
      <c r="B5" t="s">
        <v>10</v>
      </c>
      <c r="C5">
        <v>2.5</v>
      </c>
    </row>
    <row r="6" spans="1:3" x14ac:dyDescent="0.25">
      <c r="A6" t="s">
        <v>8</v>
      </c>
      <c r="B6" t="s">
        <v>8</v>
      </c>
      <c r="C6">
        <v>3</v>
      </c>
    </row>
    <row r="7" spans="1:3" x14ac:dyDescent="0.25">
      <c r="A7" t="s">
        <v>10</v>
      </c>
      <c r="B7" t="s">
        <v>9</v>
      </c>
      <c r="C7">
        <v>3.5</v>
      </c>
    </row>
    <row r="8" spans="1:3" x14ac:dyDescent="0.25">
      <c r="A8" t="s">
        <v>11</v>
      </c>
      <c r="B8" t="s">
        <v>7</v>
      </c>
      <c r="C8">
        <v>4</v>
      </c>
    </row>
    <row r="9" spans="1:3" x14ac:dyDescent="0.25">
      <c r="A9" t="s">
        <v>12</v>
      </c>
      <c r="B9" t="s">
        <v>6</v>
      </c>
      <c r="C9">
        <v>4.5</v>
      </c>
    </row>
    <row r="10" spans="1:3" x14ac:dyDescent="0.25">
      <c r="A10" t="s">
        <v>13</v>
      </c>
      <c r="B10" t="s">
        <v>5</v>
      </c>
      <c r="C10">
        <v>5</v>
      </c>
    </row>
    <row r="11" spans="1:3" x14ac:dyDescent="0.25">
      <c r="A11" t="s">
        <v>14</v>
      </c>
      <c r="B11" t="s">
        <v>4</v>
      </c>
      <c r="C11">
        <v>9.9999999999999995E-7</v>
      </c>
    </row>
    <row r="12" spans="1:3" x14ac:dyDescent="0.25">
      <c r="A12" t="s">
        <v>15</v>
      </c>
      <c r="B12" t="s">
        <v>15</v>
      </c>
      <c r="C12" t="s">
        <v>16</v>
      </c>
    </row>
  </sheetData>
  <sortState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4D5DF2-962A-4278-9573-53C2D507E22D}"/>
</file>

<file path=customXml/itemProps2.xml><?xml version="1.0" encoding="utf-8"?>
<ds:datastoreItem xmlns:ds="http://schemas.openxmlformats.org/officeDocument/2006/customXml" ds:itemID="{DCA431C1-9890-4677-AA60-1BD8568FE388}"/>
</file>

<file path=customXml/itemProps3.xml><?xml version="1.0" encoding="utf-8"?>
<ds:datastoreItem xmlns:ds="http://schemas.openxmlformats.org/officeDocument/2006/customXml" ds:itemID="{C2B24976-AE45-4407-BC5A-EBA60D43EE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Sheet1!Goal01</vt:lpstr>
      <vt:lpstr>Sheet1!Goal02</vt:lpstr>
      <vt:lpstr>Sheet1!Goal03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Kristian C. Vasquez</cp:lastModifiedBy>
  <cp:lastPrinted>2014-12-30T21:17:12Z</cp:lastPrinted>
  <dcterms:created xsi:type="dcterms:W3CDTF">2012-12-10T15:40:14Z</dcterms:created>
  <dcterms:modified xsi:type="dcterms:W3CDTF">2015-01-26T14:26:06Z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688600</vt:r8>
  </property>
</Properties>
</file>