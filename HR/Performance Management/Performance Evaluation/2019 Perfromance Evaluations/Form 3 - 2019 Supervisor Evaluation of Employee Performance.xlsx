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HR Management/Performance Evaluation/2019 Performance Evaluations/"/>
    </mc:Choice>
  </mc:AlternateContent>
  <xr:revisionPtr revIDLastSave="18" documentId="8_{F98A7F63-700F-47A1-A00D-84C3DE3C1582}" xr6:coauthVersionLast="45" xr6:coauthVersionMax="45" xr10:uidLastSave="{5E3DE0A8-6842-444F-AD71-CE0A751FAE13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Goal01" localSheetId="0">Sheet1!$C$27</definedName>
    <definedName name="Goal02" localSheetId="0">Sheet1!$C$39</definedName>
    <definedName name="Goal03" localSheetId="0">Sheet1!$C$45</definedName>
    <definedName name="_xlnm.Print_Area" localSheetId="0">Sheet1!$A$8:$H$94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7" i="1" l="1"/>
  <c r="H50" i="1" l="1"/>
  <c r="H55" i="1"/>
  <c r="H80" i="1"/>
  <c r="H75" i="1"/>
  <c r="H70" i="1"/>
  <c r="H65" i="1"/>
  <c r="H60" i="1"/>
  <c r="H31" i="1"/>
  <c r="H25" i="1"/>
  <c r="H19" i="1"/>
  <c r="G42" i="1" l="1"/>
  <c r="G85" i="1"/>
  <c r="F88" i="1" l="1"/>
</calcChain>
</file>

<file path=xl/sharedStrings.xml><?xml version="1.0" encoding="utf-8"?>
<sst xmlns="http://schemas.openxmlformats.org/spreadsheetml/2006/main" count="99" uniqueCount="51">
  <si>
    <t>^^ THIS TOP SECTION DOES NOT PRINT ^^</t>
  </si>
  <si>
    <t>Employee Name:</t>
  </si>
  <si>
    <t>Will Webber</t>
  </si>
  <si>
    <t>Position Title:</t>
  </si>
  <si>
    <t>Supervisor Name:</t>
  </si>
  <si>
    <t>Date of Final Review:</t>
  </si>
  <si>
    <t>A. 2019 Goals Review - 75%</t>
  </si>
  <si>
    <t>If necessary, additional goals and details may be included as an attachment.</t>
  </si>
  <si>
    <t>Goal 1</t>
  </si>
  <si>
    <t>Actual Performance to Date</t>
  </si>
  <si>
    <t>CORRECTIVE ACTION(S):</t>
  </si>
  <si>
    <t>Rating:</t>
  </si>
  <si>
    <t>Choose one.</t>
  </si>
  <si>
    <t>Goal 2: Programming, Services &amp; Partnerships </t>
  </si>
  <si>
    <t>Goal 3: Technology &amp; Communications </t>
  </si>
  <si>
    <t>Goal 4: Operational &amp; Financial Excellence </t>
  </si>
  <si>
    <r>
      <t>Section A - Supervisor Comments</t>
    </r>
    <r>
      <rPr>
        <i/>
        <sz val="11"/>
        <rFont val="Calibri"/>
        <family val="2"/>
        <scheme val="minor"/>
      </rPr>
      <t xml:space="preserve"> (optional)</t>
    </r>
  </si>
  <si>
    <r>
      <t xml:space="preserve">Section A- Empoyee Comments </t>
    </r>
    <r>
      <rPr>
        <i/>
        <sz val="11"/>
        <rFont val="Calibri"/>
        <family val="2"/>
        <scheme val="minor"/>
      </rPr>
      <t>(optional)</t>
    </r>
  </si>
  <si>
    <t>SECTION A</t>
  </si>
  <si>
    <t>B. Performance Expectations - 25%</t>
  </si>
  <si>
    <r>
      <t xml:space="preserve">Financial Management
</t>
    </r>
    <r>
      <rPr>
        <sz val="10"/>
        <color theme="0"/>
        <rFont val="Calibri"/>
        <family val="2"/>
        <scheme val="minor"/>
      </rPr>
      <t>• Manages funds and resources responsibly and judiciously within area of responsibility.  
• Works proactively to improve program/unit financial oversight and sustainability.</t>
    </r>
  </si>
  <si>
    <t>Comments</t>
  </si>
  <si>
    <r>
      <t xml:space="preserve">Time Management
</t>
    </r>
    <r>
      <rPr>
        <sz val="10"/>
        <color theme="0"/>
        <rFont val="Calibri"/>
        <family val="2"/>
        <scheme val="minor"/>
      </rPr>
      <t>• Prioritizes effectively according to program/unit goals, based on outside feedback and own judgment. 
• Consistently meets deadlines and program/unit goals with quality and accuracy.</t>
    </r>
  </si>
  <si>
    <r>
      <t xml:space="preserve">Internal &amp; External Communication
</t>
    </r>
    <r>
      <rPr>
        <sz val="10"/>
        <color theme="0"/>
        <rFont val="Calibri"/>
        <family val="2"/>
        <scheme val="minor"/>
      </rPr>
      <t>• Responds promptly and accurately to requests.
• Communicates program/unit activities and accomplishments appropriately.</t>
    </r>
  </si>
  <si>
    <r>
      <t xml:space="preserve">Problem Solving
</t>
    </r>
    <r>
      <rPr>
        <sz val="10"/>
        <color theme="0"/>
        <rFont val="Calibri"/>
        <family val="2"/>
        <scheme val="minor"/>
      </rPr>
      <t>• Responds to unexpected demands and problems with resilience and resourcefulness. 
• Works proactively to improve program/unit functions and efficiency.</t>
    </r>
  </si>
  <si>
    <r>
      <t xml:space="preserve">Accountability
</t>
    </r>
    <r>
      <rPr>
        <sz val="10"/>
        <color theme="0"/>
        <rFont val="Calibri"/>
        <family val="2"/>
        <scheme val="minor"/>
      </rPr>
      <t>• Follows policies and procedures. 
• Complies with program/unit requirements when submitting reports and maintaining records.</t>
    </r>
  </si>
  <si>
    <r>
      <t xml:space="preserve">Personal &amp; Professional Development
</t>
    </r>
    <r>
      <rPr>
        <sz val="11"/>
        <color theme="0"/>
        <rFont val="Calibri"/>
        <family val="2"/>
        <scheme val="minor"/>
      </rPr>
      <t>• Exhibits strong communication and listening skills. 
• Brings an attitude of positivity and cooperation to the workplace. 
• Exercises leadership within area of responsibility.</t>
    </r>
  </si>
  <si>
    <r>
      <t xml:space="preserve">Supervisory Functions </t>
    </r>
    <r>
      <rPr>
        <i/>
        <sz val="11"/>
        <color theme="0"/>
        <rFont val="Calibri"/>
        <family val="2"/>
        <scheme val="minor"/>
      </rPr>
      <t xml:space="preserve">(if applicable)
</t>
    </r>
    <r>
      <rPr>
        <sz val="11"/>
        <color theme="0"/>
        <rFont val="Calibri"/>
        <family val="2"/>
        <scheme val="minor"/>
      </rPr>
      <t>• Provides leadership to staff and organization. Manages conflict successfully. 
• Sets clear expectations, gives effective feedback and provides strong oversight.
• Follows and enforces policies and procedures.</t>
    </r>
  </si>
  <si>
    <r>
      <t xml:space="preserve">Section B- Supervisor Comments </t>
    </r>
    <r>
      <rPr>
        <i/>
        <sz val="11"/>
        <rFont val="Calibri"/>
        <family val="2"/>
        <scheme val="minor"/>
      </rPr>
      <t>(optional)</t>
    </r>
    <r>
      <rPr>
        <b/>
        <sz val="11"/>
        <rFont val="Calibri"/>
        <family val="2"/>
        <scheme val="minor"/>
      </rPr>
      <t>:</t>
    </r>
  </si>
  <si>
    <r>
      <t xml:space="preserve">Section B- Employee Comments </t>
    </r>
    <r>
      <rPr>
        <i/>
        <sz val="11"/>
        <rFont val="Calibri"/>
        <family val="2"/>
        <scheme val="minor"/>
      </rPr>
      <t>(optional)</t>
    </r>
    <r>
      <rPr>
        <b/>
        <sz val="11"/>
        <rFont val="Calibri"/>
        <family val="2"/>
        <scheme val="minor"/>
      </rPr>
      <t>:</t>
    </r>
  </si>
  <si>
    <t>SECTION B</t>
  </si>
  <si>
    <t>C. OVERALL PERFORMANCE - SUPERVISOR EVALUTION (AGREED ON WITH EMPLOYEE)</t>
  </si>
  <si>
    <t>OVERALL SCORE</t>
  </si>
  <si>
    <t>__________________________________________________</t>
  </si>
  <si>
    <t>_______________________________________________</t>
  </si>
  <si>
    <t>Supervisor Signature                              Date</t>
  </si>
  <si>
    <t>President Signature                                Date</t>
  </si>
  <si>
    <t>Employee Signature                              Date</t>
  </si>
  <si>
    <r>
      <rPr>
        <b/>
        <sz val="11"/>
        <color theme="1"/>
        <rFont val="Calibri"/>
        <family val="2"/>
        <scheme val="minor"/>
      </rPr>
      <t>Vice President Signature</t>
    </r>
    <r>
      <rPr>
        <sz val="8"/>
        <color theme="1"/>
        <rFont val="Calibri"/>
        <family val="2"/>
        <scheme val="minor"/>
      </rPr>
      <t xml:space="preserve"> (</t>
    </r>
    <r>
      <rPr>
        <i/>
        <sz val="8"/>
        <color theme="1"/>
        <rFont val="Calibri"/>
        <family val="2"/>
        <scheme val="minor"/>
      </rPr>
      <t xml:space="preserve"> if applicable</t>
    </r>
    <r>
      <rPr>
        <sz val="8"/>
        <color theme="1"/>
        <rFont val="Calibri"/>
        <family val="2"/>
        <scheme val="minor"/>
      </rPr>
      <t xml:space="preserve">)    </t>
    </r>
    <r>
      <rPr>
        <b/>
        <sz val="11"/>
        <color theme="1"/>
        <rFont val="Calibri"/>
        <family val="2"/>
        <scheme val="minor"/>
      </rPr>
      <t>Date</t>
    </r>
  </si>
  <si>
    <t>0.0 Seriously Deficient</t>
  </si>
  <si>
    <t>5.0 Exemplary</t>
  </si>
  <si>
    <t>1.0 Seriously Deficient</t>
  </si>
  <si>
    <t>4.5 Solid Performance</t>
  </si>
  <si>
    <t>1.5 Seriously Deficient</t>
  </si>
  <si>
    <t>4.0 Solid Performance</t>
  </si>
  <si>
    <t>2.0 Needs Improvement</t>
  </si>
  <si>
    <t>3.5 Satisfactory</t>
  </si>
  <si>
    <t>2.5 Needs Improvement</t>
  </si>
  <si>
    <t>3.0 Satisfactory</t>
  </si>
  <si>
    <t>n/a Not Applicable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</si>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</sst>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EF6F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2" tint="-0.34998626667073579"/>
      </bottom>
      <diagonal/>
    </border>
    <border>
      <left/>
      <right style="thin">
        <color theme="2" tint="-0.34998626667073579"/>
      </right>
      <top/>
      <bottom/>
      <diagonal/>
    </border>
    <border>
      <left/>
      <right/>
      <top style="thin">
        <color theme="0" tint="-0.499984740745262"/>
      </top>
      <bottom style="thin">
        <color rgb="FFB2B2B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7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/>
      <diagonal/>
    </border>
    <border>
      <left style="thin">
        <color theme="7" tint="-0.249977111117893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theme="7" tint="-0.249977111117893"/>
      </right>
      <top style="thin">
        <color indexed="64"/>
      </top>
      <bottom/>
      <diagonal/>
    </border>
    <border>
      <left/>
      <right style="thin">
        <color theme="7" tint="-0.249977111117893"/>
      </right>
      <top/>
      <bottom style="thin">
        <color indexed="64"/>
      </bottom>
      <diagonal/>
    </border>
    <border>
      <left style="thin">
        <color theme="7" tint="-0.249977111117893"/>
      </left>
      <right/>
      <top/>
      <bottom style="thin">
        <color rgb="FFB2B2B2"/>
      </bottom>
      <diagonal/>
    </border>
    <border>
      <left style="thin">
        <color theme="7" tint="-0.249977111117893"/>
      </left>
      <right/>
      <top style="thin">
        <color rgb="FFB2B2B2"/>
      </top>
      <bottom/>
      <diagonal/>
    </border>
    <border>
      <left/>
      <right/>
      <top style="thin">
        <color theme="7" tint="-0.249977111117893"/>
      </top>
      <bottom style="thin">
        <color rgb="FFB2B2B2"/>
      </bottom>
      <diagonal/>
    </border>
    <border>
      <left style="thin">
        <color theme="7" tint="-0.249977111117893"/>
      </left>
      <right/>
      <top/>
      <bottom/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/>
      <right/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indexed="64"/>
      </bottom>
      <diagonal/>
    </border>
    <border>
      <left/>
      <right/>
      <top style="thin">
        <color theme="7" tint="-0.249977111117893"/>
      </top>
      <bottom style="thin">
        <color indexed="64"/>
      </bottom>
      <diagonal/>
    </border>
    <border>
      <left style="thin">
        <color theme="7" tint="-0.249977111117893"/>
      </left>
      <right/>
      <top style="thin">
        <color theme="7" tint="-0.249977111117893"/>
      </top>
      <bottom/>
      <diagonal/>
    </border>
    <border>
      <left/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rgb="FFB2B2B2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thin">
        <color rgb="FFB2B2B2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rgb="FFB2B2B2"/>
      </right>
      <top style="thin">
        <color theme="7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theme="7" tint="-0.249977111117893"/>
      </top>
      <bottom/>
      <diagonal/>
    </border>
    <border>
      <left/>
      <right style="thin">
        <color theme="7" tint="-0.249977111117893"/>
      </right>
      <top/>
      <bottom/>
      <diagonal/>
    </border>
    <border>
      <left/>
      <right/>
      <top/>
      <bottom style="thin">
        <color theme="7" tint="-0.249977111117893"/>
      </bottom>
      <diagonal/>
    </border>
    <border>
      <left style="thin">
        <color rgb="FFB2B2B2"/>
      </left>
      <right style="thin">
        <color rgb="FFB2B2B2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B2B2B2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7" tint="-0.249977111117893"/>
      </left>
      <right style="thin">
        <color rgb="FFB2B2B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7" tint="-0.249977111117893"/>
      </top>
      <bottom style="thin">
        <color theme="0" tint="-0.499984740745262"/>
      </bottom>
      <diagonal/>
    </border>
    <border>
      <left/>
      <right/>
      <top style="thin">
        <color theme="7" tint="-0.249977111117893"/>
      </top>
      <bottom style="thin">
        <color theme="0" tint="-0.499984740745262"/>
      </bottom>
      <diagonal/>
    </border>
    <border>
      <left/>
      <right/>
      <top style="thin">
        <color rgb="FFB2B2B2"/>
      </top>
      <bottom style="thin">
        <color theme="7" tint="-0.249977111117893"/>
      </bottom>
      <diagonal/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 style="thin">
        <color theme="7" tint="-0.249977111117893"/>
      </left>
      <right/>
      <top style="thin">
        <color rgb="FFB2B2B2"/>
      </top>
      <bottom style="thin">
        <color theme="7" tint="-0.249977111117893"/>
      </bottom>
      <diagonal/>
    </border>
  </borders>
  <cellStyleXfs count="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1"/>
  </cellStyleXfs>
  <cellXfs count="115">
    <xf numFmtId="0" fontId="0" fillId="0" borderId="0" xfId="0"/>
    <xf numFmtId="0" fontId="0" fillId="9" borderId="1" xfId="8" applyFont="1" applyAlignment="1">
      <alignment horizontal="left" vertical="center"/>
    </xf>
    <xf numFmtId="0" fontId="6" fillId="0" borderId="0" xfId="0" applyFont="1" applyAlignment="1">
      <alignment horizontal="right"/>
    </xf>
    <xf numFmtId="0" fontId="5" fillId="0" borderId="0" xfId="0" applyFont="1"/>
    <xf numFmtId="164" fontId="9" fillId="0" borderId="0" xfId="0" applyNumberFormat="1" applyFont="1" applyAlignment="1">
      <alignment horizontal="right"/>
    </xf>
    <xf numFmtId="0" fontId="7" fillId="0" borderId="0" xfId="0" applyFont="1"/>
    <xf numFmtId="0" fontId="10" fillId="0" borderId="0" xfId="1" applyFont="1" applyFill="1"/>
    <xf numFmtId="2" fontId="3" fillId="0" borderId="2" xfId="3" applyNumberFormat="1" applyFont="1" applyFill="1" applyBorder="1" applyAlignment="1">
      <alignment horizontal="center" vertical="center"/>
    </xf>
    <xf numFmtId="2" fontId="3" fillId="0" borderId="0" xfId="3" applyNumberFormat="1" applyFont="1" applyFill="1" applyBorder="1" applyAlignment="1">
      <alignment horizontal="center" vertical="center"/>
    </xf>
    <xf numFmtId="0" fontId="2" fillId="2" borderId="5" xfId="1" applyFont="1" applyBorder="1" applyAlignment="1">
      <alignment horizontal="center" vertical="center"/>
    </xf>
    <xf numFmtId="2" fontId="8" fillId="0" borderId="2" xfId="3" applyNumberFormat="1" applyFont="1" applyFill="1" applyBorder="1" applyAlignment="1">
      <alignment horizontal="center" vertical="center"/>
    </xf>
    <xf numFmtId="0" fontId="0" fillId="10" borderId="0" xfId="0" applyFill="1"/>
    <xf numFmtId="0" fontId="5" fillId="10" borderId="0" xfId="0" applyFont="1" applyFill="1"/>
    <xf numFmtId="0" fontId="0" fillId="0" borderId="0" xfId="0"/>
    <xf numFmtId="0" fontId="3" fillId="0" borderId="0" xfId="8" applyFont="1" applyFill="1" applyBorder="1" applyAlignment="1">
      <alignment horizontal="center" vertical="center"/>
    </xf>
    <xf numFmtId="0" fontId="0" fillId="0" borderId="7" xfId="0" applyBorder="1"/>
    <xf numFmtId="0" fontId="7" fillId="0" borderId="0" xfId="0" applyFont="1" applyFill="1" applyBorder="1"/>
    <xf numFmtId="0" fontId="6" fillId="0" borderId="0" xfId="0" applyFont="1" applyFill="1" applyBorder="1"/>
    <xf numFmtId="0" fontId="0" fillId="0" borderId="0" xfId="0"/>
    <xf numFmtId="0" fontId="5" fillId="0" borderId="9" xfId="0" applyFont="1" applyBorder="1"/>
    <xf numFmtId="0" fontId="0" fillId="0" borderId="0" xfId="0" applyBorder="1"/>
    <xf numFmtId="0" fontId="0" fillId="0" borderId="0" xfId="0" applyBorder="1" applyAlignment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/>
    <xf numFmtId="0" fontId="10" fillId="0" borderId="18" xfId="1" applyFont="1" applyFill="1" applyBorder="1"/>
    <xf numFmtId="0" fontId="0" fillId="0" borderId="18" xfId="0" applyBorder="1"/>
    <xf numFmtId="0" fontId="5" fillId="0" borderId="19" xfId="0" applyFont="1" applyBorder="1"/>
    <xf numFmtId="0" fontId="0" fillId="0" borderId="31" xfId="0" applyBorder="1"/>
    <xf numFmtId="0" fontId="0" fillId="0" borderId="4" xfId="0" applyBorder="1"/>
    <xf numFmtId="0" fontId="2" fillId="3" borderId="0" xfId="2" applyFont="1" applyBorder="1" applyAlignment="1">
      <alignment horizontal="center" vertical="center"/>
    </xf>
    <xf numFmtId="0" fontId="11" fillId="3" borderId="0" xfId="2" applyFont="1" applyAlignment="1">
      <alignment vertical="center"/>
    </xf>
    <xf numFmtId="0" fontId="1" fillId="9" borderId="1" xfId="8" applyAlignment="1">
      <alignment horizontal="left" vertical="center"/>
    </xf>
    <xf numFmtId="0" fontId="11" fillId="3" borderId="0" xfId="2" applyFont="1" applyAlignment="1">
      <alignment horizontal="left" vertical="center" indent="1"/>
    </xf>
    <xf numFmtId="0" fontId="2" fillId="8" borderId="41" xfId="7" applyFont="1" applyBorder="1" applyAlignment="1">
      <alignment horizontal="center" vertical="center"/>
    </xf>
    <xf numFmtId="0" fontId="2" fillId="8" borderId="32" xfId="7" applyFont="1" applyBorder="1" applyAlignment="1">
      <alignment horizontal="center" vertical="center"/>
    </xf>
    <xf numFmtId="0" fontId="2" fillId="8" borderId="19" xfId="7" applyFont="1" applyBorder="1" applyAlignment="1">
      <alignment horizontal="center" vertical="center"/>
    </xf>
    <xf numFmtId="0" fontId="2" fillId="8" borderId="0" xfId="7" applyFont="1" applyBorder="1" applyAlignment="1">
      <alignment horizontal="center" vertical="center"/>
    </xf>
    <xf numFmtId="0" fontId="2" fillId="8" borderId="16" xfId="7" applyFont="1" applyBorder="1" applyAlignment="1">
      <alignment horizontal="center" vertical="center"/>
    </xf>
    <xf numFmtId="0" fontId="2" fillId="8" borderId="4" xfId="7" applyFont="1" applyBorder="1" applyAlignment="1">
      <alignment horizontal="center" vertical="center"/>
    </xf>
    <xf numFmtId="0" fontId="2" fillId="11" borderId="0" xfId="6" applyFont="1" applyFill="1" applyBorder="1" applyAlignment="1">
      <alignment horizontal="left"/>
    </xf>
    <xf numFmtId="0" fontId="6" fillId="0" borderId="28" xfId="8" applyFont="1" applyFill="1" applyBorder="1" applyAlignment="1">
      <alignment horizontal="left" vertical="top" wrapText="1"/>
    </xf>
    <xf numFmtId="0" fontId="6" fillId="0" borderId="33" xfId="8" applyFont="1" applyFill="1" applyBorder="1" applyAlignment="1">
      <alignment horizontal="left" vertical="top"/>
    </xf>
    <xf numFmtId="0" fontId="6" fillId="0" borderId="34" xfId="8" applyFont="1" applyFill="1" applyBorder="1" applyAlignment="1">
      <alignment horizontal="left" vertical="top"/>
    </xf>
    <xf numFmtId="0" fontId="11" fillId="3" borderId="0" xfId="2" applyFont="1" applyAlignment="1">
      <alignment horizontal="left" vertical="center" indent="1"/>
    </xf>
    <xf numFmtId="0" fontId="2" fillId="11" borderId="0" xfId="6" applyFont="1" applyFill="1" applyBorder="1" applyAlignment="1">
      <alignment horizontal="center"/>
    </xf>
    <xf numFmtId="0" fontId="1" fillId="9" borderId="20" xfId="8" applyFont="1" applyBorder="1" applyAlignment="1">
      <alignment horizontal="left" vertical="top" wrapText="1"/>
    </xf>
    <xf numFmtId="0" fontId="1" fillId="9" borderId="21" xfId="8" applyFont="1" applyBorder="1" applyAlignment="1">
      <alignment horizontal="left" vertical="top" wrapText="1"/>
    </xf>
    <xf numFmtId="0" fontId="1" fillId="9" borderId="22" xfId="8" applyFont="1" applyBorder="1" applyAlignment="1">
      <alignment horizontal="left" vertical="top" wrapText="1"/>
    </xf>
    <xf numFmtId="0" fontId="2" fillId="0" borderId="11" xfId="6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1" fillId="9" borderId="1" xfId="8" applyAlignment="1"/>
    <xf numFmtId="0" fontId="2" fillId="0" borderId="0" xfId="6" applyFont="1" applyFill="1" applyBorder="1" applyAlignment="1">
      <alignment horizontal="left"/>
    </xf>
    <xf numFmtId="0" fontId="6" fillId="9" borderId="20" xfId="8" applyFont="1" applyBorder="1" applyAlignment="1">
      <alignment horizontal="left" vertical="top" wrapText="1"/>
    </xf>
    <xf numFmtId="0" fontId="6" fillId="9" borderId="21" xfId="8" applyFont="1" applyBorder="1" applyAlignment="1">
      <alignment horizontal="left" vertical="top" wrapText="1"/>
    </xf>
    <xf numFmtId="0" fontId="6" fillId="9" borderId="22" xfId="8" applyFont="1" applyBorder="1" applyAlignment="1">
      <alignment horizontal="left" vertical="top" wrapText="1"/>
    </xf>
    <xf numFmtId="0" fontId="0" fillId="9" borderId="3" xfId="8" applyFont="1" applyBorder="1" applyAlignment="1">
      <alignment horizontal="left" vertical="top" wrapText="1"/>
    </xf>
    <xf numFmtId="0" fontId="1" fillId="9" borderId="3" xfId="8" applyFont="1" applyBorder="1" applyAlignment="1">
      <alignment horizontal="left" vertical="top" wrapText="1"/>
    </xf>
    <xf numFmtId="49" fontId="0" fillId="9" borderId="42" xfId="8" applyNumberFormat="1" applyFont="1" applyBorder="1" applyAlignment="1">
      <alignment horizontal="left" vertical="top" wrapText="1"/>
    </xf>
    <xf numFmtId="49" fontId="1" fillId="9" borderId="40" xfId="8" applyNumberFormat="1" applyFont="1" applyBorder="1" applyAlignment="1">
      <alignment horizontal="left" vertical="top" wrapText="1"/>
    </xf>
    <xf numFmtId="0" fontId="2" fillId="0" borderId="0" xfId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2" fillId="6" borderId="0" xfId="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9" borderId="17" xfId="8" applyFont="1" applyBorder="1" applyAlignment="1">
      <alignment horizontal="left" vertical="top" wrapText="1"/>
    </xf>
    <xf numFmtId="0" fontId="6" fillId="0" borderId="29" xfId="8" applyFont="1" applyFill="1" applyBorder="1" applyAlignment="1">
      <alignment horizontal="left" vertical="top" wrapText="1"/>
    </xf>
    <xf numFmtId="0" fontId="6" fillId="0" borderId="30" xfId="8" applyFont="1" applyFill="1" applyBorder="1" applyAlignment="1">
      <alignment horizontal="left" vertical="top"/>
    </xf>
    <xf numFmtId="0" fontId="6" fillId="0" borderId="27" xfId="8" applyFont="1" applyFill="1" applyBorder="1" applyAlignment="1">
      <alignment horizontal="left" vertical="top"/>
    </xf>
    <xf numFmtId="0" fontId="2" fillId="8" borderId="0" xfId="7" applyFont="1" applyBorder="1" applyAlignment="1">
      <alignment horizontal="left" vertical="top" wrapText="1"/>
    </xf>
    <xf numFmtId="0" fontId="2" fillId="8" borderId="0" xfId="7" applyFont="1" applyBorder="1" applyAlignment="1">
      <alignment horizontal="left" vertical="top"/>
    </xf>
    <xf numFmtId="0" fontId="2" fillId="8" borderId="31" xfId="7" applyFont="1" applyBorder="1" applyAlignment="1">
      <alignment horizontal="left" vertical="top"/>
    </xf>
    <xf numFmtId="0" fontId="1" fillId="9" borderId="1" xfId="8" applyAlignment="1">
      <alignment horizontal="left" vertical="center"/>
    </xf>
    <xf numFmtId="0" fontId="2" fillId="2" borderId="6" xfId="1" applyFont="1" applyBorder="1" applyAlignment="1">
      <alignment horizontal="left"/>
    </xf>
    <xf numFmtId="0" fontId="2" fillId="2" borderId="0" xfId="1" applyFont="1" applyBorder="1" applyAlignment="1">
      <alignment horizontal="center"/>
    </xf>
    <xf numFmtId="0" fontId="10" fillId="12" borderId="38" xfId="2" applyFont="1" applyFill="1" applyBorder="1" applyAlignment="1">
      <alignment horizontal="left" vertical="top" wrapText="1"/>
    </xf>
    <xf numFmtId="0" fontId="10" fillId="12" borderId="39" xfId="2" applyFont="1" applyFill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3" fillId="0" borderId="0" xfId="0" applyFont="1" applyBorder="1" applyAlignment="1">
      <alignment horizontal="left"/>
    </xf>
    <xf numFmtId="0" fontId="2" fillId="8" borderId="21" xfId="7" applyFont="1" applyBorder="1" applyAlignment="1">
      <alignment horizontal="left" vertical="top" wrapText="1"/>
    </xf>
    <xf numFmtId="0" fontId="2" fillId="8" borderId="21" xfId="7" applyFont="1" applyBorder="1" applyAlignment="1">
      <alignment horizontal="left" vertical="top"/>
    </xf>
    <xf numFmtId="0" fontId="2" fillId="8" borderId="22" xfId="7" applyFont="1" applyBorder="1" applyAlignment="1">
      <alignment horizontal="left" vertical="top"/>
    </xf>
    <xf numFmtId="0" fontId="3" fillId="9" borderId="20" xfId="8" applyFont="1" applyBorder="1" applyAlignment="1">
      <alignment horizontal="left" vertical="top" wrapText="1"/>
    </xf>
    <xf numFmtId="0" fontId="2" fillId="8" borderId="10" xfId="7" applyFont="1" applyBorder="1" applyAlignment="1">
      <alignment horizontal="left" vertical="top" wrapText="1"/>
    </xf>
    <xf numFmtId="0" fontId="2" fillId="8" borderId="10" xfId="7" applyFont="1" applyBorder="1" applyAlignment="1">
      <alignment horizontal="left" vertical="top"/>
    </xf>
    <xf numFmtId="0" fontId="2" fillId="8" borderId="15" xfId="7" applyFont="1" applyBorder="1" applyAlignment="1">
      <alignment horizontal="left" vertical="top"/>
    </xf>
    <xf numFmtId="49" fontId="3" fillId="9" borderId="20" xfId="8" applyNumberFormat="1" applyFont="1" applyBorder="1" applyAlignment="1">
      <alignment horizontal="left" vertical="top" wrapText="1"/>
    </xf>
    <xf numFmtId="49" fontId="3" fillId="9" borderId="21" xfId="8" applyNumberFormat="1" applyFont="1" applyBorder="1" applyAlignment="1">
      <alignment horizontal="left" vertical="top" wrapText="1"/>
    </xf>
    <xf numFmtId="49" fontId="3" fillId="9" borderId="22" xfId="8" applyNumberFormat="1" applyFont="1" applyBorder="1" applyAlignment="1">
      <alignment horizontal="left" vertical="top" wrapText="1"/>
    </xf>
    <xf numFmtId="0" fontId="2" fillId="13" borderId="32" xfId="6" applyFont="1" applyFill="1" applyBorder="1" applyAlignment="1">
      <alignment horizontal="left" vertical="top" wrapText="1"/>
    </xf>
    <xf numFmtId="0" fontId="2" fillId="13" borderId="0" xfId="6" applyFont="1" applyFill="1" applyAlignment="1">
      <alignment horizontal="center"/>
    </xf>
    <xf numFmtId="0" fontId="2" fillId="13" borderId="0" xfId="6" applyFont="1" applyFill="1" applyBorder="1" applyAlignment="1">
      <alignment horizontal="center"/>
    </xf>
    <xf numFmtId="0" fontId="2" fillId="8" borderId="24" xfId="7" applyFont="1" applyBorder="1" applyAlignment="1">
      <alignment horizontal="left" vertical="top" wrapText="1"/>
    </xf>
    <xf numFmtId="0" fontId="2" fillId="8" borderId="24" xfId="7" applyFont="1" applyBorder="1" applyAlignment="1">
      <alignment horizontal="left" vertical="top"/>
    </xf>
    <xf numFmtId="0" fontId="2" fillId="8" borderId="23" xfId="7" applyFont="1" applyBorder="1" applyAlignment="1">
      <alignment horizontal="left" vertical="top"/>
    </xf>
    <xf numFmtId="0" fontId="6" fillId="0" borderId="37" xfId="8" applyFont="1" applyFill="1" applyBorder="1" applyAlignment="1">
      <alignment horizontal="left" vertical="top" wrapText="1"/>
    </xf>
    <xf numFmtId="0" fontId="6" fillId="0" borderId="12" xfId="8" applyFont="1" applyFill="1" applyBorder="1" applyAlignment="1">
      <alignment horizontal="left" vertical="top"/>
    </xf>
    <xf numFmtId="0" fontId="6" fillId="0" borderId="14" xfId="8" applyFont="1" applyFill="1" applyBorder="1" applyAlignment="1">
      <alignment horizontal="left" vertical="top"/>
    </xf>
    <xf numFmtId="0" fontId="1" fillId="9" borderId="8" xfId="8" applyFont="1" applyBorder="1" applyAlignment="1">
      <alignment horizontal="left" vertical="top" wrapText="1"/>
    </xf>
    <xf numFmtId="0" fontId="1" fillId="9" borderId="36" xfId="8" applyFont="1" applyBorder="1" applyAlignment="1">
      <alignment horizontal="left" vertical="top" wrapText="1"/>
    </xf>
    <xf numFmtId="0" fontId="10" fillId="12" borderId="36" xfId="2" applyFont="1" applyFill="1" applyBorder="1" applyAlignment="1">
      <alignment horizontal="left" vertical="top" wrapText="1"/>
    </xf>
    <xf numFmtId="0" fontId="10" fillId="12" borderId="35" xfId="2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16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2" fillId="8" borderId="25" xfId="7" applyFont="1" applyBorder="1" applyAlignment="1">
      <alignment horizontal="left" vertical="top" wrapText="1"/>
    </xf>
    <xf numFmtId="0" fontId="2" fillId="8" borderId="11" xfId="7" applyFont="1" applyBorder="1" applyAlignment="1">
      <alignment horizontal="left" vertical="top"/>
    </xf>
    <xf numFmtId="0" fontId="2" fillId="8" borderId="26" xfId="7" applyFont="1" applyBorder="1" applyAlignment="1">
      <alignment horizontal="left" vertical="top"/>
    </xf>
    <xf numFmtId="0" fontId="2" fillId="8" borderId="20" xfId="7" applyFont="1" applyBorder="1" applyAlignment="1">
      <alignment horizontal="center" vertical="center"/>
    </xf>
    <xf numFmtId="0" fontId="2" fillId="8" borderId="21" xfId="7" applyFont="1" applyBorder="1" applyAlignment="1">
      <alignment horizontal="center" vertical="center"/>
    </xf>
    <xf numFmtId="0" fontId="2" fillId="8" borderId="22" xfId="7" applyFont="1" applyBorder="1" applyAlignment="1">
      <alignment horizontal="center" vertical="center"/>
    </xf>
    <xf numFmtId="0" fontId="10" fillId="12" borderId="32" xfId="4" applyFont="1" applyFill="1" applyBorder="1" applyAlignment="1">
      <alignment horizontal="left"/>
    </xf>
    <xf numFmtId="0" fontId="6" fillId="0" borderId="13" xfId="8" applyFont="1" applyFill="1" applyBorder="1" applyAlignment="1">
      <alignment horizontal="left" vertical="top" wrapText="1"/>
    </xf>
    <xf numFmtId="0" fontId="2" fillId="0" borderId="0" xfId="5" applyFont="1" applyFill="1" applyBorder="1" applyAlignment="1">
      <alignment horizontal="left"/>
    </xf>
    <xf numFmtId="0" fontId="2" fillId="6" borderId="0" xfId="5" applyFont="1" applyBorder="1" applyAlignment="1">
      <alignment horizontal="left" wrapText="1"/>
    </xf>
  </cellXfs>
  <cellStyles count="9">
    <cellStyle name="40% - Accent2" xfId="3" builtinId="35"/>
    <cellStyle name="60% - Accent2" xfId="4" builtinId="36"/>
    <cellStyle name="Accent1" xfId="1" builtinId="29"/>
    <cellStyle name="Accent2" xfId="2" builtinId="33"/>
    <cellStyle name="Accent3" xfId="5" builtinId="37"/>
    <cellStyle name="Accent4" xfId="6" builtinId="41"/>
    <cellStyle name="Accent5" xfId="7" builtinId="45"/>
    <cellStyle name="Normal" xfId="0" builtinId="0"/>
    <cellStyle name="Style 1" xfId="8" xr:uid="{00000000-0005-0000-0000-000008000000}"/>
  </cellStyles>
  <dxfs count="0"/>
  <tableStyles count="0" defaultTableStyle="TableStyleMedium2" defaultPivotStyle="PivotStyleLight16"/>
  <colors>
    <mruColors>
      <color rgb="FFFEF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95249</xdr:colOff>
      <xdr:row>7</xdr:row>
      <xdr:rowOff>38100</xdr:rowOff>
    </xdr:from>
    <xdr:to>
      <xdr:col>6</xdr:col>
      <xdr:colOff>1412874</xdr:colOff>
      <xdr:row>7</xdr:row>
      <xdr:rowOff>712983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459328" y="6143012"/>
          <a:ext cx="4565037" cy="674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r">
            <a:spcBef>
              <a:spcPts val="0"/>
            </a:spcBef>
            <a:spcAft>
              <a:spcPts val="600"/>
            </a:spcAft>
          </a:pPr>
          <a:r>
            <a:rPr lang="en-US" sz="2000">
              <a:solidFill>
                <a:srgbClr val="474822"/>
              </a:solidFill>
              <a:effectLst/>
              <a:latin typeface="+mj-lt"/>
              <a:ea typeface="Times New Roman"/>
              <a:cs typeface="Times New Roman"/>
            </a:rPr>
            <a:t>2019 Supervisor</a:t>
          </a:r>
          <a:r>
            <a:rPr lang="en-US" sz="2000" baseline="0">
              <a:solidFill>
                <a:srgbClr val="474822"/>
              </a:solidFill>
              <a:effectLst/>
              <a:latin typeface="+mj-lt"/>
              <a:ea typeface="Times New Roman"/>
              <a:cs typeface="Times New Roman"/>
            </a:rPr>
            <a:t> Evaluation - Employee </a:t>
          </a:r>
          <a:r>
            <a:rPr lang="en-US" sz="2000">
              <a:solidFill>
                <a:srgbClr val="474822"/>
              </a:solidFill>
              <a:effectLst/>
              <a:latin typeface="+mj-lt"/>
              <a:ea typeface="Times New Roman"/>
              <a:cs typeface="Times New Roman"/>
            </a:rPr>
            <a:t>Goals &amp; Performance Evaluation</a:t>
          </a:r>
        </a:p>
      </xdr:txBody>
    </xdr:sp>
    <xdr:clientData/>
  </xdr:twoCellAnchor>
  <xdr:twoCellAnchor>
    <xdr:from>
      <xdr:col>2</xdr:col>
      <xdr:colOff>463259</xdr:colOff>
      <xdr:row>3</xdr:row>
      <xdr:rowOff>952500</xdr:rowOff>
    </xdr:from>
    <xdr:to>
      <xdr:col>6</xdr:col>
      <xdr:colOff>173367</xdr:colOff>
      <xdr:row>5</xdr:row>
      <xdr:rowOff>260668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58572" y="4484688"/>
          <a:ext cx="7544420" cy="1411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Rating Definitions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5.0	Exemplary	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Consistently achieves at a high level. Exceeds expectations.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4.0 – 4.5	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Consistently achieves above the satisfactory level. Meets all expectations. 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3.0 – 3.5	Satisfactory	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Accomplishes the task in a satisfactory manner.  Meets most expectations.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 – 2.5	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Improvement is necessary to more consistently meet expectations.</a:t>
          </a:r>
        </a:p>
        <a:p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 – 1.0	Seriously Deficient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Problems with approach or execution.  Expectations are generally not met.</a:t>
          </a:r>
        </a:p>
        <a:p>
          <a:endParaRPr lang="en-US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000" b="1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You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MUST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choose a number rating </a:t>
          </a:r>
          <a:r>
            <a:rPr lang="en-US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 </a:t>
          </a:r>
          <a:r>
            <a:rPr lang="en-US" sz="10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"n/a Not Applicable" for every question. </a:t>
          </a:r>
          <a:r>
            <a:rPr lang="en-US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 NOT LEAVE ANY RATINGS AS "Choose one."</a:t>
          </a:r>
          <a:endParaRPr lang="en-US" sz="1000" b="1" i="1" u="sng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 editAs="oneCell">
    <xdr:from>
      <xdr:col>1</xdr:col>
      <xdr:colOff>144145</xdr:colOff>
      <xdr:row>1</xdr:row>
      <xdr:rowOff>9365</xdr:rowOff>
    </xdr:from>
    <xdr:to>
      <xdr:col>3</xdr:col>
      <xdr:colOff>1047750</xdr:colOff>
      <xdr:row>2</xdr:row>
      <xdr:rowOff>72706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783"/>
        <a:stretch/>
      </xdr:blipFill>
      <xdr:spPr>
        <a:xfrm>
          <a:off x="350520" y="191928"/>
          <a:ext cx="2705418" cy="793591"/>
        </a:xfrm>
        <a:prstGeom prst="rect">
          <a:avLst/>
        </a:prstGeom>
      </xdr:spPr>
    </xdr:pic>
    <xdr:clientData/>
  </xdr:twoCellAnchor>
  <xdr:twoCellAnchor editAs="oneCell">
    <xdr:from>
      <xdr:col>1</xdr:col>
      <xdr:colOff>130969</xdr:colOff>
      <xdr:row>7</xdr:row>
      <xdr:rowOff>3970</xdr:rowOff>
    </xdr:from>
    <xdr:to>
      <xdr:col>3</xdr:col>
      <xdr:colOff>698500</xdr:colOff>
      <xdr:row>8</xdr:row>
      <xdr:rowOff>23973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783"/>
        <a:stretch/>
      </xdr:blipFill>
      <xdr:spPr>
        <a:xfrm>
          <a:off x="337344" y="6107908"/>
          <a:ext cx="2409031" cy="789940"/>
        </a:xfrm>
        <a:prstGeom prst="rect">
          <a:avLst/>
        </a:prstGeom>
      </xdr:spPr>
    </xdr:pic>
    <xdr:clientData/>
  </xdr:twoCellAnchor>
  <xdr:twoCellAnchor>
    <xdr:from>
      <xdr:col>1</xdr:col>
      <xdr:colOff>22281</xdr:colOff>
      <xdr:row>2</xdr:row>
      <xdr:rowOff>38991</xdr:rowOff>
    </xdr:from>
    <xdr:to>
      <xdr:col>6</xdr:col>
      <xdr:colOff>1361996</xdr:colOff>
      <xdr:row>3</xdr:row>
      <xdr:rowOff>1026576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C5ADA8-A614-4FCD-93F3-0193C86DF6CB}"/>
            </a:ext>
          </a:extLst>
        </xdr:cNvPr>
        <xdr:cNvSpPr txBox="1"/>
      </xdr:nvSpPr>
      <xdr:spPr>
        <a:xfrm>
          <a:off x="233948" y="952500"/>
          <a:ext cx="9739539" cy="36055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Partners of the Americas 2019-2023 Strategic Plan </a:t>
          </a: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Development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9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Success: </a:t>
          </a:r>
          <a:r>
            <a:rPr lang="en-US" sz="9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Grow on average by 10% year over year based on the previous year’s financials through a diversified portfolio of funders, programs, and areas. Growth will be achieved through thought leadership, proactive technical expertise in the field and expanding donor base. </a:t>
          </a:r>
          <a:r>
            <a:rPr lang="en-US" sz="9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</a:t>
          </a:r>
          <a:r>
            <a:rPr lang="en-US" sz="9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Cultivate deeper relationships with our current partners/funders; Expand partnerships with other non-USG govt donors and new Private Sector Donors; and Strengthen technical excellence in field and expand program areas in LAC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 </a:t>
          </a:r>
        </a:p>
        <a:p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Programming, Services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 Partnerships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indent="0" rtl="0" eaLnBrk="1" fontAlgn="base" latinLnBrk="0" hangingPunct="1"/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Success: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empower the communities we serve by focusing on where our passion, resources, knowledge and capacities intersect; adapting as the global context changes. with data-driven, evidence-based decision-making. </a:t>
          </a:r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Build and Sustain programs in Education &amp; Global Citizenship, Economic Development &amp; Health, Child Protection &amp; other community services; Develop and leverage Leaders; Promote Partners brand as a thought leader in volunteerism and partnerships; Expand and strengthen cross-cutting focus on youth and technology</a:t>
          </a:r>
        </a:p>
        <a:p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Technology &amp; Communications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rtl="0" fontAlgn="base"/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Leverage Technology &amp; Communications to facilitate efficient interactions among staff internally and connect with, engage and grow Chapter members &amp; other stakeholders externally. Collaborate within Partners to co-produce innovative, engaging communications campaigns. </a:t>
          </a:r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Develop robust IT infrastructure to facilitate efficient collaboration and communication;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Develop world class accessible external communications platform to engage and grow Partners' following;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Design and maintain on-line communities of practice, with geographic and programmatic foci;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engage and collaborate with all stakeholders.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rtl="0" fontAlgn="base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fontAlgn="base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Operational &amp; Financial Excellence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indent="0" rtl="0" eaLnBrk="1" latinLnBrk="0" hangingPunct="1"/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Goal Area Success: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manage financial and HR resources responsibly, effectively, efficiently and transparently. Ensure more efficient operations through standardized Program, HR, and Resource Management and training for staff and board. </a:t>
          </a:r>
          <a:r>
            <a:rPr lang="en-US" sz="9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Strategies: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Cultivate and strengthen the Board: Provide board development training; offer fundraising tools &amp; webinars to the Board, staff and chapter; Financial and Program Management:  Operate with a budget surplus by 2023 and a NICRA rate between 25% - 28%.;</a:t>
          </a:r>
          <a:r>
            <a:rPr lang="en-US" sz="9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operations manual and provide project management training </a:t>
          </a:r>
        </a:p>
        <a:p>
          <a:pPr marL="0" indent="0" rtl="0" eaLnBrk="1" latinLnBrk="0" hangingPunct="1"/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 and Resource Management: Standardize job descriptions and required skills in HR and chapters, and rating standards</a:t>
          </a:r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4"/>
  <sheetViews>
    <sheetView tabSelected="1" topLeftCell="A18" zoomScale="90" zoomScaleNormal="90" workbookViewId="0">
      <selection activeCell="L23" sqref="L23"/>
    </sheetView>
  </sheetViews>
  <sheetFormatPr defaultRowHeight="14.45"/>
  <cols>
    <col min="1" max="1" width="3" customWidth="1"/>
    <col min="2" max="2" width="5.7109375" customWidth="1"/>
    <col min="3" max="3" width="20.7109375" customWidth="1"/>
    <col min="4" max="4" width="47.28515625" customWidth="1"/>
    <col min="5" max="5" width="25.7109375" customWidth="1"/>
    <col min="6" max="7" width="20.7109375" customWidth="1"/>
    <col min="8" max="8" width="3.28515625" style="3" bestFit="1" customWidth="1"/>
  </cols>
  <sheetData>
    <row r="1" spans="1:8">
      <c r="A1" s="11"/>
      <c r="B1" s="11"/>
      <c r="C1" s="11"/>
      <c r="D1" s="11"/>
      <c r="E1" s="11"/>
      <c r="F1" s="11"/>
      <c r="G1" s="11"/>
      <c r="H1" s="12"/>
    </row>
    <row r="2" spans="1:8" ht="57.75" customHeight="1">
      <c r="A2" s="11"/>
      <c r="B2" s="18"/>
      <c r="C2" s="18"/>
      <c r="D2" s="18"/>
      <c r="E2" s="18"/>
      <c r="F2" s="18"/>
      <c r="G2" s="18"/>
      <c r="H2" s="12"/>
    </row>
    <row r="3" spans="1:8" ht="206.25" customHeight="1">
      <c r="A3" s="11"/>
      <c r="B3" s="18"/>
      <c r="C3" s="18"/>
      <c r="D3" s="18"/>
      <c r="E3" s="18"/>
      <c r="F3" s="18"/>
      <c r="G3" s="18"/>
      <c r="H3" s="12"/>
    </row>
    <row r="4" spans="1:8" ht="97.5" customHeight="1">
      <c r="A4" s="11"/>
      <c r="B4" s="18"/>
      <c r="C4" s="18"/>
      <c r="D4" s="18"/>
      <c r="E4" s="18"/>
      <c r="F4" s="18"/>
      <c r="G4" s="18"/>
      <c r="H4" s="12"/>
    </row>
    <row r="5" spans="1:8" ht="69" customHeight="1">
      <c r="A5" s="11"/>
      <c r="B5" s="18"/>
      <c r="C5" s="18"/>
      <c r="D5" s="18"/>
      <c r="E5" s="18"/>
      <c r="F5" s="18"/>
      <c r="G5" s="18"/>
      <c r="H5" s="12"/>
    </row>
    <row r="6" spans="1:8" ht="22.15" customHeight="1">
      <c r="A6" s="11"/>
      <c r="B6" s="63" t="s">
        <v>0</v>
      </c>
      <c r="C6" s="63"/>
      <c r="D6" s="63"/>
      <c r="E6" s="63"/>
      <c r="F6" s="63"/>
      <c r="G6" s="63"/>
      <c r="H6" s="12"/>
    </row>
    <row r="7" spans="1:8">
      <c r="A7" s="11"/>
      <c r="B7" s="11"/>
      <c r="C7" s="11"/>
      <c r="D7" s="103" t="s">
        <v>0</v>
      </c>
      <c r="E7" s="104"/>
      <c r="F7" s="11"/>
      <c r="G7" s="11"/>
      <c r="H7" s="12"/>
    </row>
    <row r="8" spans="1:8" ht="60.75" customHeight="1">
      <c r="A8" s="18"/>
      <c r="B8" s="18"/>
      <c r="C8" s="18"/>
      <c r="D8" s="18"/>
      <c r="E8" s="18"/>
      <c r="F8" s="18"/>
      <c r="G8" s="18"/>
    </row>
    <row r="9" spans="1:8" ht="7.5" customHeight="1">
      <c r="A9" s="18"/>
      <c r="B9" s="18"/>
      <c r="C9" s="18"/>
      <c r="D9" s="18"/>
      <c r="E9" s="18"/>
      <c r="F9" s="18"/>
      <c r="G9" s="18"/>
    </row>
    <row r="10" spans="1:8">
      <c r="A10" s="18"/>
      <c r="B10" s="18"/>
      <c r="C10" s="2" t="s">
        <v>1</v>
      </c>
      <c r="D10" s="1" t="s">
        <v>2</v>
      </c>
      <c r="E10" s="2" t="s">
        <v>3</v>
      </c>
      <c r="F10" s="71"/>
      <c r="G10" s="71"/>
    </row>
    <row r="11" spans="1:8">
      <c r="A11" s="18"/>
      <c r="B11" s="18"/>
      <c r="C11" s="2" t="s">
        <v>4</v>
      </c>
      <c r="D11" s="32"/>
      <c r="E11" s="2" t="s">
        <v>5</v>
      </c>
      <c r="F11" s="71"/>
      <c r="G11" s="71"/>
    </row>
    <row r="13" spans="1:8" ht="22.5" customHeight="1">
      <c r="A13" s="18"/>
      <c r="B13" s="33" t="s">
        <v>6</v>
      </c>
      <c r="C13" s="33"/>
      <c r="D13" s="33"/>
      <c r="E13" s="76" t="s">
        <v>7</v>
      </c>
      <c r="F13" s="76"/>
      <c r="G13" s="76"/>
    </row>
    <row r="14" spans="1:8" ht="7.5" customHeight="1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72" t="s">
        <v>8</v>
      </c>
      <c r="C15" s="72"/>
      <c r="D15" s="72"/>
      <c r="E15" s="73" t="s">
        <v>9</v>
      </c>
      <c r="F15" s="73"/>
      <c r="G15" s="73"/>
    </row>
    <row r="16" spans="1:8" ht="125.1" customHeight="1">
      <c r="A16" s="28"/>
      <c r="B16" s="56"/>
      <c r="C16" s="57"/>
      <c r="D16" s="57"/>
      <c r="E16" s="58"/>
      <c r="F16" s="59"/>
      <c r="G16" s="59"/>
      <c r="H16" s="27"/>
    </row>
    <row r="17" spans="1:8" s="13" customFormat="1" ht="60" customHeight="1">
      <c r="A17" s="18"/>
      <c r="B17" s="85" t="s">
        <v>10</v>
      </c>
      <c r="C17" s="86"/>
      <c r="D17" s="86"/>
      <c r="E17" s="86"/>
      <c r="F17" s="86"/>
      <c r="G17" s="87"/>
      <c r="H17" s="27"/>
    </row>
    <row r="18" spans="1:8">
      <c r="A18" s="18"/>
      <c r="B18" s="60"/>
      <c r="C18" s="60"/>
      <c r="D18" s="60"/>
      <c r="E18" s="20"/>
      <c r="F18" s="6" t="s">
        <v>11</v>
      </c>
      <c r="G18" s="18"/>
    </row>
    <row r="19" spans="1:8">
      <c r="A19" s="18"/>
      <c r="B19" s="14"/>
      <c r="C19" s="61"/>
      <c r="D19" s="61"/>
      <c r="E19" s="18"/>
      <c r="F19" s="51" t="s">
        <v>12</v>
      </c>
      <c r="G19" s="51"/>
      <c r="H19" s="4">
        <f>VLOOKUP(F19,Sheet2!$B$1:$C$12,2)</f>
        <v>9.9999999999999995E-7</v>
      </c>
    </row>
    <row r="21" spans="1:8" ht="15" customHeight="1">
      <c r="A21" s="18"/>
      <c r="B21" s="114" t="s">
        <v>13</v>
      </c>
      <c r="C21" s="114"/>
      <c r="D21" s="114"/>
      <c r="E21" s="62" t="s">
        <v>9</v>
      </c>
      <c r="F21" s="62"/>
      <c r="G21" s="62"/>
    </row>
    <row r="22" spans="1:8" ht="125.1" customHeight="1">
      <c r="A22" s="18"/>
      <c r="B22" s="46"/>
      <c r="C22" s="47"/>
      <c r="D22" s="48"/>
      <c r="E22" s="46"/>
      <c r="F22" s="47"/>
      <c r="G22" s="48"/>
      <c r="H22" s="27"/>
    </row>
    <row r="23" spans="1:8" s="13" customFormat="1" ht="60" customHeight="1">
      <c r="A23" s="18"/>
      <c r="B23" s="85" t="s">
        <v>10</v>
      </c>
      <c r="C23" s="86"/>
      <c r="D23" s="86"/>
      <c r="E23" s="86"/>
      <c r="F23" s="86"/>
      <c r="G23" s="87"/>
      <c r="H23" s="3"/>
    </row>
    <row r="24" spans="1:8">
      <c r="A24" s="18"/>
      <c r="B24" s="113"/>
      <c r="C24" s="113"/>
      <c r="D24" s="113"/>
      <c r="E24" s="18"/>
      <c r="F24" s="6" t="s">
        <v>11</v>
      </c>
      <c r="G24" s="18"/>
    </row>
    <row r="25" spans="1:8">
      <c r="A25" s="18"/>
      <c r="B25" s="14"/>
      <c r="C25" s="61"/>
      <c r="D25" s="61"/>
      <c r="E25" s="18"/>
      <c r="F25" s="51" t="s">
        <v>12</v>
      </c>
      <c r="G25" s="51"/>
      <c r="H25" s="4">
        <f>VLOOKUP(F25,Sheet2!$B$1:$C$12,2)</f>
        <v>9.9999999999999995E-7</v>
      </c>
    </row>
    <row r="26" spans="1:8">
      <c r="A26" s="18"/>
      <c r="B26" s="14"/>
      <c r="C26" s="17"/>
      <c r="D26" s="17"/>
      <c r="E26" s="18"/>
      <c r="F26" s="18"/>
      <c r="G26" s="18"/>
    </row>
    <row r="27" spans="1:8">
      <c r="A27" s="18"/>
      <c r="B27" s="40" t="s">
        <v>14</v>
      </c>
      <c r="C27" s="40"/>
      <c r="D27" s="40"/>
      <c r="E27" s="45" t="s">
        <v>9</v>
      </c>
      <c r="F27" s="45"/>
      <c r="G27" s="45"/>
    </row>
    <row r="28" spans="1:8" ht="125.1" customHeight="1">
      <c r="A28" s="18"/>
      <c r="B28" s="46"/>
      <c r="C28" s="47"/>
      <c r="D28" s="48"/>
      <c r="E28" s="46"/>
      <c r="F28" s="47"/>
      <c r="G28" s="48"/>
      <c r="H28" s="27"/>
    </row>
    <row r="29" spans="1:8" s="13" customFormat="1" ht="60" customHeight="1">
      <c r="A29" s="28"/>
      <c r="B29" s="85" t="s">
        <v>10</v>
      </c>
      <c r="C29" s="86"/>
      <c r="D29" s="86"/>
      <c r="E29" s="86"/>
      <c r="F29" s="86"/>
      <c r="G29" s="87"/>
      <c r="H29" s="27"/>
    </row>
    <row r="30" spans="1:8">
      <c r="A30" s="18"/>
      <c r="B30" s="49"/>
      <c r="C30" s="49"/>
      <c r="D30" s="49"/>
      <c r="E30" s="24"/>
      <c r="F30" s="25" t="s">
        <v>11</v>
      </c>
      <c r="G30" s="26"/>
    </row>
    <row r="31" spans="1:8">
      <c r="A31" s="18"/>
      <c r="B31" s="14"/>
      <c r="C31" s="50"/>
      <c r="D31" s="50"/>
      <c r="E31" s="18"/>
      <c r="F31" s="51" t="s">
        <v>12</v>
      </c>
      <c r="G31" s="51"/>
      <c r="H31" s="4">
        <f>VLOOKUP(F31,Sheet2!$B$1:$C$12,2)</f>
        <v>9.9999999999999995E-7</v>
      </c>
    </row>
    <row r="32" spans="1:8">
      <c r="A32" s="18"/>
      <c r="B32" s="14"/>
      <c r="C32" s="16"/>
      <c r="D32" s="16"/>
      <c r="E32" s="18"/>
      <c r="F32" s="18"/>
      <c r="G32" s="18"/>
    </row>
    <row r="33" spans="1:8" s="13" customFormat="1" ht="15.75" customHeight="1">
      <c r="A33" s="18"/>
      <c r="B33" s="88" t="s">
        <v>15</v>
      </c>
      <c r="C33" s="88"/>
      <c r="D33" s="88"/>
      <c r="E33" s="89" t="s">
        <v>9</v>
      </c>
      <c r="F33" s="90"/>
      <c r="G33" s="90"/>
      <c r="H33" s="3"/>
    </row>
    <row r="34" spans="1:8" s="13" customFormat="1" ht="119.25" customHeight="1">
      <c r="A34" s="28"/>
      <c r="B34" s="46"/>
      <c r="C34" s="47"/>
      <c r="D34" s="48"/>
      <c r="E34" s="46"/>
      <c r="F34" s="47"/>
      <c r="G34" s="48"/>
      <c r="H34" s="27"/>
    </row>
    <row r="35" spans="1:8" s="13" customFormat="1" ht="59.25" customHeight="1">
      <c r="A35" s="18"/>
      <c r="B35" s="81" t="s">
        <v>10</v>
      </c>
      <c r="C35" s="47"/>
      <c r="D35" s="47"/>
      <c r="E35" s="47"/>
      <c r="F35" s="47"/>
      <c r="G35" s="48"/>
      <c r="H35" s="27"/>
    </row>
    <row r="36" spans="1:8" s="13" customFormat="1">
      <c r="A36" s="18"/>
      <c r="B36" s="52"/>
      <c r="C36" s="52"/>
      <c r="D36" s="52"/>
      <c r="E36" s="20"/>
      <c r="F36" s="6" t="s">
        <v>11</v>
      </c>
      <c r="G36" s="18"/>
      <c r="H36" s="3"/>
    </row>
    <row r="37" spans="1:8" s="13" customFormat="1">
      <c r="A37" s="18"/>
      <c r="B37" s="14"/>
      <c r="C37" s="50"/>
      <c r="D37" s="50"/>
      <c r="E37" s="15"/>
      <c r="F37" s="51" t="s">
        <v>12</v>
      </c>
      <c r="G37" s="51"/>
      <c r="H37" s="4">
        <f>VLOOKUP(F37,Sheet2!$B$1:$C$12,2)</f>
        <v>9.9999999999999995E-7</v>
      </c>
    </row>
    <row r="38" spans="1:8" s="13" customFormat="1">
      <c r="A38" s="18"/>
      <c r="B38" s="14"/>
      <c r="C38" s="5"/>
      <c r="D38" s="5"/>
      <c r="E38" s="18"/>
      <c r="F38" s="18"/>
      <c r="G38" s="18"/>
      <c r="H38" s="3"/>
    </row>
    <row r="39" spans="1:8">
      <c r="A39" s="18"/>
      <c r="B39" s="111" t="s">
        <v>16</v>
      </c>
      <c r="C39" s="111"/>
      <c r="D39" s="111"/>
      <c r="E39" s="111" t="s">
        <v>17</v>
      </c>
      <c r="F39" s="111"/>
      <c r="G39" s="111"/>
    </row>
    <row r="40" spans="1:8" ht="60" customHeight="1">
      <c r="A40" s="18"/>
      <c r="B40" s="46"/>
      <c r="C40" s="47"/>
      <c r="D40" s="48"/>
      <c r="E40" s="46"/>
      <c r="F40" s="47"/>
      <c r="G40" s="48"/>
      <c r="H40" s="27"/>
    </row>
    <row r="41" spans="1:8" ht="15" thickBot="1">
      <c r="A41" s="18"/>
      <c r="B41" s="18"/>
      <c r="C41" s="18"/>
      <c r="D41" s="18"/>
      <c r="E41" s="20"/>
      <c r="F41" s="18"/>
      <c r="G41" s="30" t="s">
        <v>18</v>
      </c>
    </row>
    <row r="42" spans="1:8" ht="15" thickBot="1">
      <c r="A42" s="18"/>
      <c r="B42" s="18"/>
      <c r="C42" s="18"/>
      <c r="D42" s="18"/>
      <c r="E42" s="18"/>
      <c r="F42" s="18"/>
      <c r="G42" s="7">
        <f>AVERAGEIF(H19:H37,"&gt;0")</f>
        <v>9.9999999999999995E-7</v>
      </c>
    </row>
    <row r="44" spans="1:8">
      <c r="A44" s="18"/>
      <c r="B44" s="18"/>
      <c r="C44" s="18"/>
      <c r="D44" s="18"/>
      <c r="E44" s="18"/>
      <c r="F44" s="18"/>
      <c r="G44" s="18"/>
      <c r="H44" s="18"/>
    </row>
    <row r="45" spans="1:8" ht="22.5" customHeight="1">
      <c r="A45" s="18"/>
      <c r="B45" s="44" t="s">
        <v>19</v>
      </c>
      <c r="C45" s="44"/>
      <c r="D45" s="44"/>
      <c r="E45" s="18"/>
      <c r="F45" s="18"/>
      <c r="G45" s="18"/>
    </row>
    <row r="46" spans="1:8">
      <c r="A46" s="18"/>
      <c r="B46" s="18"/>
      <c r="C46" s="18"/>
      <c r="D46" s="18"/>
      <c r="E46" s="18"/>
      <c r="F46" s="18"/>
      <c r="G46" s="18"/>
      <c r="H46" s="18"/>
    </row>
    <row r="47" spans="1:8" s="23" customFormat="1" ht="60" customHeight="1">
      <c r="B47" s="82" t="s">
        <v>20</v>
      </c>
      <c r="C47" s="83"/>
      <c r="D47" s="84"/>
      <c r="E47" s="37" t="s">
        <v>21</v>
      </c>
      <c r="F47" s="37"/>
      <c r="G47" s="37"/>
      <c r="H47" s="22"/>
    </row>
    <row r="48" spans="1:8" ht="60" customHeight="1">
      <c r="A48" s="18"/>
      <c r="B48" s="112"/>
      <c r="C48" s="95"/>
      <c r="D48" s="96"/>
      <c r="E48" s="53"/>
      <c r="F48" s="54"/>
      <c r="G48" s="55"/>
      <c r="H48" s="27"/>
    </row>
    <row r="49" spans="1:8">
      <c r="A49" s="18"/>
      <c r="B49" s="18"/>
      <c r="C49" s="24"/>
      <c r="D49" s="24"/>
      <c r="E49" s="24"/>
      <c r="F49" s="25" t="s">
        <v>11</v>
      </c>
      <c r="G49" s="26"/>
    </row>
    <row r="50" spans="1:8">
      <c r="A50" s="18"/>
      <c r="B50" s="18"/>
      <c r="C50" s="18"/>
      <c r="D50" s="18"/>
      <c r="E50" s="18"/>
      <c r="F50" s="51" t="s">
        <v>12</v>
      </c>
      <c r="G50" s="51"/>
      <c r="H50" s="4">
        <f>VLOOKUP(F50,Sheet2!$B$1:$C$12,2)</f>
        <v>9.9999999999999995E-7</v>
      </c>
    </row>
    <row r="51" spans="1:8" ht="7.5" customHeight="1">
      <c r="A51" s="18"/>
      <c r="B51" s="18"/>
      <c r="C51" s="18"/>
      <c r="D51" s="18"/>
      <c r="E51" s="18"/>
      <c r="F51" s="18"/>
      <c r="G51" s="18"/>
    </row>
    <row r="52" spans="1:8" ht="60" customHeight="1">
      <c r="A52" s="18"/>
      <c r="B52" s="105" t="s">
        <v>22</v>
      </c>
      <c r="C52" s="106"/>
      <c r="D52" s="107"/>
      <c r="E52" s="108" t="s">
        <v>21</v>
      </c>
      <c r="F52" s="109"/>
      <c r="G52" s="110"/>
      <c r="H52" s="27"/>
    </row>
    <row r="53" spans="1:8" ht="60" customHeight="1">
      <c r="A53" s="18"/>
      <c r="B53" s="65"/>
      <c r="C53" s="66"/>
      <c r="D53" s="67"/>
      <c r="E53" s="53"/>
      <c r="F53" s="54"/>
      <c r="G53" s="55"/>
      <c r="H53" s="27"/>
    </row>
    <row r="54" spans="1:8">
      <c r="A54" s="18"/>
      <c r="B54" s="24"/>
      <c r="C54" s="24"/>
      <c r="D54" s="24"/>
      <c r="E54" s="24"/>
      <c r="F54" s="6" t="s">
        <v>11</v>
      </c>
      <c r="G54" s="18"/>
    </row>
    <row r="55" spans="1:8">
      <c r="A55" s="18"/>
      <c r="B55" s="18"/>
      <c r="C55" s="18"/>
      <c r="D55" s="18"/>
      <c r="E55" s="18"/>
      <c r="F55" s="51" t="s">
        <v>12</v>
      </c>
      <c r="G55" s="51"/>
      <c r="H55" s="4">
        <f>VLOOKUP(F55,Sheet2!$B$1:$C$12,2)</f>
        <v>9.9999999999999995E-7</v>
      </c>
    </row>
    <row r="56" spans="1:8" ht="7.5" customHeight="1">
      <c r="A56" s="18"/>
      <c r="B56" s="18"/>
      <c r="C56" s="18"/>
      <c r="D56" s="18"/>
      <c r="E56" s="18"/>
      <c r="F56" s="18"/>
      <c r="G56" s="18"/>
    </row>
    <row r="57" spans="1:8" s="23" customFormat="1" ht="60" customHeight="1">
      <c r="B57" s="68" t="s">
        <v>23</v>
      </c>
      <c r="C57" s="69"/>
      <c r="D57" s="69"/>
      <c r="E57" s="34" t="s">
        <v>21</v>
      </c>
      <c r="F57" s="35"/>
      <c r="G57" s="35"/>
      <c r="H57" s="22"/>
    </row>
    <row r="58" spans="1:8" ht="60" customHeight="1">
      <c r="A58" s="28"/>
      <c r="B58" s="41"/>
      <c r="C58" s="42"/>
      <c r="D58" s="43"/>
      <c r="E58" s="53"/>
      <c r="F58" s="54"/>
      <c r="G58" s="55"/>
      <c r="H58" s="27"/>
    </row>
    <row r="59" spans="1:8">
      <c r="A59" s="18"/>
      <c r="B59" s="18"/>
      <c r="C59" s="18"/>
      <c r="D59" s="20"/>
      <c r="E59" s="24"/>
      <c r="F59" s="25" t="s">
        <v>11</v>
      </c>
      <c r="G59" s="26"/>
    </row>
    <row r="60" spans="1:8">
      <c r="A60" s="18"/>
      <c r="B60" s="18"/>
      <c r="C60" s="18"/>
      <c r="D60" s="18"/>
      <c r="E60" s="18"/>
      <c r="F60" s="51" t="s">
        <v>12</v>
      </c>
      <c r="G60" s="51"/>
      <c r="H60" s="4">
        <f>VLOOKUP(F60,Sheet2!$B$1:$C$12,2)</f>
        <v>9.9999999999999995E-7</v>
      </c>
    </row>
    <row r="61" spans="1:8" ht="7.5" customHeight="1">
      <c r="A61" s="18"/>
      <c r="B61" s="18"/>
      <c r="C61" s="18"/>
      <c r="D61" s="18"/>
      <c r="E61" s="18"/>
      <c r="F61" s="18"/>
      <c r="G61" s="18"/>
    </row>
    <row r="62" spans="1:8" s="23" customFormat="1" ht="60" customHeight="1">
      <c r="B62" s="78" t="s">
        <v>24</v>
      </c>
      <c r="C62" s="79"/>
      <c r="D62" s="80"/>
      <c r="E62" s="34" t="s">
        <v>21</v>
      </c>
      <c r="F62" s="35"/>
      <c r="G62" s="35"/>
      <c r="H62" s="22"/>
    </row>
    <row r="63" spans="1:8" ht="60" customHeight="1">
      <c r="A63" s="18"/>
      <c r="B63" s="41"/>
      <c r="C63" s="42"/>
      <c r="D63" s="43"/>
      <c r="E63" s="53"/>
      <c r="F63" s="54"/>
      <c r="G63" s="55"/>
      <c r="H63" s="27"/>
    </row>
    <row r="64" spans="1:8">
      <c r="A64" s="18"/>
      <c r="B64" s="18"/>
      <c r="C64" s="24"/>
      <c r="D64" s="18"/>
      <c r="E64" s="20"/>
      <c r="F64" s="6" t="s">
        <v>11</v>
      </c>
      <c r="G64" s="29"/>
    </row>
    <row r="65" spans="2:8">
      <c r="B65" s="18"/>
      <c r="C65" s="18"/>
      <c r="D65" s="18"/>
      <c r="E65" s="18"/>
      <c r="F65" s="51" t="s">
        <v>12</v>
      </c>
      <c r="G65" s="51"/>
      <c r="H65" s="4">
        <f>VLOOKUP(F65,Sheet2!$B$1:$C$12,2)</f>
        <v>9.9999999999999995E-7</v>
      </c>
    </row>
    <row r="66" spans="2:8" ht="7.5" customHeight="1">
      <c r="B66" s="18"/>
      <c r="C66" s="18"/>
      <c r="D66" s="18"/>
      <c r="E66" s="18"/>
      <c r="F66" s="18"/>
      <c r="G66" s="18"/>
    </row>
    <row r="67" spans="2:8" s="23" customFormat="1" ht="60" customHeight="1">
      <c r="B67" s="68" t="s">
        <v>25</v>
      </c>
      <c r="C67" s="69"/>
      <c r="D67" s="70"/>
      <c r="E67" s="36" t="s">
        <v>21</v>
      </c>
      <c r="F67" s="37"/>
      <c r="G67" s="37"/>
      <c r="H67" s="22"/>
    </row>
    <row r="68" spans="2:8" ht="60" customHeight="1">
      <c r="B68" s="41"/>
      <c r="C68" s="42"/>
      <c r="D68" s="43"/>
      <c r="E68" s="53"/>
      <c r="F68" s="54"/>
      <c r="G68" s="55"/>
      <c r="H68" s="27"/>
    </row>
    <row r="69" spans="2:8">
      <c r="B69" s="18"/>
      <c r="C69" s="18"/>
      <c r="D69" s="18"/>
      <c r="E69" s="18"/>
      <c r="F69" s="6" t="s">
        <v>11</v>
      </c>
      <c r="G69" s="18"/>
    </row>
    <row r="70" spans="2:8">
      <c r="B70" s="18"/>
      <c r="C70" s="18"/>
      <c r="D70" s="18"/>
      <c r="E70" s="18"/>
      <c r="F70" s="51" t="s">
        <v>12</v>
      </c>
      <c r="G70" s="51"/>
      <c r="H70" s="4">
        <f>VLOOKUP(F70,Sheet2!$B$1:$C$12,2)</f>
        <v>9.9999999999999995E-7</v>
      </c>
    </row>
    <row r="71" spans="2:8" ht="7.5" customHeight="1">
      <c r="B71" s="18"/>
      <c r="C71" s="18"/>
      <c r="D71" s="18"/>
      <c r="E71" s="18"/>
      <c r="F71" s="18"/>
      <c r="G71" s="18"/>
    </row>
    <row r="72" spans="2:8" s="23" customFormat="1" ht="60" customHeight="1">
      <c r="B72" s="68" t="s">
        <v>26</v>
      </c>
      <c r="C72" s="69"/>
      <c r="D72" s="69"/>
      <c r="E72" s="36" t="s">
        <v>21</v>
      </c>
      <c r="F72" s="37"/>
      <c r="G72" s="37"/>
      <c r="H72" s="22"/>
    </row>
    <row r="73" spans="2:8" ht="60" customHeight="1">
      <c r="B73" s="41"/>
      <c r="C73" s="42"/>
      <c r="D73" s="43"/>
      <c r="E73" s="46"/>
      <c r="F73" s="47"/>
      <c r="G73" s="48"/>
      <c r="H73" s="27"/>
    </row>
    <row r="74" spans="2:8">
      <c r="B74" s="20"/>
      <c r="C74" s="18"/>
      <c r="D74" s="20"/>
      <c r="E74" s="20"/>
      <c r="F74" s="6" t="s">
        <v>11</v>
      </c>
      <c r="G74" s="18"/>
    </row>
    <row r="75" spans="2:8">
      <c r="B75" s="18"/>
      <c r="C75" s="18"/>
      <c r="D75" s="18"/>
      <c r="E75" s="18"/>
      <c r="F75" s="51" t="s">
        <v>12</v>
      </c>
      <c r="G75" s="51"/>
      <c r="H75" s="4">
        <f>VLOOKUP(F75,Sheet2!$B$1:$C$12,2)</f>
        <v>9.9999999999999995E-7</v>
      </c>
    </row>
    <row r="76" spans="2:8" ht="7.5" customHeight="1">
      <c r="B76" s="18"/>
      <c r="C76" s="18"/>
      <c r="D76" s="18"/>
      <c r="E76" s="18"/>
      <c r="F76" s="18"/>
      <c r="G76" s="18"/>
    </row>
    <row r="77" spans="2:8" s="23" customFormat="1" ht="60" customHeight="1">
      <c r="B77" s="91" t="s">
        <v>27</v>
      </c>
      <c r="C77" s="92"/>
      <c r="D77" s="93"/>
      <c r="E77" s="38" t="s">
        <v>21</v>
      </c>
      <c r="F77" s="39"/>
      <c r="G77" s="39"/>
      <c r="H77" s="22"/>
    </row>
    <row r="78" spans="2:8" ht="60" customHeight="1">
      <c r="B78" s="94"/>
      <c r="C78" s="95"/>
      <c r="D78" s="96"/>
      <c r="E78" s="64"/>
      <c r="F78" s="57"/>
      <c r="G78" s="57"/>
      <c r="H78" s="27"/>
    </row>
    <row r="79" spans="2:8">
      <c r="B79" s="24"/>
      <c r="C79" s="24"/>
      <c r="D79" s="24"/>
      <c r="E79" s="24"/>
      <c r="F79" s="25" t="s">
        <v>11</v>
      </c>
      <c r="G79" s="26"/>
    </row>
    <row r="80" spans="2:8">
      <c r="B80" s="18"/>
      <c r="C80" s="18"/>
      <c r="D80" s="18"/>
      <c r="E80" s="18"/>
      <c r="F80" s="51" t="s">
        <v>12</v>
      </c>
      <c r="G80" s="51"/>
      <c r="H80" s="4">
        <f>VLOOKUP(F80,Sheet2!$B$1:$C$12,2)</f>
        <v>9.9999999999999995E-7</v>
      </c>
    </row>
    <row r="82" spans="1:10" ht="15" customHeight="1">
      <c r="A82" s="18"/>
      <c r="B82" s="74" t="s">
        <v>28</v>
      </c>
      <c r="C82" s="75"/>
      <c r="D82" s="75"/>
      <c r="E82" s="99" t="s">
        <v>29</v>
      </c>
      <c r="F82" s="99"/>
      <c r="G82" s="100"/>
      <c r="H82" s="19"/>
      <c r="I82" s="18"/>
      <c r="J82" s="18"/>
    </row>
    <row r="83" spans="1:10" ht="100.15" customHeight="1">
      <c r="A83" s="28"/>
      <c r="B83" s="97"/>
      <c r="C83" s="97"/>
      <c r="D83" s="98"/>
      <c r="E83" s="46"/>
      <c r="F83" s="47"/>
      <c r="G83" s="48"/>
      <c r="H83" s="27"/>
      <c r="I83" s="18"/>
      <c r="J83" s="18"/>
    </row>
    <row r="84" spans="1:10" ht="15" thickBot="1">
      <c r="A84" s="18"/>
      <c r="B84" s="18"/>
      <c r="C84" s="18"/>
      <c r="D84" s="24"/>
      <c r="E84" s="18"/>
      <c r="F84" s="18"/>
      <c r="G84" s="30" t="s">
        <v>30</v>
      </c>
      <c r="I84" s="18"/>
      <c r="J84" s="18"/>
    </row>
    <row r="85" spans="1:10" ht="15" thickBot="1">
      <c r="A85" s="18"/>
      <c r="B85" s="18"/>
      <c r="C85" s="18"/>
      <c r="D85" s="18"/>
      <c r="E85" s="18"/>
      <c r="F85" s="18"/>
      <c r="G85" s="7">
        <f>AVERAGEIF(H47:H83,"&gt;0")</f>
        <v>9.9999999999999995E-7</v>
      </c>
      <c r="I85" s="18"/>
      <c r="J85" s="20"/>
    </row>
    <row r="86" spans="1:10">
      <c r="A86" s="18"/>
      <c r="B86" s="18"/>
      <c r="C86" s="18"/>
      <c r="D86" s="18"/>
      <c r="E86" s="18"/>
      <c r="F86" s="18"/>
      <c r="G86" s="8"/>
      <c r="I86" s="18"/>
      <c r="J86" s="20"/>
    </row>
    <row r="87" spans="1:10" ht="22.5" customHeight="1" thickBot="1">
      <c r="A87" s="18"/>
      <c r="B87" s="31" t="s">
        <v>31</v>
      </c>
      <c r="C87" s="31"/>
      <c r="D87" s="31"/>
      <c r="E87" s="31"/>
      <c r="F87" s="9" t="s">
        <v>32</v>
      </c>
      <c r="G87" s="18"/>
      <c r="I87" s="18"/>
      <c r="J87" s="20"/>
    </row>
    <row r="88" spans="1:10" ht="18.600000000000001" thickBot="1">
      <c r="A88" s="18"/>
      <c r="B88" s="18"/>
      <c r="C88" s="18"/>
      <c r="D88" s="18"/>
      <c r="E88" s="18"/>
      <c r="F88" s="10">
        <f>(G42*0.75)+(G85*0.25)</f>
        <v>9.9999999999999995E-7</v>
      </c>
      <c r="G88" s="18"/>
      <c r="I88" s="18"/>
      <c r="J88" s="18"/>
    </row>
    <row r="89" spans="1:10" ht="20.25" customHeight="1">
      <c r="A89" s="18"/>
      <c r="B89" s="18"/>
      <c r="C89" s="18"/>
      <c r="D89" s="18"/>
      <c r="E89" s="18"/>
      <c r="F89" s="18"/>
      <c r="G89" s="18"/>
      <c r="I89" s="18"/>
      <c r="J89" s="18"/>
    </row>
    <row r="90" spans="1:10" ht="44.25" customHeight="1">
      <c r="A90" s="18"/>
      <c r="B90" s="20" t="s">
        <v>33</v>
      </c>
      <c r="C90" s="20"/>
      <c r="D90" s="20"/>
      <c r="E90" s="18" t="s">
        <v>34</v>
      </c>
      <c r="F90" s="18"/>
      <c r="G90" s="18"/>
      <c r="H90" s="18"/>
      <c r="I90" s="18"/>
      <c r="J90" s="18"/>
    </row>
    <row r="91" spans="1:10">
      <c r="A91" s="18"/>
      <c r="B91" s="77" t="s">
        <v>35</v>
      </c>
      <c r="C91" s="77"/>
      <c r="D91" s="77"/>
      <c r="E91" s="77" t="s">
        <v>36</v>
      </c>
      <c r="F91" s="77"/>
      <c r="G91" s="77"/>
      <c r="H91" s="18"/>
      <c r="I91" s="18"/>
      <c r="J91" s="18"/>
    </row>
    <row r="92" spans="1:10" ht="46.5" customHeight="1">
      <c r="A92" s="18"/>
      <c r="B92" s="21" t="s">
        <v>33</v>
      </c>
      <c r="C92" s="21"/>
      <c r="D92" s="21"/>
      <c r="E92" s="102" t="s">
        <v>34</v>
      </c>
      <c r="F92" s="102"/>
      <c r="G92" s="102"/>
      <c r="H92" s="18"/>
      <c r="I92" s="18"/>
      <c r="J92" s="18"/>
    </row>
    <row r="93" spans="1:10">
      <c r="A93" s="18"/>
      <c r="B93" s="77" t="s">
        <v>37</v>
      </c>
      <c r="C93" s="77"/>
      <c r="D93" s="77"/>
      <c r="E93" s="101" t="s">
        <v>38</v>
      </c>
      <c r="F93" s="101"/>
      <c r="G93" s="101"/>
      <c r="H93" s="18"/>
      <c r="I93" s="18"/>
      <c r="J93" s="18"/>
    </row>
    <row r="94" spans="1:10">
      <c r="A94" s="18"/>
      <c r="B94" s="18"/>
      <c r="C94" s="18"/>
      <c r="D94" s="18"/>
      <c r="E94" s="3"/>
      <c r="F94" s="18"/>
      <c r="G94" s="18"/>
      <c r="H94" s="18"/>
      <c r="I94" s="18"/>
      <c r="J94" s="18"/>
    </row>
  </sheetData>
  <mergeCells count="86">
    <mergeCell ref="D7:E7"/>
    <mergeCell ref="B58:D58"/>
    <mergeCell ref="B52:D52"/>
    <mergeCell ref="E58:G58"/>
    <mergeCell ref="E52:G52"/>
    <mergeCell ref="B39:D39"/>
    <mergeCell ref="F37:G37"/>
    <mergeCell ref="B57:D57"/>
    <mergeCell ref="E47:G47"/>
    <mergeCell ref="E57:G57"/>
    <mergeCell ref="B48:D48"/>
    <mergeCell ref="B24:D24"/>
    <mergeCell ref="B40:D40"/>
    <mergeCell ref="E40:G40"/>
    <mergeCell ref="E39:G39"/>
    <mergeCell ref="B21:D21"/>
    <mergeCell ref="B93:D93"/>
    <mergeCell ref="B73:D73"/>
    <mergeCell ref="E73:G73"/>
    <mergeCell ref="F75:G75"/>
    <mergeCell ref="B77:D77"/>
    <mergeCell ref="B78:D78"/>
    <mergeCell ref="E83:G83"/>
    <mergeCell ref="B83:D83"/>
    <mergeCell ref="E82:G82"/>
    <mergeCell ref="E91:G91"/>
    <mergeCell ref="E93:G93"/>
    <mergeCell ref="E92:G92"/>
    <mergeCell ref="B72:D72"/>
    <mergeCell ref="B82:D82"/>
    <mergeCell ref="E13:G13"/>
    <mergeCell ref="B91:D91"/>
    <mergeCell ref="F70:G70"/>
    <mergeCell ref="E48:G48"/>
    <mergeCell ref="F50:G50"/>
    <mergeCell ref="B62:D62"/>
    <mergeCell ref="B35:G35"/>
    <mergeCell ref="B47:D47"/>
    <mergeCell ref="B17:G17"/>
    <mergeCell ref="B23:G23"/>
    <mergeCell ref="B29:G29"/>
    <mergeCell ref="B33:D33"/>
    <mergeCell ref="E33:G33"/>
    <mergeCell ref="B34:D34"/>
    <mergeCell ref="B6:G6"/>
    <mergeCell ref="E78:G78"/>
    <mergeCell ref="F80:G80"/>
    <mergeCell ref="B63:D63"/>
    <mergeCell ref="E63:G63"/>
    <mergeCell ref="B53:D53"/>
    <mergeCell ref="E53:G53"/>
    <mergeCell ref="F55:G55"/>
    <mergeCell ref="F65:G65"/>
    <mergeCell ref="B67:D67"/>
    <mergeCell ref="F10:G10"/>
    <mergeCell ref="E34:G34"/>
    <mergeCell ref="F11:G11"/>
    <mergeCell ref="B15:D15"/>
    <mergeCell ref="E15:G15"/>
    <mergeCell ref="F60:G60"/>
    <mergeCell ref="E21:G21"/>
    <mergeCell ref="B22:D22"/>
    <mergeCell ref="E22:G22"/>
    <mergeCell ref="C25:D25"/>
    <mergeCell ref="F25:G25"/>
    <mergeCell ref="B16:D16"/>
    <mergeCell ref="E16:G16"/>
    <mergeCell ref="B18:D18"/>
    <mergeCell ref="C19:D19"/>
    <mergeCell ref="F19:G19"/>
    <mergeCell ref="E62:G62"/>
    <mergeCell ref="E67:G67"/>
    <mergeCell ref="E72:G72"/>
    <mergeCell ref="E77:G77"/>
    <mergeCell ref="B27:D27"/>
    <mergeCell ref="B68:D68"/>
    <mergeCell ref="B45:D45"/>
    <mergeCell ref="E27:G27"/>
    <mergeCell ref="B28:D28"/>
    <mergeCell ref="E28:G28"/>
    <mergeCell ref="B30:D30"/>
    <mergeCell ref="C31:D31"/>
    <mergeCell ref="F31:G31"/>
    <mergeCell ref="B36:D36"/>
    <mergeCell ref="C37:D37"/>
    <mergeCell ref="E68:G68"/>
  </mergeCells>
  <pageMargins left="0.7" right="0.7" top="0.75" bottom="0.75" header="0.3" footer="0.3"/>
  <pageSetup scale="83" fitToHeight="0" orientation="landscape" r:id="rId1"/>
  <headerFooter>
    <oddFooter>Page &amp;P of &amp;N</oddFooter>
  </headerFooter>
  <rowBreaks count="4" manualBreakCount="4">
    <brk id="25" max="7" man="1"/>
    <brk id="43" max="16383" man="1"/>
    <brk id="61" max="7" man="1"/>
    <brk id="75" max="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Sheet2!$A$1:$A$12</xm:f>
          </x14:formula1>
          <xm:sqref>F19:G19 F25:G25 F31:G31 F60:G60 F55:G55 F50:G50 F65:G65 F70:G70 F75:G75 F80:G80 F37:G37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E8" sqref="E8"/>
    </sheetView>
  </sheetViews>
  <sheetFormatPr defaultRowHeight="14.45"/>
  <cols>
    <col min="1" max="2" width="22.7109375" bestFit="1" customWidth="1"/>
    <col min="3" max="3" width="4" bestFit="1" customWidth="1"/>
  </cols>
  <sheetData>
    <row r="1" spans="1:3">
      <c r="A1" s="18" t="s">
        <v>12</v>
      </c>
      <c r="B1" s="18" t="s">
        <v>39</v>
      </c>
      <c r="C1" s="18">
        <v>9.9999999999999995E-7</v>
      </c>
    </row>
    <row r="2" spans="1:3">
      <c r="A2" s="18" t="s">
        <v>40</v>
      </c>
      <c r="B2" s="18" t="s">
        <v>41</v>
      </c>
      <c r="C2" s="18">
        <v>1</v>
      </c>
    </row>
    <row r="3" spans="1:3">
      <c r="A3" s="18" t="s">
        <v>42</v>
      </c>
      <c r="B3" s="18" t="s">
        <v>43</v>
      </c>
      <c r="C3" s="18">
        <v>1.5</v>
      </c>
    </row>
    <row r="4" spans="1:3">
      <c r="A4" s="18" t="s">
        <v>44</v>
      </c>
      <c r="B4" s="18" t="s">
        <v>45</v>
      </c>
      <c r="C4" s="18">
        <v>2</v>
      </c>
    </row>
    <row r="5" spans="1:3">
      <c r="A5" s="18" t="s">
        <v>46</v>
      </c>
      <c r="B5" s="18" t="s">
        <v>47</v>
      </c>
      <c r="C5" s="18">
        <v>2.5</v>
      </c>
    </row>
    <row r="6" spans="1:3">
      <c r="A6" s="18" t="s">
        <v>48</v>
      </c>
      <c r="B6" s="18" t="s">
        <v>48</v>
      </c>
      <c r="C6" s="18">
        <v>3</v>
      </c>
    </row>
    <row r="7" spans="1:3">
      <c r="A7" s="18" t="s">
        <v>47</v>
      </c>
      <c r="B7" s="18" t="s">
        <v>46</v>
      </c>
      <c r="C7" s="18">
        <v>3.5</v>
      </c>
    </row>
    <row r="8" spans="1:3">
      <c r="A8" s="18" t="s">
        <v>45</v>
      </c>
      <c r="B8" s="18" t="s">
        <v>44</v>
      </c>
      <c r="C8" s="18">
        <v>4</v>
      </c>
    </row>
    <row r="9" spans="1:3">
      <c r="A9" s="18" t="s">
        <v>43</v>
      </c>
      <c r="B9" s="18" t="s">
        <v>42</v>
      </c>
      <c r="C9" s="18">
        <v>4.5</v>
      </c>
    </row>
    <row r="10" spans="1:3">
      <c r="A10" s="18" t="s">
        <v>41</v>
      </c>
      <c r="B10" s="18" t="s">
        <v>40</v>
      </c>
      <c r="C10" s="18">
        <v>5</v>
      </c>
    </row>
    <row r="11" spans="1:3">
      <c r="A11" s="18" t="s">
        <v>39</v>
      </c>
      <c r="B11" s="18" t="s">
        <v>12</v>
      </c>
      <c r="C11" s="18">
        <v>9.9999999999999995E-7</v>
      </c>
    </row>
    <row r="12" spans="1:3">
      <c r="A12" s="18" t="s">
        <v>49</v>
      </c>
      <c r="B12" s="18" t="s">
        <v>49</v>
      </c>
      <c r="C12" s="18" t="s">
        <v>50</v>
      </c>
    </row>
  </sheetData>
  <sortState xmlns:xlrd2="http://schemas.microsoft.com/office/spreadsheetml/2017/richdata2" ref="B1:C12">
    <sortCondition ref="B1:B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E87C56C5-F2E7-44A4-9176-BF66339D2AA2}"/>
</file>

<file path=customXml/itemProps2.xml><?xml version="1.0" encoding="utf-8"?>
<ds:datastoreItem xmlns:ds="http://schemas.openxmlformats.org/officeDocument/2006/customXml" ds:itemID="{AF02BCDD-7463-4D7C-8DC5-71803D518633}"/>
</file>

<file path=customXml/itemProps3.xml><?xml version="1.0" encoding="utf-8"?>
<ds:datastoreItem xmlns:ds="http://schemas.openxmlformats.org/officeDocument/2006/customXml" ds:itemID="{3C3AF31A-70D1-46DB-AA28-3292A1BAE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Partners of the Americas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M. Trimarchi</dc:creator>
  <cp:keywords/>
  <dc:description/>
  <cp:lastModifiedBy>Barbara Bloch</cp:lastModifiedBy>
  <cp:revision/>
  <dcterms:created xsi:type="dcterms:W3CDTF">2012-12-10T15:40:14Z</dcterms:created>
  <dcterms:modified xsi:type="dcterms:W3CDTF">2020-01-24T21:20:16Z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642000</vt:r8>
  </property>
</Properties>
</file>