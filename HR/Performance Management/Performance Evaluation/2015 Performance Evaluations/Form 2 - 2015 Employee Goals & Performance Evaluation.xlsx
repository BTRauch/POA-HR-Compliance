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4385" yWindow="-15" windowWidth="14430" windowHeight="11955"/>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45621"/>
</workbook>
</file>

<file path=xl/calcChain.xml><?xml version="1.0" encoding="utf-8"?>
<calcChain xmlns="http://schemas.openxmlformats.org/spreadsheetml/2006/main">
  <c r="H37" i="1" l="1"/>
  <c r="H50" i="1" l="1"/>
  <c r="H55" i="1"/>
  <c r="H80" i="1"/>
  <c r="H75" i="1"/>
  <c r="H70" i="1"/>
  <c r="H65" i="1"/>
  <c r="H60" i="1"/>
  <c r="H31" i="1"/>
  <c r="H25" i="1"/>
  <c r="H19" i="1"/>
  <c r="G42" i="1" l="1"/>
  <c r="G85" i="1"/>
  <c r="F88" i="1" l="1"/>
</calcChain>
</file>

<file path=xl/sharedStrings.xml><?xml version="1.0" encoding="utf-8"?>
<sst xmlns="http://schemas.openxmlformats.org/spreadsheetml/2006/main" count="97" uniqueCount="50">
  <si>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</si>
  <si>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</si>
  <si>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</si>
  <si>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</si>
  <si>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</si>
  <si>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</si>
  <si>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</si>
  <si>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</si>
  <si>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</si>
  <si>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</si>
  <si>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</si>
  <si>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</si>
  <si>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</si>
  <si>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</si>
  <si>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</si>
  <si>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</si>
  <si>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</si>
  <si>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</si>
  <si>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Comments</t>
  </si>
  <si>
    <t>B. Performance Expectations - 25%</t>
  </si>
  <si>
    <t>SECTION B</t>
  </si>
  <si>
    <t>OVERALL SCORE</t>
  </si>
  <si>
    <t>C. OVERALL PERFORMANCE</t>
  </si>
  <si>
    <t>^^ THIS TOP SECTION DOES NOT PRINT ^^</t>
  </si>
  <si>
    <t>CORRECTIVE ACTION(S):</t>
  </si>
  <si>
    <t>Actual Performance to Date</t>
  </si>
  <si>
    <t>Goal 1: Build a Financially Stable Organization</t>
  </si>
  <si>
    <t>If necessary, additional goals and details may be included as an attachment.</t>
  </si>
  <si>
    <t>Goal 3: Well-Governed, Accountable &amp; Transparent Organization</t>
  </si>
  <si>
    <t>Goal 2: Strengthen Network of Volunteers, Programs &amp; Projects</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</si>
  <si>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</si>
  <si>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</si>
  <si>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</si>
  <si>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</si>
  <si>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</si>
  <si>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Supervisor Signature                              Date</t>
  </si>
  <si>
    <t>Employee Signature                              Date</t>
  </si>
  <si>
    <t>_______________________________________________</t>
  </si>
  <si>
    <t>President Signature                                Date</t>
  </si>
  <si>
    <t>Goal 4: Evaluate and Communicate Our Impact and Value</t>
  </si>
  <si>
    <r>
      <t xml:space="preserve">Financial Management
</t>
    </r>
    <r>
      <rPr>
        <sz val="10"/>
        <color theme="0"/>
        <rFont val="Calibri"/>
        <family val="2"/>
        <scheme val="minor"/>
      </rPr>
      <t>• Manages funds and resources responsibly and judiciously within area of responsibility.  
• Works proactively to improve program/unit financial oversight and sustainability.</t>
    </r>
  </si>
  <si>
    <r>
      <t xml:space="preserve">Time Management
</t>
    </r>
    <r>
      <rPr>
        <sz val="10"/>
        <color theme="0"/>
        <rFont val="Calibri"/>
        <family val="2"/>
        <scheme val="minor"/>
      </rPr>
      <t>• Prioritizes effectively according to program/unit goals, based on outside feedback and own judgment. 
• Consistently meets deadlines and program/unit goals with quality and accuracy.</t>
    </r>
  </si>
  <si>
    <r>
      <t xml:space="preserve">Internal &amp; External Communication
</t>
    </r>
    <r>
      <rPr>
        <sz val="10"/>
        <color theme="0"/>
        <rFont val="Calibri"/>
        <family val="2"/>
        <scheme val="minor"/>
      </rPr>
      <t>• Responds promptly and accurately to requests.
• Communicates program/unit activities and accomplishments appropriately.</t>
    </r>
  </si>
  <si>
    <r>
      <t xml:space="preserve">Problem Solving
</t>
    </r>
    <r>
      <rPr>
        <sz val="10"/>
        <color theme="0"/>
        <rFont val="Calibri"/>
        <family val="2"/>
        <scheme val="minor"/>
      </rPr>
      <t>• Responds to unexpected demands and problems with resilience and resourcefulness. 
• Works proactively to improve program/unit functions and efficiency.</t>
    </r>
  </si>
  <si>
    <r>
      <t xml:space="preserve">Accountability
</t>
    </r>
    <r>
      <rPr>
        <sz val="10"/>
        <color theme="0"/>
        <rFont val="Calibri"/>
        <family val="2"/>
        <scheme val="minor"/>
      </rPr>
      <t>• Follows policies and procedures. 
• Complies with program/unit requirements when submitting reports and maintaining records.</t>
    </r>
  </si>
  <si>
    <r>
      <t xml:space="preserve">Personal &amp; Professional Development
</t>
    </r>
    <r>
      <rPr>
        <sz val="11"/>
        <color theme="0"/>
        <rFont val="Calibri"/>
        <family val="2"/>
        <scheme val="minor"/>
      </rPr>
      <t>• Exhibits strong communication and listening skills. 
• Brings an attitude of positivity and cooperation to the workplace. 
• Exercises leadership within area of responsibility.</t>
    </r>
  </si>
  <si>
    <r>
      <t xml:space="preserve">Supervisory Functions </t>
    </r>
    <r>
      <rPr>
        <i/>
        <sz val="11"/>
        <color theme="0"/>
        <rFont val="Calibri"/>
        <family val="2"/>
        <scheme val="minor"/>
      </rPr>
      <t xml:space="preserve">(if applicable)
</t>
    </r>
    <r>
      <rPr>
        <sz val="11"/>
        <color theme="0"/>
        <rFont val="Calibri"/>
        <family val="2"/>
        <scheme val="minor"/>
      </rPr>
      <t>• Provides leadership to staff and organization. Manages conflict successfully. 
• Sets clear expectations, gives effective feedback and provides strong oversight.
• Follows and enforces policies and procedures.</t>
    </r>
  </si>
  <si>
    <r>
      <rPr>
        <b/>
        <sz val="11"/>
        <color theme="1"/>
        <rFont val="Calibri"/>
        <family val="2"/>
        <scheme val="minor"/>
      </rPr>
      <t>Vice President Signature</t>
    </r>
    <r>
      <rPr>
        <sz val="8"/>
        <color theme="1"/>
        <rFont val="Calibri"/>
        <family val="2"/>
        <scheme val="minor"/>
      </rPr>
      <t xml:space="preserve"> (</t>
    </r>
    <r>
      <rPr>
        <i/>
        <sz val="8"/>
        <color theme="1"/>
        <rFont val="Calibri"/>
        <family val="2"/>
        <scheme val="minor"/>
      </rPr>
      <t xml:space="preserve"> if applicable</t>
    </r>
    <r>
      <rPr>
        <sz val="8"/>
        <color theme="1"/>
        <rFont val="Calibri"/>
        <family val="2"/>
        <scheme val="minor"/>
      </rPr>
      <t xml:space="preserve">)    </t>
    </r>
    <r>
      <rPr>
        <b/>
        <sz val="11"/>
        <color theme="1"/>
        <rFont val="Calibri"/>
        <family val="2"/>
        <scheme val="minor"/>
      </rPr>
      <t>Date</t>
    </r>
  </si>
  <si>
    <t>Date of Final Review:</t>
  </si>
  <si>
    <t>A. 2015 Goals Review - 75%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</si>
</sst>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sz val="10"/>
      <color theme="0"/>
      <name val="Calibri"/>
      <family val="2"/>
      <scheme val="minor"/>
    </font>
    <font>
      <i/>
      <sz val="8"/>
      <color theme="1"/>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top/>
      <bottom style="thin">
        <color rgb="FFB2B2B2"/>
      </bottom>
      <diagonal/>
    </border>
    <border>
      <left/>
      <right/>
      <top/>
      <bottom style="medium">
        <color indexed="64"/>
      </bottom>
      <diagonal/>
    </border>
    <border>
      <left/>
      <right/>
      <top/>
      <bottom style="thin">
        <color theme="2" tint="-0.34998626667073579"/>
      </bottom>
      <diagonal/>
    </border>
    <border>
      <left/>
      <right style="thin">
        <color theme="2" tint="-0.34998626667073579"/>
      </right>
      <top/>
      <bottom/>
      <diagonal/>
    </border>
    <border>
      <left/>
      <right/>
      <top style="thin">
        <color theme="0" tint="-0.499984740745262"/>
      </top>
      <bottom style="thin">
        <color rgb="FFB2B2B2"/>
      </bottom>
      <diagonal/>
    </border>
    <border>
      <left style="thin">
        <color theme="0" tint="-0.499984740745262"/>
      </left>
      <right/>
      <top/>
      <bottom/>
      <diagonal/>
    </border>
    <border>
      <left/>
      <right/>
      <top/>
      <bottom style="thin">
        <color indexed="64"/>
      </bottom>
      <diagonal/>
    </border>
    <border>
      <left/>
      <right/>
      <top style="thin">
        <color theme="7" tint="-0.249977111117893"/>
      </top>
      <bottom/>
      <diagonal/>
    </border>
    <border>
      <left style="thin">
        <color rgb="FFB2B2B2"/>
      </left>
      <right style="thin">
        <color rgb="FFB2B2B2"/>
      </right>
      <top style="thin">
        <color indexed="64"/>
      </top>
      <bottom/>
      <diagonal/>
    </border>
    <border>
      <left style="thin">
        <color theme="7" tint="-0.249977111117893"/>
      </left>
      <right style="thin">
        <color rgb="FFB2B2B2"/>
      </right>
      <top style="thin">
        <color indexed="64"/>
      </top>
      <bottom style="thin">
        <color indexed="64"/>
      </bottom>
      <diagonal/>
    </border>
    <border>
      <left style="thin">
        <color rgb="FFB2B2B2"/>
      </left>
      <right style="thin">
        <color theme="7" tint="-0.249977111117893"/>
      </right>
      <top style="thin">
        <color indexed="64"/>
      </top>
      <bottom/>
      <diagonal/>
    </border>
    <border>
      <left/>
      <right style="thin">
        <color theme="7" tint="-0.249977111117893"/>
      </right>
      <top/>
      <bottom style="thin">
        <color indexed="64"/>
      </bottom>
      <diagonal/>
    </border>
    <border>
      <left style="thin">
        <color theme="7" tint="-0.249977111117893"/>
      </left>
      <right/>
      <top/>
      <bottom style="thin">
        <color rgb="FFB2B2B2"/>
      </bottom>
      <diagonal/>
    </border>
    <border>
      <left style="thin">
        <color theme="7" tint="-0.249977111117893"/>
      </left>
      <right/>
      <top style="thin">
        <color rgb="FFB2B2B2"/>
      </top>
      <bottom/>
      <diagonal/>
    </border>
    <border>
      <left/>
      <right/>
      <top style="thin">
        <color theme="7" tint="-0.249977111117893"/>
      </top>
      <bottom style="thin">
        <color rgb="FFB2B2B2"/>
      </bottom>
      <diagonal/>
    </border>
    <border>
      <left style="thin">
        <color theme="7" tint="-0.249977111117893"/>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right style="thin">
        <color theme="7" tint="-0.249977111117893"/>
      </right>
      <top style="thin">
        <color theme="7" tint="-0.249977111117893"/>
      </top>
      <bottom style="thin">
        <color indexed="64"/>
      </bottom>
      <diagonal/>
    </border>
    <border>
      <left/>
      <right/>
      <top style="thin">
        <color theme="7" tint="-0.249977111117893"/>
      </top>
      <bottom style="thin">
        <color indexed="64"/>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rgb="FFB2B2B2"/>
      </left>
      <right style="thin">
        <color theme="7" tint="-0.249977111117893"/>
      </right>
      <top style="thin">
        <color theme="7" tint="-0.249977111117893"/>
      </top>
      <bottom/>
      <diagonal/>
    </border>
    <border>
      <left style="thin">
        <color theme="7" tint="-0.249977111117893"/>
      </left>
      <right style="thin">
        <color rgb="FFB2B2B2"/>
      </right>
      <top style="thin">
        <color theme="7" tint="-0.249977111117893"/>
      </top>
      <bottom style="thin">
        <color theme="7" tint="-0.249977111117893"/>
      </bottom>
      <diagonal/>
    </border>
    <border>
      <left style="thin">
        <color theme="7" tint="-0.249977111117893"/>
      </left>
      <right style="thin">
        <color rgb="FFB2B2B2"/>
      </right>
      <top style="thin">
        <color theme="7" tint="-0.249977111117893"/>
      </top>
      <bottom/>
      <diagonal/>
    </border>
    <border>
      <left style="thin">
        <color rgb="FFB2B2B2"/>
      </left>
      <right style="thin">
        <color rgb="FFB2B2B2"/>
      </right>
      <top style="thin">
        <color theme="7" tint="-0.249977111117893"/>
      </top>
      <bottom/>
      <diagonal/>
    </border>
    <border>
      <left/>
      <right style="thin">
        <color theme="7" tint="-0.249977111117893"/>
      </right>
      <top/>
      <bottom/>
      <diagonal/>
    </border>
    <border>
      <left/>
      <right/>
      <top/>
      <bottom style="thin">
        <color theme="7" tint="-0.249977111117893"/>
      </bottom>
      <diagonal/>
    </border>
    <border>
      <left style="thin">
        <color rgb="FFB2B2B2"/>
      </left>
      <right style="thin">
        <color rgb="FFB2B2B2"/>
      </right>
      <top style="thin">
        <color theme="7" tint="-0.249977111117893"/>
      </top>
      <bottom style="thin">
        <color theme="7" tint="-0.249977111117893"/>
      </bottom>
      <diagonal/>
    </border>
    <border>
      <left style="thin">
        <color rgb="FFB2B2B2"/>
      </left>
      <right style="thin">
        <color theme="7" tint="-0.249977111117893"/>
      </right>
      <top style="thin">
        <color theme="7" tint="-0.249977111117893"/>
      </top>
      <bottom style="thin">
        <color theme="7" tint="-0.249977111117893"/>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7" tint="-0.249977111117893"/>
      </left>
      <right style="thin">
        <color rgb="FFB2B2B2"/>
      </right>
      <top style="thin">
        <color indexed="64"/>
      </top>
      <bottom/>
      <diagonal/>
    </border>
    <border>
      <left style="thin">
        <color theme="0" tint="-0.499984740745262"/>
      </left>
      <right/>
      <top style="thin">
        <color theme="7" tint="-0.249977111117893"/>
      </top>
      <bottom style="thin">
        <color theme="0" tint="-0.499984740745262"/>
      </bottom>
      <diagonal/>
    </border>
    <border>
      <left/>
      <right/>
      <top style="thin">
        <color theme="7" tint="-0.249977111117893"/>
      </top>
      <bottom style="thin">
        <color theme="0" tint="-0.499984740745262"/>
      </bottom>
      <diagonal/>
    </border>
    <border>
      <left/>
      <right/>
      <top style="thin">
        <color rgb="FFB2B2B2"/>
      </top>
      <bottom style="thin">
        <color theme="7" tint="-0.249977111117893"/>
      </bottom>
      <diagonal/>
    </border>
    <border>
      <left style="thin">
        <color theme="7" tint="-0.249977111117893"/>
      </left>
      <right/>
      <top/>
      <bottom style="thin">
        <color theme="7" tint="-0.249977111117893"/>
      </bottom>
      <diagonal/>
    </border>
    <border>
      <left style="thin">
        <color theme="7" tint="-0.249977111117893"/>
      </left>
      <right/>
      <top style="thin">
        <color rgb="FFB2B2B2"/>
      </top>
      <bottom style="thin">
        <color theme="7" tint="-0.249977111117893"/>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111">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5"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0" fillId="0" borderId="7" xfId="0" applyBorder="1"/>
    <xf numFmtId="0" fontId="7" fillId="0" borderId="0" xfId="0" applyFont="1" applyFill="1" applyBorder="1"/>
    <xf numFmtId="0" fontId="6" fillId="0" borderId="0" xfId="0" applyFont="1" applyFill="1" applyBorder="1"/>
    <xf numFmtId="0" fontId="0" fillId="0" borderId="0" xfId="0"/>
    <xf numFmtId="0" fontId="5" fillId="0" borderId="9" xfId="0" applyFont="1" applyBorder="1"/>
    <xf numFmtId="0" fontId="0" fillId="0" borderId="0" xfId="0" applyBorder="1"/>
    <xf numFmtId="0" fontId="0" fillId="0" borderId="0" xfId="0" applyBorder="1" applyAlignment="1"/>
    <xf numFmtId="0" fontId="5" fillId="0" borderId="0" xfId="0" applyFont="1" applyAlignment="1">
      <alignment horizontal="left" vertical="top"/>
    </xf>
    <xf numFmtId="0" fontId="0" fillId="0" borderId="0" xfId="0" applyAlignment="1">
      <alignment horizontal="left" vertical="top"/>
    </xf>
    <xf numFmtId="0" fontId="0" fillId="0" borderId="11" xfId="0" applyBorder="1"/>
    <xf numFmtId="0" fontId="10" fillId="0" borderId="18" xfId="1" applyFont="1" applyFill="1" applyBorder="1"/>
    <xf numFmtId="0" fontId="0" fillId="0" borderId="18" xfId="0" applyBorder="1"/>
    <xf numFmtId="0" fontId="5" fillId="0" borderId="19" xfId="0" applyFont="1" applyBorder="1"/>
    <xf numFmtId="0" fontId="0" fillId="0" borderId="31" xfId="0" applyBorder="1"/>
    <xf numFmtId="0" fontId="0" fillId="0" borderId="4" xfId="0" applyBorder="1"/>
    <xf numFmtId="0" fontId="2" fillId="3" borderId="0" xfId="2" applyFont="1" applyBorder="1" applyAlignment="1">
      <alignment horizontal="center" vertical="center"/>
    </xf>
    <xf numFmtId="0" fontId="2" fillId="8" borderId="0" xfId="7" applyFont="1" applyBorder="1" applyAlignment="1">
      <alignment horizontal="center" vertical="center"/>
    </xf>
    <xf numFmtId="0" fontId="2" fillId="8" borderId="41" xfId="7" applyFont="1" applyBorder="1" applyAlignment="1">
      <alignment horizontal="center" vertical="center"/>
    </xf>
    <xf numFmtId="0" fontId="2" fillId="8" borderId="32" xfId="7" applyFont="1" applyBorder="1" applyAlignment="1">
      <alignment horizontal="center" vertical="center"/>
    </xf>
    <xf numFmtId="0" fontId="6" fillId="0" borderId="13" xfId="8" applyFont="1" applyFill="1" applyBorder="1" applyAlignment="1">
      <alignment horizontal="left" vertical="top" wrapText="1"/>
    </xf>
    <xf numFmtId="0" fontId="6" fillId="0" borderId="12" xfId="8" applyFont="1" applyFill="1" applyBorder="1" applyAlignment="1">
      <alignment horizontal="left" vertical="top"/>
    </xf>
    <xf numFmtId="0" fontId="6" fillId="0" borderId="14" xfId="8" applyFont="1" applyFill="1" applyBorder="1" applyAlignment="1">
      <alignment horizontal="left" vertical="top"/>
    </xf>
    <xf numFmtId="0" fontId="6" fillId="0" borderId="28" xfId="8" applyFont="1" applyFill="1" applyBorder="1" applyAlignment="1">
      <alignment horizontal="left" vertical="top" wrapText="1"/>
    </xf>
    <xf numFmtId="0" fontId="6" fillId="0" borderId="33" xfId="8" applyFont="1" applyFill="1" applyBorder="1" applyAlignment="1">
      <alignment horizontal="left" vertical="top"/>
    </xf>
    <xf numFmtId="0" fontId="6" fillId="0" borderId="34" xfId="8" applyFont="1" applyFill="1" applyBorder="1" applyAlignment="1">
      <alignment horizontal="left" vertical="top"/>
    </xf>
    <xf numFmtId="0" fontId="2" fillId="8" borderId="25" xfId="7" applyFont="1" applyBorder="1" applyAlignment="1">
      <alignment horizontal="left" vertical="top" wrapText="1"/>
    </xf>
    <xf numFmtId="0" fontId="2" fillId="8" borderId="11" xfId="7" applyFont="1" applyBorder="1" applyAlignment="1">
      <alignment horizontal="left" vertical="top"/>
    </xf>
    <xf numFmtId="0" fontId="2" fillId="8" borderId="26" xfId="7" applyFont="1" applyBorder="1" applyAlignment="1">
      <alignment horizontal="left" vertical="top"/>
    </xf>
    <xf numFmtId="0" fontId="6" fillId="9" borderId="20" xfId="8" applyFont="1" applyBorder="1" applyAlignment="1">
      <alignment horizontal="left" vertical="top" wrapText="1"/>
    </xf>
    <xf numFmtId="0" fontId="6" fillId="9" borderId="21" xfId="8" applyFont="1" applyBorder="1" applyAlignment="1">
      <alignment horizontal="left" vertical="top" wrapText="1"/>
    </xf>
    <xf numFmtId="0" fontId="6" fillId="9" borderId="22" xfId="8" applyFont="1" applyBorder="1" applyAlignment="1">
      <alignment horizontal="left" vertical="top" wrapText="1"/>
    </xf>
    <xf numFmtId="0" fontId="2" fillId="8" borderId="20" xfId="7" applyFont="1" applyBorder="1" applyAlignment="1">
      <alignment horizontal="center" vertical="center"/>
    </xf>
    <xf numFmtId="0" fontId="2" fillId="8" borderId="21" xfId="7" applyFont="1" applyBorder="1" applyAlignment="1">
      <alignment horizontal="center" vertical="center"/>
    </xf>
    <xf numFmtId="0" fontId="2" fillId="8" borderId="22" xfId="7" applyFont="1" applyBorder="1" applyAlignment="1">
      <alignment horizontal="center" vertical="center"/>
    </xf>
    <xf numFmtId="0" fontId="1" fillId="9" borderId="20" xfId="8" applyFont="1" applyBorder="1" applyAlignment="1">
      <alignment horizontal="left" vertical="top" wrapText="1"/>
    </xf>
    <xf numFmtId="0" fontId="1" fillId="9" borderId="21" xfId="8" applyFont="1" applyBorder="1" applyAlignment="1">
      <alignment horizontal="left" vertical="top" wrapText="1"/>
    </xf>
    <xf numFmtId="0" fontId="1" fillId="9" borderId="22" xfId="8" applyFont="1" applyBorder="1" applyAlignment="1">
      <alignment horizontal="left" vertical="top" wrapText="1"/>
    </xf>
    <xf numFmtId="0" fontId="3" fillId="0" borderId="0" xfId="0" applyFont="1" applyBorder="1" applyAlignment="1">
      <alignment horizontal="left"/>
    </xf>
    <xf numFmtId="0" fontId="1" fillId="9" borderId="1" xfId="8"/>
    <xf numFmtId="0" fontId="2" fillId="8" borderId="24" xfId="7" applyFont="1" applyBorder="1" applyAlignment="1">
      <alignment horizontal="left" vertical="top" wrapText="1"/>
    </xf>
    <xf numFmtId="0" fontId="2" fillId="8" borderId="24" xfId="7" applyFont="1" applyBorder="1" applyAlignment="1">
      <alignment horizontal="left" vertical="top"/>
    </xf>
    <xf numFmtId="0" fontId="2" fillId="8" borderId="23" xfId="7" applyFont="1" applyBorder="1" applyAlignment="1">
      <alignment horizontal="left" vertical="top"/>
    </xf>
    <xf numFmtId="0" fontId="6" fillId="0" borderId="37" xfId="8" applyFont="1" applyFill="1" applyBorder="1" applyAlignment="1">
      <alignment horizontal="left" vertical="top" wrapText="1"/>
    </xf>
    <xf numFmtId="0" fontId="1" fillId="9" borderId="8" xfId="8" applyFont="1" applyBorder="1" applyAlignment="1">
      <alignment horizontal="left" vertical="top" wrapText="1"/>
    </xf>
    <xf numFmtId="0" fontId="1" fillId="9" borderId="36" xfId="8" applyFont="1" applyBorder="1" applyAlignment="1">
      <alignment horizontal="left" vertical="top" wrapText="1"/>
    </xf>
    <xf numFmtId="0" fontId="10" fillId="12" borderId="36" xfId="2" applyFont="1" applyFill="1" applyBorder="1" applyAlignment="1">
      <alignment horizontal="left" vertical="top" wrapText="1"/>
    </xf>
    <xf numFmtId="0" fontId="10" fillId="12" borderId="35"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xf numFmtId="0" fontId="10" fillId="12" borderId="32" xfId="4" applyFont="1" applyFill="1" applyBorder="1" applyAlignment="1">
      <alignment horizontal="left"/>
    </xf>
    <xf numFmtId="0" fontId="2" fillId="8" borderId="0" xfId="7" applyFont="1" applyBorder="1" applyAlignment="1">
      <alignment horizontal="left" vertical="top" wrapText="1"/>
    </xf>
    <xf numFmtId="0" fontId="2" fillId="8" borderId="0" xfId="7" applyFont="1" applyBorder="1" applyAlignment="1">
      <alignment horizontal="left" vertical="top"/>
    </xf>
    <xf numFmtId="0" fontId="2" fillId="2" borderId="0" xfId="1" applyFont="1" applyBorder="1" applyAlignment="1">
      <alignment horizontal="center"/>
    </xf>
    <xf numFmtId="0" fontId="10" fillId="12" borderId="38" xfId="2" applyFont="1" applyFill="1" applyBorder="1" applyAlignment="1">
      <alignment horizontal="left" vertical="top" wrapText="1"/>
    </xf>
    <xf numFmtId="0" fontId="10" fillId="12" borderId="39" xfId="2" applyFont="1" applyFill="1" applyBorder="1" applyAlignment="1">
      <alignment horizontal="left" vertical="top" wrapText="1"/>
    </xf>
    <xf numFmtId="0" fontId="5" fillId="0" borderId="0" xfId="0" applyFont="1" applyAlignment="1">
      <alignment horizontal="left" wrapText="1"/>
    </xf>
    <xf numFmtId="0" fontId="2" fillId="8" borderId="21" xfId="7" applyFont="1" applyBorder="1" applyAlignment="1">
      <alignment horizontal="left" vertical="top" wrapText="1"/>
    </xf>
    <xf numFmtId="0" fontId="2" fillId="8" borderId="21" xfId="7" applyFont="1" applyBorder="1" applyAlignment="1">
      <alignment horizontal="left" vertical="top"/>
    </xf>
    <xf numFmtId="0" fontId="2" fillId="8" borderId="22" xfId="7" applyFont="1" applyBorder="1" applyAlignment="1">
      <alignment horizontal="left" vertical="top"/>
    </xf>
    <xf numFmtId="0" fontId="3" fillId="9" borderId="20" xfId="8" applyFont="1" applyBorder="1" applyAlignment="1">
      <alignment horizontal="left" vertical="top" wrapText="1"/>
    </xf>
    <xf numFmtId="0" fontId="2" fillId="8" borderId="10" xfId="7" applyFont="1" applyBorder="1" applyAlignment="1">
      <alignment horizontal="left" vertical="top" wrapText="1"/>
    </xf>
    <xf numFmtId="0" fontId="2" fillId="8" borderId="10" xfId="7" applyFont="1" applyBorder="1" applyAlignment="1">
      <alignment horizontal="left" vertical="top"/>
    </xf>
    <xf numFmtId="0" fontId="2" fillId="8" borderId="15" xfId="7" applyFont="1" applyBorder="1" applyAlignment="1">
      <alignment horizontal="left" vertical="top"/>
    </xf>
    <xf numFmtId="49" fontId="3" fillId="9" borderId="20" xfId="8" applyNumberFormat="1" applyFont="1" applyBorder="1" applyAlignment="1">
      <alignment horizontal="left" vertical="top" wrapText="1"/>
    </xf>
    <xf numFmtId="49" fontId="3" fillId="9" borderId="21" xfId="8" applyNumberFormat="1" applyFont="1" applyBorder="1" applyAlignment="1">
      <alignment horizontal="left" vertical="top" wrapText="1"/>
    </xf>
    <xf numFmtId="49" fontId="3" fillId="9" borderId="22" xfId="8" applyNumberFormat="1" applyFont="1" applyBorder="1" applyAlignment="1">
      <alignment horizontal="left" vertical="top" wrapText="1"/>
    </xf>
    <xf numFmtId="0" fontId="2" fillId="13" borderId="32" xfId="6" applyFont="1" applyFill="1" applyBorder="1" applyAlignment="1">
      <alignment horizontal="left" vertical="top" wrapText="1"/>
    </xf>
    <xf numFmtId="0" fontId="2" fillId="13" borderId="0" xfId="6" applyFont="1" applyFill="1" applyAlignment="1">
      <alignment horizontal="center"/>
    </xf>
    <xf numFmtId="0" fontId="2" fillId="13" borderId="0" xfId="6" applyFont="1" applyFill="1" applyBorder="1" applyAlignment="1">
      <alignment horizontal="center"/>
    </xf>
    <xf numFmtId="0" fontId="2" fillId="0" borderId="0" xfId="5" applyFont="1" applyFill="1" applyBorder="1" applyAlignment="1">
      <alignment horizontal="left"/>
    </xf>
    <xf numFmtId="0" fontId="0" fillId="0" borderId="0" xfId="0" applyAlignment="1">
      <alignment horizontal="center"/>
    </xf>
    <xf numFmtId="0" fontId="11" fillId="3" borderId="0" xfId="2" applyFont="1" applyAlignment="1">
      <alignment horizontal="left" vertical="center" indent="1"/>
    </xf>
    <xf numFmtId="0" fontId="1" fillId="9" borderId="17" xfId="8" applyFont="1" applyBorder="1" applyAlignment="1">
      <alignment horizontal="left" vertical="top" wrapText="1"/>
    </xf>
    <xf numFmtId="0" fontId="1" fillId="9" borderId="3" xfId="8" applyFont="1" applyBorder="1" applyAlignment="1">
      <alignment horizontal="left" vertical="top" wrapText="1"/>
    </xf>
    <xf numFmtId="0" fontId="6" fillId="0" borderId="29" xfId="8" applyFont="1" applyFill="1" applyBorder="1" applyAlignment="1">
      <alignment horizontal="left" vertical="top" wrapText="1"/>
    </xf>
    <xf numFmtId="0" fontId="6" fillId="0" borderId="30" xfId="8" applyFont="1" applyFill="1" applyBorder="1" applyAlignment="1">
      <alignment horizontal="left" vertical="top"/>
    </xf>
    <xf numFmtId="0" fontId="6" fillId="0" borderId="27" xfId="8" applyFont="1" applyFill="1" applyBorder="1" applyAlignment="1">
      <alignment horizontal="left" vertical="top"/>
    </xf>
    <xf numFmtId="0" fontId="2" fillId="8" borderId="31" xfId="7" applyFont="1" applyBorder="1" applyAlignment="1">
      <alignment horizontal="left" vertical="top"/>
    </xf>
    <xf numFmtId="0" fontId="1" fillId="9" borderId="1" xfId="8" applyAlignment="1">
      <alignment horizontal="left" vertical="center"/>
    </xf>
    <xf numFmtId="0" fontId="2" fillId="2" borderId="6" xfId="1" applyFont="1" applyBorder="1" applyAlignment="1">
      <alignment horizontal="left"/>
    </xf>
    <xf numFmtId="0" fontId="2" fillId="6" borderId="0" xfId="5" applyFont="1" applyBorder="1" applyAlignment="1">
      <alignment horizontal="left" wrapText="1"/>
    </xf>
    <xf numFmtId="0" fontId="2" fillId="6" borderId="0" xfId="5" applyFont="1" applyBorder="1" applyAlignment="1">
      <alignment horizontal="center" vertical="center"/>
    </xf>
    <xf numFmtId="0" fontId="6" fillId="0" borderId="0" xfId="0" applyFont="1" applyFill="1" applyBorder="1" applyAlignment="1">
      <alignment horizontal="left"/>
    </xf>
    <xf numFmtId="0" fontId="0" fillId="9" borderId="3" xfId="8" applyFont="1" applyBorder="1" applyAlignment="1">
      <alignment horizontal="left" vertical="top" wrapText="1"/>
    </xf>
    <xf numFmtId="49" fontId="0" fillId="9" borderId="42" xfId="8" applyNumberFormat="1" applyFont="1" applyBorder="1" applyAlignment="1">
      <alignment horizontal="left" vertical="top" wrapText="1"/>
    </xf>
    <xf numFmtId="49" fontId="1" fillId="9" borderId="40" xfId="8" applyNumberFormat="1" applyFont="1" applyBorder="1" applyAlignment="1">
      <alignment horizontal="left" vertical="top" wrapText="1"/>
    </xf>
    <xf numFmtId="0" fontId="2" fillId="0" borderId="0" xfId="1" applyFont="1" applyFill="1" applyBorder="1" applyAlignment="1">
      <alignment horizontal="left"/>
    </xf>
    <xf numFmtId="0" fontId="2" fillId="8" borderId="19" xfId="7" applyFont="1" applyBorder="1" applyAlignment="1">
      <alignment horizontal="center" vertical="center"/>
    </xf>
    <xf numFmtId="0" fontId="2" fillId="8" borderId="16" xfId="7" applyFont="1" applyBorder="1" applyAlignment="1">
      <alignment horizontal="center" vertical="center"/>
    </xf>
    <xf numFmtId="0" fontId="2" fillId="8" borderId="4" xfId="7" applyFont="1" applyBorder="1" applyAlignment="1">
      <alignment horizontal="center" vertical="center"/>
    </xf>
    <xf numFmtId="0" fontId="2" fillId="11" borderId="0" xfId="6" applyFont="1" applyFill="1" applyBorder="1" applyAlignment="1">
      <alignment horizontal="left"/>
    </xf>
    <xf numFmtId="0" fontId="2" fillId="11" borderId="0" xfId="6" applyFont="1" applyFill="1" applyBorder="1" applyAlignment="1">
      <alignment horizontal="center"/>
    </xf>
    <xf numFmtId="0" fontId="2" fillId="0" borderId="11" xfId="6" applyFont="1" applyFill="1" applyBorder="1" applyAlignment="1">
      <alignment horizontal="left"/>
    </xf>
    <xf numFmtId="0" fontId="7" fillId="0" borderId="0" xfId="0" applyFont="1" applyFill="1" applyBorder="1" applyAlignment="1">
      <alignment horizontal="left"/>
    </xf>
    <xf numFmtId="0" fontId="2" fillId="0" borderId="0" xfId="6" applyFont="1" applyFill="1" applyBorder="1" applyAlignment="1">
      <alignment horizontal="left"/>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2015</a:t>
          </a:r>
          <a:r>
            <a:rPr lang="en-US" sz="2000" baseline="0">
              <a:solidFill>
                <a:srgbClr val="474822"/>
              </a:solidFill>
              <a:effectLst/>
              <a:latin typeface="+mj-lt"/>
              <a:ea typeface="Times New Roman"/>
              <a:cs typeface="Times New Roman"/>
            </a:rPr>
            <a:t> Employee </a:t>
          </a:r>
          <a:r>
            <a:rPr lang="en-US" sz="2000">
              <a:solidFill>
                <a:srgbClr val="474822"/>
              </a:solidFill>
              <a:effectLst/>
              <a:latin typeface="+mj-lt"/>
              <a:ea typeface="Times New Roman"/>
              <a:cs typeface="Times New Roman"/>
            </a:rPr>
            <a:t>Goals &amp; Performance Evaluation</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2014-2016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xdr:txBody>
    </xdr:sp>
    <xdr:clientData/>
  </xdr:twoCellAnchor>
  <xdr:twoCellAnchor editAs="oneCell">
    <xdr:from>
      <xdr:col>1</xdr:col>
      <xdr:colOff>47625</xdr:colOff>
      <xdr:row>1</xdr:row>
      <xdr:rowOff>47625</xdr:rowOff>
    </xdr:from>
    <xdr:to>
      <xdr:col>3</xdr:col>
      <xdr:colOff>1137708</xdr:colOff>
      <xdr:row>2</xdr:row>
      <xdr:rowOff>15875</xdr:rowOff>
    </xdr:to>
    <xdr:pic>
      <xdr:nvPicPr>
        <xdr:cNvPr id="8" name="Picture 7"/>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 y="238125"/>
          <a:ext cx="2852208" cy="706438"/>
        </a:xfrm>
        <a:prstGeom prst="rect">
          <a:avLst/>
        </a:prstGeom>
      </xdr:spPr>
    </xdr:pic>
    <xdr:clientData/>
  </xdr:twoCellAnchor>
  <xdr:twoCellAnchor editAs="oneCell">
    <xdr:from>
      <xdr:col>2</xdr:col>
      <xdr:colOff>11906</xdr:colOff>
      <xdr:row>7</xdr:row>
      <xdr:rowOff>71437</xdr:rowOff>
    </xdr:from>
    <xdr:to>
      <xdr:col>3</xdr:col>
      <xdr:colOff>1482989</xdr:colOff>
      <xdr:row>8</xdr:row>
      <xdr:rowOff>3969</xdr:rowOff>
    </xdr:to>
    <xdr:pic>
      <xdr:nvPicPr>
        <xdr:cNvPr id="7" name="Picture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 y="6119812"/>
          <a:ext cx="2852208" cy="706438"/>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abSelected="1" topLeftCell="A67" zoomScale="80" zoomScaleNormal="80" workbookViewId="0">
      <selection activeCell="N4" sqref="N4"/>
    </sheetView>
  </sheetViews>
  <sheetFormatPr defaultRowHeight="15" x14ac:dyDescent="0.25"/>
  <cols>
    <col min="1" max="1" width="3" customWidth="1"/>
    <col min="2" max="2" width="5.7109375" customWidth="1"/>
    <col min="3" max="3" width="20.7109375" customWidth="1"/>
    <col min="4" max="4" width="47.28515625" customWidth="1"/>
    <col min="5" max="5" width="25.7109375" customWidth="1"/>
    <col min="6" max="7" width="20.7109375" customWidth="1"/>
    <col min="8" max="8" width="3.140625" style="4" bestFit="1" customWidth="1"/>
  </cols>
  <sheetData>
    <row r="1" spans="1:8" x14ac:dyDescent="0.25">
      <c r="A1" s="12"/>
      <c r="B1" s="12"/>
      <c r="C1" s="12"/>
      <c r="D1" s="12"/>
      <c r="E1" s="12"/>
      <c r="F1" s="12"/>
      <c r="G1" s="12"/>
      <c r="H1" s="13"/>
    </row>
    <row r="2" spans="1:8" ht="57.75" customHeight="1" x14ac:dyDescent="0.25">
      <c r="A2" s="12"/>
      <c r="H2" s="13"/>
    </row>
    <row r="3" spans="1:8" ht="206.25" customHeight="1" x14ac:dyDescent="0.25">
      <c r="A3" s="12"/>
      <c r="H3" s="13"/>
    </row>
    <row r="4" spans="1:8" ht="97.5" customHeight="1" x14ac:dyDescent="0.25">
      <c r="A4" s="12"/>
      <c r="H4" s="13"/>
    </row>
    <row r="5" spans="1:8" ht="69" customHeight="1" x14ac:dyDescent="0.25">
      <c r="A5" s="12"/>
      <c r="H5" s="13"/>
    </row>
    <row r="6" spans="1:8" x14ac:dyDescent="0.25">
      <c r="A6" s="12"/>
      <c r="B6" s="86" t="s">
        <v>23</v>
      </c>
      <c r="C6" s="86"/>
      <c r="D6" s="86"/>
      <c r="E6" s="86"/>
      <c r="F6" s="86"/>
      <c r="G6" s="86"/>
      <c r="H6" s="13"/>
    </row>
    <row r="7" spans="1:8" x14ac:dyDescent="0.25">
      <c r="A7" s="12"/>
      <c r="B7" s="12"/>
      <c r="C7" s="12"/>
      <c r="D7" s="12"/>
      <c r="E7" s="12"/>
      <c r="F7" s="12"/>
      <c r="G7" s="12"/>
      <c r="H7" s="13"/>
    </row>
    <row r="8" spans="1:8" ht="60.75" customHeight="1" x14ac:dyDescent="0.25"/>
    <row r="9" spans="1:8" ht="7.5" customHeight="1" x14ac:dyDescent="0.25"/>
    <row r="10" spans="1:8" x14ac:dyDescent="0.25">
      <c r="C10" s="3" t="s">
        <v>1</v>
      </c>
      <c r="D10" s="2"/>
      <c r="E10" s="3" t="s">
        <v>3</v>
      </c>
      <c r="F10" s="94"/>
      <c r="G10" s="94"/>
    </row>
    <row r="11" spans="1:8" x14ac:dyDescent="0.25">
      <c r="C11" s="3" t="s">
        <v>2</v>
      </c>
      <c r="D11" s="1"/>
      <c r="E11" s="3" t="s">
        <v>48</v>
      </c>
      <c r="F11" s="94"/>
      <c r="G11" s="94"/>
    </row>
    <row r="13" spans="1:8" ht="22.5" customHeight="1" x14ac:dyDescent="0.25">
      <c r="B13" s="87" t="s">
        <v>49</v>
      </c>
      <c r="C13" s="87"/>
      <c r="D13" s="87"/>
      <c r="E13" s="71" t="s">
        <v>27</v>
      </c>
      <c r="F13" s="71"/>
      <c r="G13" s="71"/>
    </row>
    <row r="14" spans="1:8" ht="7.5" customHeight="1" x14ac:dyDescent="0.25">
      <c r="H14"/>
    </row>
    <row r="15" spans="1:8" x14ac:dyDescent="0.25">
      <c r="B15" s="95" t="s">
        <v>26</v>
      </c>
      <c r="C15" s="95"/>
      <c r="D15" s="95"/>
      <c r="E15" s="68" t="s">
        <v>25</v>
      </c>
      <c r="F15" s="68"/>
      <c r="G15" s="68"/>
    </row>
    <row r="16" spans="1:8" ht="125.1" customHeight="1" x14ac:dyDescent="0.25">
      <c r="A16" s="29"/>
      <c r="B16" s="99"/>
      <c r="C16" s="89"/>
      <c r="D16" s="89"/>
      <c r="E16" s="100"/>
      <c r="F16" s="101"/>
      <c r="G16" s="101"/>
      <c r="H16" s="28"/>
    </row>
    <row r="17" spans="1:8" s="14" customFormat="1" ht="60" customHeight="1" x14ac:dyDescent="0.25">
      <c r="B17" s="79" t="s">
        <v>24</v>
      </c>
      <c r="C17" s="80"/>
      <c r="D17" s="80"/>
      <c r="E17" s="80"/>
      <c r="F17" s="80"/>
      <c r="G17" s="81"/>
      <c r="H17" s="28"/>
    </row>
    <row r="18" spans="1:8" x14ac:dyDescent="0.25">
      <c r="B18" s="102"/>
      <c r="C18" s="102"/>
      <c r="D18" s="102"/>
      <c r="E18" s="21"/>
      <c r="F18" s="7" t="s">
        <v>0</v>
      </c>
    </row>
    <row r="19" spans="1:8" x14ac:dyDescent="0.25">
      <c r="B19" s="15"/>
      <c r="C19" s="98"/>
      <c r="D19" s="98"/>
      <c r="F19" s="54" t="s">
        <v>4</v>
      </c>
      <c r="G19" s="54"/>
      <c r="H19" s="5">
        <f>VLOOKUP(F19,Sheet2!$B$1:$C$12,2)</f>
        <v>9.9999999999999995E-7</v>
      </c>
    </row>
    <row r="21" spans="1:8" ht="15" customHeight="1" x14ac:dyDescent="0.25">
      <c r="B21" s="96" t="s">
        <v>29</v>
      </c>
      <c r="C21" s="96"/>
      <c r="D21" s="96"/>
      <c r="E21" s="97" t="s">
        <v>25</v>
      </c>
      <c r="F21" s="97"/>
      <c r="G21" s="97"/>
    </row>
    <row r="22" spans="1:8" ht="125.1" customHeight="1" x14ac:dyDescent="0.25">
      <c r="B22" s="50"/>
      <c r="C22" s="51"/>
      <c r="D22" s="52"/>
      <c r="E22" s="50"/>
      <c r="F22" s="51"/>
      <c r="G22" s="52"/>
      <c r="H22" s="28"/>
    </row>
    <row r="23" spans="1:8" s="14" customFormat="1" ht="60" customHeight="1" x14ac:dyDescent="0.25">
      <c r="B23" s="79" t="s">
        <v>24</v>
      </c>
      <c r="C23" s="80"/>
      <c r="D23" s="80"/>
      <c r="E23" s="80"/>
      <c r="F23" s="80"/>
      <c r="G23" s="81"/>
      <c r="H23" s="4"/>
    </row>
    <row r="24" spans="1:8" x14ac:dyDescent="0.25">
      <c r="B24" s="85"/>
      <c r="C24" s="85"/>
      <c r="D24" s="85"/>
      <c r="F24" s="7" t="s">
        <v>0</v>
      </c>
    </row>
    <row r="25" spans="1:8" x14ac:dyDescent="0.25">
      <c r="B25" s="15"/>
      <c r="C25" s="98"/>
      <c r="D25" s="98"/>
      <c r="F25" s="54" t="s">
        <v>4</v>
      </c>
      <c r="G25" s="54"/>
      <c r="H25" s="5">
        <f>VLOOKUP(F25,Sheet2!$B$1:$C$12,2)</f>
        <v>9.9999999999999995E-7</v>
      </c>
    </row>
    <row r="26" spans="1:8" x14ac:dyDescent="0.25">
      <c r="B26" s="15"/>
      <c r="C26" s="18"/>
      <c r="D26" s="18"/>
    </row>
    <row r="27" spans="1:8" x14ac:dyDescent="0.25">
      <c r="B27" s="106" t="s">
        <v>28</v>
      </c>
      <c r="C27" s="106"/>
      <c r="D27" s="106"/>
      <c r="E27" s="107" t="s">
        <v>25</v>
      </c>
      <c r="F27" s="107"/>
      <c r="G27" s="107"/>
    </row>
    <row r="28" spans="1:8" ht="125.1" customHeight="1" x14ac:dyDescent="0.25">
      <c r="B28" s="50"/>
      <c r="C28" s="51"/>
      <c r="D28" s="52"/>
      <c r="E28" s="50"/>
      <c r="F28" s="51"/>
      <c r="G28" s="52"/>
      <c r="H28" s="28"/>
    </row>
    <row r="29" spans="1:8" s="14" customFormat="1" ht="60" customHeight="1" x14ac:dyDescent="0.25">
      <c r="A29" s="29"/>
      <c r="B29" s="79" t="s">
        <v>24</v>
      </c>
      <c r="C29" s="80"/>
      <c r="D29" s="80"/>
      <c r="E29" s="80"/>
      <c r="F29" s="80"/>
      <c r="G29" s="81"/>
      <c r="H29" s="28"/>
    </row>
    <row r="30" spans="1:8" x14ac:dyDescent="0.25">
      <c r="B30" s="108"/>
      <c r="C30" s="108"/>
      <c r="D30" s="108"/>
      <c r="E30" s="25"/>
      <c r="F30" s="26" t="s">
        <v>0</v>
      </c>
      <c r="G30" s="27"/>
    </row>
    <row r="31" spans="1:8" x14ac:dyDescent="0.25">
      <c r="B31" s="15"/>
      <c r="C31" s="109"/>
      <c r="D31" s="109"/>
      <c r="F31" s="54" t="s">
        <v>4</v>
      </c>
      <c r="G31" s="54"/>
      <c r="H31" s="5">
        <f>VLOOKUP(F31,Sheet2!$B$1:$C$12,2)</f>
        <v>9.9999999999999995E-7</v>
      </c>
    </row>
    <row r="32" spans="1:8" x14ac:dyDescent="0.25">
      <c r="B32" s="15"/>
      <c r="C32" s="17"/>
      <c r="D32" s="17"/>
    </row>
    <row r="33" spans="1:8" s="14" customFormat="1" ht="15.75" customHeight="1" x14ac:dyDescent="0.25">
      <c r="B33" s="82" t="s">
        <v>39</v>
      </c>
      <c r="C33" s="82"/>
      <c r="D33" s="82"/>
      <c r="E33" s="83" t="s">
        <v>25</v>
      </c>
      <c r="F33" s="84"/>
      <c r="G33" s="84"/>
      <c r="H33" s="4"/>
    </row>
    <row r="34" spans="1:8" s="14" customFormat="1" ht="119.25" customHeight="1" x14ac:dyDescent="0.25">
      <c r="A34" s="29"/>
      <c r="B34" s="50"/>
      <c r="C34" s="51"/>
      <c r="D34" s="52"/>
      <c r="E34" s="50"/>
      <c r="F34" s="51"/>
      <c r="G34" s="52"/>
      <c r="H34" s="28"/>
    </row>
    <row r="35" spans="1:8" s="14" customFormat="1" ht="59.25" customHeight="1" x14ac:dyDescent="0.25">
      <c r="B35" s="75" t="s">
        <v>24</v>
      </c>
      <c r="C35" s="51"/>
      <c r="D35" s="51"/>
      <c r="E35" s="51"/>
      <c r="F35" s="51"/>
      <c r="G35" s="52"/>
      <c r="H35" s="28"/>
    </row>
    <row r="36" spans="1:8" s="14" customFormat="1" x14ac:dyDescent="0.25">
      <c r="B36" s="110"/>
      <c r="C36" s="110"/>
      <c r="D36" s="110"/>
      <c r="E36" s="21"/>
      <c r="F36" s="7" t="s">
        <v>0</v>
      </c>
      <c r="H36" s="4"/>
    </row>
    <row r="37" spans="1:8" s="14" customFormat="1" x14ac:dyDescent="0.25">
      <c r="B37" s="15"/>
      <c r="C37" s="109"/>
      <c r="D37" s="109"/>
      <c r="E37" s="16"/>
      <c r="F37" s="54" t="s">
        <v>4</v>
      </c>
      <c r="G37" s="54"/>
      <c r="H37" s="5">
        <f>VLOOKUP(F37,Sheet2!$B$1:$C$12,2)</f>
        <v>9.9999999999999995E-7</v>
      </c>
    </row>
    <row r="38" spans="1:8" s="14" customFormat="1" x14ac:dyDescent="0.25">
      <c r="B38" s="15"/>
      <c r="C38" s="6"/>
      <c r="D38" s="6"/>
      <c r="H38" s="4"/>
    </row>
    <row r="39" spans="1:8" x14ac:dyDescent="0.25">
      <c r="B39" s="65" t="s">
        <v>30</v>
      </c>
      <c r="C39" s="65"/>
      <c r="D39" s="65"/>
      <c r="E39" s="65" t="s">
        <v>31</v>
      </c>
      <c r="F39" s="65"/>
      <c r="G39" s="65"/>
    </row>
    <row r="40" spans="1:8" ht="60" customHeight="1" x14ac:dyDescent="0.25">
      <c r="B40" s="50"/>
      <c r="C40" s="51"/>
      <c r="D40" s="52"/>
      <c r="E40" s="50"/>
      <c r="F40" s="51"/>
      <c r="G40" s="52"/>
      <c r="H40" s="28"/>
    </row>
    <row r="41" spans="1:8" ht="15.75" thickBot="1" x14ac:dyDescent="0.3">
      <c r="E41" s="21"/>
      <c r="G41" s="31" t="s">
        <v>17</v>
      </c>
    </row>
    <row r="42" spans="1:8" ht="15.75" thickBot="1" x14ac:dyDescent="0.3">
      <c r="G42" s="8">
        <f>AVERAGEIF(H19:H37,"&gt;0")</f>
        <v>9.9999999999999995E-7</v>
      </c>
    </row>
    <row r="44" spans="1:8" x14ac:dyDescent="0.25">
      <c r="B44" s="19"/>
      <c r="C44" s="19"/>
      <c r="D44" s="19"/>
      <c r="E44" s="19"/>
      <c r="F44" s="19"/>
      <c r="G44" s="19"/>
      <c r="H44"/>
    </row>
    <row r="45" spans="1:8" ht="22.5" customHeight="1" x14ac:dyDescent="0.25">
      <c r="B45" s="87" t="s">
        <v>19</v>
      </c>
      <c r="C45" s="87"/>
      <c r="D45" s="87"/>
    </row>
    <row r="46" spans="1:8" x14ac:dyDescent="0.25">
      <c r="H46"/>
    </row>
    <row r="47" spans="1:8" s="24" customFormat="1" ht="60" customHeight="1" x14ac:dyDescent="0.25">
      <c r="B47" s="76" t="s">
        <v>40</v>
      </c>
      <c r="C47" s="77"/>
      <c r="D47" s="78"/>
      <c r="E47" s="32" t="s">
        <v>18</v>
      </c>
      <c r="F47" s="32"/>
      <c r="G47" s="32"/>
      <c r="H47" s="23"/>
    </row>
    <row r="48" spans="1:8" ht="60" customHeight="1" x14ac:dyDescent="0.25">
      <c r="B48" s="35"/>
      <c r="C48" s="36"/>
      <c r="D48" s="37"/>
      <c r="E48" s="44"/>
      <c r="F48" s="45"/>
      <c r="G48" s="46"/>
      <c r="H48" s="28"/>
    </row>
    <row r="49" spans="1:8" x14ac:dyDescent="0.25">
      <c r="C49" s="25"/>
      <c r="D49" s="25"/>
      <c r="E49" s="25"/>
      <c r="F49" s="26" t="s">
        <v>0</v>
      </c>
      <c r="G49" s="27"/>
    </row>
    <row r="50" spans="1:8" x14ac:dyDescent="0.25">
      <c r="F50" s="54" t="s">
        <v>4</v>
      </c>
      <c r="G50" s="54"/>
      <c r="H50" s="5">
        <f>VLOOKUP(F50,Sheet2!$B$1:$C$12,2)</f>
        <v>9.9999999999999995E-7</v>
      </c>
    </row>
    <row r="51" spans="1:8" ht="7.5" customHeight="1" x14ac:dyDescent="0.25"/>
    <row r="52" spans="1:8" ht="60" customHeight="1" x14ac:dyDescent="0.25">
      <c r="B52" s="41" t="s">
        <v>41</v>
      </c>
      <c r="C52" s="42"/>
      <c r="D52" s="43"/>
      <c r="E52" s="47" t="s">
        <v>18</v>
      </c>
      <c r="F52" s="48"/>
      <c r="G52" s="49"/>
      <c r="H52" s="28"/>
    </row>
    <row r="53" spans="1:8" ht="60" customHeight="1" x14ac:dyDescent="0.25">
      <c r="B53" s="90"/>
      <c r="C53" s="91"/>
      <c r="D53" s="92"/>
      <c r="E53" s="44"/>
      <c r="F53" s="45"/>
      <c r="G53" s="46"/>
      <c r="H53" s="28"/>
    </row>
    <row r="54" spans="1:8" x14ac:dyDescent="0.25">
      <c r="B54" s="25"/>
      <c r="C54" s="25"/>
      <c r="D54" s="25"/>
      <c r="E54" s="25"/>
      <c r="F54" s="7" t="s">
        <v>0</v>
      </c>
    </row>
    <row r="55" spans="1:8" x14ac:dyDescent="0.25">
      <c r="F55" s="54" t="s">
        <v>4</v>
      </c>
      <c r="G55" s="54"/>
      <c r="H55" s="5">
        <f>VLOOKUP(F55,Sheet2!$B$1:$C$12,2)</f>
        <v>9.9999999999999995E-7</v>
      </c>
    </row>
    <row r="56" spans="1:8" ht="7.5" customHeight="1" x14ac:dyDescent="0.25"/>
    <row r="57" spans="1:8" s="24" customFormat="1" ht="60" customHeight="1" x14ac:dyDescent="0.25">
      <c r="B57" s="66" t="s">
        <v>42</v>
      </c>
      <c r="C57" s="67"/>
      <c r="D57" s="67"/>
      <c r="E57" s="33" t="s">
        <v>18</v>
      </c>
      <c r="F57" s="34"/>
      <c r="G57" s="34"/>
      <c r="H57" s="23"/>
    </row>
    <row r="58" spans="1:8" ht="60" customHeight="1" x14ac:dyDescent="0.25">
      <c r="A58" s="29"/>
      <c r="B58" s="38"/>
      <c r="C58" s="39"/>
      <c r="D58" s="40"/>
      <c r="E58" s="44"/>
      <c r="F58" s="45"/>
      <c r="G58" s="46"/>
      <c r="H58" s="28"/>
    </row>
    <row r="59" spans="1:8" x14ac:dyDescent="0.25">
      <c r="D59" s="21"/>
      <c r="E59" s="25"/>
      <c r="F59" s="26" t="s">
        <v>0</v>
      </c>
      <c r="G59" s="27"/>
    </row>
    <row r="60" spans="1:8" x14ac:dyDescent="0.25">
      <c r="F60" s="54" t="s">
        <v>4</v>
      </c>
      <c r="G60" s="54"/>
      <c r="H60" s="5">
        <f>VLOOKUP(F60,Sheet2!$B$1:$C$12,2)</f>
        <v>9.9999999999999995E-7</v>
      </c>
    </row>
    <row r="61" spans="1:8" ht="7.5" customHeight="1" x14ac:dyDescent="0.25"/>
    <row r="62" spans="1:8" s="24" customFormat="1" ht="60" customHeight="1" x14ac:dyDescent="0.25">
      <c r="B62" s="72" t="s">
        <v>43</v>
      </c>
      <c r="C62" s="73"/>
      <c r="D62" s="74"/>
      <c r="E62" s="33" t="s">
        <v>18</v>
      </c>
      <c r="F62" s="34"/>
      <c r="G62" s="34"/>
      <c r="H62" s="23"/>
    </row>
    <row r="63" spans="1:8" ht="60" customHeight="1" x14ac:dyDescent="0.25">
      <c r="B63" s="38"/>
      <c r="C63" s="39"/>
      <c r="D63" s="40"/>
      <c r="E63" s="44"/>
      <c r="F63" s="45"/>
      <c r="G63" s="46"/>
      <c r="H63" s="28"/>
    </row>
    <row r="64" spans="1:8" x14ac:dyDescent="0.25">
      <c r="C64" s="25"/>
      <c r="E64" s="21"/>
      <c r="F64" s="7" t="s">
        <v>0</v>
      </c>
      <c r="G64" s="30"/>
    </row>
    <row r="65" spans="2:8" x14ac:dyDescent="0.25">
      <c r="F65" s="54" t="s">
        <v>4</v>
      </c>
      <c r="G65" s="54"/>
      <c r="H65" s="5">
        <f>VLOOKUP(F65,Sheet2!$B$1:$C$12,2)</f>
        <v>9.9999999999999995E-7</v>
      </c>
    </row>
    <row r="66" spans="2:8" ht="7.5" customHeight="1" x14ac:dyDescent="0.25"/>
    <row r="67" spans="2:8" s="24" customFormat="1" ht="60" customHeight="1" x14ac:dyDescent="0.25">
      <c r="B67" s="66" t="s">
        <v>44</v>
      </c>
      <c r="C67" s="67"/>
      <c r="D67" s="93"/>
      <c r="E67" s="103" t="s">
        <v>18</v>
      </c>
      <c r="F67" s="32"/>
      <c r="G67" s="32"/>
      <c r="H67" s="23"/>
    </row>
    <row r="68" spans="2:8" ht="60" customHeight="1" x14ac:dyDescent="0.25">
      <c r="B68" s="38"/>
      <c r="C68" s="39"/>
      <c r="D68" s="40"/>
      <c r="E68" s="44"/>
      <c r="F68" s="45"/>
      <c r="G68" s="46"/>
      <c r="H68" s="28"/>
    </row>
    <row r="69" spans="2:8" x14ac:dyDescent="0.25">
      <c r="F69" s="7" t="s">
        <v>0</v>
      </c>
    </row>
    <row r="70" spans="2:8" x14ac:dyDescent="0.25">
      <c r="F70" s="54" t="s">
        <v>4</v>
      </c>
      <c r="G70" s="54"/>
      <c r="H70" s="5">
        <f>VLOOKUP(F70,Sheet2!$B$1:$C$12,2)</f>
        <v>9.9999999999999995E-7</v>
      </c>
    </row>
    <row r="71" spans="2:8" ht="7.5" customHeight="1" x14ac:dyDescent="0.25"/>
    <row r="72" spans="2:8" s="24" customFormat="1" ht="60" customHeight="1" x14ac:dyDescent="0.25">
      <c r="B72" s="66" t="s">
        <v>45</v>
      </c>
      <c r="C72" s="67"/>
      <c r="D72" s="67"/>
      <c r="E72" s="103" t="s">
        <v>18</v>
      </c>
      <c r="F72" s="32"/>
      <c r="G72" s="32"/>
      <c r="H72" s="23"/>
    </row>
    <row r="73" spans="2:8" ht="60" customHeight="1" x14ac:dyDescent="0.25">
      <c r="B73" s="38"/>
      <c r="C73" s="39"/>
      <c r="D73" s="40"/>
      <c r="E73" s="50"/>
      <c r="F73" s="51"/>
      <c r="G73" s="52"/>
      <c r="H73" s="28"/>
    </row>
    <row r="74" spans="2:8" x14ac:dyDescent="0.25">
      <c r="B74" s="21"/>
      <c r="D74" s="21"/>
      <c r="E74" s="21"/>
      <c r="F74" s="7" t="s">
        <v>0</v>
      </c>
    </row>
    <row r="75" spans="2:8" x14ac:dyDescent="0.25">
      <c r="F75" s="54" t="s">
        <v>4</v>
      </c>
      <c r="G75" s="54"/>
      <c r="H75" s="5">
        <f>VLOOKUP(F75,Sheet2!$B$1:$C$12,2)</f>
        <v>9.9999999999999995E-7</v>
      </c>
    </row>
    <row r="76" spans="2:8" ht="7.5" customHeight="1" x14ac:dyDescent="0.25"/>
    <row r="77" spans="2:8" s="24" customFormat="1" ht="60" customHeight="1" x14ac:dyDescent="0.25">
      <c r="B77" s="55" t="s">
        <v>46</v>
      </c>
      <c r="C77" s="56"/>
      <c r="D77" s="57"/>
      <c r="E77" s="104" t="s">
        <v>18</v>
      </c>
      <c r="F77" s="105"/>
      <c r="G77" s="105"/>
      <c r="H77" s="23"/>
    </row>
    <row r="78" spans="2:8" ht="60" customHeight="1" x14ac:dyDescent="0.25">
      <c r="B78" s="58"/>
      <c r="C78" s="36"/>
      <c r="D78" s="37"/>
      <c r="E78" s="88"/>
      <c r="F78" s="89"/>
      <c r="G78" s="89"/>
      <c r="H78" s="28"/>
    </row>
    <row r="79" spans="2:8" x14ac:dyDescent="0.25">
      <c r="B79" s="25"/>
      <c r="C79" s="25"/>
      <c r="D79" s="25"/>
      <c r="E79" s="25"/>
      <c r="F79" s="26" t="s">
        <v>0</v>
      </c>
      <c r="G79" s="27"/>
    </row>
    <row r="80" spans="2:8" x14ac:dyDescent="0.25">
      <c r="F80" s="54" t="s">
        <v>4</v>
      </c>
      <c r="G80" s="54"/>
      <c r="H80" s="5">
        <f>VLOOKUP(F80,Sheet2!$B$1:$C$12,2)</f>
        <v>9.9999999999999995E-7</v>
      </c>
    </row>
    <row r="82" spans="1:10" ht="15" customHeight="1" x14ac:dyDescent="0.25">
      <c r="B82" s="69" t="s">
        <v>32</v>
      </c>
      <c r="C82" s="70"/>
      <c r="D82" s="70"/>
      <c r="E82" s="61" t="s">
        <v>33</v>
      </c>
      <c r="F82" s="61"/>
      <c r="G82" s="62"/>
      <c r="H82" s="20"/>
    </row>
    <row r="83" spans="1:10" ht="99.95" customHeight="1" x14ac:dyDescent="0.25">
      <c r="A83" s="29"/>
      <c r="B83" s="59"/>
      <c r="C83" s="59"/>
      <c r="D83" s="60"/>
      <c r="E83" s="50"/>
      <c r="F83" s="51"/>
      <c r="G83" s="52"/>
      <c r="H83" s="28"/>
    </row>
    <row r="84" spans="1:10" ht="15.75" thickBot="1" x14ac:dyDescent="0.3">
      <c r="D84" s="25"/>
      <c r="G84" s="31" t="s">
        <v>20</v>
      </c>
    </row>
    <row r="85" spans="1:10" ht="15.75" thickBot="1" x14ac:dyDescent="0.3">
      <c r="G85" s="8">
        <f>AVERAGEIF(H47:H83,"&gt;0")</f>
        <v>9.9999999999999995E-7</v>
      </c>
      <c r="J85" s="21"/>
    </row>
    <row r="86" spans="1:10" x14ac:dyDescent="0.25">
      <c r="G86" s="9"/>
      <c r="J86" s="21"/>
    </row>
    <row r="87" spans="1:10" ht="22.5" customHeight="1" thickBot="1" x14ac:dyDescent="0.3">
      <c r="B87" s="87" t="s">
        <v>22</v>
      </c>
      <c r="C87" s="87"/>
      <c r="D87" s="87"/>
      <c r="F87" s="10" t="s">
        <v>21</v>
      </c>
      <c r="J87" s="21"/>
    </row>
    <row r="88" spans="1:10" ht="19.5" thickBot="1" x14ac:dyDescent="0.3">
      <c r="F88" s="11">
        <f>(G42*0.75)+(G85*0.25)</f>
        <v>9.9999999999999995E-7</v>
      </c>
    </row>
    <row r="89" spans="1:10" ht="20.25" customHeight="1" x14ac:dyDescent="0.25"/>
    <row r="90" spans="1:10" ht="44.25" customHeight="1" x14ac:dyDescent="0.25">
      <c r="B90" s="21" t="s">
        <v>34</v>
      </c>
      <c r="C90" s="21"/>
      <c r="D90" s="21"/>
      <c r="E90" t="s">
        <v>37</v>
      </c>
      <c r="H90"/>
    </row>
    <row r="91" spans="1:10" x14ac:dyDescent="0.25">
      <c r="B91" s="53" t="s">
        <v>35</v>
      </c>
      <c r="C91" s="53"/>
      <c r="D91" s="53"/>
      <c r="E91" s="53" t="s">
        <v>38</v>
      </c>
      <c r="F91" s="53"/>
      <c r="G91" s="53"/>
      <c r="H91"/>
    </row>
    <row r="92" spans="1:10" ht="46.5" customHeight="1" x14ac:dyDescent="0.25">
      <c r="B92" s="22" t="s">
        <v>34</v>
      </c>
      <c r="C92" s="22"/>
      <c r="D92" s="22"/>
      <c r="E92" s="64" t="s">
        <v>37</v>
      </c>
      <c r="F92" s="64"/>
      <c r="G92" s="64"/>
      <c r="H92"/>
    </row>
    <row r="93" spans="1:10" x14ac:dyDescent="0.25">
      <c r="B93" s="53" t="s">
        <v>36</v>
      </c>
      <c r="C93" s="53"/>
      <c r="D93" s="53"/>
      <c r="E93" s="63" t="s">
        <v>47</v>
      </c>
      <c r="F93" s="63"/>
      <c r="G93" s="63"/>
      <c r="H93"/>
    </row>
    <row r="94" spans="1:10" x14ac:dyDescent="0.25">
      <c r="E94" s="4"/>
      <c r="H94"/>
    </row>
  </sheetData>
  <mergeCells count="87">
    <mergeCell ref="E62:G62"/>
    <mergeCell ref="E67:G67"/>
    <mergeCell ref="E72:G72"/>
    <mergeCell ref="E77:G77"/>
    <mergeCell ref="B27:D27"/>
    <mergeCell ref="B68:D68"/>
    <mergeCell ref="B45:D45"/>
    <mergeCell ref="E27:G27"/>
    <mergeCell ref="B28:D28"/>
    <mergeCell ref="E28:G28"/>
    <mergeCell ref="B30:D30"/>
    <mergeCell ref="C31:D31"/>
    <mergeCell ref="F31:G31"/>
    <mergeCell ref="B36:D36"/>
    <mergeCell ref="C37:D37"/>
    <mergeCell ref="E68:G68"/>
    <mergeCell ref="F60:G60"/>
    <mergeCell ref="B40:D40"/>
    <mergeCell ref="E40:G40"/>
    <mergeCell ref="E39:G39"/>
    <mergeCell ref="B13:D13"/>
    <mergeCell ref="B21:D21"/>
    <mergeCell ref="E21:G21"/>
    <mergeCell ref="B22:D22"/>
    <mergeCell ref="E22:G22"/>
    <mergeCell ref="C25:D25"/>
    <mergeCell ref="F25:G25"/>
    <mergeCell ref="B16:D16"/>
    <mergeCell ref="E16:G16"/>
    <mergeCell ref="B18:D18"/>
    <mergeCell ref="C19:D19"/>
    <mergeCell ref="F19:G19"/>
    <mergeCell ref="B24:D24"/>
    <mergeCell ref="B6:G6"/>
    <mergeCell ref="B87:D87"/>
    <mergeCell ref="E78:G78"/>
    <mergeCell ref="F80:G80"/>
    <mergeCell ref="B63:D63"/>
    <mergeCell ref="E63:G63"/>
    <mergeCell ref="B53:D53"/>
    <mergeCell ref="E53:G53"/>
    <mergeCell ref="F55:G55"/>
    <mergeCell ref="F65:G65"/>
    <mergeCell ref="B67:D67"/>
    <mergeCell ref="F10:G10"/>
    <mergeCell ref="E34:G34"/>
    <mergeCell ref="F11:G11"/>
    <mergeCell ref="B15:D15"/>
    <mergeCell ref="E15:G15"/>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34:D34"/>
    <mergeCell ref="B93:D93"/>
    <mergeCell ref="B73:D73"/>
    <mergeCell ref="E73:G73"/>
    <mergeCell ref="F75:G75"/>
    <mergeCell ref="B77:D77"/>
    <mergeCell ref="B78:D78"/>
    <mergeCell ref="E83:G83"/>
    <mergeCell ref="B83:D83"/>
    <mergeCell ref="E82:G82"/>
    <mergeCell ref="E91:G91"/>
    <mergeCell ref="E93:G93"/>
    <mergeCell ref="E92:G92"/>
    <mergeCell ref="B39:D39"/>
    <mergeCell ref="F37:G37"/>
    <mergeCell ref="B57:D57"/>
    <mergeCell ref="E47:G47"/>
    <mergeCell ref="E57:G57"/>
    <mergeCell ref="B48:D48"/>
    <mergeCell ref="B58:D58"/>
    <mergeCell ref="B52:D52"/>
    <mergeCell ref="E58:G58"/>
    <mergeCell ref="E52:G52"/>
  </mergeCells>
  <pageMargins left="0.7" right="0.7" top="0.75" bottom="0.75" header="0.3" footer="0.3"/>
  <pageSetup scale="83" fitToHeight="0" orientation="landscape" r:id="rId1"/>
  <headerFooter>
    <oddFooter>Page &amp;P of &amp;N</oddFooter>
  </headerFooter>
  <rowBreaks count="4" manualBreakCount="4">
    <brk id="25" max="7" man="1"/>
    <brk id="43" max="16383" man="1"/>
    <brk id="61" max="7" man="1"/>
    <brk id="75" max="7"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5" x14ac:dyDescent="0.25"/>
  <cols>
    <col min="1" max="2" width="22.7109375" bestFit="1" customWidth="1"/>
    <col min="3" max="3" width="4" bestFit="1" customWidth="1"/>
  </cols>
  <sheetData>
    <row r="1" spans="1:3" x14ac:dyDescent="0.25">
      <c r="A1" t="s">
        <v>4</v>
      </c>
      <c r="B1" t="s">
        <v>14</v>
      </c>
      <c r="C1">
        <v>9.9999999999999995E-7</v>
      </c>
    </row>
    <row r="2" spans="1:3" x14ac:dyDescent="0.25">
      <c r="A2" t="s">
        <v>5</v>
      </c>
      <c r="B2" t="s">
        <v>13</v>
      </c>
      <c r="C2">
        <v>1</v>
      </c>
    </row>
    <row r="3" spans="1:3" x14ac:dyDescent="0.25">
      <c r="A3" t="s">
        <v>6</v>
      </c>
      <c r="B3" t="s">
        <v>12</v>
      </c>
      <c r="C3">
        <v>1.5</v>
      </c>
    </row>
    <row r="4" spans="1:3" x14ac:dyDescent="0.25">
      <c r="A4" t="s">
        <v>7</v>
      </c>
      <c r="B4" t="s">
        <v>11</v>
      </c>
      <c r="C4">
        <v>2</v>
      </c>
    </row>
    <row r="5" spans="1:3" x14ac:dyDescent="0.25">
      <c r="A5" t="s">
        <v>9</v>
      </c>
      <c r="B5" t="s">
        <v>10</v>
      </c>
      <c r="C5">
        <v>2.5</v>
      </c>
    </row>
    <row r="6" spans="1:3" x14ac:dyDescent="0.25">
      <c r="A6" t="s">
        <v>8</v>
      </c>
      <c r="B6" t="s">
        <v>8</v>
      </c>
      <c r="C6">
        <v>3</v>
      </c>
    </row>
    <row r="7" spans="1:3" x14ac:dyDescent="0.25">
      <c r="A7" t="s">
        <v>10</v>
      </c>
      <c r="B7" t="s">
        <v>9</v>
      </c>
      <c r="C7">
        <v>3.5</v>
      </c>
    </row>
    <row r="8" spans="1:3" x14ac:dyDescent="0.25">
      <c r="A8" t="s">
        <v>11</v>
      </c>
      <c r="B8" t="s">
        <v>7</v>
      </c>
      <c r="C8">
        <v>4</v>
      </c>
    </row>
    <row r="9" spans="1:3" x14ac:dyDescent="0.25">
      <c r="A9" t="s">
        <v>12</v>
      </c>
      <c r="B9" t="s">
        <v>6</v>
      </c>
      <c r="C9">
        <v>4.5</v>
      </c>
    </row>
    <row r="10" spans="1:3" x14ac:dyDescent="0.25">
      <c r="A10" t="s">
        <v>13</v>
      </c>
      <c r="B10" t="s">
        <v>5</v>
      </c>
      <c r="C10">
        <v>5</v>
      </c>
    </row>
    <row r="11" spans="1:3" x14ac:dyDescent="0.25">
      <c r="A11" t="s">
        <v>14</v>
      </c>
      <c r="B11" t="s">
        <v>4</v>
      </c>
      <c r="C11">
        <v>9.9999999999999995E-7</v>
      </c>
    </row>
    <row r="12" spans="1:3" x14ac:dyDescent="0.25">
      <c r="A12" t="s">
        <v>15</v>
      </c>
      <c r="B12" t="s">
        <v>15</v>
      </c>
      <c r="C12" t="s">
        <v>16</v>
      </c>
    </row>
  </sheetData>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BFCC83-339A-4703-B092-915F9DB4AC27}"/>
</file>

<file path=customXml/itemProps2.xml><?xml version="1.0" encoding="utf-8"?>
<ds:datastoreItem xmlns:ds="http://schemas.openxmlformats.org/officeDocument/2006/customXml" ds:itemID="{38741CAB-D57B-43BC-8882-37618355CA29}"/>
</file>

<file path=customXml/itemProps3.xml><?xml version="1.0" encoding="utf-8"?>
<ds:datastoreItem xmlns:ds="http://schemas.openxmlformats.org/officeDocument/2006/customXml" ds:itemID="{B5E77E5F-173B-4372-9A23-149ACE11F5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Kristian C. Vasquez</cp:lastModifiedBy>
  <cp:lastPrinted>2015-10-27T17:13:32Z</cp:lastPrinted>
  <dcterms:created xsi:type="dcterms:W3CDTF">2012-12-10T15:40:14Z</dcterms:created>
  <dcterms:modified xsi:type="dcterms:W3CDTF">2016-01-20T15:27:27Z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517000</vt:r8>
  </property>
</Properties>
</file>