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calcChain.xml" ContentType="application/vnd.openxmlformats-officedocument.spreadsheetml.calcChain+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4385" yWindow="-15" windowWidth="14430" windowHeight="10995"/>
  </bookViews>
  <sheets>
    <sheet name="Sheet1" sheetId="1" r:id="rId1"/>
    <sheet name="Sheet2" sheetId="2" r:id="rId2"/>
    <sheet name="Sheet3" sheetId="3" r:id="rId3"/>
  </sheets>
  <definedNames>
    <definedName name="Goal01" localSheetId="0">Sheet1!$C$27</definedName>
    <definedName name="Goal02" localSheetId="0">Sheet1!$C$39</definedName>
    <definedName name="Goal03" localSheetId="0">Sheet1!$C$45</definedName>
    <definedName name="_xlnm.Print_Area" localSheetId="0">Sheet1!$A$8:$H$94</definedName>
  </definedNames>
  <calcPr calcId="145621"/>
</workbook>
</file>

<file path=xl/calcChain.xml><?xml version="1.0" encoding="utf-8"?>
<calcChain xmlns="http://schemas.openxmlformats.org/spreadsheetml/2006/main">
  <c r="F88" i="1" l="1"/>
  <c r="H37" i="1" l="1"/>
  <c r="H50" i="1" l="1"/>
  <c r="H55" i="1"/>
  <c r="H80" i="1"/>
  <c r="H75" i="1"/>
  <c r="H70" i="1"/>
  <c r="H65" i="1"/>
  <c r="H60" i="1"/>
  <c r="H31" i="1"/>
  <c r="H25" i="1"/>
  <c r="H19" i="1"/>
  <c r="G42" i="1" l="1"/>
  <c r="G85" i="1"/>
</calcChain>
</file>

<file path=xl/sharedStrings.xml><?xml version="1.0" encoding="utf-8"?>
<sst xmlns="http://schemas.openxmlformats.org/spreadsheetml/2006/main" count="91" uniqueCount="46">
  <si>
    <t>Rating:</t>
  </si>
  <si>
    <t>Employee Name:</t>
  </si>
  <si>
    <t>Supervisor Name:</t>
  </si>
  <si>
    <t>Position Title:</t>
  </si>
  <si>
    <t>Choose one.</t>
  </si>
  <si>
    <t>5.0 Exemplary</t>
  </si>
  <si>
    <t>4.5 Solid Performance</t>
  </si>
  <si>
    <t>4.0 Solid Performance</t>
  </si>
  <si>
    <t>3.0 Satisfactory</t>
  </si>
  <si>
    <t>3.5 Satisfactory</t>
  </si>
  <si>
    <t>2.5 Needs Improvement</t>
  </si>
  <si>
    <t>2.0 Needs Improvement</t>
  </si>
  <si>
    <t>1.5 Seriously Deficient</t>
  </si>
  <si>
    <t>1.0 Seriously Deficient</t>
  </si>
  <si>
    <t>0.0 Seriously Deficient</t>
  </si>
  <si>
    <t>n/a Not Applicable</t>
  </si>
  <si>
    <t>n/a</t>
  </si>
  <si>
    <t>SECTION A</t>
  </si>
  <si>
    <t>Comments</t>
  </si>
  <si>
    <t>B. Performance Expectations - 25%</t>
  </si>
  <si>
    <t>SECTION B</t>
  </si>
  <si>
    <t>OVERALL SCORE</t>
  </si>
  <si>
    <t>^^ THIS TOP SECTION DOES NOT PRINT ^^</t>
  </si>
  <si>
    <t>CORRECTIVE ACTION(S):</t>
  </si>
  <si>
    <t>Actual Performance to Date</t>
  </si>
  <si>
    <t>Goal 1: Build a Financially Stable Organization</t>
  </si>
  <si>
    <t>If necessary, additional goals and details may be included as an attachment.</t>
  </si>
  <si>
    <t>Goal 3: Well-Governed, Accountable &amp; Transparent Organization</t>
  </si>
  <si>
    <t>Goal 2: Strengthen Network of Volunteers, Programs &amp; Projects</t>
  </si>
  <si>
    <r>
      <t>Section A - Supervisor Comments</t>
    </r>
    <r>
      <rPr>
        <i/>
        <sz val="11"/>
        <rFont val="Calibri"/>
        <family val="2"/>
        <scheme val="minor"/>
      </rPr>
      <t xml:space="preserve"> (optional)</t>
    </r>
  </si>
  <si>
    <r>
      <t xml:space="preserve">Section A- Empoyee Comments </t>
    </r>
    <r>
      <rPr>
        <i/>
        <sz val="11"/>
        <rFont val="Calibri"/>
        <family val="2"/>
        <scheme val="minor"/>
      </rPr>
      <t>(optional)</t>
    </r>
  </si>
  <si>
    <r>
      <t xml:space="preserve">Section B- Supervisor Comments </t>
    </r>
    <r>
      <rPr>
        <i/>
        <sz val="11"/>
        <rFont val="Calibri"/>
        <family val="2"/>
        <scheme val="minor"/>
      </rPr>
      <t>(optional)</t>
    </r>
    <r>
      <rPr>
        <b/>
        <sz val="11"/>
        <rFont val="Calibri"/>
        <family val="2"/>
        <scheme val="minor"/>
      </rPr>
      <t>:</t>
    </r>
  </si>
  <si>
    <r>
      <t xml:space="preserve">Section B- Employee Comments </t>
    </r>
    <r>
      <rPr>
        <i/>
        <sz val="11"/>
        <rFont val="Calibri"/>
        <family val="2"/>
        <scheme val="minor"/>
      </rPr>
      <t>(optional)</t>
    </r>
    <r>
      <rPr>
        <b/>
        <sz val="11"/>
        <rFont val="Calibri"/>
        <family val="2"/>
        <scheme val="minor"/>
      </rPr>
      <t>:</t>
    </r>
  </si>
  <si>
    <t>__________________________________________________</t>
  </si>
  <si>
    <t>Employee Signature                              Date</t>
  </si>
  <si>
    <t>Goal 4: Evaluate and Communicate Our Impact and Value</t>
  </si>
  <si>
    <r>
      <t xml:space="preserve">Financial Management
</t>
    </r>
    <r>
      <rPr>
        <sz val="10"/>
        <color theme="0"/>
        <rFont val="Calibri"/>
        <family val="2"/>
        <scheme val="minor"/>
      </rPr>
      <t>• Manages funds and resources responsibly and judiciously within area of responsibility.  
• Works proactively to improve program/unit financial oversight and sustainability.</t>
    </r>
  </si>
  <si>
    <r>
      <t xml:space="preserve">Time Management
</t>
    </r>
    <r>
      <rPr>
        <sz val="10"/>
        <color theme="0"/>
        <rFont val="Calibri"/>
        <family val="2"/>
        <scheme val="minor"/>
      </rPr>
      <t>• Prioritizes effectively according to program/unit goals, based on outside feedback and own judgment. 
• Consistently meets deadlines and program/unit goals with quality and accuracy.</t>
    </r>
  </si>
  <si>
    <r>
      <t xml:space="preserve">Internal &amp; External Communication
</t>
    </r>
    <r>
      <rPr>
        <sz val="10"/>
        <color theme="0"/>
        <rFont val="Calibri"/>
        <family val="2"/>
        <scheme val="minor"/>
      </rPr>
      <t>• Responds promptly and accurately to requests.
• Communicates program/unit activities and accomplishments appropriately.</t>
    </r>
  </si>
  <si>
    <r>
      <t xml:space="preserve">Problem Solving
</t>
    </r>
    <r>
      <rPr>
        <sz val="10"/>
        <color theme="0"/>
        <rFont val="Calibri"/>
        <family val="2"/>
        <scheme val="minor"/>
      </rPr>
      <t>• Responds to unexpected demands and problems with resilience and resourcefulness. 
• Works proactively to improve program/unit functions and efficiency.</t>
    </r>
  </si>
  <si>
    <r>
      <t xml:space="preserve">Accountability
</t>
    </r>
    <r>
      <rPr>
        <sz val="10"/>
        <color theme="0"/>
        <rFont val="Calibri"/>
        <family val="2"/>
        <scheme val="minor"/>
      </rPr>
      <t>• Follows policies and procedures. 
• Complies with program/unit requirements when submitting reports and maintaining records.</t>
    </r>
  </si>
  <si>
    <r>
      <t xml:space="preserve">Personal &amp; Professional Development
</t>
    </r>
    <r>
      <rPr>
        <sz val="11"/>
        <color theme="0"/>
        <rFont val="Calibri"/>
        <family val="2"/>
        <scheme val="minor"/>
      </rPr>
      <t>• Exhibits strong communication and listening skills. 
• Brings an attitude of positivity and cooperation to the workplace. 
• Exercises leadership within area of responsibility.</t>
    </r>
  </si>
  <si>
    <r>
      <t xml:space="preserve">Supervisory Functions </t>
    </r>
    <r>
      <rPr>
        <i/>
        <sz val="11"/>
        <color theme="0"/>
        <rFont val="Calibri"/>
        <family val="2"/>
        <scheme val="minor"/>
      </rPr>
      <t xml:space="preserve">(if applicable)
</t>
    </r>
    <r>
      <rPr>
        <sz val="11"/>
        <color theme="0"/>
        <rFont val="Calibri"/>
        <family val="2"/>
        <scheme val="minor"/>
      </rPr>
      <t>• Provides leadership to staff and organization. Manages conflict successfully. 
• Sets clear expectations, gives effective feedback and provides strong oversight.
• Follows and enforces policies and procedures.</t>
    </r>
  </si>
  <si>
    <t>Date of Final Review:</t>
  </si>
  <si>
    <t>C. OVERALL PERFORMANCE OF SELF EVALUATION</t>
  </si>
  <si>
    <t>A. 2018 Goals Review - 75%</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</si>
</sst>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5"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sz val="10"/>
      <color theme="1"/>
      <name val="Calibri"/>
      <family val="2"/>
      <scheme val="minor"/>
    </font>
    <font>
      <sz val="9"/>
      <color theme="1"/>
      <name val="Calibri"/>
      <family val="2"/>
      <scheme val="minor"/>
    </font>
    <font>
      <b/>
      <sz val="14"/>
      <color theme="1"/>
      <name val="Calibri"/>
      <family val="2"/>
      <scheme val="minor"/>
    </font>
    <font>
      <sz val="8"/>
      <color theme="0" tint="-0.499984740745262"/>
      <name val="Calibri"/>
      <family val="2"/>
      <scheme val="minor"/>
    </font>
    <font>
      <b/>
      <sz val="11"/>
      <name val="Calibri"/>
      <family val="2"/>
      <scheme val="minor"/>
    </font>
    <font>
      <b/>
      <sz val="14"/>
      <color theme="0"/>
      <name val="Calibri"/>
      <family val="2"/>
      <scheme val="minor"/>
    </font>
    <font>
      <i/>
      <sz val="11"/>
      <color theme="0"/>
      <name val="Calibri"/>
      <family val="2"/>
      <scheme val="minor"/>
    </font>
    <font>
      <i/>
      <sz val="11"/>
      <name val="Calibri"/>
      <family val="2"/>
      <scheme val="minor"/>
    </font>
    <font>
      <sz val="10"/>
      <color theme="0"/>
      <name val="Calibri"/>
      <family val="2"/>
      <scheme val="minor"/>
    </font>
  </fonts>
  <fills count="14">
    <fill>
      <patternFill patternType="none"/>
    </fill>
    <fill>
      <patternFill patternType="gray125"/>
    </fill>
    <fill>
      <patternFill patternType="solid">
        <fgColor theme="4"/>
      </patternFill>
    </fill>
    <fill>
      <patternFill patternType="solid">
        <fgColor theme="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7"/>
      </patternFill>
    </fill>
    <fill>
      <patternFill patternType="solid">
        <fgColor theme="8"/>
      </patternFill>
    </fill>
    <fill>
      <patternFill patternType="solid">
        <fgColor rgb="FFFEF6F4"/>
        <bgColor indexed="64"/>
      </patternFill>
    </fill>
    <fill>
      <patternFill patternType="solid">
        <fgColor theme="0" tint="-0.499984740745262"/>
        <bgColor indexed="64"/>
      </patternFill>
    </fill>
    <fill>
      <patternFill patternType="solid">
        <fgColor theme="7" tint="-0.249977111117893"/>
        <bgColor indexed="64"/>
      </patternFill>
    </fill>
    <fill>
      <patternFill patternType="solid">
        <fgColor theme="5" tint="0.79998168889431442"/>
        <bgColor indexed="64"/>
      </patternFill>
    </fill>
    <fill>
      <patternFill patternType="solid">
        <fgColor theme="3" tint="0.59999389629810485"/>
        <bgColor indexed="64"/>
      </patternFill>
    </fill>
  </fills>
  <borders count="43">
    <border>
      <left/>
      <right/>
      <top/>
      <bottom/>
      <diagonal/>
    </border>
    <border>
      <left style="thin">
        <color rgb="FFB2B2B2"/>
      </left>
      <right style="thin">
        <color rgb="FFB2B2B2"/>
      </right>
      <top style="thin">
        <color rgb="FFB2B2B2"/>
      </top>
      <bottom style="thin">
        <color rgb="FFB2B2B2"/>
      </bottom>
      <diagonal/>
    </border>
    <border>
      <left style="medium">
        <color indexed="64"/>
      </left>
      <right style="medium">
        <color indexed="64"/>
      </right>
      <top style="medium">
        <color indexed="64"/>
      </top>
      <bottom style="medium">
        <color indexed="64"/>
      </bottom>
      <diagonal/>
    </border>
    <border>
      <left/>
      <right/>
      <top style="thin">
        <color rgb="FFB2B2B2"/>
      </top>
      <bottom/>
      <diagonal/>
    </border>
    <border>
      <left/>
      <right/>
      <top/>
      <bottom style="thin">
        <color rgb="FFB2B2B2"/>
      </bottom>
      <diagonal/>
    </border>
    <border>
      <left/>
      <right/>
      <top/>
      <bottom style="medium">
        <color indexed="64"/>
      </bottom>
      <diagonal/>
    </border>
    <border>
      <left/>
      <right/>
      <top/>
      <bottom style="thin">
        <color theme="2" tint="-0.34998626667073579"/>
      </bottom>
      <diagonal/>
    </border>
    <border>
      <left/>
      <right style="thin">
        <color theme="2" tint="-0.34998626667073579"/>
      </right>
      <top/>
      <bottom/>
      <diagonal/>
    </border>
    <border>
      <left/>
      <right/>
      <top style="thin">
        <color theme="0" tint="-0.499984740745262"/>
      </top>
      <bottom style="thin">
        <color rgb="FFB2B2B2"/>
      </bottom>
      <diagonal/>
    </border>
    <border>
      <left style="thin">
        <color theme="0" tint="-0.499984740745262"/>
      </left>
      <right/>
      <top/>
      <bottom/>
      <diagonal/>
    </border>
    <border>
      <left/>
      <right/>
      <top/>
      <bottom style="thin">
        <color indexed="64"/>
      </bottom>
      <diagonal/>
    </border>
    <border>
      <left/>
      <right/>
      <top style="thin">
        <color theme="7" tint="-0.249977111117893"/>
      </top>
      <bottom/>
      <diagonal/>
    </border>
    <border>
      <left style="thin">
        <color rgb="FFB2B2B2"/>
      </left>
      <right style="thin">
        <color rgb="FFB2B2B2"/>
      </right>
      <top style="thin">
        <color indexed="64"/>
      </top>
      <bottom/>
      <diagonal/>
    </border>
    <border>
      <left style="thin">
        <color theme="7" tint="-0.249977111117893"/>
      </left>
      <right style="thin">
        <color rgb="FFB2B2B2"/>
      </right>
      <top style="thin">
        <color indexed="64"/>
      </top>
      <bottom style="thin">
        <color indexed="64"/>
      </bottom>
      <diagonal/>
    </border>
    <border>
      <left style="thin">
        <color rgb="FFB2B2B2"/>
      </left>
      <right style="thin">
        <color theme="7" tint="-0.249977111117893"/>
      </right>
      <top style="thin">
        <color indexed="64"/>
      </top>
      <bottom/>
      <diagonal/>
    </border>
    <border>
      <left/>
      <right style="thin">
        <color theme="7" tint="-0.249977111117893"/>
      </right>
      <top/>
      <bottom style="thin">
        <color indexed="64"/>
      </bottom>
      <diagonal/>
    </border>
    <border>
      <left style="thin">
        <color theme="7" tint="-0.249977111117893"/>
      </left>
      <right/>
      <top/>
      <bottom style="thin">
        <color rgb="FFB2B2B2"/>
      </bottom>
      <diagonal/>
    </border>
    <border>
      <left style="thin">
        <color theme="7" tint="-0.249977111117893"/>
      </left>
      <right/>
      <top style="thin">
        <color rgb="FFB2B2B2"/>
      </top>
      <bottom/>
      <diagonal/>
    </border>
    <border>
      <left/>
      <right/>
      <top style="thin">
        <color theme="7" tint="-0.249977111117893"/>
      </top>
      <bottom style="thin">
        <color rgb="FFB2B2B2"/>
      </bottom>
      <diagonal/>
    </border>
    <border>
      <left style="thin">
        <color theme="7" tint="-0.249977111117893"/>
      </left>
      <right/>
      <top/>
      <bottom/>
      <diagonal/>
    </border>
    <border>
      <left style="thin">
        <color theme="7" tint="-0.249977111117893"/>
      </left>
      <right/>
      <top style="thin">
        <color theme="7" tint="-0.249977111117893"/>
      </top>
      <bottom style="thin">
        <color theme="7" tint="-0.249977111117893"/>
      </bottom>
      <diagonal/>
    </border>
    <border>
      <left/>
      <right/>
      <top style="thin">
        <color theme="7" tint="-0.249977111117893"/>
      </top>
      <bottom style="thin">
        <color theme="7" tint="-0.249977111117893"/>
      </bottom>
      <diagonal/>
    </border>
    <border>
      <left/>
      <right style="thin">
        <color theme="7" tint="-0.249977111117893"/>
      </right>
      <top style="thin">
        <color theme="7" tint="-0.249977111117893"/>
      </top>
      <bottom style="thin">
        <color theme="7" tint="-0.249977111117893"/>
      </bottom>
      <diagonal/>
    </border>
    <border>
      <left/>
      <right style="thin">
        <color theme="7" tint="-0.249977111117893"/>
      </right>
      <top style="thin">
        <color theme="7" tint="-0.249977111117893"/>
      </top>
      <bottom style="thin">
        <color indexed="64"/>
      </bottom>
      <diagonal/>
    </border>
    <border>
      <left/>
      <right/>
      <top style="thin">
        <color theme="7" tint="-0.249977111117893"/>
      </top>
      <bottom style="thin">
        <color indexed="64"/>
      </bottom>
      <diagonal/>
    </border>
    <border>
      <left style="thin">
        <color theme="7" tint="-0.249977111117893"/>
      </left>
      <right/>
      <top style="thin">
        <color theme="7" tint="-0.249977111117893"/>
      </top>
      <bottom/>
      <diagonal/>
    </border>
    <border>
      <left/>
      <right style="thin">
        <color theme="7" tint="-0.249977111117893"/>
      </right>
      <top style="thin">
        <color theme="7" tint="-0.249977111117893"/>
      </top>
      <bottom/>
      <diagonal/>
    </border>
    <border>
      <left style="thin">
        <color rgb="FFB2B2B2"/>
      </left>
      <right style="thin">
        <color theme="7" tint="-0.249977111117893"/>
      </right>
      <top style="thin">
        <color theme="7" tint="-0.249977111117893"/>
      </top>
      <bottom/>
      <diagonal/>
    </border>
    <border>
      <left style="thin">
        <color theme="7" tint="-0.249977111117893"/>
      </left>
      <right style="thin">
        <color rgb="FFB2B2B2"/>
      </right>
      <top style="thin">
        <color theme="7" tint="-0.249977111117893"/>
      </top>
      <bottom style="thin">
        <color theme="7" tint="-0.249977111117893"/>
      </bottom>
      <diagonal/>
    </border>
    <border>
      <left style="thin">
        <color theme="7" tint="-0.249977111117893"/>
      </left>
      <right style="thin">
        <color rgb="FFB2B2B2"/>
      </right>
      <top style="thin">
        <color theme="7" tint="-0.249977111117893"/>
      </top>
      <bottom/>
      <diagonal/>
    </border>
    <border>
      <left style="thin">
        <color rgb="FFB2B2B2"/>
      </left>
      <right style="thin">
        <color rgb="FFB2B2B2"/>
      </right>
      <top style="thin">
        <color theme="7" tint="-0.249977111117893"/>
      </top>
      <bottom/>
      <diagonal/>
    </border>
    <border>
      <left/>
      <right style="thin">
        <color theme="7" tint="-0.249977111117893"/>
      </right>
      <top/>
      <bottom/>
      <diagonal/>
    </border>
    <border>
      <left/>
      <right/>
      <top/>
      <bottom style="thin">
        <color theme="7" tint="-0.249977111117893"/>
      </bottom>
      <diagonal/>
    </border>
    <border>
      <left style="thin">
        <color rgb="FFB2B2B2"/>
      </left>
      <right style="thin">
        <color rgb="FFB2B2B2"/>
      </right>
      <top style="thin">
        <color theme="7" tint="-0.249977111117893"/>
      </top>
      <bottom style="thin">
        <color theme="7" tint="-0.249977111117893"/>
      </bottom>
      <diagonal/>
    </border>
    <border>
      <left style="thin">
        <color rgb="FFB2B2B2"/>
      </left>
      <right style="thin">
        <color theme="7" tint="-0.249977111117893"/>
      </right>
      <top style="thin">
        <color theme="7" tint="-0.249977111117893"/>
      </top>
      <bottom style="thin">
        <color theme="7" tint="-0.249977111117893"/>
      </bottom>
      <diagonal/>
    </border>
    <border>
      <left/>
      <right style="thin">
        <color theme="0" tint="-0.499984740745262"/>
      </right>
      <top style="thin">
        <color theme="0" tint="-0.499984740745262"/>
      </top>
      <bottom/>
      <diagonal/>
    </border>
    <border>
      <left/>
      <right/>
      <top style="thin">
        <color theme="0" tint="-0.499984740745262"/>
      </top>
      <bottom/>
      <diagonal/>
    </border>
    <border>
      <left style="thin">
        <color theme="7" tint="-0.249977111117893"/>
      </left>
      <right style="thin">
        <color rgb="FFB2B2B2"/>
      </right>
      <top style="thin">
        <color indexed="64"/>
      </top>
      <bottom/>
      <diagonal/>
    </border>
    <border>
      <left style="thin">
        <color theme="0" tint="-0.499984740745262"/>
      </left>
      <right/>
      <top style="thin">
        <color theme="7" tint="-0.249977111117893"/>
      </top>
      <bottom style="thin">
        <color theme="0" tint="-0.499984740745262"/>
      </bottom>
      <diagonal/>
    </border>
    <border>
      <left/>
      <right/>
      <top style="thin">
        <color theme="7" tint="-0.249977111117893"/>
      </top>
      <bottom style="thin">
        <color theme="0" tint="-0.499984740745262"/>
      </bottom>
      <diagonal/>
    </border>
    <border>
      <left/>
      <right/>
      <top style="thin">
        <color rgb="FFB2B2B2"/>
      </top>
      <bottom style="thin">
        <color theme="7" tint="-0.249977111117893"/>
      </bottom>
      <diagonal/>
    </border>
    <border>
      <left style="thin">
        <color theme="7" tint="-0.249977111117893"/>
      </left>
      <right/>
      <top/>
      <bottom style="thin">
        <color theme="7" tint="-0.249977111117893"/>
      </bottom>
      <diagonal/>
    </border>
    <border>
      <left style="thin">
        <color theme="7" tint="-0.249977111117893"/>
      </left>
      <right/>
      <top style="thin">
        <color rgb="FFB2B2B2"/>
      </top>
      <bottom style="thin">
        <color theme="7" tint="-0.249977111117893"/>
      </bottom>
      <diagonal/>
    </border>
  </borders>
  <cellStyleXfs count="9">
    <xf numFmtId="0" fontId="0" fillId="0" borderId="0"/>
    <xf numFmtId="0" fontId="4" fillId="2" borderId="0" applyNumberFormat="0" applyBorder="0" applyAlignment="0" applyProtection="0"/>
    <xf numFmtId="0" fontId="4" fillId="3" borderId="0" applyNumberFormat="0" applyBorder="0" applyAlignment="0" applyProtection="0"/>
    <xf numFmtId="0" fontId="1"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1" fillId="9" borderId="1"/>
  </cellStyleXfs>
  <cellXfs count="111">
    <xf numFmtId="0" fontId="0" fillId="0" borderId="0" xfId="0"/>
    <xf numFmtId="0" fontId="1" fillId="9" borderId="1" xfId="8" applyAlignment="1">
      <alignment horizontal="left" vertical="center"/>
    </xf>
    <xf numFmtId="0" fontId="0" fillId="9" borderId="1" xfId="8" applyFont="1" applyAlignment="1">
      <alignment horizontal="left" vertical="center"/>
    </xf>
    <xf numFmtId="0" fontId="6" fillId="0" borderId="0" xfId="0" applyFont="1" applyAlignment="1">
      <alignment horizontal="right"/>
    </xf>
    <xf numFmtId="0" fontId="5" fillId="0" borderId="0" xfId="0" applyFont="1"/>
    <xf numFmtId="164" fontId="9" fillId="0" borderId="0" xfId="0" applyNumberFormat="1" applyFont="1" applyAlignment="1">
      <alignment horizontal="right"/>
    </xf>
    <xf numFmtId="0" fontId="7" fillId="0" borderId="0" xfId="0" applyFont="1"/>
    <xf numFmtId="0" fontId="10" fillId="0" borderId="0" xfId="1" applyFont="1" applyFill="1"/>
    <xf numFmtId="2" fontId="3" fillId="0" borderId="2" xfId="3" applyNumberFormat="1" applyFont="1" applyFill="1" applyBorder="1" applyAlignment="1">
      <alignment horizontal="center" vertical="center"/>
    </xf>
    <xf numFmtId="2" fontId="3" fillId="0" borderId="0" xfId="3" applyNumberFormat="1" applyFont="1" applyFill="1" applyBorder="1" applyAlignment="1">
      <alignment horizontal="center" vertical="center"/>
    </xf>
    <xf numFmtId="0" fontId="2" fillId="2" borderId="5" xfId="1" applyFont="1" applyBorder="1" applyAlignment="1">
      <alignment horizontal="center" vertical="center"/>
    </xf>
    <xf numFmtId="2" fontId="8" fillId="0" borderId="2" xfId="3" applyNumberFormat="1" applyFont="1" applyFill="1" applyBorder="1" applyAlignment="1">
      <alignment horizontal="center" vertical="center"/>
    </xf>
    <xf numFmtId="0" fontId="0" fillId="10" borderId="0" xfId="0" applyFill="1"/>
    <xf numFmtId="0" fontId="5" fillId="10" borderId="0" xfId="0" applyFont="1" applyFill="1"/>
    <xf numFmtId="0" fontId="0" fillId="0" borderId="0" xfId="0"/>
    <xf numFmtId="0" fontId="3" fillId="0" borderId="0" xfId="8" applyFont="1" applyFill="1" applyBorder="1" applyAlignment="1">
      <alignment horizontal="center" vertical="center"/>
    </xf>
    <xf numFmtId="0" fontId="0" fillId="0" borderId="7" xfId="0" applyBorder="1"/>
    <xf numFmtId="0" fontId="7" fillId="0" borderId="0" xfId="0" applyFont="1" applyFill="1" applyBorder="1"/>
    <xf numFmtId="0" fontId="6" fillId="0" borderId="0" xfId="0" applyFont="1" applyFill="1" applyBorder="1"/>
    <xf numFmtId="0" fontId="0" fillId="0" borderId="0" xfId="0"/>
    <xf numFmtId="0" fontId="5" fillId="0" borderId="9" xfId="0" applyFont="1" applyBorder="1"/>
    <xf numFmtId="0" fontId="0" fillId="0" borderId="0" xfId="0" applyBorder="1"/>
    <xf numFmtId="0" fontId="0" fillId="0" borderId="0" xfId="0" applyBorder="1" applyAlignment="1"/>
    <xf numFmtId="0" fontId="5" fillId="0" borderId="0" xfId="0" applyFont="1" applyAlignment="1">
      <alignment horizontal="left" vertical="top"/>
    </xf>
    <xf numFmtId="0" fontId="0" fillId="0" borderId="0" xfId="0" applyAlignment="1">
      <alignment horizontal="left" vertical="top"/>
    </xf>
    <xf numFmtId="0" fontId="0" fillId="0" borderId="11" xfId="0" applyBorder="1"/>
    <xf numFmtId="0" fontId="10" fillId="0" borderId="18" xfId="1" applyFont="1" applyFill="1" applyBorder="1"/>
    <xf numFmtId="0" fontId="0" fillId="0" borderId="18" xfId="0" applyBorder="1"/>
    <xf numFmtId="0" fontId="5" fillId="0" borderId="19" xfId="0" applyFont="1" applyBorder="1"/>
    <xf numFmtId="0" fontId="0" fillId="0" borderId="31" xfId="0" applyBorder="1"/>
    <xf numFmtId="0" fontId="0" fillId="0" borderId="4" xfId="0" applyBorder="1"/>
    <xf numFmtId="0" fontId="2" fillId="3" borderId="0" xfId="2" applyFont="1" applyBorder="1" applyAlignment="1">
      <alignment horizontal="center" vertical="center"/>
    </xf>
    <xf numFmtId="0" fontId="2" fillId="8" borderId="0" xfId="7" applyFont="1" applyBorder="1" applyAlignment="1">
      <alignment horizontal="center" vertical="center"/>
    </xf>
    <xf numFmtId="0" fontId="2" fillId="8" borderId="41" xfId="7" applyFont="1" applyBorder="1" applyAlignment="1">
      <alignment horizontal="center" vertical="center"/>
    </xf>
    <xf numFmtId="0" fontId="2" fillId="8" borderId="32" xfId="7" applyFont="1" applyBorder="1" applyAlignment="1">
      <alignment horizontal="center" vertical="center"/>
    </xf>
    <xf numFmtId="0" fontId="6" fillId="0" borderId="13" xfId="8" applyFont="1" applyFill="1" applyBorder="1" applyAlignment="1">
      <alignment horizontal="left" vertical="top" wrapText="1"/>
    </xf>
    <xf numFmtId="0" fontId="6" fillId="0" borderId="12" xfId="8" applyFont="1" applyFill="1" applyBorder="1" applyAlignment="1">
      <alignment horizontal="left" vertical="top"/>
    </xf>
    <xf numFmtId="0" fontId="6" fillId="0" borderId="14" xfId="8" applyFont="1" applyFill="1" applyBorder="1" applyAlignment="1">
      <alignment horizontal="left" vertical="top"/>
    </xf>
    <xf numFmtId="0" fontId="6" fillId="0" borderId="28" xfId="8" applyFont="1" applyFill="1" applyBorder="1" applyAlignment="1">
      <alignment horizontal="left" vertical="top" wrapText="1"/>
    </xf>
    <xf numFmtId="0" fontId="6" fillId="0" borderId="33" xfId="8" applyFont="1" applyFill="1" applyBorder="1" applyAlignment="1">
      <alignment horizontal="left" vertical="top"/>
    </xf>
    <xf numFmtId="0" fontId="6" fillId="0" borderId="34" xfId="8" applyFont="1" applyFill="1" applyBorder="1" applyAlignment="1">
      <alignment horizontal="left" vertical="top"/>
    </xf>
    <xf numFmtId="0" fontId="2" fillId="8" borderId="25" xfId="7" applyFont="1" applyBorder="1" applyAlignment="1">
      <alignment horizontal="left" vertical="top" wrapText="1"/>
    </xf>
    <xf numFmtId="0" fontId="2" fillId="8" borderId="11" xfId="7" applyFont="1" applyBorder="1" applyAlignment="1">
      <alignment horizontal="left" vertical="top"/>
    </xf>
    <xf numFmtId="0" fontId="2" fillId="8" borderId="26" xfId="7" applyFont="1" applyBorder="1" applyAlignment="1">
      <alignment horizontal="left" vertical="top"/>
    </xf>
    <xf numFmtId="0" fontId="6" fillId="9" borderId="20" xfId="8" applyFont="1" applyBorder="1" applyAlignment="1">
      <alignment horizontal="left" vertical="top" wrapText="1"/>
    </xf>
    <xf numFmtId="0" fontId="6" fillId="9" borderId="21" xfId="8" applyFont="1" applyBorder="1" applyAlignment="1">
      <alignment horizontal="left" vertical="top" wrapText="1"/>
    </xf>
    <xf numFmtId="0" fontId="6" fillId="9" borderId="22" xfId="8" applyFont="1" applyBorder="1" applyAlignment="1">
      <alignment horizontal="left" vertical="top" wrapText="1"/>
    </xf>
    <xf numFmtId="0" fontId="2" fillId="8" borderId="20" xfId="7" applyFont="1" applyBorder="1" applyAlignment="1">
      <alignment horizontal="center" vertical="center"/>
    </xf>
    <xf numFmtId="0" fontId="2" fillId="8" borderId="21" xfId="7" applyFont="1" applyBorder="1" applyAlignment="1">
      <alignment horizontal="center" vertical="center"/>
    </xf>
    <xf numFmtId="0" fontId="2" fillId="8" borderId="22" xfId="7" applyFont="1" applyBorder="1" applyAlignment="1">
      <alignment horizontal="center" vertical="center"/>
    </xf>
    <xf numFmtId="0" fontId="1" fillId="9" borderId="20" xfId="8" applyFont="1" applyBorder="1" applyAlignment="1">
      <alignment horizontal="left" vertical="top" wrapText="1"/>
    </xf>
    <xf numFmtId="0" fontId="1" fillId="9" borderId="21" xfId="8" applyFont="1" applyBorder="1" applyAlignment="1">
      <alignment horizontal="left" vertical="top" wrapText="1"/>
    </xf>
    <xf numFmtId="0" fontId="1" fillId="9" borderId="22" xfId="8" applyFont="1" applyBorder="1" applyAlignment="1">
      <alignment horizontal="left" vertical="top" wrapText="1"/>
    </xf>
    <xf numFmtId="0" fontId="3" fillId="0" borderId="0" xfId="0" applyFont="1" applyBorder="1" applyAlignment="1">
      <alignment horizontal="left"/>
    </xf>
    <xf numFmtId="0" fontId="1" fillId="9" borderId="1" xfId="8"/>
    <xf numFmtId="0" fontId="2" fillId="8" borderId="24" xfId="7" applyFont="1" applyBorder="1" applyAlignment="1">
      <alignment horizontal="left" vertical="top" wrapText="1"/>
    </xf>
    <xf numFmtId="0" fontId="2" fillId="8" borderId="24" xfId="7" applyFont="1" applyBorder="1" applyAlignment="1">
      <alignment horizontal="left" vertical="top"/>
    </xf>
    <xf numFmtId="0" fontId="2" fillId="8" borderId="23" xfId="7" applyFont="1" applyBorder="1" applyAlignment="1">
      <alignment horizontal="left" vertical="top"/>
    </xf>
    <xf numFmtId="0" fontId="6" fillId="0" borderId="37" xfId="8" applyFont="1" applyFill="1" applyBorder="1" applyAlignment="1">
      <alignment horizontal="left" vertical="top" wrapText="1"/>
    </xf>
    <xf numFmtId="0" fontId="1" fillId="9" borderId="8" xfId="8" applyFont="1" applyBorder="1" applyAlignment="1">
      <alignment horizontal="left" vertical="top" wrapText="1"/>
    </xf>
    <xf numFmtId="0" fontId="1" fillId="9" borderId="36" xfId="8" applyFont="1" applyBorder="1" applyAlignment="1">
      <alignment horizontal="left" vertical="top" wrapText="1"/>
    </xf>
    <xf numFmtId="0" fontId="10" fillId="12" borderId="36" xfId="2" applyFont="1" applyFill="1" applyBorder="1" applyAlignment="1">
      <alignment horizontal="left" vertical="top" wrapText="1"/>
    </xf>
    <xf numFmtId="0" fontId="10" fillId="12" borderId="35" xfId="2" applyFont="1" applyFill="1" applyBorder="1" applyAlignment="1">
      <alignment horizontal="left" vertical="top" wrapText="1"/>
    </xf>
    <xf numFmtId="0" fontId="5" fillId="0" borderId="0" xfId="0" applyFont="1" applyAlignment="1">
      <alignment horizontal="left"/>
    </xf>
    <xf numFmtId="0" fontId="0" fillId="0" borderId="0" xfId="0" applyBorder="1" applyAlignment="1">
      <alignment horizontal="left"/>
    </xf>
    <xf numFmtId="0" fontId="10" fillId="12" borderId="32" xfId="4" applyFont="1" applyFill="1" applyBorder="1" applyAlignment="1">
      <alignment horizontal="left"/>
    </xf>
    <xf numFmtId="0" fontId="2" fillId="8" borderId="0" xfId="7" applyFont="1" applyBorder="1" applyAlignment="1">
      <alignment horizontal="left" vertical="top" wrapText="1"/>
    </xf>
    <xf numFmtId="0" fontId="2" fillId="8" borderId="0" xfId="7" applyFont="1" applyBorder="1" applyAlignment="1">
      <alignment horizontal="left" vertical="top"/>
    </xf>
    <xf numFmtId="0" fontId="2" fillId="2" borderId="0" xfId="1" applyFont="1" applyBorder="1" applyAlignment="1">
      <alignment horizontal="center"/>
    </xf>
    <xf numFmtId="0" fontId="10" fillId="12" borderId="38" xfId="2" applyFont="1" applyFill="1" applyBorder="1" applyAlignment="1">
      <alignment horizontal="left" vertical="top" wrapText="1"/>
    </xf>
    <xf numFmtId="0" fontId="10" fillId="12" borderId="39" xfId="2" applyFont="1" applyFill="1" applyBorder="1" applyAlignment="1">
      <alignment horizontal="left" vertical="top" wrapText="1"/>
    </xf>
    <xf numFmtId="0" fontId="5" fillId="0" borderId="0" xfId="0" applyFont="1" applyAlignment="1">
      <alignment horizontal="left" wrapText="1"/>
    </xf>
    <xf numFmtId="0" fontId="2" fillId="8" borderId="21" xfId="7" applyFont="1" applyBorder="1" applyAlignment="1">
      <alignment horizontal="left" vertical="top" wrapText="1"/>
    </xf>
    <xf numFmtId="0" fontId="2" fillId="8" borderId="21" xfId="7" applyFont="1" applyBorder="1" applyAlignment="1">
      <alignment horizontal="left" vertical="top"/>
    </xf>
    <xf numFmtId="0" fontId="2" fillId="8" borderId="22" xfId="7" applyFont="1" applyBorder="1" applyAlignment="1">
      <alignment horizontal="left" vertical="top"/>
    </xf>
    <xf numFmtId="0" fontId="3" fillId="9" borderId="20" xfId="8" applyFont="1" applyBorder="1" applyAlignment="1">
      <alignment horizontal="left" vertical="top" wrapText="1"/>
    </xf>
    <xf numFmtId="0" fontId="2" fillId="8" borderId="10" xfId="7" applyFont="1" applyBorder="1" applyAlignment="1">
      <alignment horizontal="left" vertical="top" wrapText="1"/>
    </xf>
    <xf numFmtId="0" fontId="2" fillId="8" borderId="10" xfId="7" applyFont="1" applyBorder="1" applyAlignment="1">
      <alignment horizontal="left" vertical="top"/>
    </xf>
    <xf numFmtId="0" fontId="2" fillId="8" borderId="15" xfId="7" applyFont="1" applyBorder="1" applyAlignment="1">
      <alignment horizontal="left" vertical="top"/>
    </xf>
    <xf numFmtId="49" fontId="3" fillId="9" borderId="20" xfId="8" applyNumberFormat="1" applyFont="1" applyBorder="1" applyAlignment="1">
      <alignment horizontal="left" vertical="top" wrapText="1"/>
    </xf>
    <xf numFmtId="49" fontId="3" fillId="9" borderId="21" xfId="8" applyNumberFormat="1" applyFont="1" applyBorder="1" applyAlignment="1">
      <alignment horizontal="left" vertical="top" wrapText="1"/>
    </xf>
    <xf numFmtId="49" fontId="3" fillId="9" borderId="22" xfId="8" applyNumberFormat="1" applyFont="1" applyBorder="1" applyAlignment="1">
      <alignment horizontal="left" vertical="top" wrapText="1"/>
    </xf>
    <xf numFmtId="0" fontId="2" fillId="13" borderId="32" xfId="6" applyFont="1" applyFill="1" applyBorder="1" applyAlignment="1">
      <alignment horizontal="left" vertical="top" wrapText="1"/>
    </xf>
    <xf numFmtId="0" fontId="2" fillId="13" borderId="0" xfId="6" applyFont="1" applyFill="1" applyAlignment="1">
      <alignment horizontal="center"/>
    </xf>
    <xf numFmtId="0" fontId="2" fillId="13" borderId="0" xfId="6" applyFont="1" applyFill="1" applyBorder="1" applyAlignment="1">
      <alignment horizontal="center"/>
    </xf>
    <xf numFmtId="0" fontId="2" fillId="0" borderId="0" xfId="5" applyFont="1" applyFill="1" applyBorder="1" applyAlignment="1">
      <alignment horizontal="left"/>
    </xf>
    <xf numFmtId="0" fontId="0" fillId="0" borderId="0" xfId="0" applyAlignment="1">
      <alignment horizontal="center"/>
    </xf>
    <xf numFmtId="0" fontId="11" fillId="3" borderId="0" xfId="2" applyFont="1" applyAlignment="1">
      <alignment horizontal="left" vertical="center" indent="1"/>
    </xf>
    <xf numFmtId="0" fontId="1" fillId="9" borderId="17" xfId="8" applyFont="1" applyBorder="1" applyAlignment="1">
      <alignment horizontal="left" vertical="top" wrapText="1"/>
    </xf>
    <xf numFmtId="0" fontId="1" fillId="9" borderId="3" xfId="8" applyFont="1" applyBorder="1" applyAlignment="1">
      <alignment horizontal="left" vertical="top" wrapText="1"/>
    </xf>
    <xf numFmtId="0" fontId="6" fillId="0" borderId="29" xfId="8" applyFont="1" applyFill="1" applyBorder="1" applyAlignment="1">
      <alignment horizontal="left" vertical="top" wrapText="1"/>
    </xf>
    <xf numFmtId="0" fontId="6" fillId="0" borderId="30" xfId="8" applyFont="1" applyFill="1" applyBorder="1" applyAlignment="1">
      <alignment horizontal="left" vertical="top"/>
    </xf>
    <xf numFmtId="0" fontId="6" fillId="0" borderId="27" xfId="8" applyFont="1" applyFill="1" applyBorder="1" applyAlignment="1">
      <alignment horizontal="left" vertical="top"/>
    </xf>
    <xf numFmtId="0" fontId="2" fillId="8" borderId="31" xfId="7" applyFont="1" applyBorder="1" applyAlignment="1">
      <alignment horizontal="left" vertical="top"/>
    </xf>
    <xf numFmtId="0" fontId="1" fillId="9" borderId="1" xfId="8" applyAlignment="1">
      <alignment horizontal="left" vertical="center"/>
    </xf>
    <xf numFmtId="0" fontId="2" fillId="2" borderId="6" xfId="1" applyFont="1" applyBorder="1" applyAlignment="1">
      <alignment horizontal="left"/>
    </xf>
    <xf numFmtId="0" fontId="2" fillId="6" borderId="0" xfId="5" applyFont="1" applyBorder="1" applyAlignment="1">
      <alignment horizontal="left" wrapText="1"/>
    </xf>
    <xf numFmtId="0" fontId="2" fillId="6" borderId="0" xfId="5" applyFont="1" applyBorder="1" applyAlignment="1">
      <alignment horizontal="center" vertical="center"/>
    </xf>
    <xf numFmtId="0" fontId="6" fillId="0" borderId="0" xfId="0" applyFont="1" applyFill="1" applyBorder="1" applyAlignment="1">
      <alignment horizontal="left"/>
    </xf>
    <xf numFmtId="0" fontId="0" fillId="9" borderId="3" xfId="8" applyFont="1" applyBorder="1" applyAlignment="1">
      <alignment horizontal="left" vertical="top" wrapText="1"/>
    </xf>
    <xf numFmtId="49" fontId="0" fillId="9" borderId="42" xfId="8" applyNumberFormat="1" applyFont="1" applyBorder="1" applyAlignment="1">
      <alignment horizontal="left" vertical="top" wrapText="1"/>
    </xf>
    <xf numFmtId="49" fontId="1" fillId="9" borderId="40" xfId="8" applyNumberFormat="1" applyFont="1" applyBorder="1" applyAlignment="1">
      <alignment horizontal="left" vertical="top" wrapText="1"/>
    </xf>
    <xf numFmtId="0" fontId="2" fillId="0" borderId="0" xfId="1" applyFont="1" applyFill="1" applyBorder="1" applyAlignment="1">
      <alignment horizontal="left"/>
    </xf>
    <xf numFmtId="0" fontId="2" fillId="8" borderId="19" xfId="7" applyFont="1" applyBorder="1" applyAlignment="1">
      <alignment horizontal="center" vertical="center"/>
    </xf>
    <xf numFmtId="0" fontId="2" fillId="8" borderId="16" xfId="7" applyFont="1" applyBorder="1" applyAlignment="1">
      <alignment horizontal="center" vertical="center"/>
    </xf>
    <xf numFmtId="0" fontId="2" fillId="8" borderId="4" xfId="7" applyFont="1" applyBorder="1" applyAlignment="1">
      <alignment horizontal="center" vertical="center"/>
    </xf>
    <xf numFmtId="0" fontId="2" fillId="11" borderId="0" xfId="6" applyFont="1" applyFill="1" applyBorder="1" applyAlignment="1">
      <alignment horizontal="left"/>
    </xf>
    <xf numFmtId="0" fontId="2" fillId="11" borderId="0" xfId="6" applyFont="1" applyFill="1" applyBorder="1" applyAlignment="1">
      <alignment horizontal="center"/>
    </xf>
    <xf numFmtId="0" fontId="2" fillId="0" borderId="11" xfId="6" applyFont="1" applyFill="1" applyBorder="1" applyAlignment="1">
      <alignment horizontal="left"/>
    </xf>
    <xf numFmtId="0" fontId="7" fillId="0" borderId="0" xfId="0" applyFont="1" applyFill="1" applyBorder="1" applyAlignment="1">
      <alignment horizontal="left"/>
    </xf>
    <xf numFmtId="0" fontId="2" fillId="0" borderId="0" xfId="6" applyFont="1" applyFill="1" applyBorder="1" applyAlignment="1">
      <alignment horizontal="left"/>
    </xf>
  </cellXfs>
  <cellStyles count="9">
    <cellStyle name="40% - Accent2" xfId="3" builtinId="35"/>
    <cellStyle name="60% - Accent2" xfId="4" builtinId="36"/>
    <cellStyle name="Accent1" xfId="1" builtinId="29"/>
    <cellStyle name="Accent2" xfId="2" builtinId="33"/>
    <cellStyle name="Accent3" xfId="5" builtinId="37"/>
    <cellStyle name="Accent4" xfId="6" builtinId="41"/>
    <cellStyle name="Accent5" xfId="7" builtinId="45"/>
    <cellStyle name="Normal" xfId="0" builtinId="0"/>
    <cellStyle name="Style 1" xfId="8"/>
  </cellStyles>
  <dxfs count="0"/>
  <tableStyles count="0" defaultTableStyle="TableStyleMedium2" defaultPivotStyle="PivotStyleLight16"/>
  <colors>
    <mruColors>
      <color rgb="FFFEF6F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4</xdr:col>
      <xdr:colOff>82826</xdr:colOff>
      <xdr:row>7</xdr:row>
      <xdr:rowOff>66259</xdr:rowOff>
    </xdr:from>
    <xdr:to>
      <xdr:col>6</xdr:col>
      <xdr:colOff>1242391</xdr:colOff>
      <xdr:row>7</xdr:row>
      <xdr:rowOff>753716</xdr:rowOff>
    </xdr:to>
    <xdr:sp macro="" textlink="">
      <xdr:nvSpPr>
        <xdr:cNvPr id="4" name="Text Box 2"/>
        <xdr:cNvSpPr txBox="1">
          <a:spLocks noChangeArrowheads="1"/>
        </xdr:cNvSpPr>
      </xdr:nvSpPr>
      <xdr:spPr bwMode="auto">
        <a:xfrm>
          <a:off x="4762500" y="5019259"/>
          <a:ext cx="4257261" cy="687457"/>
        </a:xfrm>
        <a:prstGeom prst="rect">
          <a:avLst/>
        </a:prstGeom>
        <a:solidFill>
          <a:srgbClr val="FFFFFF"/>
        </a:solidFill>
        <a:ln w="9525">
          <a:noFill/>
          <a:miter lim="800000"/>
          <a:headEnd/>
          <a:tailEnd/>
        </a:ln>
      </xdr:spPr>
      <xdr:txBody>
        <a:bodyPr rot="0" vert="horz" wrap="square" lIns="91440" tIns="45720" rIns="91440" bIns="45720" anchor="t" anchorCtr="0">
          <a:noAutofit/>
        </a:bodyPr>
        <a:lstStyle/>
        <a:p>
          <a:pPr marL="0" marR="0" algn="r">
            <a:spcBef>
              <a:spcPts val="0"/>
            </a:spcBef>
            <a:spcAft>
              <a:spcPts val="600"/>
            </a:spcAft>
          </a:pPr>
          <a:r>
            <a:rPr lang="en-US" sz="2000">
              <a:solidFill>
                <a:srgbClr val="474822"/>
              </a:solidFill>
              <a:effectLst/>
              <a:latin typeface="+mj-lt"/>
              <a:ea typeface="Times New Roman"/>
              <a:cs typeface="Times New Roman"/>
            </a:rPr>
            <a:t>2018</a:t>
          </a:r>
          <a:r>
            <a:rPr lang="en-US" sz="2000" baseline="0">
              <a:solidFill>
                <a:srgbClr val="474822"/>
              </a:solidFill>
              <a:effectLst/>
              <a:latin typeface="+mj-lt"/>
              <a:ea typeface="Times New Roman"/>
              <a:cs typeface="Times New Roman"/>
            </a:rPr>
            <a:t> Self - Evaluation - Employee </a:t>
          </a:r>
          <a:r>
            <a:rPr lang="en-US" sz="2000">
              <a:solidFill>
                <a:srgbClr val="474822"/>
              </a:solidFill>
              <a:effectLst/>
              <a:latin typeface="+mj-lt"/>
              <a:ea typeface="Times New Roman"/>
              <a:cs typeface="Times New Roman"/>
            </a:rPr>
            <a:t>Goals &amp; Performance</a:t>
          </a:r>
        </a:p>
      </xdr:txBody>
    </xdr:sp>
    <xdr:clientData/>
  </xdr:twoCellAnchor>
  <xdr:twoCellAnchor>
    <xdr:from>
      <xdr:col>1</xdr:col>
      <xdr:colOff>91108</xdr:colOff>
      <xdr:row>2</xdr:row>
      <xdr:rowOff>-1</xdr:rowOff>
    </xdr:from>
    <xdr:to>
      <xdr:col>6</xdr:col>
      <xdr:colOff>1308652</xdr:colOff>
      <xdr:row>3</xdr:row>
      <xdr:rowOff>95249</xdr:rowOff>
    </xdr:to>
    <xdr:sp macro="" textlink="">
      <xdr:nvSpPr>
        <xdr:cNvPr id="5" name="TextBox 4"/>
        <xdr:cNvSpPr txBox="1"/>
      </xdr:nvSpPr>
      <xdr:spPr>
        <a:xfrm>
          <a:off x="293514" y="928687"/>
          <a:ext cx="9230451" cy="2714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Partners of the Americas 2018 Strategic Plan </a:t>
          </a:r>
        </a:p>
        <a:p>
          <a:r>
            <a:rPr lang="en-US" sz="900" b="1" i="1">
              <a:solidFill>
                <a:schemeClr val="dk1"/>
              </a:solidFill>
              <a:effectLst/>
              <a:latin typeface="+mn-lt"/>
              <a:ea typeface="+mn-ea"/>
              <a:cs typeface="+mn-cs"/>
            </a:rPr>
            <a:t>Build a Financially Sustainable Organization</a:t>
          </a:r>
          <a:r>
            <a:rPr lang="en-US" sz="900">
              <a:solidFill>
                <a:schemeClr val="dk1"/>
              </a:solidFill>
              <a:effectLst/>
              <a:latin typeface="+mn-lt"/>
              <a:ea typeface="+mn-ea"/>
              <a:cs typeface="+mn-cs"/>
            </a:rPr>
            <a:t> – Ensuring that Partners remains strong and influential is our top priority. We all must make the necessary effort and time investment into sustaining Partners mission and strengthening our capacity to be financially independent.  The goal here is to “hold and expand” our core activities in areas such as Youth Engagement and in programs like A Ganar, Farmer to Farmer and the various professional leadership exchanges  that we manage with the Department of State. At the same time, all must put a renewed emphasis on putting the infrastructure in place that will allow Partners to capitalize on new opportunities and develop unsolicited proposals in which we can champion new ideas that leverage the talent of our growing network of volunteers and affiliated institutions.  </a:t>
          </a:r>
        </a:p>
        <a:p>
          <a:endParaRPr lang="en-US" sz="900">
            <a:solidFill>
              <a:schemeClr val="dk1"/>
            </a:solidFill>
            <a:effectLst/>
            <a:latin typeface="+mn-lt"/>
            <a:ea typeface="+mn-ea"/>
            <a:cs typeface="+mn-cs"/>
          </a:endParaRPr>
        </a:p>
        <a:p>
          <a:r>
            <a:rPr lang="en-US" sz="900" b="1" i="1">
              <a:solidFill>
                <a:schemeClr val="dk1"/>
              </a:solidFill>
              <a:effectLst/>
              <a:latin typeface="+mn-lt"/>
              <a:ea typeface="+mn-ea"/>
              <a:cs typeface="+mn-cs"/>
            </a:rPr>
            <a:t>Strengthen Our Network</a:t>
          </a:r>
          <a:r>
            <a:rPr lang="en-US" sz="900">
              <a:solidFill>
                <a:schemeClr val="dk1"/>
              </a:solidFill>
              <a:effectLst/>
              <a:latin typeface="+mn-lt"/>
              <a:ea typeface="+mn-ea"/>
              <a:cs typeface="+mn-cs"/>
            </a:rPr>
            <a:t> – The core strength of Partners has always been its ability to connect individuals and organizations across the hemisphere and amass a network that is greater than the sum of its parts. Today we are creating a revitalized network of volunteers, civil society organizations, businesses, universities, governments and collaborators of all forms. We need to place renewed emphasis on learning and educating ourselves about the many ways to position Partners. We are in a new era and need to be learning-ready, proactive, and able to make connections and collaborate meaningfully across program areas. </a:t>
          </a:r>
        </a:p>
        <a:p>
          <a:endParaRPr lang="en-US" sz="900">
            <a:solidFill>
              <a:schemeClr val="dk1"/>
            </a:solidFill>
            <a:effectLst/>
            <a:latin typeface="+mn-lt"/>
            <a:ea typeface="+mn-ea"/>
            <a:cs typeface="+mn-cs"/>
          </a:endParaRPr>
        </a:p>
        <a:p>
          <a:r>
            <a:rPr lang="en-US" sz="900" b="1" i="1">
              <a:solidFill>
                <a:schemeClr val="dk1"/>
              </a:solidFill>
              <a:effectLst/>
              <a:latin typeface="+mn-lt"/>
              <a:ea typeface="+mn-ea"/>
              <a:cs typeface="+mn-cs"/>
            </a:rPr>
            <a:t>Create an Accountable and Transparent Organization</a:t>
          </a:r>
          <a:r>
            <a:rPr lang="en-US" sz="900">
              <a:solidFill>
                <a:schemeClr val="dk1"/>
              </a:solidFill>
              <a:effectLst/>
              <a:latin typeface="+mn-lt"/>
              <a:ea typeface="+mn-ea"/>
              <a:cs typeface="+mn-cs"/>
            </a:rPr>
            <a:t> – Partners must continually nurture its relationship with donors, grant-writers and all those who support our mission. To inspire trust and confidence in our operations, it is imperative that Partners create a climate of transparency and accountability, in which contributors can freely access financial and programmatic information.  Through clean audits, an efficient governance structure, on-time submissions of quarterly and annual reports, improving donor communication, and  attaining BBB certification, Partners will be able to assure supporters that their contributions are wisely invested and buttress our reputation among competitors and members alike.</a:t>
          </a:r>
        </a:p>
        <a:p>
          <a:endParaRPr lang="en-US" sz="9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900" b="1" i="1">
              <a:solidFill>
                <a:schemeClr val="dk1"/>
              </a:solidFill>
              <a:effectLst/>
              <a:latin typeface="+mn-lt"/>
              <a:ea typeface="+mn-ea"/>
              <a:cs typeface="+mn-cs"/>
            </a:rPr>
            <a:t>Evaluate and Communicate Our Impact and Value</a:t>
          </a:r>
          <a:r>
            <a:rPr lang="en-US" sz="900" b="1" i="1" baseline="0">
              <a:solidFill>
                <a:schemeClr val="dk1"/>
              </a:solidFill>
              <a:effectLst/>
              <a:latin typeface="+mn-lt"/>
              <a:ea typeface="+mn-ea"/>
              <a:cs typeface="+mn-cs"/>
            </a:rPr>
            <a:t> - In progress</a:t>
          </a:r>
          <a:endParaRPr lang="en-US" sz="900">
            <a:effectLst/>
          </a:endParaRPr>
        </a:p>
        <a:p>
          <a:endParaRPr lang="en-US" sz="900">
            <a:solidFill>
              <a:schemeClr val="dk1"/>
            </a:solidFill>
            <a:effectLst/>
            <a:latin typeface="+mn-lt"/>
            <a:ea typeface="+mn-ea"/>
            <a:cs typeface="+mn-cs"/>
          </a:endParaRPr>
        </a:p>
        <a:p>
          <a:endParaRPr lang="en-US" sz="900">
            <a:solidFill>
              <a:schemeClr val="dk1"/>
            </a:solidFill>
            <a:effectLst/>
            <a:latin typeface="+mn-lt"/>
            <a:ea typeface="+mn-ea"/>
            <a:cs typeface="+mn-cs"/>
          </a:endParaRPr>
        </a:p>
        <a:p>
          <a:endParaRPr lang="en-US" sz="1100"/>
        </a:p>
      </xdr:txBody>
    </xdr:sp>
    <xdr:clientData/>
  </xdr:twoCellAnchor>
  <xdr:twoCellAnchor>
    <xdr:from>
      <xdr:col>2</xdr:col>
      <xdr:colOff>579782</xdr:colOff>
      <xdr:row>3</xdr:row>
      <xdr:rowOff>95251</xdr:rowOff>
    </xdr:from>
    <xdr:to>
      <xdr:col>6</xdr:col>
      <xdr:colOff>289890</xdr:colOff>
      <xdr:row>5</xdr:row>
      <xdr:rowOff>11906</xdr:rowOff>
    </xdr:to>
    <xdr:sp macro="" textlink="">
      <xdr:nvSpPr>
        <xdr:cNvPr id="6" name="TextBox 5"/>
        <xdr:cNvSpPr txBox="1"/>
      </xdr:nvSpPr>
      <xdr:spPr>
        <a:xfrm>
          <a:off x="1163188" y="3643314"/>
          <a:ext cx="7342015" cy="20359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cap="all">
              <a:solidFill>
                <a:schemeClr val="dk1"/>
              </a:solidFill>
              <a:effectLst/>
              <a:latin typeface="+mn-lt"/>
              <a:ea typeface="+mn-ea"/>
              <a:cs typeface="+mn-cs"/>
            </a:rPr>
            <a:t>Rating Definitions</a:t>
          </a:r>
          <a:endParaRPr lang="en-US" sz="1100">
            <a:solidFill>
              <a:schemeClr val="dk1"/>
            </a:solidFill>
            <a:effectLst/>
            <a:latin typeface="+mn-lt"/>
            <a:ea typeface="+mn-ea"/>
            <a:cs typeface="+mn-cs"/>
          </a:endParaRPr>
        </a:p>
        <a:p>
          <a:r>
            <a:rPr lang="en-US" sz="1000" b="1">
              <a:solidFill>
                <a:schemeClr val="dk1"/>
              </a:solidFill>
              <a:effectLst/>
              <a:latin typeface="+mn-lt"/>
              <a:ea typeface="+mn-ea"/>
              <a:cs typeface="+mn-cs"/>
            </a:rPr>
            <a:t>5.0	Exemplary	</a:t>
          </a:r>
          <a:r>
            <a:rPr lang="en-US" sz="1000">
              <a:solidFill>
                <a:schemeClr val="dk1"/>
              </a:solidFill>
              <a:effectLst/>
              <a:latin typeface="+mn-lt"/>
              <a:ea typeface="+mn-ea"/>
              <a:cs typeface="+mn-cs"/>
            </a:rPr>
            <a:t>	Consistently achieves at a high level. Exceeds expectations.</a:t>
          </a:r>
        </a:p>
        <a:p>
          <a:r>
            <a:rPr lang="en-US" sz="1000" b="1">
              <a:solidFill>
                <a:schemeClr val="dk1"/>
              </a:solidFill>
              <a:effectLst/>
              <a:latin typeface="+mn-lt"/>
              <a:ea typeface="+mn-ea"/>
              <a:cs typeface="+mn-cs"/>
            </a:rPr>
            <a:t>4.0 – 4.5	Solid Performance</a:t>
          </a:r>
          <a:r>
            <a:rPr lang="en-US" sz="1000">
              <a:solidFill>
                <a:schemeClr val="dk1"/>
              </a:solidFill>
              <a:effectLst/>
              <a:latin typeface="+mn-lt"/>
              <a:ea typeface="+mn-ea"/>
              <a:cs typeface="+mn-cs"/>
            </a:rPr>
            <a:t>	Consistently achieves above the satisfactory level. Meets all expectations. </a:t>
          </a:r>
        </a:p>
        <a:p>
          <a:r>
            <a:rPr lang="en-US" sz="1000" b="1">
              <a:solidFill>
                <a:schemeClr val="dk1"/>
              </a:solidFill>
              <a:effectLst/>
              <a:latin typeface="+mn-lt"/>
              <a:ea typeface="+mn-ea"/>
              <a:cs typeface="+mn-cs"/>
            </a:rPr>
            <a:t>3.0 – 3.5	Satisfactory	</a:t>
          </a:r>
          <a:r>
            <a:rPr lang="en-US" sz="1000">
              <a:solidFill>
                <a:schemeClr val="dk1"/>
              </a:solidFill>
              <a:effectLst/>
              <a:latin typeface="+mn-lt"/>
              <a:ea typeface="+mn-ea"/>
              <a:cs typeface="+mn-cs"/>
            </a:rPr>
            <a:t>	Accomplishes the task in a satisfactory manner.  Meets most expectations.</a:t>
          </a:r>
        </a:p>
        <a:p>
          <a:r>
            <a:rPr lang="en-US" sz="1000" b="1">
              <a:solidFill>
                <a:schemeClr val="dk1"/>
              </a:solidFill>
              <a:effectLst/>
              <a:latin typeface="+mn-lt"/>
              <a:ea typeface="+mn-ea"/>
              <a:cs typeface="+mn-cs"/>
            </a:rPr>
            <a:t>1.5 – 2.5	Needs Improvement</a:t>
          </a:r>
          <a:r>
            <a:rPr lang="en-US" sz="1000">
              <a:solidFill>
                <a:schemeClr val="dk1"/>
              </a:solidFill>
              <a:effectLst/>
              <a:latin typeface="+mn-lt"/>
              <a:ea typeface="+mn-ea"/>
              <a:cs typeface="+mn-cs"/>
            </a:rPr>
            <a:t>	Improvement is necessary to more consistently meet expectations.</a:t>
          </a:r>
        </a:p>
        <a:p>
          <a:r>
            <a:rPr lang="en-US" sz="1000" b="1">
              <a:solidFill>
                <a:schemeClr val="dk1"/>
              </a:solidFill>
              <a:effectLst/>
              <a:latin typeface="+mn-lt"/>
              <a:ea typeface="+mn-ea"/>
              <a:cs typeface="+mn-cs"/>
            </a:rPr>
            <a:t>0.0 – 1.0	Seriously Deficient</a:t>
          </a:r>
          <a:r>
            <a:rPr lang="en-US" sz="1000">
              <a:solidFill>
                <a:schemeClr val="dk1"/>
              </a:solidFill>
              <a:effectLst/>
              <a:latin typeface="+mn-lt"/>
              <a:ea typeface="+mn-ea"/>
              <a:cs typeface="+mn-cs"/>
            </a:rPr>
            <a:t>	Problems with approach or execution.  Expectations are generally not met.</a:t>
          </a:r>
        </a:p>
        <a:p>
          <a:endParaRPr lang="en-US" sz="1000">
            <a:solidFill>
              <a:schemeClr val="dk1"/>
            </a:solidFill>
            <a:effectLst/>
            <a:latin typeface="+mn-lt"/>
            <a:ea typeface="+mn-ea"/>
            <a:cs typeface="+mn-cs"/>
          </a:endParaRPr>
        </a:p>
        <a:p>
          <a:pPr algn="ctr"/>
          <a:r>
            <a:rPr lang="en-US" sz="1000" b="1" i="1">
              <a:solidFill>
                <a:srgbClr val="FF0000"/>
              </a:solidFill>
              <a:effectLst/>
              <a:latin typeface="+mn-lt"/>
              <a:ea typeface="+mn-ea"/>
              <a:cs typeface="+mn-cs"/>
            </a:rPr>
            <a:t>You</a:t>
          </a:r>
          <a:r>
            <a:rPr lang="en-US" sz="1000" b="1" i="1" baseline="0">
              <a:solidFill>
                <a:srgbClr val="FF0000"/>
              </a:solidFill>
              <a:effectLst/>
              <a:latin typeface="+mn-lt"/>
              <a:ea typeface="+mn-ea"/>
              <a:cs typeface="+mn-cs"/>
            </a:rPr>
            <a:t> </a:t>
          </a:r>
          <a:r>
            <a:rPr lang="en-US" sz="1000" b="1" i="1" u="sng" baseline="0">
              <a:solidFill>
                <a:srgbClr val="FF0000"/>
              </a:solidFill>
              <a:effectLst/>
              <a:latin typeface="+mn-lt"/>
              <a:ea typeface="+mn-ea"/>
              <a:cs typeface="+mn-cs"/>
            </a:rPr>
            <a:t>MUST</a:t>
          </a:r>
          <a:r>
            <a:rPr lang="en-US" sz="1000" b="1" i="1" baseline="0">
              <a:solidFill>
                <a:srgbClr val="FF0000"/>
              </a:solidFill>
              <a:effectLst/>
              <a:latin typeface="+mn-lt"/>
              <a:ea typeface="+mn-ea"/>
              <a:cs typeface="+mn-cs"/>
            </a:rPr>
            <a:t> choose a number rating </a:t>
          </a:r>
          <a:r>
            <a:rPr lang="en-US" sz="1000" b="1" i="1" u="sng" baseline="0">
              <a:solidFill>
                <a:srgbClr val="FF0000"/>
              </a:solidFill>
              <a:effectLst/>
              <a:latin typeface="+mn-lt"/>
              <a:ea typeface="+mn-ea"/>
              <a:cs typeface="+mn-cs"/>
            </a:rPr>
            <a:t>OR </a:t>
          </a:r>
          <a:r>
            <a:rPr lang="en-US" sz="1000" b="1" i="1" baseline="0">
              <a:solidFill>
                <a:srgbClr val="FF0000"/>
              </a:solidFill>
              <a:effectLst/>
              <a:latin typeface="+mn-lt"/>
              <a:ea typeface="+mn-ea"/>
              <a:cs typeface="+mn-cs"/>
            </a:rPr>
            <a:t>"n/a Not Applicable" for every question. </a:t>
          </a:r>
          <a:r>
            <a:rPr lang="en-US" sz="1000" b="1" i="1" u="sng" baseline="0">
              <a:solidFill>
                <a:srgbClr val="FF0000"/>
              </a:solidFill>
              <a:effectLst/>
              <a:latin typeface="+mn-lt"/>
              <a:ea typeface="+mn-ea"/>
              <a:cs typeface="+mn-cs"/>
            </a:rPr>
            <a:t>DO NOT LEAVE ANY RATINGS AS "Choose one."</a:t>
          </a:r>
          <a:endParaRPr lang="en-US" sz="1000" b="1" i="1" u="sng">
            <a:solidFill>
              <a:srgbClr val="FF0000"/>
            </a:solidFill>
            <a:effectLst/>
            <a:latin typeface="+mn-lt"/>
            <a:ea typeface="+mn-ea"/>
            <a:cs typeface="+mn-cs"/>
          </a:endParaRPr>
        </a:p>
        <a:p>
          <a:endParaRPr lang="en-US" sz="1100"/>
        </a:p>
      </xdr:txBody>
    </xdr:sp>
    <xdr:clientData/>
  </xdr:twoCellAnchor>
  <xdr:twoCellAnchor editAs="oneCell">
    <xdr:from>
      <xdr:col>1</xdr:col>
      <xdr:colOff>47624</xdr:colOff>
      <xdr:row>1</xdr:row>
      <xdr:rowOff>47625</xdr:rowOff>
    </xdr:from>
    <xdr:to>
      <xdr:col>3</xdr:col>
      <xdr:colOff>1285874</xdr:colOff>
      <xdr:row>2</xdr:row>
      <xdr:rowOff>83343</xdr:rowOff>
    </xdr:to>
    <xdr:pic>
      <xdr:nvPicPr>
        <xdr:cNvPr id="8" name="Picture 7"/>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24444"/>
        <a:stretch/>
      </xdr:blipFill>
      <xdr:spPr>
        <a:xfrm>
          <a:off x="250030" y="238125"/>
          <a:ext cx="3000375" cy="773906"/>
        </a:xfrm>
        <a:prstGeom prst="rect">
          <a:avLst/>
        </a:prstGeom>
      </xdr:spPr>
    </xdr:pic>
    <xdr:clientData/>
  </xdr:twoCellAnchor>
  <xdr:twoCellAnchor editAs="oneCell">
    <xdr:from>
      <xdr:col>1</xdr:col>
      <xdr:colOff>11906</xdr:colOff>
      <xdr:row>7</xdr:row>
      <xdr:rowOff>95250</xdr:rowOff>
    </xdr:from>
    <xdr:to>
      <xdr:col>3</xdr:col>
      <xdr:colOff>1250156</xdr:colOff>
      <xdr:row>9</xdr:row>
      <xdr:rowOff>0</xdr:rowOff>
    </xdr:to>
    <xdr:pic>
      <xdr:nvPicPr>
        <xdr:cNvPr id="9" name="Picture 8"/>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24444"/>
        <a:stretch/>
      </xdr:blipFill>
      <xdr:spPr>
        <a:xfrm>
          <a:off x="214312" y="6143625"/>
          <a:ext cx="3000375" cy="773906"/>
        </a:xfrm>
        <a:prstGeom prst="rect">
          <a:avLst/>
        </a:prstGeom>
      </xdr:spPr>
    </xdr:pic>
    <xdr:clientData/>
  </xdr:twoCellAnchor>
</xdr:wsDr>
</file>

<file path=xl/theme/theme1.xml><?xml version="1.0" encoding="utf-8"?>
<a:theme xmlns:a="http://schemas.openxmlformats.org/drawingml/2006/main" name="Office Theme">
  <a:themeElements>
    <a:clrScheme name="Partners Letterhead">
      <a:dk1>
        <a:sysClr val="windowText" lastClr="000000"/>
      </a:dk1>
      <a:lt1>
        <a:sysClr val="window" lastClr="FFFFFF"/>
      </a:lt1>
      <a:dk2>
        <a:srgbClr val="474822"/>
      </a:dk2>
      <a:lt2>
        <a:srgbClr val="FFFFFF"/>
      </a:lt2>
      <a:accent1>
        <a:srgbClr val="E54721"/>
      </a:accent1>
      <a:accent2>
        <a:srgbClr val="474822"/>
      </a:accent2>
      <a:accent3>
        <a:srgbClr val="F7AE2E"/>
      </a:accent3>
      <a:accent4>
        <a:srgbClr val="8E991A"/>
      </a:accent4>
      <a:accent5>
        <a:srgbClr val="007198"/>
      </a:accent5>
      <a:accent6>
        <a:srgbClr val="5B015D"/>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94"/>
  <sheetViews>
    <sheetView tabSelected="1" zoomScale="80" zoomScaleNormal="80" workbookViewId="0">
      <selection activeCell="K3" sqref="K3"/>
    </sheetView>
  </sheetViews>
  <sheetFormatPr defaultRowHeight="15" x14ac:dyDescent="0.25"/>
  <cols>
    <col min="1" max="1" width="3" customWidth="1"/>
    <col min="2" max="2" width="5.7109375" customWidth="1"/>
    <col min="3" max="3" width="20.7109375" customWidth="1"/>
    <col min="4" max="4" width="47.28515625" customWidth="1"/>
    <col min="5" max="5" width="25.7109375" customWidth="1"/>
    <col min="6" max="7" width="20.7109375" customWidth="1"/>
    <col min="8" max="8" width="3.140625" style="4" bestFit="1" customWidth="1"/>
  </cols>
  <sheetData>
    <row r="1" spans="1:8" x14ac:dyDescent="0.25">
      <c r="A1" s="12"/>
      <c r="B1" s="12"/>
      <c r="C1" s="12"/>
      <c r="D1" s="12"/>
      <c r="E1" s="12"/>
      <c r="F1" s="12"/>
      <c r="G1" s="12"/>
      <c r="H1" s="13"/>
    </row>
    <row r="2" spans="1:8" ht="57.75" customHeight="1" x14ac:dyDescent="0.25">
      <c r="A2" s="12"/>
      <c r="H2" s="13"/>
    </row>
    <row r="3" spans="1:8" ht="206.25" customHeight="1" x14ac:dyDescent="0.25">
      <c r="A3" s="12"/>
      <c r="H3" s="13"/>
    </row>
    <row r="4" spans="1:8" ht="97.5" customHeight="1" x14ac:dyDescent="0.25">
      <c r="A4" s="12"/>
      <c r="H4" s="13"/>
    </row>
    <row r="5" spans="1:8" ht="69" customHeight="1" x14ac:dyDescent="0.25">
      <c r="A5" s="12"/>
      <c r="H5" s="13"/>
    </row>
    <row r="6" spans="1:8" x14ac:dyDescent="0.25">
      <c r="A6" s="12"/>
      <c r="B6" s="86" t="s">
        <v>22</v>
      </c>
      <c r="C6" s="86"/>
      <c r="D6" s="86"/>
      <c r="E6" s="86"/>
      <c r="F6" s="86"/>
      <c r="G6" s="86"/>
      <c r="H6" s="13"/>
    </row>
    <row r="7" spans="1:8" x14ac:dyDescent="0.25">
      <c r="A7" s="12"/>
      <c r="B7" s="12"/>
      <c r="C7" s="12"/>
      <c r="D7" s="12"/>
      <c r="E7" s="12"/>
      <c r="F7" s="12"/>
      <c r="G7" s="12"/>
      <c r="H7" s="13"/>
    </row>
    <row r="8" spans="1:8" ht="60.75" customHeight="1" x14ac:dyDescent="0.25"/>
    <row r="9" spans="1:8" ht="7.5" customHeight="1" x14ac:dyDescent="0.25"/>
    <row r="10" spans="1:8" x14ac:dyDescent="0.25">
      <c r="C10" s="3" t="s">
        <v>1</v>
      </c>
      <c r="D10" s="2"/>
      <c r="E10" s="3" t="s">
        <v>3</v>
      </c>
      <c r="F10" s="94"/>
      <c r="G10" s="94"/>
    </row>
    <row r="11" spans="1:8" x14ac:dyDescent="0.25">
      <c r="C11" s="3" t="s">
        <v>2</v>
      </c>
      <c r="D11" s="1"/>
      <c r="E11" s="3" t="s">
        <v>43</v>
      </c>
      <c r="F11" s="94"/>
      <c r="G11" s="94"/>
    </row>
    <row r="13" spans="1:8" ht="22.5" customHeight="1" x14ac:dyDescent="0.25">
      <c r="B13" s="87" t="s">
        <v>45</v>
      </c>
      <c r="C13" s="87"/>
      <c r="D13" s="87"/>
      <c r="E13" s="71" t="s">
        <v>26</v>
      </c>
      <c r="F13" s="71"/>
      <c r="G13" s="71"/>
    </row>
    <row r="14" spans="1:8" ht="7.5" customHeight="1" x14ac:dyDescent="0.25">
      <c r="H14"/>
    </row>
    <row r="15" spans="1:8" x14ac:dyDescent="0.25">
      <c r="B15" s="95" t="s">
        <v>25</v>
      </c>
      <c r="C15" s="95"/>
      <c r="D15" s="95"/>
      <c r="E15" s="68" t="s">
        <v>24</v>
      </c>
      <c r="F15" s="68"/>
      <c r="G15" s="68"/>
    </row>
    <row r="16" spans="1:8" ht="125.1" customHeight="1" x14ac:dyDescent="0.25">
      <c r="A16" s="29"/>
      <c r="B16" s="99"/>
      <c r="C16" s="89"/>
      <c r="D16" s="89"/>
      <c r="E16" s="100"/>
      <c r="F16" s="101"/>
      <c r="G16" s="101"/>
      <c r="H16" s="28"/>
    </row>
    <row r="17" spans="1:8" s="14" customFormat="1" ht="60" customHeight="1" x14ac:dyDescent="0.25">
      <c r="B17" s="79" t="s">
        <v>23</v>
      </c>
      <c r="C17" s="80"/>
      <c r="D17" s="80"/>
      <c r="E17" s="80"/>
      <c r="F17" s="80"/>
      <c r="G17" s="81"/>
      <c r="H17" s="28"/>
    </row>
    <row r="18" spans="1:8" x14ac:dyDescent="0.25">
      <c r="B18" s="102"/>
      <c r="C18" s="102"/>
      <c r="D18" s="102"/>
      <c r="E18" s="21"/>
      <c r="F18" s="7" t="s">
        <v>0</v>
      </c>
    </row>
    <row r="19" spans="1:8" x14ac:dyDescent="0.25">
      <c r="B19" s="15"/>
      <c r="C19" s="98"/>
      <c r="D19" s="98"/>
      <c r="F19" s="54" t="s">
        <v>4</v>
      </c>
      <c r="G19" s="54"/>
      <c r="H19" s="5">
        <f>VLOOKUP(F19,Sheet2!$B$1:$C$12,2)</f>
        <v>9.9999999999999995E-7</v>
      </c>
    </row>
    <row r="21" spans="1:8" ht="15" customHeight="1" x14ac:dyDescent="0.25">
      <c r="B21" s="96" t="s">
        <v>28</v>
      </c>
      <c r="C21" s="96"/>
      <c r="D21" s="96"/>
      <c r="E21" s="97" t="s">
        <v>24</v>
      </c>
      <c r="F21" s="97"/>
      <c r="G21" s="97"/>
    </row>
    <row r="22" spans="1:8" ht="125.1" customHeight="1" x14ac:dyDescent="0.25">
      <c r="B22" s="50"/>
      <c r="C22" s="51"/>
      <c r="D22" s="52"/>
      <c r="E22" s="50"/>
      <c r="F22" s="51"/>
      <c r="G22" s="52"/>
      <c r="H22" s="28"/>
    </row>
    <row r="23" spans="1:8" s="14" customFormat="1" ht="60" customHeight="1" x14ac:dyDescent="0.25">
      <c r="B23" s="79" t="s">
        <v>23</v>
      </c>
      <c r="C23" s="80"/>
      <c r="D23" s="80"/>
      <c r="E23" s="80"/>
      <c r="F23" s="80"/>
      <c r="G23" s="81"/>
      <c r="H23" s="4"/>
    </row>
    <row r="24" spans="1:8" x14ac:dyDescent="0.25">
      <c r="B24" s="85"/>
      <c r="C24" s="85"/>
      <c r="D24" s="85"/>
      <c r="F24" s="7" t="s">
        <v>0</v>
      </c>
    </row>
    <row r="25" spans="1:8" x14ac:dyDescent="0.25">
      <c r="B25" s="15"/>
      <c r="C25" s="98"/>
      <c r="D25" s="98"/>
      <c r="F25" s="54" t="s">
        <v>4</v>
      </c>
      <c r="G25" s="54"/>
      <c r="H25" s="5">
        <f>VLOOKUP(F25,Sheet2!$B$1:$C$12,2)</f>
        <v>9.9999999999999995E-7</v>
      </c>
    </row>
    <row r="26" spans="1:8" x14ac:dyDescent="0.25">
      <c r="B26" s="15"/>
      <c r="C26" s="18"/>
      <c r="D26" s="18"/>
    </row>
    <row r="27" spans="1:8" x14ac:dyDescent="0.25">
      <c r="B27" s="106" t="s">
        <v>27</v>
      </c>
      <c r="C27" s="106"/>
      <c r="D27" s="106"/>
      <c r="E27" s="107" t="s">
        <v>24</v>
      </c>
      <c r="F27" s="107"/>
      <c r="G27" s="107"/>
    </row>
    <row r="28" spans="1:8" ht="125.1" customHeight="1" x14ac:dyDescent="0.25">
      <c r="B28" s="50"/>
      <c r="C28" s="51"/>
      <c r="D28" s="52"/>
      <c r="E28" s="50"/>
      <c r="F28" s="51"/>
      <c r="G28" s="52"/>
      <c r="H28" s="28"/>
    </row>
    <row r="29" spans="1:8" s="14" customFormat="1" ht="60" customHeight="1" x14ac:dyDescent="0.25">
      <c r="A29" s="29"/>
      <c r="B29" s="79" t="s">
        <v>23</v>
      </c>
      <c r="C29" s="80"/>
      <c r="D29" s="80"/>
      <c r="E29" s="80"/>
      <c r="F29" s="80"/>
      <c r="G29" s="81"/>
      <c r="H29" s="28"/>
    </row>
    <row r="30" spans="1:8" x14ac:dyDescent="0.25">
      <c r="B30" s="108"/>
      <c r="C30" s="108"/>
      <c r="D30" s="108"/>
      <c r="E30" s="25"/>
      <c r="F30" s="26" t="s">
        <v>0</v>
      </c>
      <c r="G30" s="27"/>
    </row>
    <row r="31" spans="1:8" x14ac:dyDescent="0.25">
      <c r="B31" s="15"/>
      <c r="C31" s="109"/>
      <c r="D31" s="109"/>
      <c r="F31" s="54" t="s">
        <v>4</v>
      </c>
      <c r="G31" s="54"/>
      <c r="H31" s="5">
        <f>VLOOKUP(F31,Sheet2!$B$1:$C$12,2)</f>
        <v>9.9999999999999995E-7</v>
      </c>
    </row>
    <row r="32" spans="1:8" x14ac:dyDescent="0.25">
      <c r="B32" s="15"/>
      <c r="C32" s="17"/>
      <c r="D32" s="17"/>
    </row>
    <row r="33" spans="1:8" s="14" customFormat="1" ht="15.75" customHeight="1" x14ac:dyDescent="0.25">
      <c r="B33" s="82" t="s">
        <v>35</v>
      </c>
      <c r="C33" s="82"/>
      <c r="D33" s="82"/>
      <c r="E33" s="83" t="s">
        <v>24</v>
      </c>
      <c r="F33" s="84"/>
      <c r="G33" s="84"/>
      <c r="H33" s="4"/>
    </row>
    <row r="34" spans="1:8" s="14" customFormat="1" ht="119.25" customHeight="1" x14ac:dyDescent="0.25">
      <c r="A34" s="29"/>
      <c r="B34" s="50"/>
      <c r="C34" s="51"/>
      <c r="D34" s="52"/>
      <c r="E34" s="50"/>
      <c r="F34" s="51"/>
      <c r="G34" s="52"/>
      <c r="H34" s="28"/>
    </row>
    <row r="35" spans="1:8" s="14" customFormat="1" ht="59.25" customHeight="1" x14ac:dyDescent="0.25">
      <c r="B35" s="75" t="s">
        <v>23</v>
      </c>
      <c r="C35" s="51"/>
      <c r="D35" s="51"/>
      <c r="E35" s="51"/>
      <c r="F35" s="51"/>
      <c r="G35" s="52"/>
      <c r="H35" s="28"/>
    </row>
    <row r="36" spans="1:8" s="14" customFormat="1" x14ac:dyDescent="0.25">
      <c r="B36" s="110"/>
      <c r="C36" s="110"/>
      <c r="D36" s="110"/>
      <c r="E36" s="21"/>
      <c r="F36" s="7" t="s">
        <v>0</v>
      </c>
      <c r="H36" s="4"/>
    </row>
    <row r="37" spans="1:8" s="14" customFormat="1" x14ac:dyDescent="0.25">
      <c r="B37" s="15"/>
      <c r="C37" s="109"/>
      <c r="D37" s="109"/>
      <c r="E37" s="16"/>
      <c r="F37" s="54" t="s">
        <v>4</v>
      </c>
      <c r="G37" s="54"/>
      <c r="H37" s="5">
        <f>VLOOKUP(F37,Sheet2!$B$1:$C$12,2)</f>
        <v>9.9999999999999995E-7</v>
      </c>
    </row>
    <row r="38" spans="1:8" s="14" customFormat="1" x14ac:dyDescent="0.25">
      <c r="B38" s="15"/>
      <c r="C38" s="6"/>
      <c r="D38" s="6"/>
      <c r="H38" s="4"/>
    </row>
    <row r="39" spans="1:8" x14ac:dyDescent="0.25">
      <c r="B39" s="65" t="s">
        <v>29</v>
      </c>
      <c r="C39" s="65"/>
      <c r="D39" s="65"/>
      <c r="E39" s="65" t="s">
        <v>30</v>
      </c>
      <c r="F39" s="65"/>
      <c r="G39" s="65"/>
    </row>
    <row r="40" spans="1:8" ht="60" customHeight="1" x14ac:dyDescent="0.25">
      <c r="B40" s="50"/>
      <c r="C40" s="51"/>
      <c r="D40" s="52"/>
      <c r="E40" s="50"/>
      <c r="F40" s="51"/>
      <c r="G40" s="52"/>
      <c r="H40" s="28"/>
    </row>
    <row r="41" spans="1:8" ht="15.75" thickBot="1" x14ac:dyDescent="0.3">
      <c r="E41" s="21"/>
      <c r="G41" s="31" t="s">
        <v>17</v>
      </c>
    </row>
    <row r="42" spans="1:8" ht="15.75" thickBot="1" x14ac:dyDescent="0.3">
      <c r="G42" s="8">
        <f>AVERAGEIF(H19:H37,"&gt;0")</f>
        <v>9.9999999999999995E-7</v>
      </c>
    </row>
    <row r="44" spans="1:8" x14ac:dyDescent="0.25">
      <c r="B44" s="19"/>
      <c r="C44" s="19"/>
      <c r="D44" s="19"/>
      <c r="E44" s="19"/>
      <c r="F44" s="19"/>
      <c r="G44" s="19"/>
      <c r="H44"/>
    </row>
    <row r="45" spans="1:8" ht="22.5" customHeight="1" x14ac:dyDescent="0.25">
      <c r="B45" s="87" t="s">
        <v>19</v>
      </c>
      <c r="C45" s="87"/>
      <c r="D45" s="87"/>
    </row>
    <row r="46" spans="1:8" x14ac:dyDescent="0.25">
      <c r="H46"/>
    </row>
    <row r="47" spans="1:8" s="24" customFormat="1" ht="60" customHeight="1" x14ac:dyDescent="0.25">
      <c r="B47" s="76" t="s">
        <v>36</v>
      </c>
      <c r="C47" s="77"/>
      <c r="D47" s="78"/>
      <c r="E47" s="32" t="s">
        <v>18</v>
      </c>
      <c r="F47" s="32"/>
      <c r="G47" s="32"/>
      <c r="H47" s="23"/>
    </row>
    <row r="48" spans="1:8" ht="60" customHeight="1" x14ac:dyDescent="0.25">
      <c r="B48" s="35"/>
      <c r="C48" s="36"/>
      <c r="D48" s="37"/>
      <c r="E48" s="44"/>
      <c r="F48" s="45"/>
      <c r="G48" s="46"/>
      <c r="H48" s="28"/>
    </row>
    <row r="49" spans="1:8" x14ac:dyDescent="0.25">
      <c r="C49" s="25"/>
      <c r="D49" s="25"/>
      <c r="E49" s="25"/>
      <c r="F49" s="26" t="s">
        <v>0</v>
      </c>
      <c r="G49" s="27"/>
    </row>
    <row r="50" spans="1:8" x14ac:dyDescent="0.25">
      <c r="F50" s="54" t="s">
        <v>4</v>
      </c>
      <c r="G50" s="54"/>
      <c r="H50" s="5">
        <f>VLOOKUP(F50,Sheet2!$B$1:$C$12,2)</f>
        <v>9.9999999999999995E-7</v>
      </c>
    </row>
    <row r="51" spans="1:8" ht="7.5" customHeight="1" x14ac:dyDescent="0.25"/>
    <row r="52" spans="1:8" ht="60" customHeight="1" x14ac:dyDescent="0.25">
      <c r="B52" s="41" t="s">
        <v>37</v>
      </c>
      <c r="C52" s="42"/>
      <c r="D52" s="43"/>
      <c r="E52" s="47" t="s">
        <v>18</v>
      </c>
      <c r="F52" s="48"/>
      <c r="G52" s="49"/>
      <c r="H52" s="28"/>
    </row>
    <row r="53" spans="1:8" ht="60" customHeight="1" x14ac:dyDescent="0.25">
      <c r="B53" s="90"/>
      <c r="C53" s="91"/>
      <c r="D53" s="92"/>
      <c r="E53" s="44"/>
      <c r="F53" s="45"/>
      <c r="G53" s="46"/>
      <c r="H53" s="28"/>
    </row>
    <row r="54" spans="1:8" x14ac:dyDescent="0.25">
      <c r="B54" s="25"/>
      <c r="C54" s="25"/>
      <c r="D54" s="25"/>
      <c r="E54" s="25"/>
      <c r="F54" s="7" t="s">
        <v>0</v>
      </c>
    </row>
    <row r="55" spans="1:8" x14ac:dyDescent="0.25">
      <c r="F55" s="54" t="s">
        <v>4</v>
      </c>
      <c r="G55" s="54"/>
      <c r="H55" s="5">
        <f>VLOOKUP(F55,Sheet2!$B$1:$C$12,2)</f>
        <v>9.9999999999999995E-7</v>
      </c>
    </row>
    <row r="56" spans="1:8" ht="7.5" customHeight="1" x14ac:dyDescent="0.25"/>
    <row r="57" spans="1:8" s="24" customFormat="1" ht="60" customHeight="1" x14ac:dyDescent="0.25">
      <c r="B57" s="66" t="s">
        <v>38</v>
      </c>
      <c r="C57" s="67"/>
      <c r="D57" s="67"/>
      <c r="E57" s="33" t="s">
        <v>18</v>
      </c>
      <c r="F57" s="34"/>
      <c r="G57" s="34"/>
      <c r="H57" s="23"/>
    </row>
    <row r="58" spans="1:8" ht="60" customHeight="1" x14ac:dyDescent="0.25">
      <c r="A58" s="29"/>
      <c r="B58" s="38"/>
      <c r="C58" s="39"/>
      <c r="D58" s="40"/>
      <c r="E58" s="44"/>
      <c r="F58" s="45"/>
      <c r="G58" s="46"/>
      <c r="H58" s="28"/>
    </row>
    <row r="59" spans="1:8" x14ac:dyDescent="0.25">
      <c r="D59" s="21"/>
      <c r="E59" s="25"/>
      <c r="F59" s="26" t="s">
        <v>0</v>
      </c>
      <c r="G59" s="27"/>
    </row>
    <row r="60" spans="1:8" x14ac:dyDescent="0.25">
      <c r="F60" s="54" t="s">
        <v>4</v>
      </c>
      <c r="G60" s="54"/>
      <c r="H60" s="5">
        <f>VLOOKUP(F60,Sheet2!$B$1:$C$12,2)</f>
        <v>9.9999999999999995E-7</v>
      </c>
    </row>
    <row r="61" spans="1:8" ht="7.5" customHeight="1" x14ac:dyDescent="0.25"/>
    <row r="62" spans="1:8" s="24" customFormat="1" ht="60" customHeight="1" x14ac:dyDescent="0.25">
      <c r="B62" s="72" t="s">
        <v>39</v>
      </c>
      <c r="C62" s="73"/>
      <c r="D62" s="74"/>
      <c r="E62" s="33" t="s">
        <v>18</v>
      </c>
      <c r="F62" s="34"/>
      <c r="G62" s="34"/>
      <c r="H62" s="23"/>
    </row>
    <row r="63" spans="1:8" ht="60" customHeight="1" x14ac:dyDescent="0.25">
      <c r="B63" s="38"/>
      <c r="C63" s="39"/>
      <c r="D63" s="40"/>
      <c r="E63" s="44"/>
      <c r="F63" s="45"/>
      <c r="G63" s="46"/>
      <c r="H63" s="28"/>
    </row>
    <row r="64" spans="1:8" x14ac:dyDescent="0.25">
      <c r="C64" s="25"/>
      <c r="E64" s="21"/>
      <c r="F64" s="7" t="s">
        <v>0</v>
      </c>
      <c r="G64" s="30"/>
    </row>
    <row r="65" spans="2:8" x14ac:dyDescent="0.25">
      <c r="F65" s="54" t="s">
        <v>4</v>
      </c>
      <c r="G65" s="54"/>
      <c r="H65" s="5">
        <f>VLOOKUP(F65,Sheet2!$B$1:$C$12,2)</f>
        <v>9.9999999999999995E-7</v>
      </c>
    </row>
    <row r="66" spans="2:8" ht="7.5" customHeight="1" x14ac:dyDescent="0.25"/>
    <row r="67" spans="2:8" s="24" customFormat="1" ht="60" customHeight="1" x14ac:dyDescent="0.25">
      <c r="B67" s="66" t="s">
        <v>40</v>
      </c>
      <c r="C67" s="67"/>
      <c r="D67" s="93"/>
      <c r="E67" s="103" t="s">
        <v>18</v>
      </c>
      <c r="F67" s="32"/>
      <c r="G67" s="32"/>
      <c r="H67" s="23"/>
    </row>
    <row r="68" spans="2:8" ht="60" customHeight="1" x14ac:dyDescent="0.25">
      <c r="B68" s="38"/>
      <c r="C68" s="39"/>
      <c r="D68" s="40"/>
      <c r="E68" s="44"/>
      <c r="F68" s="45"/>
      <c r="G68" s="46"/>
      <c r="H68" s="28"/>
    </row>
    <row r="69" spans="2:8" x14ac:dyDescent="0.25">
      <c r="F69" s="7" t="s">
        <v>0</v>
      </c>
    </row>
    <row r="70" spans="2:8" x14ac:dyDescent="0.25">
      <c r="F70" s="54" t="s">
        <v>4</v>
      </c>
      <c r="G70" s="54"/>
      <c r="H70" s="5">
        <f>VLOOKUP(F70,Sheet2!$B$1:$C$12,2)</f>
        <v>9.9999999999999995E-7</v>
      </c>
    </row>
    <row r="71" spans="2:8" ht="7.5" customHeight="1" x14ac:dyDescent="0.25"/>
    <row r="72" spans="2:8" s="24" customFormat="1" ht="60" customHeight="1" x14ac:dyDescent="0.25">
      <c r="B72" s="66" t="s">
        <v>41</v>
      </c>
      <c r="C72" s="67"/>
      <c r="D72" s="67"/>
      <c r="E72" s="103" t="s">
        <v>18</v>
      </c>
      <c r="F72" s="32"/>
      <c r="G72" s="32"/>
      <c r="H72" s="23"/>
    </row>
    <row r="73" spans="2:8" ht="60" customHeight="1" x14ac:dyDescent="0.25">
      <c r="B73" s="38"/>
      <c r="C73" s="39"/>
      <c r="D73" s="40"/>
      <c r="E73" s="50"/>
      <c r="F73" s="51"/>
      <c r="G73" s="52"/>
      <c r="H73" s="28"/>
    </row>
    <row r="74" spans="2:8" x14ac:dyDescent="0.25">
      <c r="B74" s="21"/>
      <c r="D74" s="21"/>
      <c r="E74" s="21"/>
      <c r="F74" s="7" t="s">
        <v>0</v>
      </c>
    </row>
    <row r="75" spans="2:8" x14ac:dyDescent="0.25">
      <c r="F75" s="54" t="s">
        <v>4</v>
      </c>
      <c r="G75" s="54"/>
      <c r="H75" s="5">
        <f>VLOOKUP(F75,Sheet2!$B$1:$C$12,2)</f>
        <v>9.9999999999999995E-7</v>
      </c>
    </row>
    <row r="76" spans="2:8" ht="7.5" customHeight="1" x14ac:dyDescent="0.25"/>
    <row r="77" spans="2:8" s="24" customFormat="1" ht="60" customHeight="1" x14ac:dyDescent="0.25">
      <c r="B77" s="55" t="s">
        <v>42</v>
      </c>
      <c r="C77" s="56"/>
      <c r="D77" s="57"/>
      <c r="E77" s="104" t="s">
        <v>18</v>
      </c>
      <c r="F77" s="105"/>
      <c r="G77" s="105"/>
      <c r="H77" s="23"/>
    </row>
    <row r="78" spans="2:8" ht="60" customHeight="1" x14ac:dyDescent="0.25">
      <c r="B78" s="58"/>
      <c r="C78" s="36"/>
      <c r="D78" s="37"/>
      <c r="E78" s="88"/>
      <c r="F78" s="89"/>
      <c r="G78" s="89"/>
      <c r="H78" s="28"/>
    </row>
    <row r="79" spans="2:8" x14ac:dyDescent="0.25">
      <c r="B79" s="25"/>
      <c r="C79" s="25"/>
      <c r="D79" s="25"/>
      <c r="E79" s="25"/>
      <c r="F79" s="26" t="s">
        <v>0</v>
      </c>
      <c r="G79" s="27"/>
    </row>
    <row r="80" spans="2:8" x14ac:dyDescent="0.25">
      <c r="F80" s="54" t="s">
        <v>4</v>
      </c>
      <c r="G80" s="54"/>
      <c r="H80" s="5">
        <f>VLOOKUP(F80,Sheet2!$B$1:$C$12,2)</f>
        <v>9.9999999999999995E-7</v>
      </c>
    </row>
    <row r="82" spans="1:10" ht="15" customHeight="1" x14ac:dyDescent="0.25">
      <c r="B82" s="69" t="s">
        <v>31</v>
      </c>
      <c r="C82" s="70"/>
      <c r="D82" s="70"/>
      <c r="E82" s="61" t="s">
        <v>32</v>
      </c>
      <c r="F82" s="61"/>
      <c r="G82" s="62"/>
      <c r="H82" s="20"/>
    </row>
    <row r="83" spans="1:10" ht="99.95" customHeight="1" x14ac:dyDescent="0.25">
      <c r="A83" s="29"/>
      <c r="B83" s="59"/>
      <c r="C83" s="59"/>
      <c r="D83" s="60"/>
      <c r="E83" s="50"/>
      <c r="F83" s="51"/>
      <c r="G83" s="52"/>
      <c r="H83" s="28"/>
    </row>
    <row r="84" spans="1:10" ht="15.75" thickBot="1" x14ac:dyDescent="0.3">
      <c r="D84" s="25"/>
      <c r="G84" s="31" t="s">
        <v>20</v>
      </c>
    </row>
    <row r="85" spans="1:10" ht="15.75" thickBot="1" x14ac:dyDescent="0.3">
      <c r="G85" s="8">
        <f>AVERAGEIF(H47:H83,"&gt;0")</f>
        <v>9.9999999999999995E-7</v>
      </c>
      <c r="J85" s="21"/>
    </row>
    <row r="86" spans="1:10" x14ac:dyDescent="0.25">
      <c r="G86" s="9"/>
      <c r="J86" s="21"/>
    </row>
    <row r="87" spans="1:10" ht="22.5" customHeight="1" thickBot="1" x14ac:dyDescent="0.3">
      <c r="B87" s="87" t="s">
        <v>44</v>
      </c>
      <c r="C87" s="87"/>
      <c r="D87" s="87"/>
      <c r="F87" s="10" t="s">
        <v>21</v>
      </c>
      <c r="J87" s="21"/>
    </row>
    <row r="88" spans="1:10" ht="19.5" thickBot="1" x14ac:dyDescent="0.3">
      <c r="F88" s="11">
        <f>(G42*0.75)+(G85*0.25)</f>
        <v>9.9999999999999995E-7</v>
      </c>
    </row>
    <row r="89" spans="1:10" ht="20.25" customHeight="1" x14ac:dyDescent="0.25"/>
    <row r="90" spans="1:10" ht="44.25" customHeight="1" x14ac:dyDescent="0.25">
      <c r="B90" s="21"/>
      <c r="C90" s="21"/>
      <c r="D90" s="21"/>
      <c r="H90"/>
    </row>
    <row r="91" spans="1:10" x14ac:dyDescent="0.25">
      <c r="B91" s="53"/>
      <c r="C91" s="53"/>
      <c r="D91" s="53"/>
      <c r="E91" s="53"/>
      <c r="F91" s="53"/>
      <c r="G91" s="53"/>
      <c r="H91"/>
    </row>
    <row r="92" spans="1:10" ht="46.5" customHeight="1" x14ac:dyDescent="0.25">
      <c r="B92" s="22" t="s">
        <v>33</v>
      </c>
      <c r="C92" s="22"/>
      <c r="D92" s="22"/>
      <c r="E92" s="64"/>
      <c r="F92" s="64"/>
      <c r="G92" s="64"/>
      <c r="H92"/>
    </row>
    <row r="93" spans="1:10" x14ac:dyDescent="0.25">
      <c r="B93" s="53" t="s">
        <v>34</v>
      </c>
      <c r="C93" s="53"/>
      <c r="D93" s="53"/>
      <c r="E93" s="63"/>
      <c r="F93" s="63"/>
      <c r="G93" s="63"/>
      <c r="H93"/>
    </row>
    <row r="94" spans="1:10" x14ac:dyDescent="0.25">
      <c r="E94" s="4"/>
      <c r="H94"/>
    </row>
  </sheetData>
  <mergeCells count="87">
    <mergeCell ref="E62:G62"/>
    <mergeCell ref="E67:G67"/>
    <mergeCell ref="E72:G72"/>
    <mergeCell ref="E77:G77"/>
    <mergeCell ref="B27:D27"/>
    <mergeCell ref="B68:D68"/>
    <mergeCell ref="B45:D45"/>
    <mergeCell ref="E27:G27"/>
    <mergeCell ref="B28:D28"/>
    <mergeCell ref="E28:G28"/>
    <mergeCell ref="B30:D30"/>
    <mergeCell ref="C31:D31"/>
    <mergeCell ref="F31:G31"/>
    <mergeCell ref="B36:D36"/>
    <mergeCell ref="C37:D37"/>
    <mergeCell ref="E68:G68"/>
    <mergeCell ref="F60:G60"/>
    <mergeCell ref="B40:D40"/>
    <mergeCell ref="E40:G40"/>
    <mergeCell ref="E39:G39"/>
    <mergeCell ref="B13:D13"/>
    <mergeCell ref="B21:D21"/>
    <mergeCell ref="E21:G21"/>
    <mergeCell ref="B22:D22"/>
    <mergeCell ref="E22:G22"/>
    <mergeCell ref="C25:D25"/>
    <mergeCell ref="F25:G25"/>
    <mergeCell ref="B16:D16"/>
    <mergeCell ref="E16:G16"/>
    <mergeCell ref="B18:D18"/>
    <mergeCell ref="C19:D19"/>
    <mergeCell ref="F19:G19"/>
    <mergeCell ref="B24:D24"/>
    <mergeCell ref="B6:G6"/>
    <mergeCell ref="B87:D87"/>
    <mergeCell ref="E78:G78"/>
    <mergeCell ref="F80:G80"/>
    <mergeCell ref="B63:D63"/>
    <mergeCell ref="E63:G63"/>
    <mergeCell ref="B53:D53"/>
    <mergeCell ref="E53:G53"/>
    <mergeCell ref="F55:G55"/>
    <mergeCell ref="F65:G65"/>
    <mergeCell ref="B67:D67"/>
    <mergeCell ref="F10:G10"/>
    <mergeCell ref="E34:G34"/>
    <mergeCell ref="F11:G11"/>
    <mergeCell ref="B15:D15"/>
    <mergeCell ref="E15:G15"/>
    <mergeCell ref="B72:D72"/>
    <mergeCell ref="B82:D82"/>
    <mergeCell ref="E13:G13"/>
    <mergeCell ref="B91:D91"/>
    <mergeCell ref="F70:G70"/>
    <mergeCell ref="E48:G48"/>
    <mergeCell ref="F50:G50"/>
    <mergeCell ref="B62:D62"/>
    <mergeCell ref="B35:G35"/>
    <mergeCell ref="B47:D47"/>
    <mergeCell ref="B17:G17"/>
    <mergeCell ref="B23:G23"/>
    <mergeCell ref="B29:G29"/>
    <mergeCell ref="B33:D33"/>
    <mergeCell ref="E33:G33"/>
    <mergeCell ref="B34:D34"/>
    <mergeCell ref="B93:D93"/>
    <mergeCell ref="B73:D73"/>
    <mergeCell ref="E73:G73"/>
    <mergeCell ref="F75:G75"/>
    <mergeCell ref="B77:D77"/>
    <mergeCell ref="B78:D78"/>
    <mergeCell ref="E83:G83"/>
    <mergeCell ref="B83:D83"/>
    <mergeCell ref="E82:G82"/>
    <mergeCell ref="E91:G91"/>
    <mergeCell ref="E93:G93"/>
    <mergeCell ref="E92:G92"/>
    <mergeCell ref="B39:D39"/>
    <mergeCell ref="F37:G37"/>
    <mergeCell ref="B57:D57"/>
    <mergeCell ref="E47:G47"/>
    <mergeCell ref="E57:G57"/>
    <mergeCell ref="B48:D48"/>
    <mergeCell ref="B58:D58"/>
    <mergeCell ref="B52:D52"/>
    <mergeCell ref="E58:G58"/>
    <mergeCell ref="E52:G52"/>
  </mergeCells>
  <pageMargins left="0.7" right="0.7" top="0.75" bottom="0.75" header="0.3" footer="0.3"/>
  <pageSetup scale="83" fitToHeight="0" orientation="landscape" r:id="rId1"/>
  <headerFooter>
    <oddFooter>Page &amp;P of &amp;N</oddFooter>
  </headerFooter>
  <rowBreaks count="4" manualBreakCount="4">
    <brk id="25" max="7" man="1"/>
    <brk id="43" max="16383" man="1"/>
    <brk id="61" max="7" man="1"/>
    <brk id="75" max="7" man="1"/>
  </rowBreak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Sheet2!$A$1:$A$12</xm:f>
          </x14:formula1>
          <xm:sqref>F19:G19 F25:G25 F31:G31 F60:G60 F55:G55 F50:G50 F65:G65 F70:G70 F75:G75 F80:G80 F37:G37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selection activeCell="E8" sqref="E8"/>
    </sheetView>
  </sheetViews>
  <sheetFormatPr defaultRowHeight="15" x14ac:dyDescent="0.25"/>
  <cols>
    <col min="1" max="2" width="22.7109375" bestFit="1" customWidth="1"/>
    <col min="3" max="3" width="4" bestFit="1" customWidth="1"/>
  </cols>
  <sheetData>
    <row r="1" spans="1:3" x14ac:dyDescent="0.25">
      <c r="A1" t="s">
        <v>4</v>
      </c>
      <c r="B1" t="s">
        <v>14</v>
      </c>
      <c r="C1">
        <v>9.9999999999999995E-7</v>
      </c>
    </row>
    <row r="2" spans="1:3" x14ac:dyDescent="0.25">
      <c r="A2" t="s">
        <v>5</v>
      </c>
      <c r="B2" t="s">
        <v>13</v>
      </c>
      <c r="C2">
        <v>1</v>
      </c>
    </row>
    <row r="3" spans="1:3" x14ac:dyDescent="0.25">
      <c r="A3" t="s">
        <v>6</v>
      </c>
      <c r="B3" t="s">
        <v>12</v>
      </c>
      <c r="C3">
        <v>1.5</v>
      </c>
    </row>
    <row r="4" spans="1:3" x14ac:dyDescent="0.25">
      <c r="A4" t="s">
        <v>7</v>
      </c>
      <c r="B4" t="s">
        <v>11</v>
      </c>
      <c r="C4">
        <v>2</v>
      </c>
    </row>
    <row r="5" spans="1:3" x14ac:dyDescent="0.25">
      <c r="A5" t="s">
        <v>9</v>
      </c>
      <c r="B5" t="s">
        <v>10</v>
      </c>
      <c r="C5">
        <v>2.5</v>
      </c>
    </row>
    <row r="6" spans="1:3" x14ac:dyDescent="0.25">
      <c r="A6" t="s">
        <v>8</v>
      </c>
      <c r="B6" t="s">
        <v>8</v>
      </c>
      <c r="C6">
        <v>3</v>
      </c>
    </row>
    <row r="7" spans="1:3" x14ac:dyDescent="0.25">
      <c r="A7" t="s">
        <v>10</v>
      </c>
      <c r="B7" t="s">
        <v>9</v>
      </c>
      <c r="C7">
        <v>3.5</v>
      </c>
    </row>
    <row r="8" spans="1:3" x14ac:dyDescent="0.25">
      <c r="A8" t="s">
        <v>11</v>
      </c>
      <c r="B8" t="s">
        <v>7</v>
      </c>
      <c r="C8">
        <v>4</v>
      </c>
    </row>
    <row r="9" spans="1:3" x14ac:dyDescent="0.25">
      <c r="A9" t="s">
        <v>12</v>
      </c>
      <c r="B9" t="s">
        <v>6</v>
      </c>
      <c r="C9">
        <v>4.5</v>
      </c>
    </row>
    <row r="10" spans="1:3" x14ac:dyDescent="0.25">
      <c r="A10" t="s">
        <v>13</v>
      </c>
      <c r="B10" t="s">
        <v>5</v>
      </c>
      <c r="C10">
        <v>5</v>
      </c>
    </row>
    <row r="11" spans="1:3" x14ac:dyDescent="0.25">
      <c r="A11" t="s">
        <v>14</v>
      </c>
      <c r="B11" t="s">
        <v>4</v>
      </c>
      <c r="C11">
        <v>9.9999999999999995E-7</v>
      </c>
    </row>
    <row r="12" spans="1:3" x14ac:dyDescent="0.25">
      <c r="A12" t="s">
        <v>15</v>
      </c>
      <c r="B12" t="s">
        <v>15</v>
      </c>
      <c r="C12" t="s">
        <v>16</v>
      </c>
    </row>
  </sheetData>
  <sortState ref="B1:C12">
    <sortCondition ref="B1:B1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1" ma:contentTypeDescription="Create a new document." ma:contentTypeScope="" ma:versionID="acd556ae07fa19f48e80b51b5070dad1">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dc96546954f3f270c213e8ea1cb1272"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812EE67-78A3-4FE4-8C55-84CA32F8680C}"/>
</file>

<file path=customXml/itemProps2.xml><?xml version="1.0" encoding="utf-8"?>
<ds:datastoreItem xmlns:ds="http://schemas.openxmlformats.org/officeDocument/2006/customXml" ds:itemID="{41805CF2-8390-452C-9B84-D61D5EBE8A50}"/>
</file>

<file path=customXml/itemProps3.xml><?xml version="1.0" encoding="utf-8"?>
<ds:datastoreItem xmlns:ds="http://schemas.openxmlformats.org/officeDocument/2006/customXml" ds:itemID="{4B2B9E3F-E336-474A-AA31-AD7EAB95DD6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Sheet1</vt:lpstr>
      <vt:lpstr>Sheet2</vt:lpstr>
      <vt:lpstr>Sheet3</vt:lpstr>
      <vt:lpstr>Sheet1!Goal01</vt:lpstr>
      <vt:lpstr>Sheet1!Goal02</vt:lpstr>
      <vt:lpstr>Sheet1!Goal03</vt:lpstr>
      <vt:lpstr>Sheet1!Print_Area</vt:lpstr>
    </vt:vector>
  </TitlesOfParts>
  <Company>Partners of the Americas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M. Trimarchi</dc:creator>
  <cp:lastModifiedBy>Renata Torres</cp:lastModifiedBy>
  <cp:lastPrinted>2015-10-27T17:13:32Z</cp:lastPrinted>
  <dcterms:created xsi:type="dcterms:W3CDTF">2012-12-10T15:40:14Z</dcterms:created>
  <dcterms:modified xsi:type="dcterms:W3CDTF">2018-11-12T19:33:11Z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522800</vt:r8>
  </property>
</Properties>
</file>