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25" windowWidth="27795" windowHeight="14250"/>
  </bookViews>
  <sheets>
    <sheet name="As of Feb 2013" sheetId="2" r:id="rId1"/>
    <sheet name="Sheet3" sheetId="3" r:id="rId2"/>
  </sheets>
  <calcPr calcId="145621"/>
  <fileRecoveryPr repairLoad="1"/>
</workbook>
</file>

<file path=xl/calcChain.xml><?xml version="1.0" encoding="utf-8"?>
<calcChain xmlns="http://schemas.openxmlformats.org/spreadsheetml/2006/main">
  <c r="B6" i="2" l="1"/>
  <c r="C8" i="3" l="1"/>
  <c r="C6" i="3" l="1"/>
  <c r="B45" i="2" l="1"/>
  <c r="B44" i="2"/>
  <c r="B43" i="2"/>
  <c r="B42" i="2"/>
  <c r="B41" i="2"/>
  <c r="B40" i="2"/>
  <c r="B39" i="2"/>
  <c r="B38" i="2"/>
  <c r="B31" i="2"/>
  <c r="B23" i="2"/>
  <c r="B14" i="2"/>
  <c r="B11" i="2"/>
  <c r="B8" i="2"/>
  <c r="B2" i="2"/>
  <c r="B3" i="2"/>
</calcChain>
</file>

<file path=xl/sharedStrings.xml><?xml version="1.0" encoding="utf-8"?>
<sst xmlns="http://schemas.openxmlformats.org/spreadsheetml/2006/main" count="166" uniqueCount="141">
  <si>
    <t>DOL415</t>
  </si>
  <si>
    <t>DOS215</t>
  </si>
  <si>
    <t>DOS218</t>
  </si>
  <si>
    <t>DOS219</t>
  </si>
  <si>
    <t>DOS220</t>
  </si>
  <si>
    <t>IDB499</t>
  </si>
  <si>
    <t>USAID440</t>
  </si>
  <si>
    <t>DOL 415 Combating Child Labor Program Panama/Ecuador</t>
  </si>
  <si>
    <t>DOS215 Senior ECPA Fellows</t>
  </si>
  <si>
    <t>DOS American Youth Leadership - Paraguay</t>
  </si>
  <si>
    <t>DOS219 Legislative Fellows</t>
  </si>
  <si>
    <t>DOS220 Business Fellows</t>
  </si>
  <si>
    <t>IDB499 A Ganar</t>
  </si>
  <si>
    <t>USAID440 A Ganar Caribbean</t>
  </si>
  <si>
    <t>Program-Dept Code</t>
  </si>
  <si>
    <t>Barbara B. BLOCH</t>
  </si>
  <si>
    <t>Lauren K. BOETSCH</t>
  </si>
  <si>
    <t>Ukiah J. BUSCH</t>
  </si>
  <si>
    <t>Margaret E. (Peggy) CARLSON</t>
  </si>
  <si>
    <t>Abraham A. CISNE</t>
  </si>
  <si>
    <t>Matthew N. CLAUSEN</t>
  </si>
  <si>
    <t>Horacio CORREA, Jr.</t>
  </si>
  <si>
    <t>Nancy G. FRANCIS</t>
  </si>
  <si>
    <t>Melissa L. GOLLADAY</t>
  </si>
  <si>
    <t>Elizabeth LOPEZ</t>
  </si>
  <si>
    <t>Nadia R. MORENO</t>
  </si>
  <si>
    <t>Taylor B. NELSON</t>
  </si>
  <si>
    <t>Michelle R. NICHOLSON</t>
  </si>
  <si>
    <t>Carmen Sofia PEÑA</t>
  </si>
  <si>
    <t>Carmen R. SEPASSI</t>
  </si>
  <si>
    <t>Lindsey N. SUGGS</t>
  </si>
  <si>
    <t>Paul L. TEEPLE</t>
  </si>
  <si>
    <t>Kristian C. VASQUEZ</t>
  </si>
  <si>
    <t>Stephen G. VETTER</t>
  </si>
  <si>
    <t>Sherrita WILKINS</t>
  </si>
  <si>
    <t>Partnership &amp; Programs</t>
  </si>
  <si>
    <t>President’s Office</t>
  </si>
  <si>
    <t>Finance Office</t>
  </si>
  <si>
    <t>Communications Office</t>
  </si>
  <si>
    <t>Program Development</t>
  </si>
  <si>
    <t>Farmer to Farmer</t>
  </si>
  <si>
    <t>Professional Exchanges</t>
  </si>
  <si>
    <t>Sports for Development</t>
  </si>
  <si>
    <t>Youth Engagement</t>
  </si>
  <si>
    <t>Front Desk</t>
  </si>
  <si>
    <t>Conference Calls (Steve)</t>
  </si>
  <si>
    <t>Name</t>
  </si>
  <si>
    <t>094</t>
  </si>
  <si>
    <t>097</t>
  </si>
  <si>
    <t>092</t>
  </si>
  <si>
    <t>095</t>
  </si>
  <si>
    <t>COMM</t>
  </si>
  <si>
    <t>President</t>
  </si>
  <si>
    <t>Board</t>
  </si>
  <si>
    <t>PD</t>
  </si>
  <si>
    <t>F&amp;A</t>
  </si>
  <si>
    <t>096</t>
  </si>
  <si>
    <t>013</t>
  </si>
  <si>
    <t>012</t>
  </si>
  <si>
    <t>Program Description</t>
  </si>
  <si>
    <t>Communications Unit</t>
  </si>
  <si>
    <t>President's Office</t>
  </si>
  <si>
    <t>POA Board</t>
  </si>
  <si>
    <t>Program Development Unit</t>
  </si>
  <si>
    <t>Finance &amp; Administration</t>
  </si>
  <si>
    <t xml:space="preserve">3- Digit Code </t>
  </si>
  <si>
    <t>Phone Code [Prog + Ext]</t>
  </si>
  <si>
    <t>094,097,092</t>
  </si>
  <si>
    <t>095,092</t>
  </si>
  <si>
    <t>092,415</t>
  </si>
  <si>
    <t>Rosalind S. ELAHI</t>
  </si>
  <si>
    <t>Addition Corresponding Program-Dept Codes</t>
  </si>
  <si>
    <t>Extension</t>
  </si>
  <si>
    <t>Program-Dept Codes</t>
  </si>
  <si>
    <t>095218</t>
  </si>
  <si>
    <t>Penelope KIM</t>
  </si>
  <si>
    <t>100K</t>
  </si>
  <si>
    <t>100K Strong in the Americas</t>
  </si>
  <si>
    <t>USAID648</t>
  </si>
  <si>
    <t>USAID648 Farmer to Farmer</t>
  </si>
  <si>
    <t>Gabriela MOORE</t>
  </si>
  <si>
    <t>DOS221</t>
  </si>
  <si>
    <t>DOS221 YA Venezuela</t>
  </si>
  <si>
    <t>DOS222</t>
  </si>
  <si>
    <t>DOS222 Senior ECPA Fellows Phase II</t>
  </si>
  <si>
    <t>DOS269</t>
  </si>
  <si>
    <t>DOS269 Education &amp; Culture 2013</t>
  </si>
  <si>
    <t>USAID615</t>
  </si>
  <si>
    <t>HTH Haiti Nutrition Security Program</t>
  </si>
  <si>
    <t>DOS223</t>
  </si>
  <si>
    <t xml:space="preserve"> DOS223 ISPI </t>
  </si>
  <si>
    <t>440205
499205
223205</t>
  </si>
  <si>
    <t>P&amp;P</t>
  </si>
  <si>
    <t>Partnerships &amp; Programs</t>
  </si>
  <si>
    <t>220,96</t>
  </si>
  <si>
    <t>220207
096207</t>
  </si>
  <si>
    <t>221208
218208</t>
  </si>
  <si>
    <t>440210
499210</t>
  </si>
  <si>
    <t>CONV</t>
  </si>
  <si>
    <t>Convention</t>
  </si>
  <si>
    <t>096,215,269,218,219,93</t>
  </si>
  <si>
    <t xml:space="preserve">096211
215211
269211
218211
219211
093211
</t>
  </si>
  <si>
    <t>Christine DONAHUE</t>
  </si>
  <si>
    <t>219213
269213</t>
  </si>
  <si>
    <t>Martin ROZENBERG</t>
  </si>
  <si>
    <t>219214
269214</t>
  </si>
  <si>
    <t>096,092,266,093</t>
  </si>
  <si>
    <t>096215
092215
266215
093215</t>
  </si>
  <si>
    <t>Jacqueline CARTER</t>
  </si>
  <si>
    <t>Michelle ENG</t>
  </si>
  <si>
    <t>095217</t>
  </si>
  <si>
    <t>Anna BARRETT</t>
  </si>
  <si>
    <t>440219
499219</t>
  </si>
  <si>
    <t>095220
092220</t>
  </si>
  <si>
    <t>Elizabeth HOLST</t>
  </si>
  <si>
    <t>092222</t>
  </si>
  <si>
    <t>Andi SULLIVAN</t>
  </si>
  <si>
    <t>648223
615223</t>
  </si>
  <si>
    <t>219,220,221,222,215,269,218,223,096</t>
  </si>
  <si>
    <t>219220
220224
221224
222224
215224
269224
218224
223224
096224</t>
  </si>
  <si>
    <t>094225
097225
092225</t>
  </si>
  <si>
    <t>Fernando MALDONADO</t>
  </si>
  <si>
    <t>440226
499226</t>
  </si>
  <si>
    <t>440227
499227</t>
  </si>
  <si>
    <t>Lee TABLEWSKI</t>
  </si>
  <si>
    <t>648230
615230
095230</t>
  </si>
  <si>
    <t>269231
096231</t>
  </si>
  <si>
    <t>092233
415233</t>
  </si>
  <si>
    <t>096,269</t>
  </si>
  <si>
    <t>096234
269234</t>
  </si>
  <si>
    <t>Leonard NOEL</t>
  </si>
  <si>
    <t>Courtney DUNHAM</t>
  </si>
  <si>
    <t>648
615</t>
  </si>
  <si>
    <t>440608
499608</t>
  </si>
  <si>
    <t>094202
097202
092202</t>
  </si>
  <si>
    <t>218609
221609</t>
  </si>
  <si>
    <t>Large Conference Room</t>
  </si>
  <si>
    <t>219607
220607
215607</t>
  </si>
  <si>
    <t>219,220,215</t>
  </si>
  <si>
    <t>Olga (Caro) Escobar</t>
  </si>
  <si>
    <t>096203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</si>
</sst>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1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10"/>
      <color theme="1"/>
      <name val="Calibri"/>
      <family val="2"/>
      <scheme val="minor"/>
    </font>
    <font>
      <b/>
      <sz val="10"/>
      <color rgb="FFFFC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3300"/>
      </left>
      <right/>
      <top/>
      <bottom/>
      <diagonal/>
    </border>
    <border>
      <left/>
      <right style="medium">
        <color rgb="FFCC3300"/>
      </right>
      <top/>
      <bottom/>
      <diagonal/>
    </border>
    <border>
      <left style="medium">
        <color rgb="FFCC3300"/>
      </left>
      <right/>
      <top/>
      <bottom style="medium">
        <color rgb="FFCC3300"/>
      </bottom>
      <diagonal/>
    </border>
    <border>
      <left/>
      <right/>
      <top/>
      <bottom style="medium">
        <color rgb="FFCC3300"/>
      </bottom>
      <diagonal/>
    </border>
    <border>
      <left/>
      <right style="medium">
        <color rgb="FFCC3300"/>
      </right>
      <top/>
      <bottom style="medium">
        <color rgb="FFCC3300"/>
      </bottom>
      <diagonal/>
    </border>
    <border>
      <left style="medium">
        <color rgb="FFCC3300"/>
      </left>
      <right/>
      <top style="medium">
        <color rgb="FFCC3300"/>
      </top>
      <bottom style="medium">
        <color rgb="FFCC3300"/>
      </bottom>
      <diagonal/>
    </border>
    <border>
      <left/>
      <right/>
      <top style="medium">
        <color rgb="FFCC3300"/>
      </top>
      <bottom style="medium">
        <color rgb="FFCC3300"/>
      </bottom>
      <diagonal/>
    </border>
    <border>
      <left/>
      <right style="medium">
        <color rgb="FFCC3300"/>
      </right>
      <top style="medium">
        <color rgb="FFCC3300"/>
      </top>
      <bottom style="medium">
        <color rgb="FFCC33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3" fillId="3" borderId="0" applyNumberFormat="0" applyBorder="0" applyAlignment="0" applyProtection="0"/>
    <xf numFmtId="0" fontId="11" fillId="4" borderId="0" applyNumberFormat="0" applyBorder="0" applyAlignment="0" applyProtection="0"/>
    <xf numFmtId="0" fontId="9" fillId="5" borderId="4" applyNumberFormat="0" applyAlignment="0" applyProtection="0"/>
    <xf numFmtId="0" fontId="12" fillId="6" borderId="5" applyNumberFormat="0" applyAlignment="0" applyProtection="0"/>
    <xf numFmtId="0" fontId="4" fillId="6" borderId="4" applyNumberFormat="0" applyAlignment="0" applyProtection="0"/>
    <xf numFmtId="0" fontId="10" fillId="0" borderId="6" applyNumberFormat="0" applyFill="0" applyAlignment="0" applyProtection="0"/>
    <xf numFmtId="0" fontId="5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 vertical="top"/>
    </xf>
    <xf numFmtId="0" fontId="16" fillId="33" borderId="0" xfId="0" applyFont="1" applyFill="1" applyAlignment="1">
      <alignment horizontal="center" vertical="top" wrapText="1"/>
    </xf>
    <xf numFmtId="0" fontId="17" fillId="0" borderId="0" xfId="0" applyFont="1" applyAlignment="1">
      <alignment vertical="center"/>
    </xf>
    <xf numFmtId="0" fontId="0" fillId="0" borderId="0" xfId="0" quotePrefix="1"/>
    <xf numFmtId="0" fontId="0" fillId="0" borderId="0" xfId="0" quotePrefix="1" applyAlignment="1">
      <alignment horizontal="right"/>
    </xf>
    <xf numFmtId="0" fontId="15" fillId="0" borderId="0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center" vertical="top" wrapText="1"/>
    </xf>
    <xf numFmtId="0" fontId="15" fillId="0" borderId="14" xfId="0" applyFont="1" applyBorder="1" applyAlignment="1">
      <alignment horizontal="left" vertical="top" wrapText="1"/>
    </xf>
    <xf numFmtId="0" fontId="16" fillId="33" borderId="15" xfId="0" applyFont="1" applyFill="1" applyBorder="1" applyAlignment="1">
      <alignment horizontal="center" vertical="top"/>
    </xf>
    <xf numFmtId="0" fontId="16" fillId="33" borderId="16" xfId="0" applyFont="1" applyFill="1" applyBorder="1" applyAlignment="1">
      <alignment horizontal="center" vertical="top"/>
    </xf>
    <xf numFmtId="0" fontId="16" fillId="33" borderId="17" xfId="0" applyFont="1" applyFill="1" applyBorder="1" applyAlignment="1">
      <alignment horizontal="center" vertical="top"/>
    </xf>
    <xf numFmtId="0" fontId="15" fillId="0" borderId="10" xfId="0" applyFont="1" applyBorder="1" applyAlignment="1">
      <alignment horizontal="center" vertical="top" wrapText="1"/>
    </xf>
    <xf numFmtId="0" fontId="15" fillId="0" borderId="12" xfId="0" applyFont="1" applyBorder="1" applyAlignment="1">
      <alignment horizontal="center" vertical="top" wrapText="1"/>
    </xf>
    <xf numFmtId="0" fontId="18" fillId="34" borderId="0" xfId="0" applyFont="1" applyFill="1" applyAlignment="1">
      <alignment horizontal="center" vertical="top" wrapText="1"/>
    </xf>
    <xf numFmtId="44" fontId="0" fillId="0" borderId="0" xfId="3" applyFont="1"/>
    <xf numFmtId="44" fontId="0" fillId="0" borderId="0" xfId="0" applyNumberFormat="1"/>
    <xf numFmtId="0" fontId="16" fillId="33" borderId="0" xfId="0" applyFont="1" applyFill="1" applyAlignment="1">
      <alignment horizontal="center" vertical="top"/>
    </xf>
    <xf numFmtId="0" fontId="20" fillId="0" borderId="10" xfId="0" applyFont="1" applyFill="1" applyBorder="1" applyAlignment="1">
      <alignment horizontal="center" vertical="top"/>
    </xf>
    <xf numFmtId="0" fontId="20" fillId="0" borderId="0" xfId="0" applyFont="1" applyFill="1" applyBorder="1" applyAlignment="1">
      <alignment horizontal="center" vertical="top"/>
    </xf>
    <xf numFmtId="0" fontId="20" fillId="0" borderId="11" xfId="0" applyFont="1" applyFill="1" applyBorder="1" applyAlignment="1">
      <alignment horizontal="left" vertical="top"/>
    </xf>
    <xf numFmtId="0" fontId="15" fillId="0" borderId="10" xfId="0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5" fillId="0" borderId="1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horizontal="left" wrapText="1"/>
    </xf>
    <xf numFmtId="0" fontId="15" fillId="0" borderId="18" xfId="0" applyFont="1" applyFill="1" applyBorder="1" applyAlignment="1">
      <alignment vertical="center"/>
    </xf>
    <xf numFmtId="0" fontId="15" fillId="0" borderId="18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top"/>
    </xf>
    <xf numFmtId="0" fontId="0" fillId="0" borderId="18" xfId="0" quotePrefix="1" applyFill="1" applyBorder="1" applyAlignment="1">
      <alignment horizontal="center" vertical="center"/>
    </xf>
    <xf numFmtId="0" fontId="0" fillId="0" borderId="18" xfId="0" applyFill="1" applyBorder="1" applyAlignment="1">
      <alignment horizontal="center"/>
    </xf>
    <xf numFmtId="0" fontId="19" fillId="0" borderId="18" xfId="0" applyFont="1" applyFill="1" applyBorder="1" applyAlignment="1">
      <alignment horizontal="center" vertical="center" wrapText="1"/>
    </xf>
    <xf numFmtId="3" fontId="19" fillId="0" borderId="18" xfId="0" applyNumberFormat="1" applyFont="1" applyFill="1" applyBorder="1" applyAlignment="1">
      <alignment horizontal="center" vertical="center" wrapText="1"/>
    </xf>
    <xf numFmtId="3" fontId="0" fillId="0" borderId="18" xfId="0" applyNumberFormat="1" applyFill="1" applyBorder="1" applyAlignment="1">
      <alignment horizontal="center" vertical="center"/>
    </xf>
    <xf numFmtId="0" fontId="0" fillId="0" borderId="18" xfId="0" quotePrefix="1" applyFill="1" applyBorder="1" applyAlignment="1">
      <alignment horizontal="center"/>
    </xf>
    <xf numFmtId="3" fontId="0" fillId="0" borderId="18" xfId="0" quotePrefix="1" applyNumberFormat="1" applyFill="1" applyBorder="1" applyAlignment="1">
      <alignment horizontal="center" vertical="center" wrapText="1"/>
    </xf>
    <xf numFmtId="0" fontId="15" fillId="0" borderId="18" xfId="0" quotePrefix="1" applyFont="1" applyFill="1" applyBorder="1" applyAlignment="1">
      <alignment horizontal="center" vertical="center"/>
    </xf>
    <xf numFmtId="0" fontId="0" fillId="0" borderId="18" xfId="0" quotePrefix="1" applyNumberFormat="1" applyFill="1" applyBorder="1" applyAlignment="1">
      <alignment horizontal="center"/>
    </xf>
    <xf numFmtId="49" fontId="15" fillId="0" borderId="18" xfId="0" applyNumberFormat="1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 wrapText="1"/>
    </xf>
    <xf numFmtId="0" fontId="19" fillId="0" borderId="18" xfId="0" quotePrefix="1" applyFont="1" applyFill="1" applyBorder="1" applyAlignment="1">
      <alignment horizontal="center" vertical="center" wrapText="1"/>
    </xf>
    <xf numFmtId="0" fontId="19" fillId="0" borderId="18" xfId="0" quotePrefix="1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3" fontId="0" fillId="0" borderId="18" xfId="0" quotePrefix="1" applyNumberForma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center" vertical="center"/>
    </xf>
    <xf numFmtId="0" fontId="0" fillId="0" borderId="18" xfId="0" quotePrefix="1" applyFill="1" applyBorder="1" applyAlignment="1">
      <alignment horizontal="center" vertical="center" wrapText="1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cent" xfId="5" builtinId="5" customBuiltin="1"/>
    <cellStyle name="Title" xfId="6" builtinId="15" customBuiltin="1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zoomScale="80" zoomScaleNormal="80" workbookViewId="0">
      <pane ySplit="1" topLeftCell="A2" activePane="bottomLeft" state="frozen"/>
      <selection pane="bottomLeft" activeCell="N4" sqref="N4"/>
    </sheetView>
  </sheetViews>
  <sheetFormatPr defaultRowHeight="10.5" outlineLevelCol="1" x14ac:dyDescent="0.15"/>
  <cols>
    <col min="1" max="1" width="43.33203125" bestFit="1" customWidth="1"/>
    <col min="2" max="2" width="36.83203125" customWidth="1"/>
    <col min="3" max="3" width="40.6640625" customWidth="1"/>
    <col min="4" max="4" width="39.6640625" style="2" customWidth="1"/>
    <col min="5" max="12" width="9.33203125" hidden="1" customWidth="1" outlineLevel="1"/>
    <col min="13" max="13" width="9.33203125" collapsed="1"/>
    <col min="14" max="14" width="19.6640625" style="1" bestFit="1" customWidth="1"/>
    <col min="15" max="15" width="15.33203125" style="1" customWidth="1"/>
    <col min="16" max="17" width="44.83203125" customWidth="1"/>
  </cols>
  <sheetData>
    <row r="1" spans="1:12" ht="12.75" x14ac:dyDescent="0.15">
      <c r="A1" s="4" t="s">
        <v>46</v>
      </c>
      <c r="B1" s="17" t="s">
        <v>66</v>
      </c>
      <c r="C1" s="4" t="s">
        <v>72</v>
      </c>
      <c r="D1" s="3" t="s">
        <v>73</v>
      </c>
      <c r="E1" s="20" t="s">
        <v>71</v>
      </c>
      <c r="F1" s="20"/>
      <c r="G1" s="20"/>
      <c r="H1" s="20"/>
      <c r="I1" s="20"/>
      <c r="J1" s="20"/>
      <c r="K1" s="20"/>
      <c r="L1" s="20"/>
    </row>
    <row r="2" spans="1:12" ht="12.75" customHeight="1" x14ac:dyDescent="0.15">
      <c r="A2" s="31" t="s">
        <v>45</v>
      </c>
      <c r="B2" s="32" t="str">
        <f>D2&amp;C2</f>
        <v>094200</v>
      </c>
      <c r="C2" s="33">
        <v>200</v>
      </c>
      <c r="D2" s="34" t="s">
        <v>47</v>
      </c>
    </row>
    <row r="3" spans="1:12" ht="12.75" customHeight="1" x14ac:dyDescent="0.15">
      <c r="A3" s="31" t="s">
        <v>24</v>
      </c>
      <c r="B3" s="32" t="str">
        <f>D3&amp;C3</f>
        <v>215201</v>
      </c>
      <c r="C3" s="33">
        <v>201</v>
      </c>
      <c r="D3" s="35">
        <v>215</v>
      </c>
    </row>
    <row r="4" spans="1:12" ht="39" customHeight="1" x14ac:dyDescent="0.15">
      <c r="A4" s="31" t="s">
        <v>33</v>
      </c>
      <c r="B4" s="36" t="s">
        <v>134</v>
      </c>
      <c r="C4" s="32">
        <v>202</v>
      </c>
      <c r="D4" s="34" t="s">
        <v>67</v>
      </c>
      <c r="E4" s="7" t="s">
        <v>48</v>
      </c>
      <c r="F4" s="7" t="s">
        <v>49</v>
      </c>
    </row>
    <row r="5" spans="1:12" ht="12.75" customHeight="1" x14ac:dyDescent="0.15">
      <c r="A5" s="31" t="s">
        <v>139</v>
      </c>
      <c r="B5" s="45" t="s">
        <v>140</v>
      </c>
      <c r="C5" s="32">
        <v>203</v>
      </c>
      <c r="D5" s="34" t="s">
        <v>56</v>
      </c>
    </row>
    <row r="6" spans="1:12" ht="38.25" customHeight="1" x14ac:dyDescent="0.15">
      <c r="A6" s="31" t="s">
        <v>22</v>
      </c>
      <c r="B6" s="32" t="str">
        <f>D6&amp;C6</f>
        <v>095204</v>
      </c>
      <c r="C6" s="33">
        <v>204</v>
      </c>
      <c r="D6" s="34" t="s">
        <v>50</v>
      </c>
      <c r="E6">
        <v>499</v>
      </c>
      <c r="F6" s="6" t="s">
        <v>58</v>
      </c>
    </row>
    <row r="7" spans="1:12" ht="12.75" customHeight="1" x14ac:dyDescent="0.15">
      <c r="A7" s="31" t="s">
        <v>80</v>
      </c>
      <c r="B7" s="37" t="s">
        <v>91</v>
      </c>
      <c r="C7" s="32">
        <v>205</v>
      </c>
      <c r="D7" s="38">
        <v>440499223</v>
      </c>
    </row>
    <row r="8" spans="1:12" s="25" customFormat="1" ht="38.25" customHeight="1" x14ac:dyDescent="0.15">
      <c r="A8" s="31" t="s">
        <v>26</v>
      </c>
      <c r="B8" s="32" t="str">
        <f>D8&amp;C8</f>
        <v>266206</v>
      </c>
      <c r="C8" s="33">
        <v>206</v>
      </c>
      <c r="D8" s="35">
        <v>266</v>
      </c>
      <c r="E8" s="25">
        <v>220</v>
      </c>
      <c r="F8" s="25">
        <v>219</v>
      </c>
    </row>
    <row r="9" spans="1:12" ht="39" customHeight="1" x14ac:dyDescent="0.15">
      <c r="A9" s="31" t="s">
        <v>16</v>
      </c>
      <c r="B9" s="36" t="s">
        <v>95</v>
      </c>
      <c r="C9" s="32">
        <v>207</v>
      </c>
      <c r="D9" s="38" t="s">
        <v>94</v>
      </c>
      <c r="E9">
        <v>213</v>
      </c>
      <c r="F9">
        <v>218</v>
      </c>
      <c r="G9" s="6" t="s">
        <v>57</v>
      </c>
    </row>
    <row r="10" spans="1:12" ht="12.75" customHeight="1" x14ac:dyDescent="0.15">
      <c r="A10" s="31" t="s">
        <v>19</v>
      </c>
      <c r="B10" s="36" t="s">
        <v>96</v>
      </c>
      <c r="C10" s="32">
        <v>208</v>
      </c>
      <c r="D10" s="38">
        <v>221218</v>
      </c>
    </row>
    <row r="11" spans="1:12" ht="25.5" customHeight="1" x14ac:dyDescent="0.15">
      <c r="A11" s="31" t="s">
        <v>32</v>
      </c>
      <c r="B11" s="32" t="str">
        <f>D11&amp;C11</f>
        <v>095209</v>
      </c>
      <c r="C11" s="33">
        <v>209</v>
      </c>
      <c r="D11" s="39" t="s">
        <v>50</v>
      </c>
      <c r="E11">
        <v>499</v>
      </c>
    </row>
    <row r="12" spans="1:12" ht="25.5" x14ac:dyDescent="0.15">
      <c r="A12" s="31" t="s">
        <v>25</v>
      </c>
      <c r="B12" s="36" t="s">
        <v>97</v>
      </c>
      <c r="C12" s="32">
        <v>210</v>
      </c>
      <c r="D12" s="38">
        <v>440499</v>
      </c>
      <c r="E12">
        <v>202</v>
      </c>
      <c r="F12">
        <v>213</v>
      </c>
      <c r="G12">
        <v>214</v>
      </c>
      <c r="H12">
        <v>215</v>
      </c>
      <c r="I12">
        <v>268</v>
      </c>
      <c r="J12">
        <v>218</v>
      </c>
      <c r="K12">
        <v>219</v>
      </c>
    </row>
    <row r="13" spans="1:12" ht="96" customHeight="1" x14ac:dyDescent="0.15">
      <c r="A13" s="31" t="s">
        <v>20</v>
      </c>
      <c r="B13" s="36" t="s">
        <v>101</v>
      </c>
      <c r="C13" s="32">
        <v>211</v>
      </c>
      <c r="D13" s="40" t="s">
        <v>100</v>
      </c>
    </row>
    <row r="14" spans="1:12" ht="12.75" x14ac:dyDescent="0.15">
      <c r="A14" s="31" t="s">
        <v>102</v>
      </c>
      <c r="B14" s="32" t="str">
        <f>D14&amp;C14</f>
        <v>096212</v>
      </c>
      <c r="C14" s="32">
        <v>212</v>
      </c>
      <c r="D14" s="34" t="s">
        <v>56</v>
      </c>
      <c r="E14">
        <v>268</v>
      </c>
      <c r="F14">
        <v>219</v>
      </c>
    </row>
    <row r="15" spans="1:12" ht="39" customHeight="1" x14ac:dyDescent="0.15">
      <c r="A15" s="31" t="s">
        <v>75</v>
      </c>
      <c r="B15" s="36" t="s">
        <v>103</v>
      </c>
      <c r="C15" s="32">
        <v>213</v>
      </c>
      <c r="D15" s="38">
        <v>219269</v>
      </c>
      <c r="E15">
        <v>268</v>
      </c>
    </row>
    <row r="16" spans="1:12" ht="50.25" customHeight="1" x14ac:dyDescent="0.15">
      <c r="A16" s="31" t="s">
        <v>104</v>
      </c>
      <c r="B16" s="36" t="s">
        <v>105</v>
      </c>
      <c r="C16" s="32">
        <v>214</v>
      </c>
      <c r="D16" s="38">
        <v>219269</v>
      </c>
      <c r="E16">
        <v>92</v>
      </c>
      <c r="F16">
        <v>266</v>
      </c>
    </row>
    <row r="17" spans="1:15" ht="58.5" customHeight="1" x14ac:dyDescent="0.15">
      <c r="A17" s="31" t="s">
        <v>27</v>
      </c>
      <c r="B17" s="36" t="s">
        <v>107</v>
      </c>
      <c r="C17" s="32">
        <v>215</v>
      </c>
      <c r="D17" s="34" t="s">
        <v>106</v>
      </c>
    </row>
    <row r="18" spans="1:15" ht="12.75" customHeight="1" x14ac:dyDescent="0.15">
      <c r="A18" s="31" t="s">
        <v>108</v>
      </c>
      <c r="B18" s="32">
        <v>100216</v>
      </c>
      <c r="C18" s="33">
        <v>216</v>
      </c>
      <c r="D18" s="35" t="s">
        <v>76</v>
      </c>
    </row>
    <row r="19" spans="1:15" ht="12.75" customHeight="1" x14ac:dyDescent="0.15">
      <c r="A19" s="31" t="s">
        <v>109</v>
      </c>
      <c r="B19" s="41" t="s">
        <v>110</v>
      </c>
      <c r="C19" s="33">
        <v>217</v>
      </c>
      <c r="D19" s="42" t="s">
        <v>50</v>
      </c>
    </row>
    <row r="20" spans="1:15" ht="12.75" x14ac:dyDescent="0.15">
      <c r="A20" s="31" t="s">
        <v>70</v>
      </c>
      <c r="B20" s="43" t="s">
        <v>74</v>
      </c>
      <c r="C20" s="33">
        <v>218</v>
      </c>
      <c r="D20" s="39" t="s">
        <v>50</v>
      </c>
    </row>
    <row r="21" spans="1:15" ht="27" customHeight="1" x14ac:dyDescent="0.15">
      <c r="A21" s="31" t="s">
        <v>111</v>
      </c>
      <c r="B21" s="44" t="s">
        <v>112</v>
      </c>
      <c r="C21" s="32">
        <v>219</v>
      </c>
      <c r="D21" s="38">
        <v>440499</v>
      </c>
      <c r="E21">
        <v>92</v>
      </c>
    </row>
    <row r="22" spans="1:15" ht="27" customHeight="1" x14ac:dyDescent="0.15">
      <c r="A22" s="31" t="s">
        <v>21</v>
      </c>
      <c r="B22" s="45" t="s">
        <v>113</v>
      </c>
      <c r="C22" s="32">
        <v>220</v>
      </c>
      <c r="D22" s="34" t="s">
        <v>68</v>
      </c>
    </row>
    <row r="23" spans="1:15" ht="12.75" customHeight="1" x14ac:dyDescent="0.15">
      <c r="A23" s="31" t="s">
        <v>114</v>
      </c>
      <c r="B23" s="32" t="str">
        <f>D23&amp;C23</f>
        <v>092221</v>
      </c>
      <c r="C23" s="32">
        <v>221</v>
      </c>
      <c r="D23" s="34" t="s">
        <v>49</v>
      </c>
      <c r="E23">
        <v>12</v>
      </c>
      <c r="O23"/>
    </row>
    <row r="24" spans="1:15" ht="12.75" x14ac:dyDescent="0.15">
      <c r="A24" s="31" t="s">
        <v>30</v>
      </c>
      <c r="B24" s="46" t="s">
        <v>115</v>
      </c>
      <c r="C24" s="33">
        <v>222</v>
      </c>
      <c r="D24" s="39" t="s">
        <v>49</v>
      </c>
      <c r="N24"/>
      <c r="O24"/>
    </row>
    <row r="25" spans="1:15" ht="48" customHeight="1" x14ac:dyDescent="0.15">
      <c r="A25" s="31" t="s">
        <v>116</v>
      </c>
      <c r="B25" s="44" t="s">
        <v>117</v>
      </c>
      <c r="C25" s="32">
        <v>223</v>
      </c>
      <c r="D25" s="38">
        <v>648615</v>
      </c>
      <c r="E25">
        <v>233</v>
      </c>
      <c r="F25">
        <v>214</v>
      </c>
      <c r="G25">
        <v>215</v>
      </c>
      <c r="H25">
        <v>268</v>
      </c>
      <c r="I25">
        <v>220</v>
      </c>
      <c r="J25">
        <v>218</v>
      </c>
      <c r="K25">
        <v>219</v>
      </c>
      <c r="L25" s="6" t="s">
        <v>57</v>
      </c>
      <c r="N25"/>
      <c r="O25"/>
    </row>
    <row r="26" spans="1:15" ht="141" customHeight="1" x14ac:dyDescent="0.15">
      <c r="A26" s="31" t="s">
        <v>23</v>
      </c>
      <c r="B26" s="36" t="s">
        <v>119</v>
      </c>
      <c r="C26" s="32">
        <v>224</v>
      </c>
      <c r="D26" s="40" t="s">
        <v>118</v>
      </c>
      <c r="E26">
        <v>97</v>
      </c>
      <c r="F26">
        <v>92</v>
      </c>
      <c r="N26"/>
      <c r="O26"/>
    </row>
    <row r="27" spans="1:15" ht="38.25" customHeight="1" x14ac:dyDescent="0.15">
      <c r="A27" s="31" t="s">
        <v>34</v>
      </c>
      <c r="B27" s="36" t="s">
        <v>120</v>
      </c>
      <c r="C27" s="32">
        <v>225</v>
      </c>
      <c r="D27" s="34" t="s">
        <v>67</v>
      </c>
      <c r="N27"/>
      <c r="O27"/>
    </row>
    <row r="28" spans="1:15" ht="39.75" customHeight="1" x14ac:dyDescent="0.15">
      <c r="A28" s="31" t="s">
        <v>121</v>
      </c>
      <c r="B28" s="44" t="s">
        <v>122</v>
      </c>
      <c r="C28" s="32">
        <v>226</v>
      </c>
      <c r="D28" s="38">
        <v>440499</v>
      </c>
      <c r="E28">
        <v>499</v>
      </c>
      <c r="F28">
        <v>12</v>
      </c>
      <c r="N28"/>
      <c r="O28"/>
    </row>
    <row r="29" spans="1:15" ht="24.75" customHeight="1" x14ac:dyDescent="0.15">
      <c r="A29" s="31" t="s">
        <v>31</v>
      </c>
      <c r="B29" s="36" t="s">
        <v>123</v>
      </c>
      <c r="C29" s="32">
        <v>227</v>
      </c>
      <c r="D29" s="38">
        <v>440499</v>
      </c>
      <c r="E29">
        <v>499</v>
      </c>
      <c r="F29">
        <v>12</v>
      </c>
      <c r="N29"/>
      <c r="O29"/>
    </row>
    <row r="30" spans="1:15" ht="12.75" customHeight="1" x14ac:dyDescent="0.15">
      <c r="A30" s="31" t="s">
        <v>124</v>
      </c>
      <c r="B30" s="47">
        <v>100228</v>
      </c>
      <c r="C30" s="32">
        <v>228</v>
      </c>
      <c r="D30" s="38" t="s">
        <v>76</v>
      </c>
      <c r="N30"/>
      <c r="O30"/>
    </row>
    <row r="31" spans="1:15" ht="12.75" x14ac:dyDescent="0.15">
      <c r="A31" s="31" t="s">
        <v>17</v>
      </c>
      <c r="B31" s="32" t="str">
        <f>D31&amp;C31</f>
        <v>096229</v>
      </c>
      <c r="C31" s="32">
        <v>229</v>
      </c>
      <c r="D31" s="34" t="s">
        <v>56</v>
      </c>
      <c r="E31">
        <v>95</v>
      </c>
      <c r="N31"/>
      <c r="O31"/>
    </row>
    <row r="32" spans="1:15" ht="37.5" customHeight="1" x14ac:dyDescent="0.15">
      <c r="A32" s="31" t="s">
        <v>18</v>
      </c>
      <c r="B32" s="36" t="s">
        <v>125</v>
      </c>
      <c r="C32" s="32">
        <v>230</v>
      </c>
      <c r="D32" s="38">
        <v>648615095</v>
      </c>
      <c r="E32" s="6" t="s">
        <v>56</v>
      </c>
      <c r="N32"/>
    </row>
    <row r="33" spans="1:15" ht="26.25" customHeight="1" x14ac:dyDescent="0.15">
      <c r="A33" s="31" t="s">
        <v>15</v>
      </c>
      <c r="B33" s="36" t="s">
        <v>126</v>
      </c>
      <c r="C33" s="32">
        <v>231</v>
      </c>
      <c r="D33" s="38">
        <v>269096</v>
      </c>
      <c r="E33">
        <v>415</v>
      </c>
    </row>
    <row r="34" spans="1:15" ht="27.75" customHeight="1" x14ac:dyDescent="0.15">
      <c r="A34" s="31" t="s">
        <v>28</v>
      </c>
      <c r="B34" s="36" t="s">
        <v>127</v>
      </c>
      <c r="C34" s="32">
        <v>233</v>
      </c>
      <c r="D34" s="34" t="s">
        <v>69</v>
      </c>
      <c r="E34">
        <v>214</v>
      </c>
      <c r="F34">
        <v>268</v>
      </c>
      <c r="G34">
        <v>219</v>
      </c>
    </row>
    <row r="35" spans="1:15" ht="30" customHeight="1" x14ac:dyDescent="0.15">
      <c r="A35" s="31" t="s">
        <v>29</v>
      </c>
      <c r="B35" s="36" t="s">
        <v>129</v>
      </c>
      <c r="C35" s="32">
        <v>234</v>
      </c>
      <c r="D35" s="34" t="s">
        <v>128</v>
      </c>
    </row>
    <row r="36" spans="1:15" ht="12.75" x14ac:dyDescent="0.15">
      <c r="A36" s="31" t="s">
        <v>130</v>
      </c>
      <c r="B36" s="32">
        <v>92236</v>
      </c>
      <c r="C36" s="33">
        <v>236</v>
      </c>
      <c r="D36" s="39" t="s">
        <v>49</v>
      </c>
    </row>
    <row r="37" spans="1:15" s="29" customFormat="1" ht="31.5" customHeight="1" x14ac:dyDescent="0.15">
      <c r="A37" s="31" t="s">
        <v>131</v>
      </c>
      <c r="B37" s="44" t="s">
        <v>132</v>
      </c>
      <c r="C37" s="32">
        <v>237</v>
      </c>
      <c r="D37" s="48">
        <v>648615</v>
      </c>
      <c r="N37" s="30"/>
      <c r="O37" s="30"/>
    </row>
    <row r="38" spans="1:15" ht="12.75" customHeight="1" x14ac:dyDescent="0.15">
      <c r="A38" s="31" t="s">
        <v>44</v>
      </c>
      <c r="B38" s="32" t="str">
        <f t="shared" ref="B38:B45" si="0">D38&amp;C38</f>
        <v>094239</v>
      </c>
      <c r="C38" s="32">
        <v>239</v>
      </c>
      <c r="D38" s="34" t="s">
        <v>47</v>
      </c>
    </row>
    <row r="39" spans="1:15" ht="12.75" customHeight="1" x14ac:dyDescent="0.15">
      <c r="A39" s="49" t="s">
        <v>136</v>
      </c>
      <c r="B39" s="32" t="str">
        <f t="shared" si="0"/>
        <v>094240</v>
      </c>
      <c r="C39" s="32">
        <v>240</v>
      </c>
      <c r="D39" s="34" t="s">
        <v>47</v>
      </c>
    </row>
    <row r="40" spans="1:15" ht="12.75" customHeight="1" x14ac:dyDescent="0.15">
      <c r="A40" s="31" t="s">
        <v>35</v>
      </c>
      <c r="B40" s="32" t="str">
        <f t="shared" si="0"/>
        <v>096601</v>
      </c>
      <c r="C40" s="32">
        <v>601</v>
      </c>
      <c r="D40" s="34" t="s">
        <v>56</v>
      </c>
    </row>
    <row r="41" spans="1:15" ht="12.75" customHeight="1" x14ac:dyDescent="0.15">
      <c r="A41" s="31" t="s">
        <v>36</v>
      </c>
      <c r="B41" s="32" t="str">
        <f t="shared" si="0"/>
        <v>094602</v>
      </c>
      <c r="C41" s="32">
        <v>602</v>
      </c>
      <c r="D41" s="34" t="s">
        <v>47</v>
      </c>
    </row>
    <row r="42" spans="1:15" ht="12.75" customHeight="1" x14ac:dyDescent="0.15">
      <c r="A42" s="31" t="s">
        <v>37</v>
      </c>
      <c r="B42" s="32" t="str">
        <f t="shared" si="0"/>
        <v>095603</v>
      </c>
      <c r="C42" s="32">
        <v>603</v>
      </c>
      <c r="D42" s="34" t="s">
        <v>50</v>
      </c>
    </row>
    <row r="43" spans="1:15" ht="12.75" customHeight="1" x14ac:dyDescent="0.15">
      <c r="A43" s="31" t="s">
        <v>38</v>
      </c>
      <c r="B43" s="32" t="str">
        <f t="shared" si="0"/>
        <v>266604</v>
      </c>
      <c r="C43" s="32">
        <v>604</v>
      </c>
      <c r="D43" s="50">
        <v>266</v>
      </c>
    </row>
    <row r="44" spans="1:15" ht="12.75" customHeight="1" x14ac:dyDescent="0.15">
      <c r="A44" s="31" t="s">
        <v>39</v>
      </c>
      <c r="B44" s="32" t="str">
        <f t="shared" si="0"/>
        <v>092605</v>
      </c>
      <c r="C44" s="32">
        <v>605</v>
      </c>
      <c r="D44" s="34" t="s">
        <v>49</v>
      </c>
    </row>
    <row r="45" spans="1:15" ht="12.75" customHeight="1" x14ac:dyDescent="0.15">
      <c r="A45" s="31" t="s">
        <v>40</v>
      </c>
      <c r="B45" s="32" t="str">
        <f t="shared" si="0"/>
        <v>648606</v>
      </c>
      <c r="C45" s="32">
        <v>606</v>
      </c>
      <c r="D45" s="50">
        <v>648</v>
      </c>
    </row>
    <row r="46" spans="1:15" ht="42" customHeight="1" x14ac:dyDescent="0.15">
      <c r="A46" s="31" t="s">
        <v>41</v>
      </c>
      <c r="B46" s="36" t="s">
        <v>137</v>
      </c>
      <c r="C46" s="32">
        <v>607</v>
      </c>
      <c r="D46" s="51" t="s">
        <v>138</v>
      </c>
      <c r="E46">
        <v>233</v>
      </c>
      <c r="F46">
        <v>214</v>
      </c>
      <c r="G46">
        <v>215</v>
      </c>
      <c r="H46">
        <v>268</v>
      </c>
      <c r="I46">
        <v>220</v>
      </c>
      <c r="J46">
        <v>218</v>
      </c>
      <c r="K46">
        <v>219</v>
      </c>
      <c r="L46" s="6" t="s">
        <v>57</v>
      </c>
    </row>
    <row r="47" spans="1:15" ht="27" customHeight="1" x14ac:dyDescent="0.15">
      <c r="A47" s="31" t="s">
        <v>42</v>
      </c>
      <c r="B47" s="36" t="s">
        <v>133</v>
      </c>
      <c r="C47" s="32">
        <v>608</v>
      </c>
      <c r="D47" s="38">
        <v>440499</v>
      </c>
      <c r="E47">
        <v>499</v>
      </c>
      <c r="F47">
        <v>12</v>
      </c>
    </row>
    <row r="48" spans="1:15" ht="27" customHeight="1" x14ac:dyDescent="0.15">
      <c r="A48" s="31" t="s">
        <v>43</v>
      </c>
      <c r="B48" s="36" t="s">
        <v>135</v>
      </c>
      <c r="C48" s="32">
        <v>609</v>
      </c>
      <c r="D48" s="48">
        <v>218221</v>
      </c>
      <c r="E48">
        <v>233</v>
      </c>
      <c r="F48">
        <v>214</v>
      </c>
      <c r="G48">
        <v>215</v>
      </c>
      <c r="H48">
        <v>268</v>
      </c>
      <c r="I48">
        <v>220</v>
      </c>
      <c r="J48">
        <v>218</v>
      </c>
      <c r="K48">
        <v>219</v>
      </c>
      <c r="L48" s="6" t="s">
        <v>57</v>
      </c>
    </row>
    <row r="49" spans="1:3" ht="12.75" x14ac:dyDescent="0.15">
      <c r="A49" s="5"/>
      <c r="B49" s="5"/>
    </row>
    <row r="50" spans="1:3" ht="12.75" x14ac:dyDescent="0.15">
      <c r="A50" s="5"/>
      <c r="B50" s="5"/>
    </row>
    <row r="51" spans="1:3" ht="12.75" x14ac:dyDescent="0.15">
      <c r="A51" s="5"/>
      <c r="B51" s="5"/>
    </row>
    <row r="52" spans="1:3" ht="12.75" x14ac:dyDescent="0.15">
      <c r="A52" s="5"/>
      <c r="B52" s="5"/>
    </row>
    <row r="53" spans="1:3" ht="12.75" x14ac:dyDescent="0.15">
      <c r="A53" s="5"/>
      <c r="B53" s="5"/>
    </row>
    <row r="54" spans="1:3" ht="12.75" x14ac:dyDescent="0.15">
      <c r="A54" s="5"/>
      <c r="B54" s="5"/>
    </row>
    <row r="55" spans="1:3" ht="13.5" thickBot="1" x14ac:dyDescent="0.2">
      <c r="A55" s="5"/>
      <c r="B55" s="5"/>
    </row>
    <row r="56" spans="1:3" ht="13.5" thickBot="1" x14ac:dyDescent="0.2">
      <c r="A56" s="12" t="s">
        <v>14</v>
      </c>
      <c r="B56" s="13" t="s">
        <v>65</v>
      </c>
      <c r="C56" s="14" t="s">
        <v>59</v>
      </c>
    </row>
    <row r="57" spans="1:3" ht="12.75" x14ac:dyDescent="0.15">
      <c r="A57" s="21" t="s">
        <v>76</v>
      </c>
      <c r="B57" s="22">
        <v>298</v>
      </c>
      <c r="C57" s="23" t="s">
        <v>77</v>
      </c>
    </row>
    <row r="58" spans="1:3" ht="12.75" x14ac:dyDescent="0.15">
      <c r="A58" s="24" t="s">
        <v>3</v>
      </c>
      <c r="B58" s="8">
        <v>219</v>
      </c>
      <c r="C58" s="9" t="s">
        <v>10</v>
      </c>
    </row>
    <row r="59" spans="1:3" ht="12.75" x14ac:dyDescent="0.15">
      <c r="A59" s="24" t="s">
        <v>4</v>
      </c>
      <c r="B59" s="8">
        <v>220</v>
      </c>
      <c r="C59" s="9" t="s">
        <v>11</v>
      </c>
    </row>
    <row r="60" spans="1:3" ht="12.75" x14ac:dyDescent="0.15">
      <c r="A60" s="24" t="s">
        <v>81</v>
      </c>
      <c r="B60" s="8">
        <v>221</v>
      </c>
      <c r="C60" s="9" t="s">
        <v>82</v>
      </c>
    </row>
    <row r="61" spans="1:3" ht="12.75" x14ac:dyDescent="0.15">
      <c r="A61" s="24" t="s">
        <v>83</v>
      </c>
      <c r="B61" s="8">
        <v>222</v>
      </c>
      <c r="C61" s="9" t="s">
        <v>84</v>
      </c>
    </row>
    <row r="62" spans="1:3" ht="25.5" x14ac:dyDescent="0.15">
      <c r="A62" s="24" t="s">
        <v>0</v>
      </c>
      <c r="B62" s="8">
        <v>415</v>
      </c>
      <c r="C62" s="9" t="s">
        <v>7</v>
      </c>
    </row>
    <row r="63" spans="1:3" ht="12.75" x14ac:dyDescent="0.15">
      <c r="A63" s="26" t="s">
        <v>1</v>
      </c>
      <c r="B63" s="27">
        <v>215</v>
      </c>
      <c r="C63" s="28" t="s">
        <v>8</v>
      </c>
    </row>
    <row r="64" spans="1:3" ht="12.75" x14ac:dyDescent="0.15">
      <c r="A64" s="24" t="s">
        <v>85</v>
      </c>
      <c r="B64" s="8">
        <v>269</v>
      </c>
      <c r="C64" s="9" t="s">
        <v>86</v>
      </c>
    </row>
    <row r="65" spans="1:3" ht="25.5" x14ac:dyDescent="0.15">
      <c r="A65" s="24" t="s">
        <v>2</v>
      </c>
      <c r="B65" s="8">
        <v>218</v>
      </c>
      <c r="C65" s="9" t="s">
        <v>9</v>
      </c>
    </row>
    <row r="66" spans="1:3" ht="12.75" x14ac:dyDescent="0.15">
      <c r="A66" s="24" t="s">
        <v>5</v>
      </c>
      <c r="B66" s="8">
        <v>499</v>
      </c>
      <c r="C66" s="9" t="s">
        <v>12</v>
      </c>
    </row>
    <row r="67" spans="1:3" ht="12.75" x14ac:dyDescent="0.15">
      <c r="A67" s="24" t="s">
        <v>89</v>
      </c>
      <c r="B67" s="8">
        <v>223</v>
      </c>
      <c r="C67" s="9" t="s">
        <v>90</v>
      </c>
    </row>
    <row r="68" spans="1:3" ht="12.75" x14ac:dyDescent="0.15">
      <c r="A68" s="24" t="s">
        <v>6</v>
      </c>
      <c r="B68" s="8">
        <v>440</v>
      </c>
      <c r="C68" s="9" t="s">
        <v>13</v>
      </c>
    </row>
    <row r="69" spans="1:3" ht="12.75" x14ac:dyDescent="0.15">
      <c r="A69" s="24" t="s">
        <v>87</v>
      </c>
      <c r="B69" s="8">
        <v>615</v>
      </c>
      <c r="C69" s="9" t="s">
        <v>88</v>
      </c>
    </row>
    <row r="70" spans="1:3" ht="12.75" x14ac:dyDescent="0.15">
      <c r="A70" s="24" t="s">
        <v>78</v>
      </c>
      <c r="B70" s="8">
        <v>648</v>
      </c>
      <c r="C70" s="9" t="s">
        <v>79</v>
      </c>
    </row>
    <row r="71" spans="1:3" ht="12.75" x14ac:dyDescent="0.15">
      <c r="A71" s="24" t="s">
        <v>92</v>
      </c>
      <c r="B71" s="8">
        <v>96</v>
      </c>
      <c r="C71" s="9" t="s">
        <v>93</v>
      </c>
    </row>
    <row r="72" spans="1:3" ht="12.75" x14ac:dyDescent="0.15">
      <c r="A72" s="24" t="s">
        <v>51</v>
      </c>
      <c r="B72" s="8">
        <v>266</v>
      </c>
      <c r="C72" s="9" t="s">
        <v>60</v>
      </c>
    </row>
    <row r="73" spans="1:3" ht="12.75" x14ac:dyDescent="0.15">
      <c r="A73" s="15" t="s">
        <v>52</v>
      </c>
      <c r="B73" s="8" t="s">
        <v>47</v>
      </c>
      <c r="C73" s="9" t="s">
        <v>61</v>
      </c>
    </row>
    <row r="74" spans="1:3" ht="12.75" x14ac:dyDescent="0.15">
      <c r="A74" s="15" t="s">
        <v>53</v>
      </c>
      <c r="B74" s="8" t="s">
        <v>48</v>
      </c>
      <c r="C74" s="9" t="s">
        <v>62</v>
      </c>
    </row>
    <row r="75" spans="1:3" ht="12.75" x14ac:dyDescent="0.15">
      <c r="A75" s="15" t="s">
        <v>54</v>
      </c>
      <c r="B75" s="8" t="s">
        <v>49</v>
      </c>
      <c r="C75" s="9" t="s">
        <v>63</v>
      </c>
    </row>
    <row r="76" spans="1:3" ht="12.75" x14ac:dyDescent="0.15">
      <c r="A76" s="15" t="s">
        <v>98</v>
      </c>
      <c r="B76" s="8">
        <v>93</v>
      </c>
      <c r="C76" s="9" t="s">
        <v>99</v>
      </c>
    </row>
    <row r="77" spans="1:3" ht="13.5" thickBot="1" x14ac:dyDescent="0.2">
      <c r="A77" s="16" t="s">
        <v>55</v>
      </c>
      <c r="B77" s="10" t="s">
        <v>50</v>
      </c>
      <c r="C77" s="11" t="s">
        <v>64</v>
      </c>
    </row>
  </sheetData>
  <mergeCells count="1">
    <mergeCell ref="E1:L1"/>
  </mergeCells>
  <pageMargins left="0.7" right="0.7" top="0.75" bottom="0.75" header="0.3" footer="0.3"/>
  <pageSetup orientation="portrait" r:id="rId1"/>
  <ignoredErrors>
    <ignoredError sqref="D6 D22:D23 D8 D11:D12 D14 D27 D31 D34 D40:D44 D38:D39 D2:D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H11" sqref="H11"/>
    </sheetView>
  </sheetViews>
  <sheetFormatPr defaultRowHeight="10.5" x14ac:dyDescent="0.15"/>
  <cols>
    <col min="1" max="1" width="14.6640625" style="18" bestFit="1" customWidth="1"/>
    <col min="3" max="3" width="14.6640625" bestFit="1" customWidth="1"/>
  </cols>
  <sheetData>
    <row r="1" spans="1:3" x14ac:dyDescent="0.15">
      <c r="A1" s="18">
        <v>415968.26</v>
      </c>
    </row>
    <row r="2" spans="1:3" x14ac:dyDescent="0.15">
      <c r="A2" s="18">
        <v>420748</v>
      </c>
    </row>
    <row r="3" spans="1:3" x14ac:dyDescent="0.15">
      <c r="A3" s="18">
        <v>471043.36</v>
      </c>
    </row>
    <row r="4" spans="1:3" x14ac:dyDescent="0.15">
      <c r="A4" s="18">
        <v>461199.4</v>
      </c>
    </row>
    <row r="6" spans="1:3" x14ac:dyDescent="0.15">
      <c r="C6" s="18">
        <f>SUM(A1:A4)</f>
        <v>1768959.02</v>
      </c>
    </row>
    <row r="7" spans="1:3" x14ac:dyDescent="0.15">
      <c r="C7" s="18">
        <v>-195052</v>
      </c>
    </row>
    <row r="8" spans="1:3" x14ac:dyDescent="0.15">
      <c r="C8" s="19">
        <f>SUM(C6:C7)</f>
        <v>1573907.02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6CAD09-7FE3-425B-B18F-BC50BA22E4D0}"/>
</file>

<file path=customXml/itemProps2.xml><?xml version="1.0" encoding="utf-8"?>
<ds:datastoreItem xmlns:ds="http://schemas.openxmlformats.org/officeDocument/2006/customXml" ds:itemID="{CD088E56-4BD8-4AB1-B843-5ACA37FDEC60}"/>
</file>

<file path=customXml/itemProps3.xml><?xml version="1.0" encoding="utf-8"?>
<ds:datastoreItem xmlns:ds="http://schemas.openxmlformats.org/officeDocument/2006/customXml" ds:itemID="{3333C8FF-065D-4072-A9F2-08EAE22785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Feb 2013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G. Francis</dc:creator>
  <cp:lastModifiedBy>Kristian C. Vasquez</cp:lastModifiedBy>
  <cp:lastPrinted>2013-01-22T15:11:32Z</cp:lastPrinted>
  <dcterms:created xsi:type="dcterms:W3CDTF">2013-01-22T14:34:43Z</dcterms:created>
  <dcterms:modified xsi:type="dcterms:W3CDTF">2014-02-18T20:01:21Z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34800</vt:r8>
  </property>
</Properties>
</file>