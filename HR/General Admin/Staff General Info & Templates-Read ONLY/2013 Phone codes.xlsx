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4370"/>
  </bookViews>
  <sheets>
    <sheet name="As of Feb 2013" sheetId="2" r:id="rId1"/>
    <sheet name="Sheet3" sheetId="3" r:id="rId2"/>
  </sheets>
  <calcPr calcId="145621"/>
</workbook>
</file>

<file path=xl/calcChain.xml><?xml version="1.0" encoding="utf-8"?>
<calcChain xmlns="http://schemas.openxmlformats.org/spreadsheetml/2006/main">
  <c r="C45" i="2" l="1"/>
  <c r="C44" i="2"/>
  <c r="C43" i="2"/>
  <c r="C42" i="2"/>
  <c r="C41" i="2"/>
  <c r="C40" i="2"/>
  <c r="C39" i="2"/>
  <c r="C38" i="2"/>
  <c r="C37" i="2"/>
  <c r="C36" i="2"/>
  <c r="C35" i="2"/>
  <c r="C30" i="2"/>
  <c r="C27" i="2"/>
  <c r="C24" i="2"/>
  <c r="C22" i="2"/>
  <c r="C20" i="2"/>
  <c r="C19" i="2"/>
  <c r="C18" i="2"/>
  <c r="C17" i="2"/>
  <c r="C13" i="2"/>
  <c r="C10" i="2"/>
  <c r="C7" i="2"/>
  <c r="C5" i="2"/>
  <c r="C2" i="2"/>
  <c r="C3" i="2"/>
</calcChain>
</file>

<file path=xl/sharedStrings.xml><?xml version="1.0" encoding="utf-8"?>
<sst xmlns="http://schemas.openxmlformats.org/spreadsheetml/2006/main" count="153" uniqueCount="103">
  <si>
    <t>DOL415</t>
  </si>
  <si>
    <t>DOS213</t>
  </si>
  <si>
    <t>DOS214</t>
  </si>
  <si>
    <t>DOS215</t>
  </si>
  <si>
    <t>DOS218</t>
  </si>
  <si>
    <t>DOS219</t>
  </si>
  <si>
    <t>DOS220</t>
  </si>
  <si>
    <t>DOS268</t>
  </si>
  <si>
    <t>GRS13</t>
  </si>
  <si>
    <t>IDB12</t>
  </si>
  <si>
    <t>IDB499</t>
  </si>
  <si>
    <t>USAID440</t>
  </si>
  <si>
    <t>USAID647</t>
  </si>
  <si>
    <t>DOL 415 Combating Child Labor Program Panama/Ecuador</t>
  </si>
  <si>
    <t>DOS213 Youth Ambassadors Venezuela</t>
  </si>
  <si>
    <t>DOS214 Legislative Fellows</t>
  </si>
  <si>
    <t>DOS215 Senior ECPA Fellows</t>
  </si>
  <si>
    <t>DOS American Youth Leadership - Paraguay</t>
  </si>
  <si>
    <t>DOS219 Legislative Fellows</t>
  </si>
  <si>
    <t>DOS220 Business Fellows</t>
  </si>
  <si>
    <t>DOS268 Education &amp; Culture 2012</t>
  </si>
  <si>
    <t>Girls Rights Seminar Brasilia</t>
  </si>
  <si>
    <t>Barbados Feasibility Study</t>
  </si>
  <si>
    <t>IDB499 A Ganar</t>
  </si>
  <si>
    <t>USAID440 A Ganar Caribbean</t>
  </si>
  <si>
    <t>USAID647 Farmer to Farmer</t>
  </si>
  <si>
    <t>Program-Dept Code</t>
  </si>
  <si>
    <t>Extenstion</t>
  </si>
  <si>
    <t>Barbara B. BLOCH</t>
  </si>
  <si>
    <t>Lauren K. BOETSCH</t>
  </si>
  <si>
    <t>Ukiah J. BUSCH</t>
  </si>
  <si>
    <t>Margaret E. (Peggy) CARLSON</t>
  </si>
  <si>
    <t>Abraham A. CISNE</t>
  </si>
  <si>
    <t>Matthew N. CLAUSEN</t>
  </si>
  <si>
    <t>Horacio CORREA, Jr.</t>
  </si>
  <si>
    <t>Gabrielle R. EQUALE</t>
  </si>
  <si>
    <t>Nancy G. FRANCIS</t>
  </si>
  <si>
    <t>Melissa L. GOLLADAY</t>
  </si>
  <si>
    <t>Jesse D. HATCHER</t>
  </si>
  <si>
    <t>Elizabeth LOPEZ</t>
  </si>
  <si>
    <t>Christine B. McCURDY</t>
  </si>
  <si>
    <t>Theresa McMENOMY</t>
  </si>
  <si>
    <t>Erin MONE-MARQUEZ</t>
  </si>
  <si>
    <t>Nadia R. MORENO</t>
  </si>
  <si>
    <t>Taylor B. NELSON</t>
  </si>
  <si>
    <t>Michelle R. NICHOLSON</t>
  </si>
  <si>
    <t>Linda R. NICO</t>
  </si>
  <si>
    <t>Meghan OLIVIER</t>
  </si>
  <si>
    <t>Carmen Sofia PEÑA</t>
  </si>
  <si>
    <t>Brooke P. ROSENBAUER</t>
  </si>
  <si>
    <t>Carmen R. SEPASSI</t>
  </si>
  <si>
    <t>Lindsey N. SUGGS</t>
  </si>
  <si>
    <t>Paul L. TEEPLE</t>
  </si>
  <si>
    <t>Marcela G. TRASK</t>
  </si>
  <si>
    <t>Kristian C. VASQUEZ</t>
  </si>
  <si>
    <t>Stephen G. VETTER</t>
  </si>
  <si>
    <t>Sherrita WILKINS</t>
  </si>
  <si>
    <t>Partnership &amp; Programs</t>
  </si>
  <si>
    <t>President’s Office</t>
  </si>
  <si>
    <t>Finance Office</t>
  </si>
  <si>
    <t>Communications Office</t>
  </si>
  <si>
    <t>Program Development</t>
  </si>
  <si>
    <t>Farmer to Farmer</t>
  </si>
  <si>
    <t>Professional Exchanges</t>
  </si>
  <si>
    <t>Sports for Development</t>
  </si>
  <si>
    <t>Youth Engagement</t>
  </si>
  <si>
    <t>Front Desk</t>
  </si>
  <si>
    <t>Conference Calls (Steve)</t>
  </si>
  <si>
    <t xml:space="preserve">  Large Conference Room</t>
  </si>
  <si>
    <t>Elizabeth Holst</t>
  </si>
  <si>
    <t>Intern Station</t>
  </si>
  <si>
    <t>Name</t>
  </si>
  <si>
    <t>094</t>
  </si>
  <si>
    <t>097</t>
  </si>
  <si>
    <t>092</t>
  </si>
  <si>
    <t>095</t>
  </si>
  <si>
    <t>COMM</t>
  </si>
  <si>
    <t>President</t>
  </si>
  <si>
    <t>Board</t>
  </si>
  <si>
    <t>PD</t>
  </si>
  <si>
    <t>F&amp;A</t>
  </si>
  <si>
    <t>096</t>
  </si>
  <si>
    <t>013</t>
  </si>
  <si>
    <t>012</t>
  </si>
  <si>
    <t>Program Description</t>
  </si>
  <si>
    <t>Communications Unit</t>
  </si>
  <si>
    <t>President's Office</t>
  </si>
  <si>
    <t>POA Board</t>
  </si>
  <si>
    <t>Program Development Unit</t>
  </si>
  <si>
    <t>Finance &amp; Administration</t>
  </si>
  <si>
    <t xml:space="preserve">3- Digit Code </t>
  </si>
  <si>
    <t>Phone Code [Prog + Ext]</t>
  </si>
  <si>
    <t>094,097,092</t>
  </si>
  <si>
    <t>096,092,266</t>
  </si>
  <si>
    <t>095,092</t>
  </si>
  <si>
    <t>092,012</t>
  </si>
  <si>
    <t>096,202,213,214,215,268,218,219</t>
  </si>
  <si>
    <t>202,233,214,215,268,220,218,219,013</t>
  </si>
  <si>
    <t>092,415</t>
  </si>
  <si>
    <t>096,214,268,219</t>
  </si>
  <si>
    <t>Addition Program-Dept Codes</t>
  </si>
  <si>
    <t>Rosalind S. ELAHI</t>
  </si>
  <si>
    <t>Various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</si>
</sst>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8" x14ac:knownFonts="1"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0"/>
      <name val="Tahoma"/>
      <family val="2"/>
    </font>
    <font>
      <sz val="8"/>
      <color rgb="FF9C0006"/>
      <name val="Tahoma"/>
      <family val="2"/>
    </font>
    <font>
      <b/>
      <sz val="8"/>
      <color rgb="FFFA7D00"/>
      <name val="Tahoma"/>
      <family val="2"/>
    </font>
    <font>
      <b/>
      <sz val="8"/>
      <color theme="0"/>
      <name val="Tahoma"/>
      <family val="2"/>
    </font>
    <font>
      <i/>
      <sz val="8"/>
      <color rgb="FF7F7F7F"/>
      <name val="Tahoma"/>
      <family val="2"/>
    </font>
    <font>
      <sz val="8"/>
      <color rgb="FF006100"/>
      <name val="Tahoma"/>
      <family val="2"/>
    </font>
    <font>
      <b/>
      <sz val="8"/>
      <color theme="3"/>
      <name val="Tahoma"/>
      <family val="2"/>
    </font>
    <font>
      <sz val="8"/>
      <color rgb="FF3F3F76"/>
      <name val="Tahoma"/>
      <family val="2"/>
    </font>
    <font>
      <sz val="8"/>
      <color rgb="FFFA7D00"/>
      <name val="Tahoma"/>
      <family val="2"/>
    </font>
    <font>
      <sz val="8"/>
      <color rgb="FF9C6500"/>
      <name val="Tahoma"/>
      <family val="2"/>
    </font>
    <font>
      <b/>
      <sz val="8"/>
      <color rgb="FF3F3F3F"/>
      <name val="Tahoma"/>
      <family val="2"/>
    </font>
    <font>
      <b/>
      <sz val="8"/>
      <color theme="1"/>
      <name val="Tahoma"/>
      <family val="2"/>
    </font>
    <font>
      <sz val="8"/>
      <color rgb="FFFF0000"/>
      <name val="Tahoma"/>
      <family val="2"/>
    </font>
    <font>
      <sz val="10"/>
      <color theme="1"/>
      <name val="Calibri"/>
      <family val="2"/>
      <scheme val="minor"/>
    </font>
    <font>
      <b/>
      <sz val="10"/>
      <color rgb="FFFFC000"/>
      <name val="Calibri"/>
      <family val="2"/>
      <scheme val="minor"/>
    </font>
    <font>
      <sz val="10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3300"/>
      </left>
      <right/>
      <top/>
      <bottom/>
      <diagonal/>
    </border>
    <border>
      <left/>
      <right style="medium">
        <color rgb="FFCC3300"/>
      </right>
      <top/>
      <bottom/>
      <diagonal/>
    </border>
    <border>
      <left style="medium">
        <color rgb="FFCC3300"/>
      </left>
      <right/>
      <top/>
      <bottom style="medium">
        <color rgb="FFCC3300"/>
      </bottom>
      <diagonal/>
    </border>
    <border>
      <left/>
      <right/>
      <top/>
      <bottom style="medium">
        <color rgb="FFCC3300"/>
      </bottom>
      <diagonal/>
    </border>
    <border>
      <left/>
      <right style="medium">
        <color rgb="FFCC3300"/>
      </right>
      <top/>
      <bottom style="medium">
        <color rgb="FFCC3300"/>
      </bottom>
      <diagonal/>
    </border>
    <border>
      <left style="medium">
        <color rgb="FFCC3300"/>
      </left>
      <right/>
      <top style="medium">
        <color rgb="FFCC3300"/>
      </top>
      <bottom style="medium">
        <color rgb="FFCC3300"/>
      </bottom>
      <diagonal/>
    </border>
    <border>
      <left/>
      <right/>
      <top style="medium">
        <color rgb="FFCC3300"/>
      </top>
      <bottom style="medium">
        <color rgb="FFCC3300"/>
      </bottom>
      <diagonal/>
    </border>
    <border>
      <left/>
      <right style="medium">
        <color rgb="FFCC3300"/>
      </right>
      <top style="medium">
        <color rgb="FFCC3300"/>
      </top>
      <bottom style="medium">
        <color rgb="FFCC3300"/>
      </bottom>
      <diagonal/>
    </border>
  </borders>
  <cellStyleXfs count="47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8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3" fillId="3" borderId="0" applyNumberFormat="0" applyBorder="0" applyAlignment="0" applyProtection="0"/>
    <xf numFmtId="0" fontId="11" fillId="4" borderId="0" applyNumberFormat="0" applyBorder="0" applyAlignment="0" applyProtection="0"/>
    <xf numFmtId="0" fontId="9" fillId="5" borderId="4" applyNumberFormat="0" applyAlignment="0" applyProtection="0"/>
    <xf numFmtId="0" fontId="12" fillId="6" borderId="5" applyNumberFormat="0" applyAlignment="0" applyProtection="0"/>
    <xf numFmtId="0" fontId="4" fillId="6" borderId="4" applyNumberFormat="0" applyAlignment="0" applyProtection="0"/>
    <xf numFmtId="0" fontId="10" fillId="0" borderId="6" applyNumberFormat="0" applyFill="0" applyAlignment="0" applyProtection="0"/>
    <xf numFmtId="0" fontId="5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6" fillId="0" borderId="0" applyNumberFormat="0" applyFill="0" applyBorder="0" applyAlignment="0" applyProtection="0"/>
    <xf numFmtId="0" fontId="13" fillId="0" borderId="9" applyNumberFormat="0" applyFill="0" applyAlignment="0" applyProtection="0"/>
    <xf numFmtId="0" fontId="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 vertical="top"/>
    </xf>
    <xf numFmtId="0" fontId="16" fillId="33" borderId="0" xfId="0" applyFont="1" applyFill="1" applyAlignment="1">
      <alignment horizontal="center" vertical="top"/>
    </xf>
    <xf numFmtId="0" fontId="16" fillId="33" borderId="0" xfId="0" applyFont="1" applyFill="1" applyAlignment="1">
      <alignment horizontal="center" vertical="top" wrapText="1"/>
    </xf>
    <xf numFmtId="0" fontId="1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0" fillId="0" borderId="0" xfId="0" quotePrefix="1"/>
    <xf numFmtId="0" fontId="0" fillId="0" borderId="0" xfId="0" quotePrefix="1" applyAlignment="1">
      <alignment horizontal="right"/>
    </xf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center"/>
    </xf>
    <xf numFmtId="0" fontId="15" fillId="0" borderId="0" xfId="0" applyFont="1" applyBorder="1" applyAlignment="1">
      <alignment horizontal="center" vertical="top" wrapText="1"/>
    </xf>
    <xf numFmtId="0" fontId="15" fillId="0" borderId="11" xfId="0" applyFont="1" applyBorder="1" applyAlignment="1">
      <alignment horizontal="left" vertical="top" wrapText="1"/>
    </xf>
    <xf numFmtId="0" fontId="15" fillId="0" borderId="13" xfId="0" applyFont="1" applyBorder="1" applyAlignment="1">
      <alignment horizontal="center" vertical="top" wrapText="1"/>
    </xf>
    <xf numFmtId="0" fontId="15" fillId="0" borderId="14" xfId="0" applyFont="1" applyBorder="1" applyAlignment="1">
      <alignment horizontal="left" vertical="top" wrapText="1"/>
    </xf>
    <xf numFmtId="0" fontId="16" fillId="33" borderId="15" xfId="0" applyFont="1" applyFill="1" applyBorder="1" applyAlignment="1">
      <alignment horizontal="center" vertical="top"/>
    </xf>
    <xf numFmtId="0" fontId="16" fillId="33" borderId="16" xfId="0" applyFont="1" applyFill="1" applyBorder="1" applyAlignment="1">
      <alignment horizontal="center" vertical="top"/>
    </xf>
    <xf numFmtId="0" fontId="16" fillId="33" borderId="17" xfId="0" applyFont="1" applyFill="1" applyBorder="1" applyAlignment="1">
      <alignment horizontal="center" vertical="top"/>
    </xf>
    <xf numFmtId="0" fontId="15" fillId="0" borderId="10" xfId="0" applyFont="1" applyBorder="1" applyAlignment="1">
      <alignment horizontal="center" vertical="top" wrapText="1"/>
    </xf>
    <xf numFmtId="0" fontId="15" fillId="0" borderId="12" xfId="0" applyFont="1" applyBorder="1" applyAlignment="1">
      <alignment horizontal="center" vertical="top" wrapText="1"/>
    </xf>
    <xf numFmtId="3" fontId="0" fillId="0" borderId="0" xfId="0" applyNumberFormat="1" applyAlignment="1">
      <alignment horizontal="center"/>
    </xf>
    <xf numFmtId="0" fontId="0" fillId="0" borderId="0" xfId="0" quotePrefix="1" applyAlignment="1">
      <alignment horizontal="center" wrapText="1"/>
    </xf>
    <xf numFmtId="0" fontId="16" fillId="33" borderId="0" xfId="0" applyFont="1" applyFill="1" applyAlignment="1">
      <alignment horizontal="center" vertical="top"/>
    </xf>
  </cellXfs>
  <cellStyles count="47">
    <cellStyle name="20% - Accent1" xfId="24" builtinId="30" customBuiltin="1"/>
    <cellStyle name="20% - Accent2" xfId="28" builtinId="34" customBuiltin="1"/>
    <cellStyle name="20% - Accent3" xfId="32" builtinId="38" customBuiltin="1"/>
    <cellStyle name="20% - Accent4" xfId="36" builtinId="42" customBuiltin="1"/>
    <cellStyle name="20% - Accent5" xfId="40" builtinId="46" customBuiltin="1"/>
    <cellStyle name="20% - Accent6" xfId="44" builtinId="50" customBuiltin="1"/>
    <cellStyle name="40% - Accent1" xfId="25" builtinId="31" customBuiltin="1"/>
    <cellStyle name="40% - Accent2" xfId="29" builtinId="35" customBuiltin="1"/>
    <cellStyle name="40% - Accent3" xfId="33" builtinId="39" customBuiltin="1"/>
    <cellStyle name="40% - Accent4" xfId="37" builtinId="43" customBuiltin="1"/>
    <cellStyle name="40% - Accent5" xfId="41" builtinId="47" customBuiltin="1"/>
    <cellStyle name="40% - Accent6" xfId="45" builtinId="51" customBuiltin="1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Explanatory Text" xfId="21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 customBuiltin="1"/>
    <cellStyle name="Note" xfId="20" builtinId="10" customBuiltin="1"/>
    <cellStyle name="Output" xfId="15" builtinId="21" customBuiltin="1"/>
    <cellStyle name="Percent" xfId="5" builtinId="5" customBuiltin="1"/>
    <cellStyle name="Title" xfId="6" builtinId="15" customBuiltin="1"/>
    <cellStyle name="Total" xfId="22" builtinId="25" customBuiltin="1"/>
    <cellStyle name="Warning Text" xfId="19" builtinId="11" customBuiltin="1"/>
  </cellStyles>
  <dxfs count="0"/>
  <tableStyles count="0" defaultTableStyle="TableStyleMedium2" defaultPivotStyle="PivotStyleLight16"/>
  <colors>
    <mruColors>
      <color rgb="FFCC33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tabSelected="1" zoomScale="115" zoomScaleNormal="115" workbookViewId="0">
      <pane ySplit="1" topLeftCell="A2" activePane="bottomLeft" state="frozen"/>
      <selection pane="bottomLeft" activeCell="B20" sqref="B20"/>
    </sheetView>
  </sheetViews>
  <sheetFormatPr defaultRowHeight="10.5" x14ac:dyDescent="0.15"/>
  <cols>
    <col min="1" max="1" width="11.83203125" customWidth="1"/>
    <col min="2" max="2" width="43.33203125" bestFit="1" customWidth="1"/>
    <col min="3" max="3" width="14.6640625" customWidth="1"/>
    <col min="4" max="4" width="39.6640625" style="2" customWidth="1"/>
    <col min="5" max="12" width="0" hidden="1" customWidth="1"/>
    <col min="14" max="14" width="19.6640625" style="1" bestFit="1" customWidth="1"/>
    <col min="15" max="15" width="15.33203125" style="1" customWidth="1"/>
    <col min="16" max="17" width="44.83203125" customWidth="1"/>
  </cols>
  <sheetData>
    <row r="1" spans="1:16" ht="26.25" thickBot="1" x14ac:dyDescent="0.2">
      <c r="A1" s="5" t="s">
        <v>27</v>
      </c>
      <c r="B1" s="5" t="s">
        <v>71</v>
      </c>
      <c r="C1" s="5" t="s">
        <v>91</v>
      </c>
      <c r="D1" s="4" t="s">
        <v>26</v>
      </c>
      <c r="E1" s="23" t="s">
        <v>100</v>
      </c>
      <c r="F1" s="23"/>
      <c r="G1" s="23"/>
      <c r="H1" s="23"/>
      <c r="I1" s="23"/>
      <c r="J1" s="23"/>
      <c r="K1" s="23"/>
      <c r="L1" s="23"/>
      <c r="N1" s="16" t="s">
        <v>26</v>
      </c>
      <c r="O1" s="17" t="s">
        <v>90</v>
      </c>
      <c r="P1" s="18" t="s">
        <v>84</v>
      </c>
    </row>
    <row r="2" spans="1:16" ht="12.75" customHeight="1" x14ac:dyDescent="0.15">
      <c r="A2" s="3">
        <v>200</v>
      </c>
      <c r="B2" s="7" t="s">
        <v>67</v>
      </c>
      <c r="C2" s="7" t="str">
        <f>D2&amp;A2</f>
        <v>094200</v>
      </c>
      <c r="D2" s="10" t="s">
        <v>72</v>
      </c>
      <c r="N2" s="19" t="s">
        <v>2</v>
      </c>
      <c r="O2" s="12">
        <v>214</v>
      </c>
      <c r="P2" s="13" t="s">
        <v>15</v>
      </c>
    </row>
    <row r="3" spans="1:16" ht="12.75" customHeight="1" x14ac:dyDescent="0.15">
      <c r="A3" s="3">
        <v>201</v>
      </c>
      <c r="B3" s="7" t="s">
        <v>39</v>
      </c>
      <c r="C3" s="7" t="str">
        <f>D3&amp;A3</f>
        <v>215201</v>
      </c>
      <c r="D3" s="2">
        <v>215</v>
      </c>
      <c r="N3" s="19" t="s">
        <v>5</v>
      </c>
      <c r="O3" s="12">
        <v>219</v>
      </c>
      <c r="P3" s="13" t="s">
        <v>18</v>
      </c>
    </row>
    <row r="4" spans="1:16" ht="12.75" customHeight="1" x14ac:dyDescent="0.15">
      <c r="A4" s="3">
        <v>202</v>
      </c>
      <c r="B4" s="7" t="s">
        <v>55</v>
      </c>
      <c r="C4" s="7" t="s">
        <v>102</v>
      </c>
      <c r="D4" s="10" t="s">
        <v>92</v>
      </c>
      <c r="E4" s="9" t="s">
        <v>73</v>
      </c>
      <c r="F4" s="9" t="s">
        <v>74</v>
      </c>
      <c r="N4" s="19" t="s">
        <v>6</v>
      </c>
      <c r="O4" s="12">
        <v>220</v>
      </c>
      <c r="P4" s="13" t="s">
        <v>19</v>
      </c>
    </row>
    <row r="5" spans="1:16" ht="12.75" customHeight="1" x14ac:dyDescent="0.15">
      <c r="A5" s="3">
        <v>204</v>
      </c>
      <c r="B5" s="7" t="s">
        <v>36</v>
      </c>
      <c r="C5" s="7" t="str">
        <f>D5&amp;A5</f>
        <v>095204</v>
      </c>
      <c r="D5" s="10" t="s">
        <v>75</v>
      </c>
      <c r="N5" s="19" t="s">
        <v>0</v>
      </c>
      <c r="O5" s="12">
        <v>415</v>
      </c>
      <c r="P5" s="13" t="s">
        <v>13</v>
      </c>
    </row>
    <row r="6" spans="1:16" ht="12.75" customHeight="1" x14ac:dyDescent="0.15">
      <c r="A6" s="3">
        <v>205</v>
      </c>
      <c r="B6" s="7" t="s">
        <v>49</v>
      </c>
      <c r="C6" s="7" t="s">
        <v>102</v>
      </c>
      <c r="D6" s="21">
        <v>440012</v>
      </c>
      <c r="E6">
        <v>499</v>
      </c>
      <c r="F6" s="8" t="s">
        <v>83</v>
      </c>
      <c r="N6" s="19" t="s">
        <v>3</v>
      </c>
      <c r="O6" s="12">
        <v>215</v>
      </c>
      <c r="P6" s="13" t="s">
        <v>16</v>
      </c>
    </row>
    <row r="7" spans="1:16" ht="12.75" customHeight="1" x14ac:dyDescent="0.15">
      <c r="A7" s="3">
        <v>206</v>
      </c>
      <c r="B7" s="7" t="s">
        <v>44</v>
      </c>
      <c r="C7" s="7" t="str">
        <f>D7&amp;A7</f>
        <v>266206</v>
      </c>
      <c r="D7" s="2">
        <v>266</v>
      </c>
      <c r="N7" s="19" t="s">
        <v>7</v>
      </c>
      <c r="O7" s="12">
        <v>268</v>
      </c>
      <c r="P7" s="13" t="s">
        <v>20</v>
      </c>
    </row>
    <row r="8" spans="1:16" ht="12.75" customHeight="1" x14ac:dyDescent="0.15">
      <c r="A8" s="3">
        <v>207</v>
      </c>
      <c r="B8" s="7" t="s">
        <v>29</v>
      </c>
      <c r="C8" s="7" t="s">
        <v>102</v>
      </c>
      <c r="D8" s="21">
        <v>214220219</v>
      </c>
      <c r="E8">
        <v>220</v>
      </c>
      <c r="F8">
        <v>219</v>
      </c>
      <c r="N8" s="19" t="s">
        <v>8</v>
      </c>
      <c r="O8" s="12" t="s">
        <v>82</v>
      </c>
      <c r="P8" s="13" t="s">
        <v>21</v>
      </c>
    </row>
    <row r="9" spans="1:16" ht="12.75" customHeight="1" x14ac:dyDescent="0.15">
      <c r="A9" s="3">
        <v>208</v>
      </c>
      <c r="B9" s="7" t="s">
        <v>32</v>
      </c>
      <c r="C9" s="7" t="s">
        <v>102</v>
      </c>
      <c r="D9" s="21">
        <v>289213218013</v>
      </c>
      <c r="E9">
        <v>213</v>
      </c>
      <c r="F9">
        <v>218</v>
      </c>
      <c r="G9" s="8" t="s">
        <v>82</v>
      </c>
      <c r="N9" s="19" t="s">
        <v>9</v>
      </c>
      <c r="O9" s="12" t="s">
        <v>83</v>
      </c>
      <c r="P9" s="13" t="s">
        <v>22</v>
      </c>
    </row>
    <row r="10" spans="1:16" ht="12.75" customHeight="1" x14ac:dyDescent="0.15">
      <c r="A10" s="3">
        <v>209</v>
      </c>
      <c r="B10" s="7" t="s">
        <v>54</v>
      </c>
      <c r="C10" s="7" t="str">
        <f>D10&amp;A10</f>
        <v>095209</v>
      </c>
      <c r="D10" s="11" t="s">
        <v>75</v>
      </c>
      <c r="N10" s="19" t="s">
        <v>1</v>
      </c>
      <c r="O10" s="12">
        <v>213</v>
      </c>
      <c r="P10" s="13" t="s">
        <v>14</v>
      </c>
    </row>
    <row r="11" spans="1:16" ht="12.75" customHeight="1" x14ac:dyDescent="0.15">
      <c r="A11" s="3">
        <v>210</v>
      </c>
      <c r="B11" s="7" t="s">
        <v>43</v>
      </c>
      <c r="C11" s="7" t="s">
        <v>102</v>
      </c>
      <c r="D11" s="21">
        <v>440499</v>
      </c>
      <c r="E11">
        <v>499</v>
      </c>
      <c r="N11" s="19" t="s">
        <v>4</v>
      </c>
      <c r="O11" s="12">
        <v>218</v>
      </c>
      <c r="P11" s="13" t="s">
        <v>17</v>
      </c>
    </row>
    <row r="12" spans="1:16" ht="12.75" x14ac:dyDescent="0.15">
      <c r="A12" s="3">
        <v>211</v>
      </c>
      <c r="B12" s="7" t="s">
        <v>33</v>
      </c>
      <c r="C12" s="7" t="s">
        <v>102</v>
      </c>
      <c r="D12" s="22" t="s">
        <v>96</v>
      </c>
      <c r="E12">
        <v>202</v>
      </c>
      <c r="F12">
        <v>213</v>
      </c>
      <c r="G12">
        <v>214</v>
      </c>
      <c r="H12">
        <v>215</v>
      </c>
      <c r="I12">
        <v>268</v>
      </c>
      <c r="J12">
        <v>218</v>
      </c>
      <c r="K12">
        <v>219</v>
      </c>
      <c r="N12" s="19" t="s">
        <v>10</v>
      </c>
      <c r="O12" s="12">
        <v>499</v>
      </c>
      <c r="P12" s="13" t="s">
        <v>23</v>
      </c>
    </row>
    <row r="13" spans="1:16" ht="12.75" customHeight="1" x14ac:dyDescent="0.15">
      <c r="A13" s="3">
        <v>212</v>
      </c>
      <c r="B13" s="7" t="s">
        <v>38</v>
      </c>
      <c r="C13" s="7" t="str">
        <f>D13&amp;A13</f>
        <v>096212</v>
      </c>
      <c r="D13" s="11" t="s">
        <v>81</v>
      </c>
      <c r="N13" s="19" t="s">
        <v>11</v>
      </c>
      <c r="O13" s="12">
        <v>440</v>
      </c>
      <c r="P13" s="13" t="s">
        <v>24</v>
      </c>
    </row>
    <row r="14" spans="1:16" ht="12.75" customHeight="1" x14ac:dyDescent="0.15">
      <c r="A14" s="3">
        <v>213</v>
      </c>
      <c r="B14" s="7" t="s">
        <v>41</v>
      </c>
      <c r="C14" s="7" t="s">
        <v>102</v>
      </c>
      <c r="D14" s="21">
        <v>214268219</v>
      </c>
      <c r="E14">
        <v>268</v>
      </c>
      <c r="F14">
        <v>219</v>
      </c>
      <c r="N14" s="19" t="s">
        <v>12</v>
      </c>
      <c r="O14" s="12">
        <v>647</v>
      </c>
      <c r="P14" s="13" t="s">
        <v>25</v>
      </c>
    </row>
    <row r="15" spans="1:16" ht="12.75" customHeight="1" x14ac:dyDescent="0.15">
      <c r="A15" s="3">
        <v>214</v>
      </c>
      <c r="B15" s="7" t="s">
        <v>35</v>
      </c>
      <c r="C15" s="7" t="s">
        <v>102</v>
      </c>
      <c r="D15" s="21">
        <v>214268</v>
      </c>
      <c r="E15">
        <v>268</v>
      </c>
      <c r="N15" s="19" t="s">
        <v>76</v>
      </c>
      <c r="O15" s="12">
        <v>266</v>
      </c>
      <c r="P15" s="13" t="s">
        <v>85</v>
      </c>
    </row>
    <row r="16" spans="1:16" ht="12.75" customHeight="1" x14ac:dyDescent="0.15">
      <c r="A16" s="3">
        <v>215</v>
      </c>
      <c r="B16" s="7" t="s">
        <v>45</v>
      </c>
      <c r="C16" s="7" t="s">
        <v>102</v>
      </c>
      <c r="D16" s="11" t="s">
        <v>93</v>
      </c>
      <c r="E16">
        <v>92</v>
      </c>
      <c r="F16">
        <v>266</v>
      </c>
      <c r="N16" s="19" t="s">
        <v>77</v>
      </c>
      <c r="O16" s="12" t="s">
        <v>72</v>
      </c>
      <c r="P16" s="13" t="s">
        <v>86</v>
      </c>
    </row>
    <row r="17" spans="1:16" ht="12.75" customHeight="1" x14ac:dyDescent="0.15">
      <c r="A17" s="3">
        <v>216</v>
      </c>
      <c r="B17" s="7" t="s">
        <v>40</v>
      </c>
      <c r="C17" s="7" t="str">
        <f>D17&amp;A17</f>
        <v>647216</v>
      </c>
      <c r="D17" s="2">
        <v>647</v>
      </c>
      <c r="N17" s="19" t="s">
        <v>78</v>
      </c>
      <c r="O17" s="12" t="s">
        <v>73</v>
      </c>
      <c r="P17" s="13" t="s">
        <v>87</v>
      </c>
    </row>
    <row r="18" spans="1:16" ht="12.75" customHeight="1" x14ac:dyDescent="0.15">
      <c r="A18" s="3">
        <v>217</v>
      </c>
      <c r="B18" s="7" t="s">
        <v>53</v>
      </c>
      <c r="C18" s="7" t="str">
        <f>D18&amp;A18</f>
        <v>647217</v>
      </c>
      <c r="D18" s="2">
        <v>647</v>
      </c>
      <c r="N18" s="19" t="s">
        <v>79</v>
      </c>
      <c r="O18" s="12" t="s">
        <v>74</v>
      </c>
      <c r="P18" s="13" t="s">
        <v>88</v>
      </c>
    </row>
    <row r="19" spans="1:16" ht="12.75" customHeight="1" thickBot="1" x14ac:dyDescent="0.2">
      <c r="A19" s="3">
        <v>218</v>
      </c>
      <c r="B19" s="7" t="s">
        <v>101</v>
      </c>
      <c r="C19" s="7" t="str">
        <f>D19&amp;A19</f>
        <v>218218</v>
      </c>
      <c r="D19" s="2">
        <v>218</v>
      </c>
      <c r="N19" s="20" t="s">
        <v>80</v>
      </c>
      <c r="O19" s="14" t="s">
        <v>75</v>
      </c>
      <c r="P19" s="15" t="s">
        <v>89</v>
      </c>
    </row>
    <row r="20" spans="1:16" ht="12.75" customHeight="1" x14ac:dyDescent="0.15">
      <c r="A20" s="3">
        <v>219</v>
      </c>
      <c r="B20" s="7" t="s">
        <v>70</v>
      </c>
      <c r="C20" s="7" t="str">
        <f>D20&amp;A20</f>
        <v>219219</v>
      </c>
      <c r="D20" s="2">
        <v>219</v>
      </c>
      <c r="O20"/>
    </row>
    <row r="21" spans="1:16" ht="12.75" customHeight="1" x14ac:dyDescent="0.15">
      <c r="A21" s="3">
        <v>220</v>
      </c>
      <c r="B21" s="7" t="s">
        <v>34</v>
      </c>
      <c r="C21" s="7" t="s">
        <v>102</v>
      </c>
      <c r="D21" s="11" t="s">
        <v>94</v>
      </c>
      <c r="E21">
        <v>92</v>
      </c>
      <c r="N21"/>
      <c r="O21"/>
    </row>
    <row r="22" spans="1:16" ht="12.75" customHeight="1" x14ac:dyDescent="0.15">
      <c r="A22" s="3">
        <v>221</v>
      </c>
      <c r="B22" s="7" t="s">
        <v>69</v>
      </c>
      <c r="C22" s="7" t="str">
        <f>D22&amp;A22</f>
        <v>092221</v>
      </c>
      <c r="D22" s="11" t="s">
        <v>74</v>
      </c>
      <c r="N22"/>
      <c r="O22"/>
    </row>
    <row r="23" spans="1:16" ht="12.75" customHeight="1" x14ac:dyDescent="0.15">
      <c r="A23" s="3">
        <v>222</v>
      </c>
      <c r="B23" s="7" t="s">
        <v>51</v>
      </c>
      <c r="C23" s="7" t="s">
        <v>102</v>
      </c>
      <c r="D23" s="11" t="s">
        <v>95</v>
      </c>
      <c r="E23">
        <v>12</v>
      </c>
      <c r="N23"/>
      <c r="O23"/>
    </row>
    <row r="24" spans="1:16" ht="12.75" customHeight="1" x14ac:dyDescent="0.15">
      <c r="A24" s="3">
        <v>223</v>
      </c>
      <c r="B24" s="7" t="s">
        <v>47</v>
      </c>
      <c r="C24" s="7" t="str">
        <f>D24&amp;A24</f>
        <v>647223</v>
      </c>
      <c r="D24" s="2">
        <v>647</v>
      </c>
      <c r="N24"/>
      <c r="O24"/>
    </row>
    <row r="25" spans="1:16" ht="12.75" x14ac:dyDescent="0.15">
      <c r="A25" s="3">
        <v>224</v>
      </c>
      <c r="B25" s="7" t="s">
        <v>37</v>
      </c>
      <c r="C25" s="7" t="s">
        <v>102</v>
      </c>
      <c r="D25" s="22" t="s">
        <v>97</v>
      </c>
      <c r="E25">
        <v>233</v>
      </c>
      <c r="F25">
        <v>214</v>
      </c>
      <c r="G25">
        <v>215</v>
      </c>
      <c r="H25">
        <v>268</v>
      </c>
      <c r="I25">
        <v>220</v>
      </c>
      <c r="J25">
        <v>218</v>
      </c>
      <c r="K25">
        <v>219</v>
      </c>
      <c r="L25" s="8" t="s">
        <v>82</v>
      </c>
      <c r="N25"/>
      <c r="O25"/>
    </row>
    <row r="26" spans="1:16" ht="12.75" customHeight="1" x14ac:dyDescent="0.15">
      <c r="A26" s="3">
        <v>225</v>
      </c>
      <c r="B26" s="7" t="s">
        <v>56</v>
      </c>
      <c r="C26" s="7" t="s">
        <v>102</v>
      </c>
      <c r="D26" s="11" t="s">
        <v>92</v>
      </c>
      <c r="E26">
        <v>97</v>
      </c>
      <c r="F26">
        <v>92</v>
      </c>
      <c r="N26"/>
      <c r="O26"/>
    </row>
    <row r="27" spans="1:16" ht="12.75" customHeight="1" x14ac:dyDescent="0.15">
      <c r="A27" s="3">
        <v>226</v>
      </c>
      <c r="B27" s="7" t="s">
        <v>46</v>
      </c>
      <c r="C27" s="7" t="str">
        <f>D27&amp;A27</f>
        <v>440226</v>
      </c>
      <c r="D27" s="2">
        <v>440</v>
      </c>
      <c r="N27"/>
      <c r="O27"/>
    </row>
    <row r="28" spans="1:16" ht="12.75" customHeight="1" x14ac:dyDescent="0.15">
      <c r="A28" s="3">
        <v>227</v>
      </c>
      <c r="B28" s="7" t="s">
        <v>52</v>
      </c>
      <c r="C28" s="7" t="s">
        <v>102</v>
      </c>
      <c r="D28" s="21">
        <v>440499012</v>
      </c>
      <c r="E28">
        <v>499</v>
      </c>
      <c r="F28">
        <v>12</v>
      </c>
      <c r="N28"/>
      <c r="O28"/>
    </row>
    <row r="29" spans="1:16" ht="12.75" customHeight="1" x14ac:dyDescent="0.15">
      <c r="A29" s="3">
        <v>228</v>
      </c>
      <c r="B29" s="7" t="s">
        <v>42</v>
      </c>
      <c r="C29" s="7" t="s">
        <v>102</v>
      </c>
      <c r="D29" s="21">
        <v>440499012</v>
      </c>
      <c r="E29">
        <v>499</v>
      </c>
      <c r="F29">
        <v>12</v>
      </c>
      <c r="N29"/>
    </row>
    <row r="30" spans="1:16" ht="12.75" customHeight="1" x14ac:dyDescent="0.15">
      <c r="A30" s="3">
        <v>229</v>
      </c>
      <c r="B30" s="7" t="s">
        <v>30</v>
      </c>
      <c r="C30" s="7" t="str">
        <f>D30&amp;A30</f>
        <v>096229</v>
      </c>
      <c r="D30" s="11" t="s">
        <v>81</v>
      </c>
    </row>
    <row r="31" spans="1:16" ht="12.75" customHeight="1" x14ac:dyDescent="0.15">
      <c r="A31" s="3">
        <v>230</v>
      </c>
      <c r="B31" s="7" t="s">
        <v>31</v>
      </c>
      <c r="C31" s="7" t="s">
        <v>102</v>
      </c>
      <c r="D31" s="21">
        <v>647095</v>
      </c>
      <c r="E31">
        <v>95</v>
      </c>
    </row>
    <row r="32" spans="1:16" ht="12.75" customHeight="1" x14ac:dyDescent="0.15">
      <c r="A32" s="3">
        <v>231</v>
      </c>
      <c r="B32" s="7" t="s">
        <v>28</v>
      </c>
      <c r="C32" s="7" t="s">
        <v>102</v>
      </c>
      <c r="D32" s="21">
        <v>268096</v>
      </c>
      <c r="E32" s="8" t="s">
        <v>81</v>
      </c>
    </row>
    <row r="33" spans="1:12" ht="12.75" customHeight="1" x14ac:dyDescent="0.15">
      <c r="A33" s="3">
        <v>233</v>
      </c>
      <c r="B33" s="7" t="s">
        <v>48</v>
      </c>
      <c r="C33" s="7" t="s">
        <v>102</v>
      </c>
      <c r="D33" s="11" t="s">
        <v>98</v>
      </c>
      <c r="E33">
        <v>415</v>
      </c>
    </row>
    <row r="34" spans="1:12" ht="12.75" customHeight="1" x14ac:dyDescent="0.15">
      <c r="A34" s="3">
        <v>234</v>
      </c>
      <c r="B34" s="7" t="s">
        <v>50</v>
      </c>
      <c r="C34" s="7" t="s">
        <v>102</v>
      </c>
      <c r="D34" s="11" t="s">
        <v>99</v>
      </c>
      <c r="E34">
        <v>214</v>
      </c>
      <c r="F34">
        <v>268</v>
      </c>
      <c r="G34">
        <v>219</v>
      </c>
    </row>
    <row r="35" spans="1:12" ht="12.75" customHeight="1" x14ac:dyDescent="0.15">
      <c r="A35" s="3">
        <v>236</v>
      </c>
      <c r="B35" s="7" t="s">
        <v>70</v>
      </c>
      <c r="C35" s="7" t="str">
        <f t="shared" ref="C35:C45" si="0">D35&amp;A35</f>
        <v>094236</v>
      </c>
      <c r="D35" s="11" t="s">
        <v>72</v>
      </c>
    </row>
    <row r="36" spans="1:12" ht="12.75" customHeight="1" x14ac:dyDescent="0.15">
      <c r="A36" s="3">
        <v>237</v>
      </c>
      <c r="B36" s="7" t="s">
        <v>70</v>
      </c>
      <c r="C36" s="7" t="str">
        <f t="shared" si="0"/>
        <v>094237</v>
      </c>
      <c r="D36" s="11" t="s">
        <v>72</v>
      </c>
    </row>
    <row r="37" spans="1:12" ht="12.75" customHeight="1" x14ac:dyDescent="0.15">
      <c r="A37" s="3">
        <v>238</v>
      </c>
      <c r="B37" s="7" t="s">
        <v>70</v>
      </c>
      <c r="C37" s="7" t="str">
        <f t="shared" si="0"/>
        <v>094238</v>
      </c>
      <c r="D37" s="11" t="s">
        <v>72</v>
      </c>
    </row>
    <row r="38" spans="1:12" ht="12.75" customHeight="1" x14ac:dyDescent="0.15">
      <c r="A38" s="3">
        <v>239</v>
      </c>
      <c r="B38" s="7" t="s">
        <v>66</v>
      </c>
      <c r="C38" s="7" t="str">
        <f t="shared" si="0"/>
        <v>094239</v>
      </c>
      <c r="D38" s="11" t="s">
        <v>72</v>
      </c>
    </row>
    <row r="39" spans="1:12" ht="12.75" customHeight="1" x14ac:dyDescent="0.15">
      <c r="A39" s="3">
        <v>240</v>
      </c>
      <c r="B39" s="7" t="s">
        <v>68</v>
      </c>
      <c r="C39" s="7" t="str">
        <f t="shared" si="0"/>
        <v>094240</v>
      </c>
      <c r="D39" s="11" t="s">
        <v>72</v>
      </c>
    </row>
    <row r="40" spans="1:12" ht="12.75" customHeight="1" x14ac:dyDescent="0.15">
      <c r="A40" s="3">
        <v>601</v>
      </c>
      <c r="B40" s="7" t="s">
        <v>57</v>
      </c>
      <c r="C40" s="7" t="str">
        <f t="shared" si="0"/>
        <v>096601</v>
      </c>
      <c r="D40" s="11" t="s">
        <v>81</v>
      </c>
    </row>
    <row r="41" spans="1:12" ht="12.75" customHeight="1" x14ac:dyDescent="0.15">
      <c r="A41" s="3">
        <v>602</v>
      </c>
      <c r="B41" s="7" t="s">
        <v>58</v>
      </c>
      <c r="C41" s="7" t="str">
        <f t="shared" si="0"/>
        <v>094602</v>
      </c>
      <c r="D41" s="11" t="s">
        <v>72</v>
      </c>
    </row>
    <row r="42" spans="1:12" ht="12.75" customHeight="1" x14ac:dyDescent="0.15">
      <c r="A42" s="3">
        <v>603</v>
      </c>
      <c r="B42" s="7" t="s">
        <v>59</v>
      </c>
      <c r="C42" s="7" t="str">
        <f t="shared" si="0"/>
        <v>095603</v>
      </c>
      <c r="D42" s="11" t="s">
        <v>75</v>
      </c>
    </row>
    <row r="43" spans="1:12" ht="12.75" customHeight="1" x14ac:dyDescent="0.15">
      <c r="A43" s="3">
        <v>604</v>
      </c>
      <c r="B43" s="7" t="s">
        <v>60</v>
      </c>
      <c r="C43" s="7" t="str">
        <f t="shared" si="0"/>
        <v>266604</v>
      </c>
      <c r="D43" s="2">
        <v>266</v>
      </c>
    </row>
    <row r="44" spans="1:12" ht="12.75" customHeight="1" x14ac:dyDescent="0.15">
      <c r="A44" s="3">
        <v>605</v>
      </c>
      <c r="B44" s="7" t="s">
        <v>61</v>
      </c>
      <c r="C44" s="7" t="str">
        <f t="shared" si="0"/>
        <v>092605</v>
      </c>
      <c r="D44" s="11" t="s">
        <v>74</v>
      </c>
    </row>
    <row r="45" spans="1:12" ht="12.75" customHeight="1" x14ac:dyDescent="0.15">
      <c r="A45" s="3">
        <v>606</v>
      </c>
      <c r="B45" s="7" t="s">
        <v>62</v>
      </c>
      <c r="C45" s="7" t="str">
        <f t="shared" si="0"/>
        <v>647606</v>
      </c>
      <c r="D45" s="2">
        <v>647</v>
      </c>
    </row>
    <row r="46" spans="1:12" ht="12.75" customHeight="1" x14ac:dyDescent="0.15">
      <c r="A46" s="3">
        <v>607</v>
      </c>
      <c r="B46" s="7" t="s">
        <v>63</v>
      </c>
      <c r="C46" s="7" t="s">
        <v>102</v>
      </c>
      <c r="D46" s="22" t="s">
        <v>97</v>
      </c>
      <c r="E46">
        <v>233</v>
      </c>
      <c r="F46">
        <v>214</v>
      </c>
      <c r="G46">
        <v>215</v>
      </c>
      <c r="H46">
        <v>268</v>
      </c>
      <c r="I46">
        <v>220</v>
      </c>
      <c r="J46">
        <v>218</v>
      </c>
      <c r="K46">
        <v>219</v>
      </c>
      <c r="L46" s="8" t="s">
        <v>82</v>
      </c>
    </row>
    <row r="47" spans="1:12" ht="12.75" customHeight="1" x14ac:dyDescent="0.15">
      <c r="A47" s="3">
        <v>608</v>
      </c>
      <c r="B47" s="7" t="s">
        <v>64</v>
      </c>
      <c r="C47" s="7" t="s">
        <v>102</v>
      </c>
      <c r="D47" s="21">
        <v>440499012</v>
      </c>
      <c r="E47">
        <v>499</v>
      </c>
      <c r="F47">
        <v>12</v>
      </c>
    </row>
    <row r="48" spans="1:12" ht="12.75" customHeight="1" x14ac:dyDescent="0.15">
      <c r="A48" s="3">
        <v>609</v>
      </c>
      <c r="B48" s="7" t="s">
        <v>65</v>
      </c>
      <c r="C48" s="7" t="s">
        <v>102</v>
      </c>
      <c r="D48" s="11" t="s">
        <v>97</v>
      </c>
      <c r="E48">
        <v>233</v>
      </c>
      <c r="F48">
        <v>214</v>
      </c>
      <c r="G48">
        <v>215</v>
      </c>
      <c r="H48">
        <v>268</v>
      </c>
      <c r="I48">
        <v>220</v>
      </c>
      <c r="J48">
        <v>218</v>
      </c>
      <c r="K48">
        <v>219</v>
      </c>
      <c r="L48" s="8" t="s">
        <v>82</v>
      </c>
    </row>
    <row r="49" spans="2:3" ht="12.75" x14ac:dyDescent="0.15">
      <c r="B49" s="6"/>
      <c r="C49" s="6"/>
    </row>
    <row r="50" spans="2:3" ht="12.75" x14ac:dyDescent="0.15">
      <c r="B50" s="6"/>
      <c r="C50" s="6"/>
    </row>
    <row r="51" spans="2:3" ht="12.75" x14ac:dyDescent="0.15">
      <c r="B51" s="6"/>
      <c r="C51" s="6"/>
    </row>
    <row r="52" spans="2:3" ht="12.75" x14ac:dyDescent="0.15">
      <c r="B52" s="6"/>
      <c r="C52" s="6"/>
    </row>
    <row r="53" spans="2:3" ht="12.75" x14ac:dyDescent="0.15">
      <c r="B53" s="6"/>
      <c r="C53" s="6"/>
    </row>
    <row r="54" spans="2:3" ht="12.75" x14ac:dyDescent="0.15">
      <c r="B54" s="6"/>
      <c r="C54" s="6"/>
    </row>
    <row r="55" spans="2:3" ht="12.75" x14ac:dyDescent="0.15">
      <c r="B55" s="6"/>
      <c r="C55" s="6"/>
    </row>
    <row r="56" spans="2:3" ht="12.75" x14ac:dyDescent="0.15">
      <c r="B56" s="6"/>
      <c r="C56" s="6"/>
    </row>
    <row r="57" spans="2:3" ht="12.75" x14ac:dyDescent="0.15">
      <c r="B57" s="6"/>
      <c r="C57" s="6"/>
    </row>
    <row r="58" spans="2:3" ht="12.75" x14ac:dyDescent="0.15">
      <c r="B58" s="6"/>
      <c r="C58" s="6"/>
    </row>
    <row r="79" spans="1:1" ht="12.75" x14ac:dyDescent="0.15">
      <c r="A79" s="6"/>
    </row>
  </sheetData>
  <sortState ref="A1:B119">
    <sortCondition ref="A1:A119"/>
  </sortState>
  <mergeCells count="1">
    <mergeCell ref="E1:L1"/>
  </mergeCells>
  <pageMargins left="0.7" right="0.7" top="0.75" bottom="0.75" header="0.3" footer="0.3"/>
  <ignoredErrors>
    <ignoredError sqref="D2:D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.5" x14ac:dyDescent="0.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2" ma:contentTypeDescription="Create a new document." ma:contentTypeScope="" ma:versionID="b9b9115c0a7ba5ac1a4f71ca19fa2a6b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ee5f6545d17dbae8f4c99dcf00b8be7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6C5339-5015-4A61-9400-7FEC08665C96}"/>
</file>

<file path=customXml/itemProps2.xml><?xml version="1.0" encoding="utf-8"?>
<ds:datastoreItem xmlns:ds="http://schemas.openxmlformats.org/officeDocument/2006/customXml" ds:itemID="{20C39572-AC84-4F88-8596-745D0BFC0836}"/>
</file>

<file path=customXml/itemProps3.xml><?xml version="1.0" encoding="utf-8"?>
<ds:datastoreItem xmlns:ds="http://schemas.openxmlformats.org/officeDocument/2006/customXml" ds:itemID="{94958417-1649-47B4-9F8F-17B2CFA65E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 of Feb 2013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G. Francis</dc:creator>
  <cp:lastModifiedBy>Nancy G. Francis</cp:lastModifiedBy>
  <cp:lastPrinted>2013-01-22T15:11:32Z</cp:lastPrinted>
  <dcterms:created xsi:type="dcterms:W3CDTF">2013-01-22T14:34:43Z</dcterms:created>
  <dcterms:modified xsi:type="dcterms:W3CDTF">2013-02-11T20:20:48Z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34600</vt:r8>
  </property>
</Properties>
</file>