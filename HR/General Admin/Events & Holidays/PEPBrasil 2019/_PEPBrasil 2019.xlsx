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DianaCartagena\Partners of the Americas\F&amp;A - Organizational F&amp;A\General Admin\Events &amp; Holidays\PEPBrasil 2019\"/>
    </mc:Choice>
  </mc:AlternateContent>
  <xr:revisionPtr revIDLastSave="461" documentId="8_{FECBAEB9-0C29-4F66-A4C3-DD414F2784F9}" xr6:coauthVersionLast="43" xr6:coauthVersionMax="45" xr10:uidLastSave="{8BD26BB9-8FBE-42E4-AC2C-7CFBA86CFD57}"/>
  <bookViews>
    <workbookView minimized="1" xWindow="30795" yWindow="1800" windowWidth="26640" windowHeight="12525" xr2:uid="{00000000-000D-0000-FFFF-FFFF00000000}"/>
  </bookViews>
  <sheets>
    <sheet name="Confirmation" sheetId="1" r:id="rId1"/>
    <sheet name="Hotel" sheetId="3" r:id="rId2"/>
  </sheets>
  <definedNames>
    <definedName name="_xlnm._FilterDatabase" localSheetId="0" hidden="1">Confirmation!$B$4:$P$4</definedName>
    <definedName name="_xlnm._FilterDatabase" localSheetId="1" hidden="1">Hotel!$B$4:$O$4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tc={F4FF80B9-5655-4E9A-82DE-EB042D928B32}</author>
  </authors>
  <commentList>
    <comment ref="F5" authorId="0" shapeId="0" xr:uid="{F4FF80B9-5655-4E9A-82DE-EB042D928B3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Guest</t>
      </text>
    </comment>
  </commentList>
</comments>
</file>

<file path=xl/sharedStrings.xml><?xml version="1.0" encoding="utf-8"?>
<sst xmlns="http://schemas.openxmlformats.org/spreadsheetml/2006/main" count="258" uniqueCount="175">
  <si>
    <t>Brazil Trip PEP</t>
  </si>
  <si>
    <t>Chapter</t>
  </si>
  <si>
    <t>Name</t>
  </si>
  <si>
    <t>Guest</t>
  </si>
  <si>
    <t>Confirmed?</t>
  </si>
  <si>
    <t>Format  TA</t>
  </si>
  <si>
    <t xml:space="preserve">Send email Flight </t>
  </si>
  <si>
    <t>Alojamiento</t>
  </si>
  <si>
    <t>Departure City</t>
  </si>
  <si>
    <t xml:space="preserve"> Arrival date &amp; time</t>
  </si>
  <si>
    <t xml:space="preserve"> Air fare company </t>
  </si>
  <si>
    <t xml:space="preserve">Departure date &amp; time </t>
  </si>
  <si>
    <t xml:space="preserve">Flights Cost </t>
  </si>
  <si>
    <t>Email</t>
  </si>
  <si>
    <t xml:space="preserve">Phone#/What’s app </t>
  </si>
  <si>
    <t>Presentation</t>
  </si>
  <si>
    <t>Bahia</t>
  </si>
  <si>
    <t>Brasilia</t>
  </si>
  <si>
    <t>Kathlyn Greff - VP</t>
  </si>
  <si>
    <t> Fatima Borborema-Secy</t>
  </si>
  <si>
    <t>Y</t>
  </si>
  <si>
    <t xml:space="preserve">by car </t>
  </si>
  <si>
    <t>arilda.partnersbrasiliadf@gmail.com</t>
  </si>
  <si>
    <t>received</t>
  </si>
  <si>
    <t>Consultant</t>
  </si>
  <si>
    <t>Tiberio Monteiro*</t>
  </si>
  <si>
    <t>01225</t>
  </si>
  <si>
    <t>tiberiomonteiro@gmail.com</t>
  </si>
  <si>
    <t xml:space="preserve">Alan Maia </t>
  </si>
  <si>
    <t>Espirito Santo</t>
  </si>
  <si>
    <t xml:space="preserve">Rubem Landeiro Filho </t>
  </si>
  <si>
    <t xml:space="preserve">Jose Marcio </t>
  </si>
  <si>
    <t>01145</t>
  </si>
  <si>
    <t>Vitoria</t>
  </si>
  <si>
    <t>11/16/2019 11:20AM</t>
  </si>
  <si>
    <t>Latam</t>
  </si>
  <si>
    <t>11/20/2019 1:30PM</t>
  </si>
  <si>
    <t>Goias Chapter</t>
  </si>
  <si>
    <t>Andre Hedlund-Pres</t>
  </si>
  <si>
    <t>N/A</t>
  </si>
  <si>
    <t>andre.hedlund@yahoo.com.br</t>
  </si>
  <si>
    <t>Goias Student Chapter</t>
  </si>
  <si>
    <t>Mato Grosso do Sul</t>
  </si>
  <si>
    <t>Jose Raul Valerio - Pres hotel n/a</t>
  </si>
  <si>
    <t>01146</t>
  </si>
  <si>
    <t>Campo Grande</t>
  </si>
  <si>
    <t>11/16/2019 11:15AM</t>
  </si>
  <si>
    <t>11/20/2019  12:20PM</t>
  </si>
  <si>
    <t>espindol@folha.com.br</t>
  </si>
  <si>
    <t>Minas Gerais</t>
  </si>
  <si>
    <t>Luzia Lisita</t>
  </si>
  <si>
    <t>Para</t>
  </si>
  <si>
    <t>Alberto Rogerio da Silva-Exec Dir</t>
  </si>
  <si>
    <t>01126</t>
  </si>
  <si>
    <t>Belem</t>
  </si>
  <si>
    <t>11/16/2019 6:05PM</t>
  </si>
  <si>
    <t>11/20/2019  5:20AM</t>
  </si>
  <si>
    <t>rogerio@arbsconsultoria.com</t>
  </si>
  <si>
    <t>Paraiba</t>
  </si>
  <si>
    <t>Rogerio Almeida - VP</t>
  </si>
  <si>
    <t>01161</t>
  </si>
  <si>
    <t xml:space="preserve">Joao Pessoa </t>
  </si>
  <si>
    <t>11/16/2019 12:40PM</t>
  </si>
  <si>
    <t>Gol</t>
  </si>
  <si>
    <t>11/20/2019  8:10AM</t>
  </si>
  <si>
    <t>rogerioalmeidaabep@hotmail.com</t>
  </si>
  <si>
    <t>Pernambuco</t>
  </si>
  <si>
    <t>Rio de Janeiro</t>
  </si>
  <si>
    <t>Silvia Goi - Pres</t>
  </si>
  <si>
    <t>Rio Grande do Norte</t>
  </si>
  <si>
    <t>01224</t>
  </si>
  <si>
    <t>Rio Grande do Sul</t>
  </si>
  <si>
    <t>Lucia Helena Araujo -Pres</t>
  </si>
  <si>
    <t>01127</t>
  </si>
  <si>
    <t>Porto Alegre</t>
  </si>
  <si>
    <t>11/16/2019 3:45PM</t>
  </si>
  <si>
    <t>luaraujolima@yahoo.com.br</t>
  </si>
  <si>
    <t>Santa Catarina</t>
  </si>
  <si>
    <t>Sao Paulo</t>
  </si>
  <si>
    <t>Luz Oliveira - Pres</t>
  </si>
  <si>
    <t>Italo Anderson - VP</t>
  </si>
  <si>
    <t>01112</t>
  </si>
  <si>
    <t xml:space="preserve">Sao Paulo </t>
  </si>
  <si>
    <t>11/21/2019 9:50AM</t>
  </si>
  <si>
    <t>luizoliveira222@gmail.com</t>
  </si>
  <si>
    <t>Total</t>
  </si>
  <si>
    <t>POC: Elisa dal Molin - liaison with Hotel</t>
  </si>
  <si>
    <t>Yes Confirmed</t>
  </si>
  <si>
    <t>Tiberio - we will cover airfare from Recife to Goias to Brasilia to Recife and hotels</t>
  </si>
  <si>
    <t>Not Attending</t>
  </si>
  <si>
    <t>11/15-11/23. He will accompany Juliana to Brasilia</t>
  </si>
  <si>
    <t>Lives in Goiania</t>
  </si>
  <si>
    <t xml:space="preserve"> PARTICIPANTES</t>
  </si>
  <si>
    <t>Hotel Flamboyant</t>
  </si>
  <si>
    <t>Room</t>
  </si>
  <si>
    <t xml:space="preserve">Nombre </t>
  </si>
  <si>
    <t>Gender</t>
  </si>
  <si>
    <t xml:space="preserve">Edad </t>
  </si>
  <si>
    <t xml:space="preserve">Telefono </t>
  </si>
  <si>
    <t xml:space="preserve">Fecha y hora de llegada </t>
  </si>
  <si>
    <t># of people</t>
  </si>
  <si>
    <t>Chapter/Name</t>
  </si>
  <si>
    <t>Direccion</t>
  </si>
  <si>
    <t xml:space="preserve">Barrio </t>
  </si>
  <si>
    <t>A</t>
  </si>
  <si>
    <t>B</t>
  </si>
  <si>
    <t>C</t>
  </si>
  <si>
    <t>D</t>
  </si>
  <si>
    <t xml:space="preserve"> - </t>
  </si>
  <si>
    <t>Gustavo de Andrade</t>
  </si>
  <si>
    <t>01230</t>
  </si>
  <si>
    <t>Marilia  de Paula - Pres</t>
  </si>
  <si>
    <t>Aurora Maria Araujo - Pres</t>
  </si>
  <si>
    <t>11/16/2019  5:45AM</t>
  </si>
  <si>
    <t>11/18/2019  8:30PM</t>
  </si>
  <si>
    <t>Florianopolis</t>
  </si>
  <si>
    <t>Natal</t>
  </si>
  <si>
    <t>11/16/2019  11:05AM</t>
  </si>
  <si>
    <t>11/21/2019  9:50AM</t>
  </si>
  <si>
    <t>Belo Horizonte</t>
  </si>
  <si>
    <t>11/16/2019   9:20PM</t>
  </si>
  <si>
    <t>11/20/2016  7:45PM</t>
  </si>
  <si>
    <t>Azul</t>
  </si>
  <si>
    <t>Recife</t>
  </si>
  <si>
    <t>11/15/2019   3:10AM</t>
  </si>
  <si>
    <t>11/23/2019 6:00AM</t>
  </si>
  <si>
    <t>11/16/2019  2:00PM</t>
  </si>
  <si>
    <t>11/21/2019   5:00AM</t>
  </si>
  <si>
    <t>01231</t>
  </si>
  <si>
    <t>pending</t>
  </si>
  <si>
    <t>1815.24Re</t>
  </si>
  <si>
    <t>Kathlyn Greff</t>
  </si>
  <si>
    <t>W</t>
  </si>
  <si>
    <t>Fatima Borborema</t>
  </si>
  <si>
    <t>Isadora Nunes</t>
  </si>
  <si>
    <t>NOT COMING</t>
  </si>
  <si>
    <t>isaflorao@yahoo.com.br</t>
  </si>
  <si>
    <t>cancelled</t>
  </si>
  <si>
    <t xml:space="preserve"> Vencer</t>
  </si>
  <si>
    <t>Lucas D’Lillo</t>
  </si>
  <si>
    <t>Douglas Dinelli</t>
  </si>
  <si>
    <t>Not coming</t>
  </si>
  <si>
    <t>Fabio L. Fernandes Lisboa</t>
  </si>
  <si>
    <t xml:space="preserve">Italo Anderson </t>
  </si>
  <si>
    <t>Luiz Oliveira</t>
  </si>
  <si>
    <t>Edson Espinola</t>
  </si>
  <si>
    <t>Gustavo Andrade</t>
  </si>
  <si>
    <t>Jose Marcio Borges</t>
  </si>
  <si>
    <t>Rubem Landeiro</t>
  </si>
  <si>
    <t>E</t>
  </si>
  <si>
    <t>Tiberio Monteiro</t>
  </si>
  <si>
    <t>F</t>
  </si>
  <si>
    <t>Alan Maia</t>
  </si>
  <si>
    <t xml:space="preserve">G </t>
  </si>
  <si>
    <t>Barbara Bloch</t>
  </si>
  <si>
    <t>Celina Ellery</t>
  </si>
  <si>
    <t>H</t>
  </si>
  <si>
    <t>Will Webber</t>
  </si>
  <si>
    <t>I</t>
  </si>
  <si>
    <t>Renata Torres</t>
  </si>
  <si>
    <t>J</t>
  </si>
  <si>
    <t>Juliana Araujo</t>
  </si>
  <si>
    <t>K</t>
  </si>
  <si>
    <t>Marilia da Sa</t>
  </si>
  <si>
    <t>Aurora Vaz</t>
  </si>
  <si>
    <t>L</t>
  </si>
  <si>
    <t>Rogerio Almeida</t>
  </si>
  <si>
    <t>Alberto Rogerio da Silva</t>
  </si>
  <si>
    <t>M</t>
  </si>
  <si>
    <t xml:space="preserve">John McPhail </t>
  </si>
  <si>
    <t>13 rooms</t>
  </si>
  <si>
    <t>Checked</t>
  </si>
  <si>
    <t>ok</t>
  </si>
  <si>
    <t>Edson Espindola - VP</t>
  </si>
  <si>
    <t>Ana Luisa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</si>
</sst>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_-;\-&quot;$&quot;\ * #,##0_-;_-&quot;$&quot;\ * &quot;-&quot;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Verdana"/>
      <family val="2"/>
    </font>
    <font>
      <sz val="11"/>
      <color indexed="9"/>
      <name val="Helvetica Neue"/>
      <family val="2"/>
    </font>
    <font>
      <sz val="11"/>
      <color indexed="8"/>
      <name val="Helvetica Neue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B9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 applyNumberFormat="0" applyFill="0" applyBorder="0" applyProtection="0">
      <alignment vertical="top"/>
    </xf>
    <xf numFmtId="0" fontId="6" fillId="0" borderId="0"/>
    <xf numFmtId="0" fontId="5" fillId="0" borderId="0"/>
    <xf numFmtId="0" fontId="4" fillId="0" borderId="0" applyNumberFormat="0" applyFill="0" applyBorder="0" applyProtection="0">
      <alignment vertical="top"/>
    </xf>
    <xf numFmtId="0" fontId="2" fillId="0" borderId="0" applyNumberFormat="0" applyFill="0" applyBorder="0" applyProtection="0">
      <alignment vertical="top"/>
    </xf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/>
    </xf>
    <xf numFmtId="0" fontId="9" fillId="0" borderId="0" xfId="6" applyFont="1" applyFill="1" applyBorder="1" applyAlignment="1">
      <alignment horizontal="left"/>
    </xf>
    <xf numFmtId="44" fontId="0" fillId="0" borderId="0" xfId="1" applyFont="1"/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ont="1" applyFill="1" applyBorder="1" applyAlignment="1">
      <alignment horizontal="left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4" fontId="0" fillId="0" borderId="0" xfId="1" applyFont="1" applyFill="1"/>
    <xf numFmtId="0" fontId="6" fillId="0" borderId="0" xfId="0" applyFont="1"/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9" fillId="0" borderId="0" xfId="0" applyNumberFormat="1" applyFont="1"/>
    <xf numFmtId="0" fontId="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0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5" xfId="0" applyFont="1" applyFill="1" applyBorder="1" applyAlignment="1">
      <alignment horizontal="left" vertical="center"/>
    </xf>
    <xf numFmtId="0" fontId="16" fillId="0" borderId="0" xfId="0" applyFont="1" applyAlignment="1">
      <alignment vertical="top" wrapText="1"/>
    </xf>
    <xf numFmtId="0" fontId="0" fillId="0" borderId="5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4" fontId="0" fillId="0" borderId="1" xfId="1" applyFont="1" applyBorder="1" applyAlignment="1">
      <alignment vertical="center" wrapText="1"/>
    </xf>
    <xf numFmtId="0" fontId="7" fillId="0" borderId="1" xfId="6" applyBorder="1" applyAlignment="1">
      <alignment horizontal="center" vertical="center" wrapText="1"/>
    </xf>
    <xf numFmtId="44" fontId="14" fillId="0" borderId="2" xfId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 applyAlignment="1">
      <alignment horizontal="center" vertical="center" wrapText="1"/>
    </xf>
    <xf numFmtId="0" fontId="10" fillId="0" borderId="0" xfId="0" applyFont="1" applyBorder="1" applyAlignment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7" fillId="7" borderId="1" xfId="6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8" fillId="7" borderId="0" xfId="0" applyFont="1" applyFill="1" applyAlignment="1">
      <alignment horizontal="left"/>
    </xf>
    <xf numFmtId="44" fontId="0" fillId="0" borderId="1" xfId="1" applyFont="1" applyBorder="1" applyAlignment="1">
      <alignment horizontal="right" vertical="center" wrapText="1"/>
    </xf>
    <xf numFmtId="0" fontId="0" fillId="0" borderId="1" xfId="0" applyFill="1" applyBorder="1" applyAlignment="1">
      <alignment vertical="center"/>
    </xf>
    <xf numFmtId="44" fontId="0" fillId="0" borderId="1" xfId="1" applyFont="1" applyBorder="1" applyAlignment="1">
      <alignment horizontal="center" vertical="center" wrapText="1"/>
    </xf>
    <xf numFmtId="0" fontId="0" fillId="7" borderId="1" xfId="0" applyFill="1" applyBorder="1"/>
    <xf numFmtId="0" fontId="7" fillId="0" borderId="0" xfId="6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</cellXfs>
  <cellStyles count="16">
    <cellStyle name="Comma 2" xfId="2" xr:uid="{00000000-0005-0000-0000-000000000000}"/>
    <cellStyle name="Currency" xfId="1" builtinId="4"/>
    <cellStyle name="Currency [0] 2" xfId="15" xr:uid="{00000000-0005-0000-0000-000002000000}"/>
    <cellStyle name="Currency 2" xfId="3" xr:uid="{00000000-0005-0000-0000-000003000000}"/>
    <cellStyle name="Currency 2 2" xfId="4" xr:uid="{00000000-0005-0000-0000-000004000000}"/>
    <cellStyle name="Currency 3" xfId="5" xr:uid="{00000000-0005-0000-0000-000005000000}"/>
    <cellStyle name="Hyperlink" xfId="6" builtinId="8"/>
    <cellStyle name="Normal" xfId="0" builtinId="0"/>
    <cellStyle name="Normal 2" xfId="7" xr:uid="{00000000-0005-0000-0000-000008000000}"/>
    <cellStyle name="Normal 2 2" xfId="8" xr:uid="{00000000-0005-0000-0000-000009000000}"/>
    <cellStyle name="Normal 3" xfId="9" xr:uid="{00000000-0005-0000-0000-00000A000000}"/>
    <cellStyle name="Normal 4" xfId="10" xr:uid="{00000000-0005-0000-0000-00000B000000}"/>
    <cellStyle name="Normal 5" xfId="11" xr:uid="{00000000-0005-0000-0000-00000C000000}"/>
    <cellStyle name="Percent 2" xfId="12" xr:uid="{00000000-0005-0000-0000-00000D000000}"/>
    <cellStyle name="Percent 2 2" xfId="13" xr:uid="{00000000-0005-0000-0000-00000E000000}"/>
    <cellStyle name="Percent 3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Cartagena" id="{213DC465-2163-42E0-BA2A-B3B8D75E9C47}" userId="S::dcartagena@partners.net::d837c169-300b-4815-b5ab-795c093ba9d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19-10-01T15:18:15.56" personId="{213DC465-2163-42E0-BA2A-B3B8D75E9C47}" id="{F4FF80B9-5655-4E9A-82DE-EB042D928B32}">
    <text>Guest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rogerio@arbsconsultoria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ogerioalmeidaabep@hotmail.com" TargetMode="External"/><Relationship Id="rId1" Type="http://schemas.openxmlformats.org/officeDocument/2006/relationships/hyperlink" Target="mailto:luaraujolima@yahoo.com.br" TargetMode="External"/><Relationship Id="rId6" Type="http://schemas.openxmlformats.org/officeDocument/2006/relationships/hyperlink" Target="https://members.partners.net/admin/members/contact.asp?id=58889076" TargetMode="External"/><Relationship Id="rId5" Type="http://schemas.openxmlformats.org/officeDocument/2006/relationships/hyperlink" Target="mailto:arilda.partnersbrasiliadf@gmail.com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mailto:espindol@folha.com.br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"/>
  <sheetViews>
    <sheetView showGridLines="0" tabSelected="1" topLeftCell="A7" zoomScale="90" zoomScaleNormal="90" workbookViewId="0">
      <selection activeCell="B9" sqref="B9"/>
    </sheetView>
  </sheetViews>
  <sheetFormatPr defaultRowHeight="15"/>
  <cols>
    <col min="1" max="1" width="2.42578125" style="9" customWidth="1"/>
    <col min="2" max="2" width="35.28515625" customWidth="1"/>
    <col min="3" max="3" width="28.5703125" customWidth="1"/>
    <col min="4" max="4" width="26.5703125" customWidth="1"/>
    <col min="5" max="5" width="13.7109375" style="15" hidden="1" customWidth="1"/>
    <col min="6" max="6" width="15.5703125" hidden="1" customWidth="1"/>
    <col min="7" max="7" width="12.140625" style="15" hidden="1" customWidth="1"/>
    <col min="8" max="8" width="15.42578125" hidden="1" customWidth="1"/>
    <col min="9" max="9" width="12.5703125" hidden="1" customWidth="1"/>
    <col min="10" max="10" width="20.28515625" hidden="1" customWidth="1"/>
    <col min="11" max="11" width="10.5703125" style="15" hidden="1" customWidth="1"/>
    <col min="12" max="12" width="21" hidden="1" customWidth="1"/>
    <col min="13" max="13" width="10.140625" customWidth="1"/>
    <col min="14" max="14" width="15.42578125" customWidth="1"/>
    <col min="15" max="15" width="37.85546875" customWidth="1"/>
    <col min="16" max="16" width="17.140625" customWidth="1"/>
    <col min="17" max="17" width="13.5703125" customWidth="1"/>
  </cols>
  <sheetData>
    <row r="1" spans="1:22" ht="15" customHeight="1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57"/>
      <c r="P1" s="57"/>
      <c r="Q1" s="15"/>
      <c r="R1" s="15"/>
      <c r="S1" s="15"/>
      <c r="T1" s="15"/>
      <c r="U1" s="15"/>
      <c r="V1" s="15"/>
    </row>
    <row r="2" spans="1:22" s="15" customFormat="1" ht="15" customHeight="1">
      <c r="A2" s="9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57"/>
      <c r="P2" s="57"/>
    </row>
    <row r="3" spans="1:22" s="15" customFormat="1" ht="15.75" customHeight="1">
      <c r="A3" s="9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57"/>
      <c r="P3" s="57"/>
    </row>
    <row r="4" spans="1:22" ht="31.5">
      <c r="B4" s="8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10</v>
      </c>
      <c r="N4" s="1" t="s">
        <v>12</v>
      </c>
      <c r="O4" s="8" t="s">
        <v>13</v>
      </c>
      <c r="P4" s="6" t="s">
        <v>14</v>
      </c>
      <c r="Q4" s="39" t="s">
        <v>15</v>
      </c>
      <c r="R4" s="39" t="s">
        <v>171</v>
      </c>
      <c r="S4" s="15"/>
      <c r="T4" s="15"/>
      <c r="U4" s="15"/>
      <c r="V4" s="15"/>
    </row>
    <row r="5" spans="1:22" ht="31.5" customHeight="1">
      <c r="B5" s="43" t="s">
        <v>17</v>
      </c>
      <c r="C5" s="43" t="s">
        <v>18</v>
      </c>
      <c r="D5" s="43" t="s">
        <v>19</v>
      </c>
      <c r="E5" s="45" t="s">
        <v>20</v>
      </c>
      <c r="F5" s="49">
        <v>1152</v>
      </c>
      <c r="G5" s="50"/>
      <c r="H5" s="43"/>
      <c r="I5" s="44" t="s">
        <v>17</v>
      </c>
      <c r="J5" s="56">
        <v>43785</v>
      </c>
      <c r="K5" s="44" t="s">
        <v>21</v>
      </c>
      <c r="L5" s="56">
        <v>43789</v>
      </c>
      <c r="M5" s="44" t="s">
        <v>21</v>
      </c>
      <c r="N5" s="68" t="s">
        <v>129</v>
      </c>
      <c r="O5" s="52" t="s">
        <v>22</v>
      </c>
      <c r="P5" s="43"/>
      <c r="Q5" s="41" t="s">
        <v>23</v>
      </c>
      <c r="R5" s="41" t="s">
        <v>172</v>
      </c>
      <c r="S5" s="9"/>
      <c r="T5" s="9"/>
      <c r="U5" s="9"/>
      <c r="V5" s="9"/>
    </row>
    <row r="6" spans="1:22" s="64" customFormat="1" ht="25.15" customHeight="1">
      <c r="A6" s="9"/>
      <c r="B6" s="58" t="s">
        <v>16</v>
      </c>
      <c r="C6" s="58"/>
      <c r="D6" s="58" t="s">
        <v>135</v>
      </c>
      <c r="E6" s="59"/>
      <c r="F6" s="60"/>
      <c r="G6" s="60"/>
      <c r="H6" s="58"/>
      <c r="I6" s="59"/>
      <c r="J6" s="61"/>
      <c r="K6" s="59"/>
      <c r="L6" s="61"/>
      <c r="M6" s="59"/>
      <c r="N6" s="58"/>
      <c r="O6" s="62"/>
      <c r="P6" s="58"/>
      <c r="Q6" s="63"/>
    </row>
    <row r="7" spans="1:22" s="9" customFormat="1" ht="25.5" customHeight="1">
      <c r="B7" s="43" t="s">
        <v>24</v>
      </c>
      <c r="C7" s="43" t="s">
        <v>25</v>
      </c>
      <c r="D7" s="43"/>
      <c r="E7" s="45" t="s">
        <v>20</v>
      </c>
      <c r="F7" s="49" t="s">
        <v>26</v>
      </c>
      <c r="G7" s="50"/>
      <c r="H7" s="43"/>
      <c r="I7" s="44" t="s">
        <v>123</v>
      </c>
      <c r="J7" s="67" t="s">
        <v>124</v>
      </c>
      <c r="K7" s="44" t="s">
        <v>122</v>
      </c>
      <c r="L7" s="67" t="s">
        <v>125</v>
      </c>
      <c r="M7" s="44" t="s">
        <v>122</v>
      </c>
      <c r="N7" s="51"/>
      <c r="O7" s="44" t="s">
        <v>27</v>
      </c>
      <c r="P7" s="43"/>
      <c r="Q7" s="41" t="s">
        <v>23</v>
      </c>
      <c r="R7" s="41" t="s">
        <v>172</v>
      </c>
      <c r="S7" s="40"/>
      <c r="T7" s="40"/>
      <c r="U7" s="40"/>
      <c r="V7" s="40"/>
    </row>
    <row r="8" spans="1:22" s="9" customFormat="1" ht="25.5" customHeight="1">
      <c r="B8" s="43" t="s">
        <v>138</v>
      </c>
      <c r="C8" s="43" t="s">
        <v>28</v>
      </c>
      <c r="D8" s="43"/>
      <c r="E8" s="45" t="s">
        <v>20</v>
      </c>
      <c r="F8" s="49" t="s">
        <v>128</v>
      </c>
      <c r="G8" s="50"/>
      <c r="H8" s="43"/>
      <c r="I8" s="55"/>
      <c r="J8" s="55"/>
      <c r="K8" s="55"/>
      <c r="L8" s="55"/>
      <c r="M8" s="55"/>
      <c r="N8" s="51"/>
      <c r="O8" s="44"/>
      <c r="P8" s="43"/>
      <c r="Q8" s="41" t="s">
        <v>23</v>
      </c>
      <c r="R8" s="41" t="s">
        <v>172</v>
      </c>
      <c r="S8" s="40"/>
      <c r="T8" s="40"/>
      <c r="U8" s="40"/>
      <c r="V8" s="40"/>
    </row>
    <row r="9" spans="1:22" ht="25.5" customHeight="1">
      <c r="B9" s="43" t="s">
        <v>29</v>
      </c>
      <c r="C9" s="43" t="s">
        <v>30</v>
      </c>
      <c r="D9" s="43" t="s">
        <v>31</v>
      </c>
      <c r="E9" s="45" t="s">
        <v>20</v>
      </c>
      <c r="F9" s="49" t="s">
        <v>32</v>
      </c>
      <c r="G9" s="50"/>
      <c r="H9" s="43"/>
      <c r="I9" s="44" t="s">
        <v>33</v>
      </c>
      <c r="J9" s="44" t="s">
        <v>34</v>
      </c>
      <c r="K9" s="44" t="s">
        <v>35</v>
      </c>
      <c r="L9" s="44" t="s">
        <v>36</v>
      </c>
      <c r="M9" s="44" t="s">
        <v>35</v>
      </c>
      <c r="N9" s="51">
        <v>205.8</v>
      </c>
      <c r="O9" s="44"/>
      <c r="P9" s="43"/>
      <c r="Q9" s="41" t="s">
        <v>23</v>
      </c>
      <c r="R9" s="41" t="s">
        <v>172</v>
      </c>
      <c r="S9" s="15"/>
      <c r="T9" s="15"/>
      <c r="U9" s="15"/>
      <c r="V9" s="15"/>
    </row>
    <row r="10" spans="1:22" ht="25.5" customHeight="1">
      <c r="B10" s="43" t="s">
        <v>37</v>
      </c>
      <c r="C10" s="43" t="s">
        <v>38</v>
      </c>
      <c r="D10" s="15" t="s">
        <v>139</v>
      </c>
      <c r="E10" s="45" t="s">
        <v>20</v>
      </c>
      <c r="F10" s="44" t="s">
        <v>39</v>
      </c>
      <c r="G10" s="44" t="s">
        <v>39</v>
      </c>
      <c r="H10" s="44" t="s">
        <v>39</v>
      </c>
      <c r="I10" s="44" t="s">
        <v>39</v>
      </c>
      <c r="J10" s="44" t="s">
        <v>39</v>
      </c>
      <c r="K10" s="44" t="s">
        <v>39</v>
      </c>
      <c r="L10" s="44" t="s">
        <v>39</v>
      </c>
      <c r="M10" s="44" t="s">
        <v>39</v>
      </c>
      <c r="N10" s="51">
        <v>0</v>
      </c>
      <c r="O10" s="44" t="s">
        <v>40</v>
      </c>
      <c r="P10" s="43"/>
      <c r="Q10" s="41" t="s">
        <v>23</v>
      </c>
      <c r="R10" s="41" t="s">
        <v>172</v>
      </c>
      <c r="S10" s="9"/>
      <c r="T10" s="9"/>
      <c r="U10" s="9"/>
      <c r="V10" s="9"/>
    </row>
    <row r="11" spans="1:22" s="9" customFormat="1" ht="25.5" customHeight="1">
      <c r="B11" s="43" t="s">
        <v>41</v>
      </c>
      <c r="C11" s="43" t="s">
        <v>134</v>
      </c>
      <c r="D11" s="43" t="s">
        <v>174</v>
      </c>
      <c r="E11" s="45" t="s">
        <v>20</v>
      </c>
      <c r="F11" s="44" t="s">
        <v>39</v>
      </c>
      <c r="G11" s="44" t="s">
        <v>39</v>
      </c>
      <c r="H11" s="44" t="s">
        <v>39</v>
      </c>
      <c r="I11" s="44" t="s">
        <v>39</v>
      </c>
      <c r="J11" s="44" t="s">
        <v>39</v>
      </c>
      <c r="K11" s="44" t="s">
        <v>39</v>
      </c>
      <c r="L11" s="44" t="s">
        <v>39</v>
      </c>
      <c r="M11" s="44" t="s">
        <v>39</v>
      </c>
      <c r="N11" s="51">
        <v>0</v>
      </c>
      <c r="O11" s="70" t="s">
        <v>136</v>
      </c>
      <c r="P11" s="43"/>
      <c r="Q11" s="17"/>
      <c r="R11" s="41" t="s">
        <v>172</v>
      </c>
    </row>
    <row r="12" spans="1:22" ht="29.25" customHeight="1">
      <c r="B12" s="43" t="s">
        <v>42</v>
      </c>
      <c r="C12" s="43" t="s">
        <v>173</v>
      </c>
      <c r="D12" s="43" t="s">
        <v>43</v>
      </c>
      <c r="E12" s="45" t="s">
        <v>20</v>
      </c>
      <c r="F12" s="49" t="s">
        <v>44</v>
      </c>
      <c r="G12" s="50"/>
      <c r="H12" s="43"/>
      <c r="I12" s="44" t="s">
        <v>45</v>
      </c>
      <c r="J12" s="44" t="s">
        <v>46</v>
      </c>
      <c r="K12" s="44" t="s">
        <v>35</v>
      </c>
      <c r="L12" s="43" t="s">
        <v>47</v>
      </c>
      <c r="M12" s="44" t="s">
        <v>35</v>
      </c>
      <c r="N12" s="51">
        <v>329.3</v>
      </c>
      <c r="O12" s="52" t="s">
        <v>48</v>
      </c>
      <c r="P12" s="43"/>
      <c r="Q12" s="41" t="s">
        <v>23</v>
      </c>
      <c r="R12" s="41" t="s">
        <v>172</v>
      </c>
      <c r="S12" s="9"/>
      <c r="T12" s="9"/>
      <c r="U12" s="9"/>
      <c r="V12" s="9"/>
    </row>
    <row r="13" spans="1:22" ht="25.5" customHeight="1">
      <c r="B13" s="58" t="s">
        <v>49</v>
      </c>
      <c r="C13" s="58" t="s">
        <v>50</v>
      </c>
      <c r="D13" s="58" t="s">
        <v>135</v>
      </c>
      <c r="E13" s="60" t="s">
        <v>20</v>
      </c>
      <c r="F13" s="60">
        <v>1229</v>
      </c>
      <c r="G13" s="60"/>
      <c r="H13" s="69"/>
      <c r="I13" s="59" t="s">
        <v>119</v>
      </c>
      <c r="J13" s="59" t="s">
        <v>120</v>
      </c>
      <c r="K13" s="59" t="s">
        <v>122</v>
      </c>
      <c r="L13" s="58" t="s">
        <v>121</v>
      </c>
      <c r="M13" s="59" t="s">
        <v>122</v>
      </c>
      <c r="N13" s="66" t="s">
        <v>130</v>
      </c>
      <c r="O13" s="44" t="s">
        <v>137</v>
      </c>
      <c r="P13" s="43"/>
      <c r="Q13" s="17"/>
      <c r="R13" s="9"/>
      <c r="S13" s="9"/>
      <c r="T13" s="9"/>
      <c r="U13" s="9"/>
      <c r="V13" s="9"/>
    </row>
    <row r="14" spans="1:22" ht="30" customHeight="1">
      <c r="B14" s="43" t="s">
        <v>51</v>
      </c>
      <c r="C14" s="43" t="s">
        <v>52</v>
      </c>
      <c r="D14" s="43" t="s">
        <v>140</v>
      </c>
      <c r="E14" s="45" t="s">
        <v>20</v>
      </c>
      <c r="F14" s="49" t="s">
        <v>53</v>
      </c>
      <c r="G14" s="50"/>
      <c r="H14" s="43"/>
      <c r="I14" s="44" t="s">
        <v>54</v>
      </c>
      <c r="J14" s="44" t="s">
        <v>55</v>
      </c>
      <c r="K14" s="44" t="s">
        <v>35</v>
      </c>
      <c r="L14" s="43" t="s">
        <v>56</v>
      </c>
      <c r="M14" s="44" t="s">
        <v>35</v>
      </c>
      <c r="N14" s="51">
        <v>513</v>
      </c>
      <c r="O14" s="52" t="s">
        <v>57</v>
      </c>
      <c r="P14" s="43"/>
      <c r="Q14" s="41" t="s">
        <v>23</v>
      </c>
      <c r="R14" s="41" t="s">
        <v>172</v>
      </c>
      <c r="S14" s="12"/>
      <c r="T14" s="9"/>
      <c r="U14" s="9"/>
      <c r="V14" s="13"/>
    </row>
    <row r="15" spans="1:22" ht="25.5" customHeight="1">
      <c r="B15" s="43" t="s">
        <v>58</v>
      </c>
      <c r="C15" s="43" t="s">
        <v>59</v>
      </c>
      <c r="D15" s="43"/>
      <c r="E15" s="45" t="s">
        <v>20</v>
      </c>
      <c r="F15" s="49" t="s">
        <v>60</v>
      </c>
      <c r="G15" s="50"/>
      <c r="H15" s="43"/>
      <c r="I15" s="54" t="s">
        <v>61</v>
      </c>
      <c r="J15" s="44" t="s">
        <v>62</v>
      </c>
      <c r="K15" s="44" t="s">
        <v>63</v>
      </c>
      <c r="L15" s="44" t="s">
        <v>64</v>
      </c>
      <c r="M15" s="44" t="s">
        <v>63</v>
      </c>
      <c r="N15" s="51">
        <v>435.1</v>
      </c>
      <c r="O15" s="52" t="s">
        <v>65</v>
      </c>
      <c r="P15" s="43"/>
      <c r="Q15" s="41" t="s">
        <v>23</v>
      </c>
      <c r="R15" s="41" t="s">
        <v>172</v>
      </c>
      <c r="S15" s="9"/>
      <c r="T15" s="9"/>
      <c r="U15" s="9"/>
      <c r="V15" s="13"/>
    </row>
    <row r="16" spans="1:22" ht="25.5" customHeight="1">
      <c r="B16" s="43" t="s">
        <v>66</v>
      </c>
      <c r="C16" s="43" t="s">
        <v>112</v>
      </c>
      <c r="D16" s="43"/>
      <c r="E16" s="45" t="s">
        <v>20</v>
      </c>
      <c r="F16" s="49">
        <v>1222</v>
      </c>
      <c r="G16" s="50"/>
      <c r="H16" s="43"/>
      <c r="I16" s="44" t="s">
        <v>123</v>
      </c>
      <c r="J16" s="43" t="s">
        <v>126</v>
      </c>
      <c r="K16" s="44" t="s">
        <v>122</v>
      </c>
      <c r="L16" s="43" t="s">
        <v>127</v>
      </c>
      <c r="M16" s="44" t="s">
        <v>122</v>
      </c>
      <c r="N16" s="51">
        <v>460.6</v>
      </c>
      <c r="O16" s="44"/>
      <c r="P16" s="43"/>
      <c r="Q16" s="41" t="s">
        <v>23</v>
      </c>
      <c r="R16" s="41" t="s">
        <v>172</v>
      </c>
      <c r="S16" s="15"/>
      <c r="T16" s="15"/>
      <c r="U16" s="15"/>
      <c r="V16" s="5"/>
    </row>
    <row r="17" spans="1:22" s="64" customFormat="1" ht="25.5" customHeight="1">
      <c r="A17" s="9"/>
      <c r="B17" s="58" t="s">
        <v>67</v>
      </c>
      <c r="C17" s="58" t="s">
        <v>68</v>
      </c>
      <c r="D17" s="58" t="s">
        <v>141</v>
      </c>
      <c r="E17" s="59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58"/>
      <c r="Q17" s="63"/>
      <c r="S17" s="65"/>
    </row>
    <row r="18" spans="1:22" ht="25.5" customHeight="1">
      <c r="B18" s="43" t="s">
        <v>69</v>
      </c>
      <c r="C18" s="43" t="s">
        <v>111</v>
      </c>
      <c r="D18" s="43" t="s">
        <v>142</v>
      </c>
      <c r="E18" s="45" t="s">
        <v>20</v>
      </c>
      <c r="F18" s="49" t="s">
        <v>70</v>
      </c>
      <c r="G18" s="50"/>
      <c r="H18" s="43"/>
      <c r="I18" s="43" t="s">
        <v>116</v>
      </c>
      <c r="J18" s="43" t="s">
        <v>117</v>
      </c>
      <c r="K18" s="44" t="s">
        <v>35</v>
      </c>
      <c r="L18" s="43" t="s">
        <v>118</v>
      </c>
      <c r="M18" s="44" t="s">
        <v>35</v>
      </c>
      <c r="N18" s="51">
        <v>423</v>
      </c>
      <c r="O18" s="44"/>
      <c r="P18" s="43"/>
      <c r="Q18" s="41" t="s">
        <v>23</v>
      </c>
      <c r="R18" s="41" t="s">
        <v>172</v>
      </c>
      <c r="S18" s="9"/>
      <c r="T18" s="9"/>
      <c r="U18" s="9"/>
      <c r="V18" s="9"/>
    </row>
    <row r="19" spans="1:22" ht="25.5" customHeight="1">
      <c r="B19" s="43" t="s">
        <v>71</v>
      </c>
      <c r="C19" s="43" t="s">
        <v>72</v>
      </c>
      <c r="D19" s="43" t="s">
        <v>135</v>
      </c>
      <c r="E19" s="45" t="s">
        <v>20</v>
      </c>
      <c r="F19" s="49" t="s">
        <v>73</v>
      </c>
      <c r="G19" s="50"/>
      <c r="H19" s="43"/>
      <c r="I19" s="43" t="s">
        <v>74</v>
      </c>
      <c r="J19" s="44" t="s">
        <v>75</v>
      </c>
      <c r="K19" s="44" t="s">
        <v>35</v>
      </c>
      <c r="L19" s="44" t="s">
        <v>36</v>
      </c>
      <c r="M19" s="44" t="s">
        <v>35</v>
      </c>
      <c r="N19" s="51">
        <v>242.8</v>
      </c>
      <c r="O19" s="52" t="s">
        <v>76</v>
      </c>
      <c r="P19" s="43"/>
      <c r="Q19" s="17"/>
      <c r="R19" s="9"/>
      <c r="S19" s="9"/>
      <c r="T19" s="9"/>
      <c r="U19" s="9"/>
      <c r="V19" s="9"/>
    </row>
    <row r="20" spans="1:22" ht="25.5" customHeight="1">
      <c r="B20" s="43" t="s">
        <v>77</v>
      </c>
      <c r="C20" s="43" t="s">
        <v>109</v>
      </c>
      <c r="D20" s="43"/>
      <c r="E20" s="45" t="s">
        <v>20</v>
      </c>
      <c r="F20" s="49" t="s">
        <v>110</v>
      </c>
      <c r="G20" s="50"/>
      <c r="H20" s="43"/>
      <c r="I20" s="43" t="s">
        <v>115</v>
      </c>
      <c r="J20" s="43" t="s">
        <v>113</v>
      </c>
      <c r="K20" s="44" t="s">
        <v>35</v>
      </c>
      <c r="L20" s="43" t="s">
        <v>114</v>
      </c>
      <c r="M20" s="44" t="s">
        <v>35</v>
      </c>
      <c r="N20" s="51">
        <v>279.2</v>
      </c>
      <c r="O20" s="44"/>
      <c r="P20" s="43"/>
      <c r="Q20" s="41" t="s">
        <v>23</v>
      </c>
      <c r="R20" s="41" t="s">
        <v>172</v>
      </c>
      <c r="S20" s="15"/>
      <c r="T20" s="15"/>
      <c r="U20" s="15"/>
      <c r="V20" s="15"/>
    </row>
    <row r="21" spans="1:22" s="9" customFormat="1" ht="25.5" customHeight="1" thickBot="1">
      <c r="B21" s="43" t="s">
        <v>78</v>
      </c>
      <c r="C21" s="43" t="s">
        <v>79</v>
      </c>
      <c r="D21" s="43" t="s">
        <v>80</v>
      </c>
      <c r="E21" s="45" t="s">
        <v>20</v>
      </c>
      <c r="F21" s="49" t="s">
        <v>81</v>
      </c>
      <c r="G21" s="50"/>
      <c r="H21" s="43"/>
      <c r="I21" s="44" t="s">
        <v>82</v>
      </c>
      <c r="J21" s="44" t="s">
        <v>46</v>
      </c>
      <c r="K21" s="44" t="s">
        <v>35</v>
      </c>
      <c r="L21" s="44" t="s">
        <v>83</v>
      </c>
      <c r="M21" s="44" t="s">
        <v>35</v>
      </c>
      <c r="N21" s="51">
        <v>188.7</v>
      </c>
      <c r="O21" s="44" t="s">
        <v>84</v>
      </c>
      <c r="P21" s="43"/>
      <c r="Q21" s="41" t="s">
        <v>23</v>
      </c>
      <c r="R21" s="41" t="s">
        <v>172</v>
      </c>
    </row>
    <row r="22" spans="1:22" ht="19.5" customHeight="1" thickBot="1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 t="s">
        <v>85</v>
      </c>
      <c r="N22" s="53">
        <f>+SUM(N5:N21)</f>
        <v>3077.4999999999995</v>
      </c>
      <c r="O22" s="42"/>
      <c r="P22" s="42"/>
      <c r="Q22" s="15"/>
      <c r="R22" s="15"/>
      <c r="S22" s="15"/>
      <c r="T22" s="15"/>
      <c r="U22" s="15"/>
      <c r="V22" s="15"/>
    </row>
    <row r="23" spans="1:22" ht="25.5" customHeight="1">
      <c r="B23" s="48" t="s">
        <v>86</v>
      </c>
      <c r="C23" s="42"/>
      <c r="D23" s="42"/>
      <c r="E23" s="46"/>
      <c r="F23" s="72" t="s">
        <v>87</v>
      </c>
      <c r="G23" s="72"/>
      <c r="H23" s="72"/>
      <c r="I23" s="42"/>
      <c r="J23" s="42"/>
      <c r="K23" s="42"/>
      <c r="L23" s="42"/>
      <c r="M23" s="42"/>
      <c r="N23" s="42"/>
      <c r="O23" s="42"/>
      <c r="P23" s="42"/>
      <c r="Q23" s="15"/>
      <c r="R23" s="15"/>
      <c r="S23" s="15"/>
      <c r="T23" s="15"/>
      <c r="U23" s="15"/>
      <c r="V23" s="15"/>
    </row>
    <row r="24" spans="1:22" ht="27" customHeight="1">
      <c r="B24" s="73" t="s">
        <v>88</v>
      </c>
      <c r="C24" s="73"/>
      <c r="D24" s="42"/>
      <c r="E24" s="47"/>
      <c r="F24" s="72" t="s">
        <v>89</v>
      </c>
      <c r="G24" s="72"/>
      <c r="H24" s="72"/>
      <c r="I24" s="42"/>
      <c r="J24" s="42"/>
      <c r="K24" s="42"/>
      <c r="L24" s="42"/>
      <c r="M24" s="42"/>
      <c r="N24" s="42"/>
      <c r="O24" s="42"/>
      <c r="P24" s="42"/>
      <c r="Q24" s="15"/>
      <c r="R24" s="15"/>
      <c r="S24" s="15"/>
      <c r="T24" s="15"/>
      <c r="U24" s="15"/>
      <c r="V24" s="15"/>
    </row>
    <row r="25" spans="1:22" ht="23.25" customHeight="1">
      <c r="B25" s="73" t="s">
        <v>90</v>
      </c>
      <c r="C25" s="73"/>
      <c r="D25" s="42"/>
      <c r="E25" s="43" t="s">
        <v>39</v>
      </c>
      <c r="F25" s="72" t="s">
        <v>91</v>
      </c>
      <c r="G25" s="72"/>
      <c r="H25" s="72"/>
      <c r="I25" s="42"/>
      <c r="J25" s="42"/>
      <c r="K25" s="42"/>
      <c r="L25" s="42"/>
      <c r="M25" s="42"/>
      <c r="N25" s="42"/>
      <c r="O25" s="42"/>
      <c r="P25" s="42"/>
      <c r="Q25" s="15"/>
      <c r="R25" s="15"/>
      <c r="S25" s="15"/>
      <c r="T25" s="15"/>
      <c r="U25" s="15"/>
      <c r="V25" s="15"/>
    </row>
    <row r="26" spans="1:22" ht="15" customHeight="1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15"/>
      <c r="R26" s="15"/>
      <c r="S26" s="15"/>
      <c r="T26" s="15"/>
      <c r="U26" s="15"/>
      <c r="V26" s="15"/>
    </row>
    <row r="27" spans="1:22" ht="20.25">
      <c r="B27" s="33"/>
      <c r="C27" s="33"/>
      <c r="D27" s="3"/>
      <c r="E27" s="3"/>
      <c r="F27" s="3"/>
      <c r="G27" s="3"/>
      <c r="H27" s="3"/>
      <c r="I27" s="3"/>
      <c r="J27" s="3"/>
      <c r="K27" s="3"/>
      <c r="L27" s="3"/>
      <c r="M27" s="4"/>
      <c r="N27" s="15"/>
      <c r="O27" s="15"/>
      <c r="P27" s="15"/>
      <c r="Q27" s="15"/>
      <c r="R27" s="15"/>
      <c r="S27" s="15"/>
      <c r="T27" s="15"/>
      <c r="U27" s="15"/>
      <c r="V27" s="15"/>
    </row>
    <row r="28" spans="1:22">
      <c r="B28" s="15"/>
      <c r="C28" s="15"/>
      <c r="D28" s="15"/>
      <c r="F28" s="15"/>
      <c r="H28" s="15"/>
      <c r="I28" s="18"/>
      <c r="J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>
      <c r="B29" s="15"/>
      <c r="C29" s="15"/>
      <c r="D29" s="15"/>
      <c r="F29" s="15"/>
      <c r="H29" s="15"/>
      <c r="I29" s="15"/>
      <c r="J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">
    <mergeCell ref="B1:N3"/>
    <mergeCell ref="F23:H23"/>
    <mergeCell ref="F25:H25"/>
    <mergeCell ref="F24:H24"/>
    <mergeCell ref="B24:C24"/>
    <mergeCell ref="B25:C25"/>
  </mergeCells>
  <hyperlinks>
    <hyperlink ref="O19" r:id="rId1" xr:uid="{6243F233-7603-4FDC-9AC0-E097C3E40E08}"/>
    <hyperlink ref="O15" r:id="rId2" xr:uid="{FCB3F50A-77B6-4066-B0B0-235D8C1E36B3}"/>
    <hyperlink ref="O14" r:id="rId3" xr:uid="{3EDAEC2E-AC95-4040-AA65-4052E2D446DD}"/>
    <hyperlink ref="O12" r:id="rId4" xr:uid="{7AAC71B3-7A3E-43FF-B9D9-528928CDC8D3}"/>
    <hyperlink ref="O5" r:id="rId5" xr:uid="{934BE71E-EA8C-44C6-B409-D315790BC987}"/>
    <hyperlink ref="O11" r:id="rId6" display="https://members.partners.net/admin/members/contact.asp?id=58889076" xr:uid="{4C1CA045-78A3-4468-958C-927EAB1EDE10}"/>
  </hyperlinks>
  <pageMargins left="0.25" right="0.25" top="0.75" bottom="0.75" header="0.3" footer="0.3"/>
  <pageSetup scale="42" orientation="landscape" r:id="rId7"/>
  <ignoredErrors>
    <ignoredError sqref="F9 F19 F12 F14:F15" numberStoredAsText="1"/>
  </ignoredErrors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6"/>
  <sheetViews>
    <sheetView showGridLines="0" topLeftCell="B6" zoomScaleNormal="100" workbookViewId="0">
      <selection activeCell="C26" sqref="C26"/>
    </sheetView>
  </sheetViews>
  <sheetFormatPr defaultRowHeight="15"/>
  <cols>
    <col min="1" max="1" width="2.85546875" style="15" customWidth="1"/>
    <col min="2" max="2" width="8.7109375" style="15" customWidth="1"/>
    <col min="3" max="3" width="26.85546875" customWidth="1"/>
    <col min="4" max="4" width="10.5703125" style="15" customWidth="1"/>
    <col min="5" max="5" width="11" customWidth="1"/>
    <col min="6" max="6" width="25.7109375" style="15" customWidth="1"/>
    <col min="7" max="7" width="17.140625" customWidth="1"/>
    <col min="8" max="8" width="4.5703125" customWidth="1"/>
    <col min="9" max="9" width="8.7109375" style="21" customWidth="1"/>
    <col min="10" max="10" width="16.5703125" customWidth="1"/>
    <col min="12" max="12" width="15.42578125" bestFit="1" customWidth="1"/>
    <col min="13" max="13" width="27.7109375" bestFit="1" customWidth="1"/>
    <col min="14" max="14" width="16.42578125" bestFit="1" customWidth="1"/>
    <col min="15" max="15" width="18.7109375" bestFit="1" customWidth="1"/>
  </cols>
  <sheetData>
    <row r="1" spans="2:15">
      <c r="C1" s="15"/>
      <c r="E1" s="15"/>
      <c r="G1" s="15"/>
      <c r="H1" s="15"/>
      <c r="J1" s="15"/>
      <c r="K1" s="15"/>
      <c r="L1" s="15"/>
      <c r="M1" s="15"/>
      <c r="N1" s="15"/>
      <c r="O1" s="15"/>
    </row>
    <row r="2" spans="2:15" ht="15" customHeight="1">
      <c r="C2" s="75"/>
      <c r="D2" s="75"/>
      <c r="E2" s="75"/>
      <c r="F2" s="75"/>
      <c r="G2" s="75"/>
      <c r="H2" s="75"/>
      <c r="I2" s="75"/>
      <c r="J2" s="75"/>
      <c r="K2" s="15"/>
      <c r="L2" s="15"/>
      <c r="M2" s="15"/>
      <c r="N2" s="15"/>
      <c r="O2" s="15"/>
    </row>
    <row r="3" spans="2:15" ht="30.75" customHeight="1">
      <c r="B3" s="74" t="s">
        <v>92</v>
      </c>
      <c r="C3" s="74"/>
      <c r="D3" s="74"/>
      <c r="E3" s="74"/>
      <c r="F3" s="74"/>
      <c r="G3" s="74"/>
      <c r="H3" s="22"/>
      <c r="I3" s="38"/>
      <c r="J3" s="74" t="s">
        <v>93</v>
      </c>
      <c r="K3" s="74"/>
      <c r="L3" s="74"/>
      <c r="M3" s="74"/>
      <c r="N3" s="74"/>
      <c r="O3" s="74"/>
    </row>
    <row r="4" spans="2:15" ht="39.75" customHeight="1">
      <c r="B4" s="36" t="s">
        <v>94</v>
      </c>
      <c r="C4" s="37" t="s">
        <v>95</v>
      </c>
      <c r="D4" s="36" t="s">
        <v>96</v>
      </c>
      <c r="E4" s="36" t="s">
        <v>97</v>
      </c>
      <c r="F4" s="36" t="s">
        <v>98</v>
      </c>
      <c r="G4" s="37" t="s">
        <v>99</v>
      </c>
      <c r="H4" s="35"/>
      <c r="I4" s="37" t="s">
        <v>94</v>
      </c>
      <c r="J4" s="37"/>
      <c r="K4" s="37" t="s">
        <v>100</v>
      </c>
      <c r="L4" s="37" t="s">
        <v>101</v>
      </c>
      <c r="M4" s="36" t="s">
        <v>102</v>
      </c>
      <c r="N4" s="36" t="s">
        <v>103</v>
      </c>
      <c r="O4" s="36" t="s">
        <v>98</v>
      </c>
    </row>
    <row r="5" spans="2:15" s="29" customFormat="1">
      <c r="B5" s="24" t="s">
        <v>104</v>
      </c>
      <c r="C5" s="10" t="s">
        <v>131</v>
      </c>
      <c r="D5" s="19" t="s">
        <v>132</v>
      </c>
      <c r="E5" s="24"/>
      <c r="F5" s="16"/>
      <c r="G5" s="11"/>
      <c r="H5" s="25"/>
      <c r="I5" s="24"/>
      <c r="J5" s="32"/>
      <c r="K5" s="34"/>
      <c r="L5" s="27"/>
      <c r="M5" s="27"/>
      <c r="N5" s="27"/>
      <c r="O5" s="28"/>
    </row>
    <row r="6" spans="2:15" s="29" customFormat="1">
      <c r="B6" s="24"/>
      <c r="C6" s="2" t="s">
        <v>133</v>
      </c>
      <c r="D6" s="7" t="s">
        <v>132</v>
      </c>
      <c r="E6" s="24"/>
      <c r="F6" s="16"/>
      <c r="G6" s="20"/>
      <c r="H6" s="25"/>
      <c r="I6" s="24"/>
      <c r="J6" s="26"/>
      <c r="K6" s="34"/>
      <c r="L6" s="27"/>
      <c r="M6" s="27"/>
      <c r="N6" s="27"/>
      <c r="O6" s="24"/>
    </row>
    <row r="7" spans="2:15" s="29" customFormat="1">
      <c r="B7" s="24" t="s">
        <v>105</v>
      </c>
      <c r="C7" s="2" t="s">
        <v>143</v>
      </c>
      <c r="D7" s="7"/>
      <c r="E7" s="24"/>
      <c r="F7" s="16"/>
      <c r="G7" s="11"/>
      <c r="H7" s="25"/>
      <c r="I7" s="24"/>
      <c r="J7" s="26"/>
      <c r="K7" s="34"/>
      <c r="L7" s="27"/>
      <c r="M7" s="27"/>
      <c r="N7" s="27"/>
      <c r="O7" s="24"/>
    </row>
    <row r="8" spans="2:15" s="29" customFormat="1">
      <c r="B8" s="24"/>
      <c r="C8" s="2" t="s">
        <v>144</v>
      </c>
      <c r="D8" s="7"/>
      <c r="E8" s="16"/>
      <c r="F8" s="16"/>
      <c r="G8" s="11"/>
      <c r="H8" s="25"/>
      <c r="I8" s="24"/>
      <c r="J8" s="26"/>
      <c r="K8" s="34"/>
      <c r="L8" s="27"/>
      <c r="M8" s="27"/>
      <c r="N8" s="27"/>
      <c r="O8" s="24"/>
    </row>
    <row r="9" spans="2:15" s="29" customFormat="1">
      <c r="B9" s="24" t="s">
        <v>106</v>
      </c>
      <c r="C9" s="2" t="s">
        <v>145</v>
      </c>
      <c r="D9" s="7"/>
      <c r="E9" s="16"/>
      <c r="F9" s="16"/>
      <c r="G9" s="7"/>
      <c r="H9" s="25"/>
    </row>
    <row r="10" spans="2:15" s="29" customFormat="1">
      <c r="B10" s="24"/>
      <c r="C10" s="27" t="s">
        <v>146</v>
      </c>
      <c r="D10" s="30"/>
      <c r="E10" s="24"/>
      <c r="F10" s="16"/>
      <c r="G10" s="24" t="s">
        <v>108</v>
      </c>
      <c r="H10" s="25"/>
      <c r="I10" s="23"/>
    </row>
    <row r="11" spans="2:15" s="29" customFormat="1" ht="20.25" customHeight="1">
      <c r="B11" s="29" t="s">
        <v>107</v>
      </c>
      <c r="C11" s="29" t="s">
        <v>147</v>
      </c>
      <c r="H11" s="25"/>
      <c r="I11" s="25"/>
    </row>
    <row r="12" spans="2:15" ht="15.75">
      <c r="C12" s="14" t="s">
        <v>148</v>
      </c>
      <c r="D12" s="14"/>
      <c r="E12" s="14"/>
      <c r="F12" s="14"/>
      <c r="G12" s="14"/>
      <c r="H12" s="14"/>
      <c r="I12" s="31"/>
      <c r="J12" s="14"/>
      <c r="K12" s="14"/>
      <c r="L12" s="14"/>
      <c r="M12" s="15"/>
      <c r="N12" s="15"/>
      <c r="O12" s="15"/>
    </row>
    <row r="13" spans="2:15" ht="15.75">
      <c r="B13" s="15" t="s">
        <v>149</v>
      </c>
      <c r="C13" s="15" t="s">
        <v>150</v>
      </c>
      <c r="E13" s="15"/>
      <c r="G13" s="15"/>
      <c r="H13" s="15"/>
      <c r="J13" s="14"/>
      <c r="K13" s="14"/>
      <c r="L13" s="14"/>
      <c r="M13" s="15"/>
      <c r="N13" s="15"/>
      <c r="O13" s="15"/>
    </row>
    <row r="14" spans="2:15">
      <c r="B14" s="15" t="s">
        <v>151</v>
      </c>
      <c r="C14" t="s">
        <v>152</v>
      </c>
    </row>
    <row r="15" spans="2:15">
      <c r="B15" s="15" t="s">
        <v>153</v>
      </c>
      <c r="C15" t="s">
        <v>154</v>
      </c>
    </row>
    <row r="16" spans="2:15">
      <c r="C16" t="s">
        <v>155</v>
      </c>
    </row>
    <row r="17" spans="2:3">
      <c r="B17" s="15" t="s">
        <v>156</v>
      </c>
      <c r="C17" t="s">
        <v>157</v>
      </c>
    </row>
    <row r="18" spans="2:3">
      <c r="B18" s="15" t="s">
        <v>158</v>
      </c>
      <c r="C18" t="s">
        <v>159</v>
      </c>
    </row>
    <row r="19" spans="2:3">
      <c r="B19" s="15" t="s">
        <v>160</v>
      </c>
      <c r="C19" t="s">
        <v>161</v>
      </c>
    </row>
    <row r="20" spans="2:3">
      <c r="B20" s="15" t="s">
        <v>162</v>
      </c>
      <c r="C20" t="s">
        <v>163</v>
      </c>
    </row>
    <row r="21" spans="2:3">
      <c r="C21" t="s">
        <v>164</v>
      </c>
    </row>
    <row r="22" spans="2:3">
      <c r="B22" s="15" t="s">
        <v>165</v>
      </c>
      <c r="C22" t="s">
        <v>166</v>
      </c>
    </row>
    <row r="23" spans="2:3">
      <c r="C23" t="s">
        <v>167</v>
      </c>
    </row>
    <row r="24" spans="2:3">
      <c r="B24" s="15" t="s">
        <v>168</v>
      </c>
      <c r="C24" t="s">
        <v>169</v>
      </c>
    </row>
    <row r="26" spans="2:3">
      <c r="C26" t="s">
        <v>170</v>
      </c>
    </row>
  </sheetData>
  <mergeCells count="3">
    <mergeCell ref="B3:G3"/>
    <mergeCell ref="J3:O3"/>
    <mergeCell ref="C2:J2"/>
  </mergeCells>
  <pageMargins left="0.25" right="0.25" top="0.75" bottom="0.75" header="0.3" footer="0.3"/>
  <pageSetup scale="5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EAC9A7-C3C2-4876-8875-E7D08597004B}"/>
</file>

<file path=customXml/itemProps2.xml><?xml version="1.0" encoding="utf-8"?>
<ds:datastoreItem xmlns:ds="http://schemas.openxmlformats.org/officeDocument/2006/customXml" ds:itemID="{25474DCD-A785-4FDA-9034-B18DADB6DF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1F1866-8EF4-4B1B-8AD0-232ADE5B03F7}">
  <ds:schemaRefs>
    <ds:schemaRef ds:uri="http://purl.org/dc/elements/1.1/"/>
    <ds:schemaRef ds:uri="f2466082-b6bf-4153-98c3-3c41e85fda18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dc808d36-874f-4b27-aec2-2fd64981792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Confirmation</vt:lpstr>
      <vt:lpstr>Hotel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C. Cartagena</dc:creator>
  <cp:keywords/>
  <dc:description/>
  <cp:lastModifiedBy>Diana Cartagena</cp:lastModifiedBy>
  <cp:revision/>
  <dcterms:created xsi:type="dcterms:W3CDTF">2018-08-14T14:16:15Z</dcterms:created>
  <dcterms:modified xsi:type="dcterms:W3CDTF">2019-12-11T22:42:13Z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