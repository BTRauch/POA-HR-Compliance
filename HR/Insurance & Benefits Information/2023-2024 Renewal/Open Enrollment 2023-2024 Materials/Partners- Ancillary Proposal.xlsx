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03 ECS BOB\Partners for the Americas\2023\"/>
    </mc:Choice>
  </mc:AlternateContent>
  <xr:revisionPtr revIDLastSave="0" documentId="13_ncr:1_{87154F2D-2CBE-4327-8B9D-21061CBD2103}" xr6:coauthVersionLast="47" xr6:coauthVersionMax="47" xr10:uidLastSave="{00000000-0000-0000-0000-000000000000}"/>
  <bookViews>
    <workbookView xWindow="28680" yWindow="-120" windowWidth="29040" windowHeight="15840" xr2:uid="{8EB226BD-CF3C-4B41-966A-EF9CC1DBEB31}"/>
  </bookViews>
  <sheets>
    <sheet name="Comparison Overview" sheetId="19" r:id="rId1"/>
    <sheet name="Dental " sheetId="17" r:id="rId2"/>
    <sheet name="Vision" sheetId="5" r:id="rId3"/>
    <sheet name="Life " sheetId="10" r:id="rId4"/>
    <sheet name="LTD " sheetId="12" r:id="rId5"/>
    <sheet name="STD " sheetId="13" r:id="rId6"/>
    <sheet name="Pet Insurance" sheetId="9" r:id="rId7"/>
  </sheets>
  <definedNames>
    <definedName name="EmployeeNamesDefaultRange" localSheetId="0">#REF!</definedName>
    <definedName name="EmployeeNamesDefaultRange">#REF!</definedName>
    <definedName name="EmployeeValuesDefaultRange" localSheetId="0">#REF!</definedName>
    <definedName name="EmployeeValuesDefaultRange">#REF!</definedName>
    <definedName name="SubTotalDefaultRange" localSheetId="0">#REF!</definedName>
    <definedName name="SubTotalDefaultRange">#REF!</definedName>
    <definedName name="TotalDefaultRange" localSheetId="0">#REF!</definedName>
    <definedName name="TotalDefaultRan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9" l="1"/>
  <c r="E8" i="19"/>
  <c r="J14" i="19"/>
  <c r="J13" i="19" s="1"/>
  <c r="K14" i="19"/>
  <c r="K13" i="19" s="1"/>
  <c r="K12" i="19"/>
  <c r="J12" i="19"/>
  <c r="K11" i="19"/>
  <c r="J11" i="19"/>
  <c r="J10" i="19"/>
  <c r="J9" i="19"/>
  <c r="J8" i="19"/>
  <c r="J7" i="19"/>
  <c r="K6" i="19"/>
  <c r="J6" i="19"/>
  <c r="I14" i="19"/>
  <c r="I12" i="19"/>
  <c r="I11" i="19"/>
  <c r="I6" i="19"/>
  <c r="G14" i="19"/>
  <c r="G11" i="19"/>
  <c r="G12" i="19"/>
  <c r="L26" i="17"/>
  <c r="L25" i="17"/>
  <c r="L24" i="17"/>
  <c r="L23" i="17"/>
  <c r="L22" i="17"/>
  <c r="I17" i="12"/>
  <c r="I20" i="12" s="1"/>
  <c r="K17" i="12"/>
  <c r="K20" i="12" s="1"/>
  <c r="E17" i="12"/>
  <c r="E20" i="12" s="1"/>
  <c r="I18" i="13"/>
  <c r="I19" i="13" s="1"/>
  <c r="I34" i="5"/>
  <c r="I32" i="5"/>
  <c r="I33" i="5" s="1"/>
  <c r="I31" i="5"/>
  <c r="K34" i="5"/>
  <c r="K31" i="5"/>
  <c r="K30" i="5"/>
  <c r="K32" i="5" s="1"/>
  <c r="K33" i="5" s="1"/>
  <c r="K23" i="17"/>
  <c r="K22" i="17"/>
  <c r="G18" i="13"/>
  <c r="E18" i="13"/>
  <c r="C18" i="13"/>
  <c r="K19" i="10"/>
  <c r="K21" i="10" s="1"/>
  <c r="K17" i="10"/>
  <c r="K18" i="10"/>
  <c r="E10" i="19"/>
  <c r="C19" i="13"/>
  <c r="I20" i="13" l="1"/>
  <c r="I21" i="13"/>
  <c r="K18" i="12"/>
  <c r="K19" i="12" s="1"/>
  <c r="E18" i="12"/>
  <c r="E19" i="12" s="1"/>
  <c r="K22" i="10"/>
  <c r="K20" i="10"/>
  <c r="I18" i="12"/>
  <c r="I19" i="12" s="1"/>
  <c r="H9" i="19" l="1"/>
  <c r="H8" i="19"/>
  <c r="H7" i="19"/>
  <c r="I17" i="10"/>
  <c r="F8" i="19"/>
  <c r="F7" i="19"/>
  <c r="E7" i="19"/>
  <c r="D9" i="19"/>
  <c r="D8" i="19"/>
  <c r="D7" i="19"/>
  <c r="C18" i="12"/>
  <c r="G9" i="10"/>
  <c r="E9" i="10"/>
  <c r="C9" i="10"/>
  <c r="C17" i="10" s="1"/>
  <c r="C17" i="12"/>
  <c r="J22" i="17"/>
  <c r="E9" i="12"/>
  <c r="I18" i="10" l="1"/>
  <c r="I19" i="10" s="1"/>
  <c r="E16" i="13"/>
  <c r="C16" i="13"/>
  <c r="E17" i="10"/>
  <c r="E18" i="10"/>
  <c r="G30" i="5"/>
  <c r="E30" i="5"/>
  <c r="E22" i="17"/>
  <c r="J23" i="17"/>
  <c r="I22" i="17"/>
  <c r="H6" i="19" s="1"/>
  <c r="G22" i="17"/>
  <c r="D22" i="17"/>
  <c r="I30" i="5"/>
  <c r="D30" i="5"/>
  <c r="C23" i="17" l="1"/>
  <c r="K25" i="17" s="1"/>
  <c r="K24" i="17"/>
  <c r="K26" i="17" s="1"/>
  <c r="D6" i="19"/>
  <c r="D11" i="19" s="1"/>
  <c r="D12" i="19" s="1"/>
  <c r="G23" i="17"/>
  <c r="F6" i="19"/>
  <c r="E23" i="17"/>
  <c r="E25" i="17" s="1"/>
  <c r="E6" i="19"/>
  <c r="E11" i="19" s="1"/>
  <c r="E12" i="19" s="1"/>
  <c r="I21" i="10"/>
  <c r="I20" i="10"/>
  <c r="I22" i="10"/>
  <c r="E19" i="10"/>
  <c r="E20" i="10" s="1"/>
  <c r="G34" i="5"/>
  <c r="E32" i="5"/>
  <c r="E33" i="5" s="1"/>
  <c r="G31" i="5"/>
  <c r="G32" i="5"/>
  <c r="G33" i="5" s="1"/>
  <c r="E34" i="5"/>
  <c r="E31" i="5"/>
  <c r="J25" i="17"/>
  <c r="E24" i="17"/>
  <c r="E26" i="17" s="1"/>
  <c r="J24" i="17"/>
  <c r="J26" i="17" s="1"/>
  <c r="G25" i="17"/>
  <c r="I24" i="17"/>
  <c r="I26" i="17" s="1"/>
  <c r="I23" i="17"/>
  <c r="I25" i="17" s="1"/>
  <c r="G24" i="17"/>
  <c r="G26" i="17" s="1"/>
  <c r="G17" i="12"/>
  <c r="G17" i="10"/>
  <c r="G18" i="10"/>
  <c r="C18" i="10"/>
  <c r="C19" i="10" s="1"/>
  <c r="G13" i="19" l="1"/>
  <c r="I13" i="19"/>
  <c r="E14" i="19"/>
  <c r="E13" i="19" s="1"/>
  <c r="G20" i="12"/>
  <c r="G18" i="12"/>
  <c r="G19" i="12" s="1"/>
  <c r="F9" i="19"/>
  <c r="E19" i="13"/>
  <c r="H10" i="19"/>
  <c r="H11" i="19" s="1"/>
  <c r="H12" i="19" s="1"/>
  <c r="H14" i="19" s="1"/>
  <c r="H13" i="19" s="1"/>
  <c r="G19" i="13"/>
  <c r="G20" i="13" s="1"/>
  <c r="F10" i="19"/>
  <c r="F11" i="19" s="1"/>
  <c r="F12" i="19" s="1"/>
  <c r="F14" i="19" s="1"/>
  <c r="F13" i="19" s="1"/>
  <c r="C20" i="10"/>
  <c r="E21" i="10"/>
  <c r="E22" i="10"/>
  <c r="G19" i="10"/>
  <c r="G21" i="13" l="1"/>
  <c r="E21" i="13"/>
  <c r="E20" i="13"/>
  <c r="G20" i="10"/>
  <c r="G21" i="10"/>
  <c r="G22" i="10"/>
  <c r="D31" i="5"/>
</calcChain>
</file>

<file path=xl/sharedStrings.xml><?xml version="1.0" encoding="utf-8"?>
<sst xmlns="http://schemas.openxmlformats.org/spreadsheetml/2006/main" count="443" uniqueCount="186">
  <si>
    <t>Ancilliary Quote Comparison 
Prepared for Partners of the Americas   
                                                                                                             Effective Date: 08/01/2023</t>
  </si>
  <si>
    <t>Current</t>
  </si>
  <si>
    <t>Renewal</t>
  </si>
  <si>
    <t>Alternate</t>
  </si>
  <si>
    <t>The Standard</t>
  </si>
  <si>
    <t xml:space="preserve">Principal </t>
  </si>
  <si>
    <t xml:space="preserve">Guardian </t>
  </si>
  <si>
    <t xml:space="preserve">MetLife </t>
  </si>
  <si>
    <t xml:space="preserve">Dental </t>
  </si>
  <si>
    <t xml:space="preserve">Vision </t>
  </si>
  <si>
    <t xml:space="preserve">Life </t>
  </si>
  <si>
    <t>LTD</t>
  </si>
  <si>
    <t>STD</t>
  </si>
  <si>
    <t>Total Monthly</t>
  </si>
  <si>
    <t>Total Annual</t>
  </si>
  <si>
    <t>% Difference</t>
  </si>
  <si>
    <t>-</t>
  </si>
  <si>
    <t>Annual $ Difference</t>
  </si>
  <si>
    <t xml:space="preserve">Notes </t>
  </si>
  <si>
    <t xml:space="preserve">If STD is added there
 is a 5% discount for LTD. </t>
  </si>
  <si>
    <r>
      <t xml:space="preserve">Ancilliary Quote Comparison 
Prepared for Partners of the Americas   
                                                                                                             </t>
    </r>
    <r>
      <rPr>
        <i/>
        <sz val="12"/>
        <color rgb="FFFFFFFF"/>
        <rFont val="Calibri"/>
        <family val="2"/>
        <scheme val="minor"/>
      </rPr>
      <t>Effective Date: 08/01/2023</t>
    </r>
  </si>
  <si>
    <t xml:space="preserve">Current </t>
  </si>
  <si>
    <t xml:space="preserve">Renewal </t>
  </si>
  <si>
    <t xml:space="preserve">Alternative </t>
  </si>
  <si>
    <t xml:space="preserve">The Standard </t>
  </si>
  <si>
    <t xml:space="preserve">In Network/ Out of Network </t>
  </si>
  <si>
    <t xml:space="preserve">In Network </t>
  </si>
  <si>
    <t xml:space="preserve">Out of network </t>
  </si>
  <si>
    <t xml:space="preserve">Out of Network </t>
  </si>
  <si>
    <t>In/ Out</t>
  </si>
  <si>
    <t>Fee Schedule</t>
  </si>
  <si>
    <t>UCR 90%</t>
  </si>
  <si>
    <t>90th</t>
  </si>
  <si>
    <t xml:space="preserve">90th </t>
  </si>
  <si>
    <t>Preventative</t>
  </si>
  <si>
    <t>Basic</t>
  </si>
  <si>
    <t>80%/60%</t>
  </si>
  <si>
    <t xml:space="preserve">Major </t>
  </si>
  <si>
    <t>Orthodontia</t>
  </si>
  <si>
    <t xml:space="preserve">None </t>
  </si>
  <si>
    <t>Deductible (Ind/Family)</t>
  </si>
  <si>
    <t xml:space="preserve">$50 individual/ $150 Family </t>
  </si>
  <si>
    <t xml:space="preserve">$50 individual/ $100 Family </t>
  </si>
  <si>
    <t xml:space="preserve">Calendar year Maximum </t>
  </si>
  <si>
    <t xml:space="preserve">Lives </t>
  </si>
  <si>
    <t xml:space="preserve">Premium </t>
  </si>
  <si>
    <t>Premium</t>
  </si>
  <si>
    <t>Employee Only</t>
  </si>
  <si>
    <t>Employee + Spouse</t>
  </si>
  <si>
    <t>Employee + Child(ren)</t>
  </si>
  <si>
    <t>Employee + Family</t>
  </si>
  <si>
    <t xml:space="preserve">Monthly premium </t>
  </si>
  <si>
    <t xml:space="preserve">Total Annual Premium </t>
  </si>
  <si>
    <t xml:space="preserve">Monthly Change from Current </t>
  </si>
  <si>
    <t xml:space="preserve">Annual Change in Premium </t>
  </si>
  <si>
    <t xml:space="preserve">Percentage Change </t>
  </si>
  <si>
    <t>Eye Exam</t>
  </si>
  <si>
    <t>$10 Copay</t>
  </si>
  <si>
    <t xml:space="preserve">$35 Allowance </t>
  </si>
  <si>
    <t xml:space="preserve">$45 Allowance </t>
  </si>
  <si>
    <t xml:space="preserve">$39 Allowance </t>
  </si>
  <si>
    <t xml:space="preserve">Frequency </t>
  </si>
  <si>
    <t xml:space="preserve">Every 12 months </t>
  </si>
  <si>
    <t xml:space="preserve">Lenses Allowance </t>
  </si>
  <si>
    <t xml:space="preserve">Single Vision Lenses </t>
  </si>
  <si>
    <t>$25 Copay</t>
  </si>
  <si>
    <t>$25 Allowance</t>
  </si>
  <si>
    <t>$30 Allowance</t>
  </si>
  <si>
    <t>$23 Allowance</t>
  </si>
  <si>
    <t xml:space="preserve">Bifocal Lenses </t>
  </si>
  <si>
    <t xml:space="preserve">$40 Allowance </t>
  </si>
  <si>
    <t xml:space="preserve">$50 Allowance </t>
  </si>
  <si>
    <t xml:space="preserve">$37 Allowance </t>
  </si>
  <si>
    <t xml:space="preserve">Trifocal Lenses </t>
  </si>
  <si>
    <t>$55 Allowance</t>
  </si>
  <si>
    <t>$65 Allowance</t>
  </si>
  <si>
    <t>$49 Allowance</t>
  </si>
  <si>
    <t xml:space="preserve">Lenticular Lenses </t>
  </si>
  <si>
    <t xml:space="preserve">20% Discount </t>
  </si>
  <si>
    <t>Not Covered</t>
  </si>
  <si>
    <t xml:space="preserve">$100 Allowance </t>
  </si>
  <si>
    <t xml:space="preserve">$64 Allowance </t>
  </si>
  <si>
    <t>Frame Allowance</t>
  </si>
  <si>
    <t>$130 Allowance</t>
  </si>
  <si>
    <t>$70 Allowance</t>
  </si>
  <si>
    <t>$46 Allowance</t>
  </si>
  <si>
    <t xml:space="preserve">Every 24 months </t>
  </si>
  <si>
    <t>Contact Lenses</t>
  </si>
  <si>
    <t>Elective</t>
  </si>
  <si>
    <t>$104 Allowance</t>
  </si>
  <si>
    <t>$105 Allowance</t>
  </si>
  <si>
    <t>$100 Allowance</t>
  </si>
  <si>
    <t>Necessary</t>
  </si>
  <si>
    <t>No Copay</t>
  </si>
  <si>
    <t>$200 Allowance</t>
  </si>
  <si>
    <t>$210 Allowance</t>
  </si>
  <si>
    <t>Participating lives</t>
  </si>
  <si>
    <t xml:space="preserve">Annual Premium </t>
  </si>
  <si>
    <t xml:space="preserve">Annual Change from Current </t>
  </si>
  <si>
    <t>Ancilliary Quote Comparison 
Prepared for Partners of the Americas   
                                                                                               Effective Date: 08/01/2023</t>
  </si>
  <si>
    <t xml:space="preserve">Renewal  </t>
  </si>
  <si>
    <t>Life &amp; AD&amp;D</t>
  </si>
  <si>
    <t xml:space="preserve">Metlife </t>
  </si>
  <si>
    <t>Life Insurance Rate
 (Per $1000)</t>
  </si>
  <si>
    <t>AD&amp;D (Per $1000)</t>
  </si>
  <si>
    <t xml:space="preserve">Employee Volume </t>
  </si>
  <si>
    <t xml:space="preserve">Coverage amount </t>
  </si>
  <si>
    <t xml:space="preserve">Guarantee Issue Amount </t>
  </si>
  <si>
    <t xml:space="preserve">Reductions </t>
  </si>
  <si>
    <t>35% at age 65
  50% at age 70</t>
  </si>
  <si>
    <t xml:space="preserve">Number of lives </t>
  </si>
  <si>
    <t>Estimated Monthly Cost</t>
  </si>
  <si>
    <t xml:space="preserve">Group Life </t>
  </si>
  <si>
    <t>AD&amp;D</t>
  </si>
  <si>
    <t xml:space="preserve">Total Monthly Premium </t>
  </si>
  <si>
    <t>Estimated Annual Cost</t>
  </si>
  <si>
    <t xml:space="preserve">Annual Change From Current </t>
  </si>
  <si>
    <t xml:space="preserve">Percentage from Current </t>
  </si>
  <si>
    <t xml:space="preserve">Long -Term Disability </t>
  </si>
  <si>
    <t xml:space="preserve">LTD Benefit </t>
  </si>
  <si>
    <t xml:space="preserve">60% of Monthly earnings </t>
  </si>
  <si>
    <t xml:space="preserve">Maximum Benefit </t>
  </si>
  <si>
    <t xml:space="preserve">$6,000/ Month </t>
  </si>
  <si>
    <t>LTD Rate (Per $100)</t>
  </si>
  <si>
    <t>Monthly covered Payroll</t>
  </si>
  <si>
    <t>Waiting Period</t>
  </si>
  <si>
    <t xml:space="preserve">90 Days </t>
  </si>
  <si>
    <t>Rate guarantee</t>
  </si>
  <si>
    <t>1 year</t>
  </si>
  <si>
    <t xml:space="preserve">2 years </t>
  </si>
  <si>
    <t>Covered Employees</t>
  </si>
  <si>
    <t>Estimated Cost</t>
  </si>
  <si>
    <t xml:space="preserve">Proposal </t>
  </si>
  <si>
    <t xml:space="preserve">Short -Term Disability </t>
  </si>
  <si>
    <t>Metlife</t>
  </si>
  <si>
    <t xml:space="preserve">STD Benefit </t>
  </si>
  <si>
    <t xml:space="preserve">60% of weekly earnings </t>
  </si>
  <si>
    <t>Maximum Benefit</t>
  </si>
  <si>
    <t xml:space="preserve">$1500 for 12 weeks </t>
  </si>
  <si>
    <t xml:space="preserve">$1500 for 13 weeks </t>
  </si>
  <si>
    <t xml:space="preserve">STD Rate (per $10) </t>
  </si>
  <si>
    <t xml:space="preserve">Waiting Period (Accident/Sickness) </t>
  </si>
  <si>
    <t xml:space="preserve">14 days </t>
  </si>
  <si>
    <t>0 Days/ 7 Days</t>
  </si>
  <si>
    <t xml:space="preserve">Contribution </t>
  </si>
  <si>
    <t xml:space="preserve">Non- Contributory </t>
  </si>
  <si>
    <t>Rate Guarantee</t>
  </si>
  <si>
    <t>3 years</t>
  </si>
  <si>
    <t xml:space="preserve">2 Years </t>
  </si>
  <si>
    <t xml:space="preserve"> 2 years </t>
  </si>
  <si>
    <t>Annual Change</t>
  </si>
  <si>
    <t>Ancilliary Quote Comparison 
Prepared for Partners of the Americas   
                                                                       Effective Date: 08/01/2023</t>
  </si>
  <si>
    <t>ASPCA</t>
  </si>
  <si>
    <t>SPOT</t>
  </si>
  <si>
    <t>Funding Type</t>
  </si>
  <si>
    <t>Voluntary</t>
  </si>
  <si>
    <t>Enrollment Options</t>
  </si>
  <si>
    <t>ASPCA Enrollment Landing Page</t>
  </si>
  <si>
    <t>SPOT Enrollment Landing Page</t>
  </si>
  <si>
    <t>Varies Based on Plan Selection</t>
  </si>
  <si>
    <t>14 days</t>
  </si>
  <si>
    <t>Premium Option</t>
  </si>
  <si>
    <t>Direct Bill</t>
  </si>
  <si>
    <t>Price</t>
  </si>
  <si>
    <r>
      <t xml:space="preserve">Individually Rated (Avg $25/$50)
</t>
    </r>
    <r>
      <rPr>
        <i/>
        <sz val="9"/>
        <color theme="1"/>
        <rFont val="Calibri"/>
        <family val="2"/>
        <scheme val="minor"/>
      </rPr>
      <t xml:space="preserve"> Based on Employee Demographics and Plan Selection</t>
    </r>
  </si>
  <si>
    <r>
      <t xml:space="preserve">Individually Rated
</t>
    </r>
    <r>
      <rPr>
        <i/>
        <sz val="9"/>
        <color theme="1"/>
        <rFont val="Calibri"/>
        <family val="2"/>
        <scheme val="minor"/>
      </rPr>
      <t xml:space="preserve"> Based on Employee Demographics, Pet, and Plan Selection</t>
    </r>
  </si>
  <si>
    <t>Pets Covered</t>
  </si>
  <si>
    <t>Dog or Cat</t>
  </si>
  <si>
    <t>Eligibility</t>
  </si>
  <si>
    <r>
      <t xml:space="preserve">8 weeks or older
</t>
    </r>
    <r>
      <rPr>
        <i/>
        <sz val="9"/>
        <color theme="1"/>
        <rFont val="Calibri"/>
        <family val="2"/>
        <scheme val="minor"/>
      </rPr>
      <t>Pre-Ex Exclusions</t>
    </r>
  </si>
  <si>
    <r>
      <t xml:space="preserve">8 weeks old or older
</t>
    </r>
    <r>
      <rPr>
        <i/>
        <sz val="9"/>
        <color theme="1"/>
        <rFont val="Calibri"/>
        <family val="2"/>
        <scheme val="minor"/>
      </rPr>
      <t>Pre-Ex Exclusions</t>
    </r>
  </si>
  <si>
    <t>Annual Limit</t>
  </si>
  <si>
    <t>$2,500, $4,000, $5,000, $7,000, $10,000, Unlimited</t>
  </si>
  <si>
    <t>Deductible</t>
  </si>
  <si>
    <t>$100, $250, $500, $750, $1,000</t>
  </si>
  <si>
    <t>Vet Services</t>
  </si>
  <si>
    <t>70%, 80%, 90%</t>
  </si>
  <si>
    <t xml:space="preserve">Prescriptions </t>
  </si>
  <si>
    <t>Telehealth</t>
  </si>
  <si>
    <t>Unlimited 24/7 Access</t>
  </si>
  <si>
    <t>Add'l Discounts</t>
  </si>
  <si>
    <t>10%-20% Group Discount</t>
  </si>
  <si>
    <t>Avg Claim Repayment</t>
  </si>
  <si>
    <t>10-14 days</t>
  </si>
  <si>
    <t>Claim Forms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</si>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</sst>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0.0%"/>
    <numFmt numFmtId="167" formatCode="&quot;$&quot;#,##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/>
      <top/>
      <bottom style="dotted">
        <color theme="0" tint="-0.34998626667073579"/>
      </bottom>
      <diagonal/>
    </border>
    <border>
      <left style="thin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 style="thin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164" fontId="0" fillId="0" borderId="0" xfId="0" applyNumberFormat="1"/>
    <xf numFmtId="9" fontId="0" fillId="0" borderId="0" xfId="0" applyNumberFormat="1"/>
    <xf numFmtId="0" fontId="3" fillId="0" borderId="3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14" fillId="0" borderId="0" xfId="1" applyFont="1"/>
    <xf numFmtId="6" fontId="0" fillId="0" borderId="5" xfId="1" applyNumberFormat="1" applyFont="1" applyBorder="1" applyAlignment="1">
      <alignment horizontal="center" vertical="center"/>
    </xf>
    <xf numFmtId="0" fontId="7" fillId="0" borderId="0" xfId="1" applyFont="1"/>
    <xf numFmtId="0" fontId="7" fillId="5" borderId="5" xfId="1" applyFont="1" applyFill="1" applyBorder="1" applyAlignment="1">
      <alignment horizontal="center"/>
    </xf>
    <xf numFmtId="0" fontId="5" fillId="0" borderId="5" xfId="1" applyFont="1" applyBorder="1" applyAlignment="1">
      <alignment horizontal="center" wrapText="1"/>
    </xf>
    <xf numFmtId="0" fontId="5" fillId="0" borderId="5" xfId="1" applyFont="1" applyBorder="1" applyAlignment="1">
      <alignment horizontal="center"/>
    </xf>
    <xf numFmtId="0" fontId="5" fillId="3" borderId="5" xfId="1" applyFont="1" applyFill="1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9" fontId="1" fillId="0" borderId="5" xfId="1" applyNumberForma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6" fontId="0" fillId="0" borderId="5" xfId="0" applyNumberForma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5" fillId="0" borderId="5" xfId="1" applyFont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11" fillId="5" borderId="5" xfId="1" applyFont="1" applyFill="1" applyBorder="1"/>
    <xf numFmtId="0" fontId="11" fillId="0" borderId="5" xfId="1" applyFont="1" applyBorder="1"/>
    <xf numFmtId="9" fontId="0" fillId="0" borderId="5" xfId="1" applyNumberFormat="1" applyFont="1" applyBorder="1" applyAlignment="1">
      <alignment horizontal="center" vertical="center"/>
    </xf>
    <xf numFmtId="164" fontId="1" fillId="0" borderId="9" xfId="1" applyNumberFormat="1" applyBorder="1" applyAlignment="1">
      <alignment horizontal="center" vertical="center" wrapText="1"/>
    </xf>
    <xf numFmtId="164" fontId="1" fillId="0" borderId="9" xfId="2" applyNumberFormat="1" applyBorder="1" applyAlignment="1">
      <alignment horizontal="center" vertical="center" wrapText="1"/>
    </xf>
    <xf numFmtId="164" fontId="1" fillId="0" borderId="12" xfId="1" applyNumberFormat="1" applyBorder="1" applyAlignment="1">
      <alignment horizontal="center" vertical="center" wrapText="1"/>
    </xf>
    <xf numFmtId="164" fontId="1" fillId="0" borderId="12" xfId="2" applyNumberFormat="1" applyFont="1" applyBorder="1" applyAlignment="1">
      <alignment horizontal="center" vertical="center" wrapText="1"/>
    </xf>
    <xf numFmtId="164" fontId="1" fillId="0" borderId="13" xfId="1" applyNumberFormat="1" applyBorder="1" applyAlignment="1">
      <alignment horizontal="center" vertical="center" wrapText="1"/>
    </xf>
    <xf numFmtId="164" fontId="1" fillId="0" borderId="13" xfId="2" applyNumberFormat="1" applyBorder="1" applyAlignment="1">
      <alignment horizontal="center" vertical="center" wrapText="1"/>
    </xf>
    <xf numFmtId="9" fontId="1" fillId="0" borderId="13" xfId="3" applyBorder="1" applyAlignment="1">
      <alignment horizontal="center" vertical="center" wrapText="1"/>
    </xf>
    <xf numFmtId="10" fontId="1" fillId="0" borderId="13" xfId="3" applyNumberFormat="1" applyBorder="1" applyAlignment="1">
      <alignment horizontal="center" vertical="center" wrapText="1"/>
    </xf>
    <xf numFmtId="164" fontId="1" fillId="2" borderId="13" xfId="2" applyNumberFormat="1" applyFill="1" applyBorder="1" applyAlignment="1">
      <alignment horizontal="center" vertical="center" wrapText="1"/>
    </xf>
    <xf numFmtId="10" fontId="1" fillId="0" borderId="14" xfId="3" applyNumberFormat="1" applyFill="1" applyBorder="1" applyAlignment="1">
      <alignment horizontal="center" vertical="center" wrapText="1"/>
    </xf>
    <xf numFmtId="10" fontId="1" fillId="0" borderId="15" xfId="3" applyNumberFormat="1" applyFill="1" applyBorder="1" applyAlignment="1">
      <alignment horizontal="center" vertical="center" wrapText="1"/>
    </xf>
    <xf numFmtId="164" fontId="1" fillId="0" borderId="14" xfId="2" applyNumberFormat="1" applyFill="1" applyBorder="1" applyAlignment="1">
      <alignment horizontal="center" vertical="center" wrapText="1"/>
    </xf>
    <xf numFmtId="164" fontId="1" fillId="0" borderId="15" xfId="2" applyNumberFormat="1" applyFill="1" applyBorder="1" applyAlignment="1">
      <alignment horizontal="center" vertical="center" wrapText="1"/>
    </xf>
    <xf numFmtId="164" fontId="1" fillId="0" borderId="10" xfId="2" applyNumberFormat="1" applyFill="1" applyBorder="1" applyAlignment="1">
      <alignment horizontal="center" vertical="center" wrapText="1"/>
    </xf>
    <xf numFmtId="0" fontId="12" fillId="0" borderId="0" xfId="1" applyFont="1" applyAlignment="1">
      <alignment horizontal="center" wrapText="1"/>
    </xf>
    <xf numFmtId="6" fontId="5" fillId="0" borderId="9" xfId="1" applyNumberFormat="1" applyFont="1" applyBorder="1" applyAlignment="1">
      <alignment horizontal="center" vertical="center" wrapText="1"/>
    </xf>
    <xf numFmtId="6" fontId="5" fillId="0" borderId="12" xfId="1" applyNumberFormat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0" fontId="0" fillId="2" borderId="6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" fillId="0" borderId="11" xfId="2" applyNumberForma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/>
    </xf>
    <xf numFmtId="9" fontId="5" fillId="2" borderId="13" xfId="1" applyNumberFormat="1" applyFont="1" applyFill="1" applyBorder="1" applyAlignment="1">
      <alignment horizontal="center" vertical="center" wrapText="1"/>
    </xf>
    <xf numFmtId="164" fontId="1" fillId="2" borderId="13" xfId="1" applyNumberFormat="1" applyFill="1" applyBorder="1" applyAlignment="1">
      <alignment horizontal="center" vertical="center" wrapText="1"/>
    </xf>
    <xf numFmtId="164" fontId="1" fillId="2" borderId="14" xfId="2" applyNumberFormat="1" applyFill="1" applyBorder="1" applyAlignment="1">
      <alignment horizontal="center" vertical="center" wrapText="1"/>
    </xf>
    <xf numFmtId="164" fontId="1" fillId="2" borderId="15" xfId="2" applyNumberFormat="1" applyFill="1" applyBorder="1" applyAlignment="1">
      <alignment horizontal="center" vertical="center" wrapText="1"/>
    </xf>
    <xf numFmtId="167" fontId="1" fillId="0" borderId="13" xfId="1" applyNumberFormat="1" applyBorder="1" applyAlignment="1">
      <alignment horizontal="center" vertical="center" wrapText="1"/>
    </xf>
    <xf numFmtId="164" fontId="1" fillId="0" borderId="13" xfId="2" applyNumberForma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4" fontId="1" fillId="0" borderId="0" xfId="2" applyNumberFormat="1" applyFill="1" applyBorder="1" applyAlignment="1">
      <alignment horizontal="center" vertical="center" wrapText="1"/>
    </xf>
    <xf numFmtId="164" fontId="1" fillId="0" borderId="17" xfId="2" applyNumberFormat="1" applyFont="1" applyFill="1" applyBorder="1" applyAlignment="1">
      <alignment horizontal="center" vertical="center" wrapText="1"/>
    </xf>
    <xf numFmtId="164" fontId="1" fillId="0" borderId="0" xfId="2" applyNumberFormat="1" applyFont="1" applyFill="1" applyBorder="1" applyAlignment="1">
      <alignment horizontal="center" vertical="center" wrapText="1"/>
    </xf>
    <xf numFmtId="164" fontId="1" fillId="0" borderId="18" xfId="2" applyNumberFormat="1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7" fillId="3" borderId="18" xfId="1" applyFont="1" applyFill="1" applyBorder="1" applyAlignment="1">
      <alignment horizontal="center" vertical="center"/>
    </xf>
    <xf numFmtId="0" fontId="17" fillId="3" borderId="17" xfId="1" applyFont="1" applyFill="1" applyBorder="1" applyAlignment="1">
      <alignment horizontal="center" vertical="center"/>
    </xf>
    <xf numFmtId="164" fontId="1" fillId="0" borderId="17" xfId="2" applyNumberFormat="1" applyFill="1" applyBorder="1" applyAlignment="1">
      <alignment horizontal="center" vertical="center" wrapText="1"/>
    </xf>
    <xf numFmtId="0" fontId="12" fillId="4" borderId="0" xfId="1" applyFont="1" applyFill="1" applyAlignment="1">
      <alignment horizontal="center" wrapText="1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0" fontId="15" fillId="0" borderId="0" xfId="1" applyFont="1" applyAlignment="1">
      <alignment horizontal="center"/>
    </xf>
    <xf numFmtId="0" fontId="0" fillId="0" borderId="5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1" applyFont="1" applyAlignment="1">
      <alignment horizontal="center" vertical="center"/>
    </xf>
    <xf numFmtId="167" fontId="1" fillId="0" borderId="5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6" fontId="1" fillId="0" borderId="5" xfId="1" applyNumberForma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 wrapText="1"/>
    </xf>
    <xf numFmtId="38" fontId="1" fillId="0" borderId="5" xfId="0" applyNumberFormat="1" applyFont="1" applyBorder="1" applyAlignment="1">
      <alignment horizontal="center" vertical="center" wrapText="1"/>
    </xf>
    <xf numFmtId="164" fontId="1" fillId="0" borderId="6" xfId="1" applyNumberFormat="1" applyBorder="1" applyAlignment="1">
      <alignment horizontal="center" vertical="center" wrapText="1"/>
    </xf>
    <xf numFmtId="164" fontId="1" fillId="0" borderId="4" xfId="1" applyNumberFormat="1" applyBorder="1" applyAlignment="1">
      <alignment horizontal="center" vertical="center" wrapText="1"/>
    </xf>
    <xf numFmtId="167" fontId="1" fillId="0" borderId="5" xfId="2" applyNumberFormat="1" applyFont="1" applyBorder="1" applyAlignment="1">
      <alignment horizontal="center" vertical="center" wrapText="1"/>
    </xf>
    <xf numFmtId="165" fontId="1" fillId="0" borderId="5" xfId="1" applyNumberFormat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/>
    </xf>
    <xf numFmtId="167" fontId="1" fillId="0" borderId="5" xfId="1" applyNumberFormat="1" applyBorder="1" applyAlignment="1">
      <alignment horizontal="center" vertical="center" wrapText="1"/>
    </xf>
    <xf numFmtId="9" fontId="1" fillId="0" borderId="5" xfId="1" applyNumberFormat="1" applyBorder="1" applyAlignment="1">
      <alignment horizontal="center" vertical="center" wrapText="1"/>
    </xf>
    <xf numFmtId="3" fontId="1" fillId="0" borderId="5" xfId="1" applyNumberFormat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0" fontId="0" fillId="3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1" applyBorder="1" applyAlignment="1">
      <alignment horizontal="center"/>
    </xf>
    <xf numFmtId="0" fontId="12" fillId="0" borderId="0" xfId="1" applyFont="1" applyAlignment="1">
      <alignment horizontal="center" wrapText="1"/>
    </xf>
    <xf numFmtId="0" fontId="5" fillId="5" borderId="5" xfId="0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10" fontId="0" fillId="3" borderId="6" xfId="0" applyNumberFormat="1" applyFill="1" applyBorder="1" applyAlignment="1">
      <alignment horizontal="center" vertical="center"/>
    </xf>
    <xf numFmtId="10" fontId="0" fillId="3" borderId="4" xfId="0" applyNumberFormat="1" applyFill="1" applyBorder="1" applyAlignment="1">
      <alignment horizontal="center" vertical="center"/>
    </xf>
    <xf numFmtId="10" fontId="0" fillId="3" borderId="5" xfId="0" applyNumberForma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7" fontId="1" fillId="0" borderId="6" xfId="1" applyNumberFormat="1" applyBorder="1" applyAlignment="1">
      <alignment horizontal="center" vertical="center" wrapText="1"/>
    </xf>
    <xf numFmtId="167" fontId="1" fillId="0" borderId="4" xfId="1" applyNumberFormat="1" applyBorder="1" applyAlignment="1">
      <alignment horizontal="center" vertical="center" wrapText="1"/>
    </xf>
    <xf numFmtId="165" fontId="1" fillId="0" borderId="6" xfId="1" applyNumberFormat="1" applyBorder="1" applyAlignment="1">
      <alignment horizontal="center" vertical="center" wrapText="1"/>
    </xf>
    <xf numFmtId="165" fontId="1" fillId="0" borderId="4" xfId="1" applyNumberForma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/>
    </xf>
  </cellXfs>
  <cellStyles count="4">
    <cellStyle name="Currency" xfId="2" builtinId="4"/>
    <cellStyle name="Normal" xfId="0" builtinId="0"/>
    <cellStyle name="Normal 2" xfId="1" xr:uid="{140EC2FB-9238-4D78-9363-2EE1D8279F4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D39-B527-413A-84BC-002E7CA033A3}">
  <dimension ref="C1:Q15"/>
  <sheetViews>
    <sheetView tabSelected="1" zoomScale="140" zoomScaleNormal="140" workbookViewId="0">
      <selection activeCell="I18" sqref="I18"/>
    </sheetView>
  </sheetViews>
  <sheetFormatPr defaultColWidth="8.7109375" defaultRowHeight="14.45"/>
  <cols>
    <col min="3" max="3" width="20.140625" customWidth="1"/>
    <col min="4" max="4" width="14.7109375" customWidth="1"/>
    <col min="5" max="5" width="16.42578125" customWidth="1"/>
    <col min="6" max="7" width="12.42578125" customWidth="1"/>
    <col min="8" max="8" width="12.5703125" customWidth="1"/>
    <col min="9" max="9" width="11.42578125" customWidth="1"/>
    <col min="10" max="10" width="13.140625" customWidth="1"/>
    <col min="11" max="11" width="12" customWidth="1"/>
    <col min="12" max="12" width="13.5703125" customWidth="1"/>
    <col min="13" max="13" width="11.140625" customWidth="1"/>
    <col min="14" max="15" width="10.85546875" customWidth="1"/>
  </cols>
  <sheetData>
    <row r="1" spans="3:17" ht="47.1" customHeight="1">
      <c r="C1" s="86" t="s">
        <v>0</v>
      </c>
      <c r="D1" s="86"/>
      <c r="E1" s="86"/>
      <c r="F1" s="86"/>
      <c r="G1" s="86"/>
      <c r="H1" s="86"/>
      <c r="I1" s="86"/>
      <c r="J1" s="86"/>
      <c r="K1" s="86"/>
    </row>
    <row r="2" spans="3:17" ht="32.1" customHeight="1">
      <c r="C2" s="86"/>
      <c r="D2" s="86"/>
      <c r="E2" s="86"/>
      <c r="F2" s="86"/>
      <c r="G2" s="86"/>
      <c r="H2" s="86"/>
      <c r="I2" s="86"/>
      <c r="J2" s="86"/>
      <c r="K2" s="86"/>
    </row>
    <row r="3" spans="3:17" ht="32.1" customHeight="1">
      <c r="C3" s="55"/>
      <c r="D3" s="55"/>
      <c r="E3" s="55"/>
      <c r="F3" s="55"/>
      <c r="G3" s="55"/>
      <c r="H3" s="55"/>
    </row>
    <row r="4" spans="3:17" ht="21.6" customHeight="1">
      <c r="C4" s="74"/>
      <c r="D4" s="72" t="s">
        <v>1</v>
      </c>
      <c r="E4" s="72" t="s">
        <v>2</v>
      </c>
      <c r="F4" s="81" t="s">
        <v>3</v>
      </c>
      <c r="G4" s="81"/>
      <c r="H4" s="81" t="s">
        <v>3</v>
      </c>
      <c r="I4" s="81"/>
      <c r="J4" s="81" t="s">
        <v>3</v>
      </c>
      <c r="K4" s="81"/>
    </row>
    <row r="5" spans="3:17" ht="21.6" customHeight="1">
      <c r="C5" s="64"/>
      <c r="D5" s="64" t="s">
        <v>4</v>
      </c>
      <c r="E5" s="64" t="s">
        <v>4</v>
      </c>
      <c r="F5" s="84" t="s">
        <v>5</v>
      </c>
      <c r="G5" s="82"/>
      <c r="H5" s="82" t="s">
        <v>6</v>
      </c>
      <c r="I5" s="83"/>
      <c r="J5" s="84" t="s">
        <v>7</v>
      </c>
      <c r="K5" s="82"/>
    </row>
    <row r="6" spans="3:17" ht="26.45" customHeight="1">
      <c r="C6" s="56" t="s">
        <v>8</v>
      </c>
      <c r="D6" s="41">
        <f>'Dental '!D22</f>
        <v>2235</v>
      </c>
      <c r="E6" s="42">
        <f>'Dental '!E22</f>
        <v>2435.96</v>
      </c>
      <c r="F6" s="85">
        <f>'Dental '!G22</f>
        <v>2206.4700000000003</v>
      </c>
      <c r="G6" s="77"/>
      <c r="H6" s="63">
        <f>'Dental '!I22</f>
        <v>2167.9500000000003</v>
      </c>
      <c r="I6" s="73">
        <f>'Dental '!J22</f>
        <v>2235</v>
      </c>
      <c r="J6" s="54">
        <f>'Dental '!K22</f>
        <v>2024.5</v>
      </c>
      <c r="K6" s="73">
        <f>'Dental '!L22</f>
        <v>2320.0100000000002</v>
      </c>
      <c r="M6" s="2"/>
      <c r="N6" s="2"/>
      <c r="O6" s="2"/>
      <c r="P6" s="2"/>
      <c r="Q6" s="2"/>
    </row>
    <row r="7" spans="3:17" ht="24.6" customHeight="1">
      <c r="C7" s="56" t="s">
        <v>9</v>
      </c>
      <c r="D7" s="41">
        <f>Vision!D30</f>
        <v>316.60000000000002</v>
      </c>
      <c r="E7" s="42">
        <f>Vision!E30</f>
        <v>339.28</v>
      </c>
      <c r="F7" s="85">
        <f>Vision!G30</f>
        <v>278.98</v>
      </c>
      <c r="G7" s="77"/>
      <c r="H7" s="77">
        <f>Vision!I30</f>
        <v>253.28000000000003</v>
      </c>
      <c r="I7" s="77"/>
      <c r="J7" s="77">
        <f>Vision!K30</f>
        <v>314.48</v>
      </c>
      <c r="K7" s="77"/>
      <c r="M7" s="2"/>
      <c r="N7" s="2"/>
      <c r="O7" s="2"/>
      <c r="P7" s="2"/>
      <c r="Q7" s="2"/>
    </row>
    <row r="8" spans="3:17" ht="24.95" customHeight="1">
      <c r="C8" s="57" t="s">
        <v>10</v>
      </c>
      <c r="D8" s="43">
        <f>'Life '!C19</f>
        <v>467.25</v>
      </c>
      <c r="E8" s="44">
        <f>D8-0.05*D8</f>
        <v>443.88749999999999</v>
      </c>
      <c r="F8" s="78">
        <f>'Life '!G19</f>
        <v>462.8</v>
      </c>
      <c r="G8" s="80"/>
      <c r="H8" s="78">
        <f>'Life '!I19</f>
        <v>445</v>
      </c>
      <c r="I8" s="80"/>
      <c r="J8" s="78">
        <f>'Life '!K19</f>
        <v>436.1</v>
      </c>
      <c r="K8" s="79"/>
      <c r="M8" s="2"/>
      <c r="N8" s="2"/>
      <c r="O8" s="2"/>
      <c r="P8" s="2"/>
      <c r="Q8" s="2"/>
    </row>
    <row r="9" spans="3:17" ht="23.1" customHeight="1">
      <c r="C9" s="57" t="s">
        <v>11</v>
      </c>
      <c r="D9" s="43">
        <f>'LTD '!C17</f>
        <v>463.54949999999997</v>
      </c>
      <c r="E9" s="44">
        <f>D9</f>
        <v>463.54949999999997</v>
      </c>
      <c r="F9" s="78">
        <f>'LTD '!G17</f>
        <v>478.52549999999997</v>
      </c>
      <c r="G9" s="79"/>
      <c r="H9" s="79">
        <f>'LTD '!I17</f>
        <v>478.52549999999997</v>
      </c>
      <c r="I9" s="79"/>
      <c r="J9" s="79">
        <f>'LTD '!K17</f>
        <v>513.61737000000005</v>
      </c>
      <c r="K9" s="79"/>
      <c r="M9" s="2"/>
      <c r="N9" s="2"/>
      <c r="O9" s="2"/>
      <c r="P9" s="2"/>
      <c r="Q9" s="2"/>
    </row>
    <row r="10" spans="3:17" ht="24.95" customHeight="1">
      <c r="C10" s="57" t="s">
        <v>12</v>
      </c>
      <c r="D10" s="43"/>
      <c r="E10" s="44">
        <f>'STD '!C18</f>
        <v>1325.5341000000001</v>
      </c>
      <c r="F10" s="78">
        <f>'STD '!G18</f>
        <v>1326.0830000000001</v>
      </c>
      <c r="G10" s="80"/>
      <c r="H10" s="78">
        <f>'STD '!E18</f>
        <v>1371.87</v>
      </c>
      <c r="I10" s="80"/>
      <c r="J10" s="78">
        <f>'STD '!I18</f>
        <v>1211.7655</v>
      </c>
      <c r="K10" s="79"/>
      <c r="M10" s="2"/>
      <c r="N10" s="2"/>
      <c r="O10" s="2"/>
      <c r="P10" s="2"/>
      <c r="Q10" s="2"/>
    </row>
    <row r="11" spans="3:17" ht="21.6" customHeight="1">
      <c r="C11" s="58" t="s">
        <v>13</v>
      </c>
      <c r="D11" s="45">
        <f t="shared" ref="D11:G11" si="0">SUM(D6:D10)</f>
        <v>3482.3995</v>
      </c>
      <c r="E11" s="46">
        <f t="shared" si="0"/>
        <v>5008.2110999999995</v>
      </c>
      <c r="F11" s="52">
        <f t="shared" si="0"/>
        <v>4752.8585000000003</v>
      </c>
      <c r="G11" s="52">
        <f>SUM(F7:G10) +F6</f>
        <v>4752.8585000000003</v>
      </c>
      <c r="H11" s="53">
        <f>SUM(H6:H10)</f>
        <v>4716.6255000000001</v>
      </c>
      <c r="I11" s="73">
        <f>SUM(H7:I10)+I6</f>
        <v>4783.6754999999994</v>
      </c>
      <c r="J11" s="52">
        <f>SUM(J7:K10)+J6</f>
        <v>4500.4628700000003</v>
      </c>
      <c r="K11" s="52">
        <f>SUM(J7:K10)+K6</f>
        <v>4795.9728700000005</v>
      </c>
      <c r="M11" s="2"/>
      <c r="N11" s="2"/>
      <c r="O11" s="2"/>
      <c r="P11" s="2"/>
      <c r="Q11" s="2"/>
    </row>
    <row r="12" spans="3:17" ht="20.45" customHeight="1">
      <c r="C12" s="65" t="s">
        <v>14</v>
      </c>
      <c r="D12" s="66">
        <f t="shared" ref="D12:G12" si="1">SUM(D11*12)</f>
        <v>41788.794000000002</v>
      </c>
      <c r="E12" s="49">
        <f t="shared" si="1"/>
        <v>60098.533199999991</v>
      </c>
      <c r="F12" s="67">
        <f t="shared" si="1"/>
        <v>57034.302000000003</v>
      </c>
      <c r="G12" s="67">
        <f t="shared" si="1"/>
        <v>57034.302000000003</v>
      </c>
      <c r="H12" s="68">
        <f>SUM(H11*12)</f>
        <v>56599.506000000001</v>
      </c>
      <c r="I12" s="68">
        <f>SUM(I11*12)</f>
        <v>57404.105999999992</v>
      </c>
      <c r="J12" s="68">
        <f>SUM(J11*12)</f>
        <v>54005.554440000007</v>
      </c>
      <c r="K12" s="68">
        <f>SUM(K11*12)</f>
        <v>57551.674440000003</v>
      </c>
    </row>
    <row r="13" spans="3:17" ht="23.1" customHeight="1">
      <c r="C13" s="58" t="s">
        <v>15</v>
      </c>
      <c r="D13" s="47" t="s">
        <v>16</v>
      </c>
      <c r="E13" s="48">
        <f>E14/D12</f>
        <v>0.43814950007889647</v>
      </c>
      <c r="F13" s="50">
        <f>F14/D12</f>
        <v>0.36482287572118022</v>
      </c>
      <c r="G13" s="50">
        <f>G14/E12</f>
        <v>0.25367520949745914</v>
      </c>
      <c r="H13" s="51">
        <f>H14/D12</f>
        <v>0.35441826820845795</v>
      </c>
      <c r="I13" s="51">
        <f>I14/E12</f>
        <v>0.25982850443344918</v>
      </c>
      <c r="J13" s="51">
        <f>J14/F12</f>
        <v>0.21420022708439571</v>
      </c>
      <c r="K13" s="51">
        <f>K14/G12</f>
        <v>0.27637544227331823</v>
      </c>
    </row>
    <row r="14" spans="3:17" ht="23.45" customHeight="1">
      <c r="C14" s="58" t="s">
        <v>17</v>
      </c>
      <c r="D14" s="69" t="s">
        <v>16</v>
      </c>
      <c r="E14" s="70">
        <f>E12-$D$12</f>
        <v>18309.739199999989</v>
      </c>
      <c r="F14" s="70">
        <f>F12-$D$12</f>
        <v>15245.508000000002</v>
      </c>
      <c r="G14" s="70">
        <f>G12-$D$12</f>
        <v>15245.508000000002</v>
      </c>
      <c r="H14" s="70">
        <f>H12-$D$12</f>
        <v>14810.712</v>
      </c>
      <c r="I14" s="70">
        <f>I12-$D$12</f>
        <v>15615.311999999991</v>
      </c>
      <c r="J14" s="70">
        <f t="shared" ref="J14:K14" si="2">J12-$D$12</f>
        <v>12216.760440000005</v>
      </c>
      <c r="K14" s="70">
        <f t="shared" si="2"/>
        <v>15762.880440000001</v>
      </c>
    </row>
    <row r="15" spans="3:17" ht="43.5" customHeight="1">
      <c r="C15" s="59" t="s">
        <v>18</v>
      </c>
      <c r="D15" s="75"/>
      <c r="E15" s="76" t="s">
        <v>19</v>
      </c>
      <c r="F15" s="76"/>
      <c r="G15" s="76"/>
      <c r="H15" s="76"/>
      <c r="I15" s="27"/>
      <c r="J15" s="27"/>
      <c r="K15" s="27"/>
    </row>
  </sheetData>
  <mergeCells count="20">
    <mergeCell ref="C1:K2"/>
    <mergeCell ref="F6:G6"/>
    <mergeCell ref="F7:G7"/>
    <mergeCell ref="F8:G8"/>
    <mergeCell ref="F9:G9"/>
    <mergeCell ref="F4:G4"/>
    <mergeCell ref="F5:G5"/>
    <mergeCell ref="H4:I4"/>
    <mergeCell ref="H5:I5"/>
    <mergeCell ref="J5:K5"/>
    <mergeCell ref="J4:K4"/>
    <mergeCell ref="H7:I7"/>
    <mergeCell ref="J7:K7"/>
    <mergeCell ref="J8:K8"/>
    <mergeCell ref="J9:K9"/>
    <mergeCell ref="J10:K10"/>
    <mergeCell ref="F10:G10"/>
    <mergeCell ref="H8:I8"/>
    <mergeCell ref="H9:I9"/>
    <mergeCell ref="H10:I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58F4-1DA0-44D2-85B1-1FC4F0F585CA}">
  <dimension ref="B1:L26"/>
  <sheetViews>
    <sheetView topLeftCell="B5" zoomScale="120" zoomScaleNormal="120" workbookViewId="0">
      <selection activeCell="L29" sqref="L29"/>
    </sheetView>
  </sheetViews>
  <sheetFormatPr defaultColWidth="9.140625" defaultRowHeight="14.45"/>
  <cols>
    <col min="2" max="2" width="29.5703125" customWidth="1"/>
    <col min="3" max="3" width="16.42578125" customWidth="1"/>
    <col min="4" max="4" width="15.5703125" customWidth="1"/>
    <col min="5" max="5" width="15" customWidth="1"/>
    <col min="6" max="6" width="15.28515625" customWidth="1"/>
    <col min="7" max="7" width="16.5703125" customWidth="1"/>
    <col min="8" max="8" width="14.42578125" customWidth="1"/>
    <col min="9" max="9" width="15.42578125" customWidth="1"/>
    <col min="10" max="10" width="15.140625" customWidth="1"/>
    <col min="11" max="11" width="17.42578125" customWidth="1"/>
    <col min="12" max="12" width="17.140625" customWidth="1"/>
  </cols>
  <sheetData>
    <row r="1" spans="2:12" ht="15" customHeight="1">
      <c r="B1" s="86" t="s">
        <v>20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2:12" ht="57.75" customHeight="1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2:12">
      <c r="B3" s="91">
        <v>80212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2">
      <c r="B4" s="8"/>
      <c r="C4" s="81" t="s">
        <v>21</v>
      </c>
      <c r="D4" s="81"/>
      <c r="E4" s="81" t="s">
        <v>22</v>
      </c>
      <c r="F4" s="81"/>
      <c r="G4" s="81" t="s">
        <v>23</v>
      </c>
      <c r="H4" s="81"/>
      <c r="I4" s="81" t="s">
        <v>23</v>
      </c>
      <c r="J4" s="81"/>
      <c r="K4" s="81" t="s">
        <v>23</v>
      </c>
      <c r="L4" s="81"/>
    </row>
    <row r="5" spans="2:12" ht="15" customHeight="1">
      <c r="B5" s="95" t="s">
        <v>8</v>
      </c>
      <c r="C5" s="94" t="s">
        <v>24</v>
      </c>
      <c r="D5" s="94"/>
      <c r="E5" s="94" t="s">
        <v>24</v>
      </c>
      <c r="F5" s="94"/>
      <c r="G5" s="94" t="s">
        <v>5</v>
      </c>
      <c r="H5" s="94"/>
      <c r="I5" s="94" t="s">
        <v>6</v>
      </c>
      <c r="J5" s="94"/>
      <c r="K5" s="94" t="s">
        <v>7</v>
      </c>
      <c r="L5" s="94"/>
    </row>
    <row r="6" spans="2:12" ht="15" customHeight="1">
      <c r="B6" s="95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>
      <c r="B7" s="15" t="s">
        <v>25</v>
      </c>
      <c r="C7" s="7" t="s">
        <v>26</v>
      </c>
      <c r="D7" s="7" t="s">
        <v>27</v>
      </c>
      <c r="E7" s="7" t="s">
        <v>26</v>
      </c>
      <c r="F7" s="7" t="s">
        <v>27</v>
      </c>
      <c r="G7" s="7" t="s">
        <v>26</v>
      </c>
      <c r="H7" s="7" t="s">
        <v>28</v>
      </c>
      <c r="I7" s="71" t="s">
        <v>29</v>
      </c>
      <c r="J7" s="71" t="s">
        <v>29</v>
      </c>
      <c r="K7" s="7" t="s">
        <v>26</v>
      </c>
      <c r="L7" s="7" t="s">
        <v>28</v>
      </c>
    </row>
    <row r="8" spans="2:12">
      <c r="B8" s="15"/>
      <c r="C8" s="7" t="s">
        <v>30</v>
      </c>
      <c r="D8" s="7" t="s">
        <v>31</v>
      </c>
      <c r="E8" s="7" t="s">
        <v>30</v>
      </c>
      <c r="F8" s="7" t="s">
        <v>32</v>
      </c>
      <c r="G8" s="7" t="s">
        <v>33</v>
      </c>
      <c r="H8" s="7" t="s">
        <v>32</v>
      </c>
      <c r="I8" s="7" t="s">
        <v>30</v>
      </c>
      <c r="J8" s="7" t="s">
        <v>32</v>
      </c>
      <c r="K8" s="7" t="s">
        <v>33</v>
      </c>
      <c r="L8" s="7" t="s">
        <v>33</v>
      </c>
    </row>
    <row r="9" spans="2:12" ht="15.6">
      <c r="B9" s="16" t="s">
        <v>34</v>
      </c>
      <c r="C9" s="17">
        <v>1</v>
      </c>
      <c r="D9" s="17">
        <v>1</v>
      </c>
      <c r="E9" s="17">
        <v>1</v>
      </c>
      <c r="F9" s="17">
        <v>1</v>
      </c>
      <c r="G9" s="17">
        <v>1</v>
      </c>
      <c r="H9" s="17">
        <v>1</v>
      </c>
      <c r="I9" s="17">
        <v>1</v>
      </c>
      <c r="J9" s="17">
        <v>1</v>
      </c>
      <c r="K9" s="17">
        <v>1</v>
      </c>
      <c r="L9" s="17">
        <v>1</v>
      </c>
    </row>
    <row r="10" spans="2:12" ht="15.6">
      <c r="B10" s="16" t="s">
        <v>35</v>
      </c>
      <c r="C10" s="17">
        <v>0.8</v>
      </c>
      <c r="D10" s="17">
        <v>0.8</v>
      </c>
      <c r="E10" s="17">
        <v>0.8</v>
      </c>
      <c r="F10" s="17">
        <v>0.8</v>
      </c>
      <c r="G10" s="17">
        <v>0.8</v>
      </c>
      <c r="H10" s="17">
        <v>0.8</v>
      </c>
      <c r="I10" s="17">
        <v>0.8</v>
      </c>
      <c r="J10" s="17" t="s">
        <v>36</v>
      </c>
      <c r="K10" s="17">
        <v>0.8</v>
      </c>
      <c r="L10" s="17">
        <v>0.8</v>
      </c>
    </row>
    <row r="11" spans="2:12" ht="15.6">
      <c r="B11" s="16" t="s">
        <v>37</v>
      </c>
      <c r="C11" s="17">
        <v>0.5</v>
      </c>
      <c r="D11" s="17">
        <v>0.5</v>
      </c>
      <c r="E11" s="17">
        <v>0.5</v>
      </c>
      <c r="F11" s="17">
        <v>0.5</v>
      </c>
      <c r="G11" s="17">
        <v>0.5</v>
      </c>
      <c r="H11" s="17">
        <v>0.5</v>
      </c>
      <c r="I11" s="17">
        <v>0.5</v>
      </c>
      <c r="J11" s="17" t="s">
        <v>36</v>
      </c>
      <c r="K11" s="17">
        <v>0.5</v>
      </c>
      <c r="L11" s="17">
        <v>0.8</v>
      </c>
    </row>
    <row r="12" spans="2:12" ht="15.6">
      <c r="B12" s="16" t="s">
        <v>38</v>
      </c>
      <c r="C12" s="40" t="s">
        <v>39</v>
      </c>
      <c r="D12" s="40" t="s">
        <v>39</v>
      </c>
      <c r="E12" s="40" t="s">
        <v>39</v>
      </c>
      <c r="F12" s="40" t="s">
        <v>39</v>
      </c>
      <c r="G12" s="40" t="s">
        <v>39</v>
      </c>
      <c r="H12" s="40" t="s">
        <v>39</v>
      </c>
      <c r="I12" s="40" t="s">
        <v>39</v>
      </c>
      <c r="J12" s="40" t="s">
        <v>39</v>
      </c>
      <c r="K12" s="40" t="s">
        <v>39</v>
      </c>
      <c r="L12" s="40" t="s">
        <v>39</v>
      </c>
    </row>
    <row r="13" spans="2:12" ht="31.5" customHeight="1">
      <c r="B13" s="16" t="s">
        <v>40</v>
      </c>
      <c r="C13" s="92" t="s">
        <v>41</v>
      </c>
      <c r="D13" s="93"/>
      <c r="E13" s="92" t="s">
        <v>41</v>
      </c>
      <c r="F13" s="93"/>
      <c r="G13" s="92" t="s">
        <v>42</v>
      </c>
      <c r="H13" s="93"/>
      <c r="I13" s="92" t="s">
        <v>41</v>
      </c>
      <c r="J13" s="93"/>
      <c r="K13" s="92" t="s">
        <v>41</v>
      </c>
      <c r="L13" s="93"/>
    </row>
    <row r="14" spans="2:12" ht="34.5" customHeight="1">
      <c r="B14" s="16" t="s">
        <v>43</v>
      </c>
      <c r="C14" s="9">
        <v>1500</v>
      </c>
      <c r="D14" s="9">
        <v>1500</v>
      </c>
      <c r="E14" s="9">
        <v>1500</v>
      </c>
      <c r="F14" s="9">
        <v>1500</v>
      </c>
      <c r="G14" s="9">
        <v>1500</v>
      </c>
      <c r="H14" s="9">
        <v>1500</v>
      </c>
      <c r="I14" s="9">
        <v>1500</v>
      </c>
      <c r="J14" s="9">
        <v>1500</v>
      </c>
      <c r="K14" s="9">
        <v>2000</v>
      </c>
      <c r="L14" s="9">
        <v>2000</v>
      </c>
    </row>
    <row r="15" spans="2:12" ht="15.6"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</row>
    <row r="16" spans="2:12" ht="15.6">
      <c r="B16" s="18"/>
      <c r="C16" s="81" t="s">
        <v>1</v>
      </c>
      <c r="D16" s="81"/>
      <c r="E16" s="81" t="s">
        <v>22</v>
      </c>
      <c r="F16" s="81"/>
      <c r="G16" s="81" t="s">
        <v>23</v>
      </c>
      <c r="H16" s="81"/>
      <c r="I16" s="81" t="s">
        <v>23</v>
      </c>
      <c r="J16" s="81"/>
      <c r="K16" s="81" t="s">
        <v>23</v>
      </c>
      <c r="L16" s="81"/>
    </row>
    <row r="17" spans="2:12">
      <c r="B17" s="19"/>
      <c r="C17" s="19" t="s">
        <v>44</v>
      </c>
      <c r="D17" s="19" t="s">
        <v>45</v>
      </c>
      <c r="E17" s="102" t="s">
        <v>45</v>
      </c>
      <c r="F17" s="102"/>
      <c r="G17" s="102" t="s">
        <v>46</v>
      </c>
      <c r="H17" s="102"/>
      <c r="I17" s="102" t="s">
        <v>45</v>
      </c>
      <c r="J17" s="102"/>
      <c r="K17" s="102" t="s">
        <v>46</v>
      </c>
      <c r="L17" s="102"/>
    </row>
    <row r="18" spans="2:12">
      <c r="B18" s="20" t="s">
        <v>47</v>
      </c>
      <c r="C18" s="15">
        <v>28</v>
      </c>
      <c r="D18" s="21">
        <v>37</v>
      </c>
      <c r="E18" s="87">
        <v>40.32</v>
      </c>
      <c r="F18" s="88"/>
      <c r="G18" s="87">
        <v>36.520000000000003</v>
      </c>
      <c r="H18" s="88"/>
      <c r="I18" s="61">
        <v>35.89</v>
      </c>
      <c r="J18" s="61">
        <v>37</v>
      </c>
      <c r="K18" s="61">
        <v>33.53</v>
      </c>
      <c r="L18" s="62">
        <v>39.81</v>
      </c>
    </row>
    <row r="19" spans="2:12">
      <c r="B19" s="20" t="s">
        <v>48</v>
      </c>
      <c r="C19" s="15">
        <v>8</v>
      </c>
      <c r="D19" s="21">
        <v>75</v>
      </c>
      <c r="E19" s="87">
        <v>81.760000000000005</v>
      </c>
      <c r="F19" s="88"/>
      <c r="G19" s="87">
        <v>74.06</v>
      </c>
      <c r="H19" s="88"/>
      <c r="I19" s="61">
        <v>72.75</v>
      </c>
      <c r="J19" s="61">
        <v>75</v>
      </c>
      <c r="K19" s="61">
        <v>67.92</v>
      </c>
      <c r="L19" s="62">
        <v>77.97</v>
      </c>
    </row>
    <row r="20" spans="2:12">
      <c r="B20" s="20" t="s">
        <v>49</v>
      </c>
      <c r="C20" s="15">
        <v>1</v>
      </c>
      <c r="D20" s="21">
        <v>87</v>
      </c>
      <c r="E20" s="87">
        <v>94.84</v>
      </c>
      <c r="F20" s="88"/>
      <c r="G20" s="87">
        <v>85.91</v>
      </c>
      <c r="H20" s="88"/>
      <c r="I20" s="61">
        <v>84.39</v>
      </c>
      <c r="J20" s="61">
        <v>87</v>
      </c>
      <c r="K20" s="61">
        <v>78.78</v>
      </c>
      <c r="L20" s="62">
        <v>79.849999999999994</v>
      </c>
    </row>
    <row r="21" spans="2:12">
      <c r="B21" s="20" t="s">
        <v>50</v>
      </c>
      <c r="C21" s="15">
        <v>4</v>
      </c>
      <c r="D21" s="21">
        <v>128</v>
      </c>
      <c r="E21" s="87">
        <v>139.52000000000001</v>
      </c>
      <c r="F21" s="88"/>
      <c r="G21" s="87">
        <v>126.38</v>
      </c>
      <c r="H21" s="88"/>
      <c r="I21" s="61">
        <v>124.16</v>
      </c>
      <c r="J21" s="61">
        <v>128</v>
      </c>
      <c r="K21" s="61">
        <v>115.88</v>
      </c>
      <c r="L21" s="62">
        <v>125.43</v>
      </c>
    </row>
    <row r="22" spans="2:12" ht="15.75" customHeight="1">
      <c r="B22" s="22" t="s">
        <v>51</v>
      </c>
      <c r="C22" s="21"/>
      <c r="D22" s="21">
        <f>D18*$C$18+D19*$C$19+D20*$C$20+D21*$C$21</f>
        <v>2235</v>
      </c>
      <c r="E22" s="87">
        <f>E18*$C$18+E19*$C$19+E20*$C$20+E21*$C$21</f>
        <v>2435.96</v>
      </c>
      <c r="F22" s="88"/>
      <c r="G22" s="87">
        <f t="shared" ref="G22" si="0">G18*$C$18+G19*$C$19+G20*$C$20+G21*$C$21</f>
        <v>2206.4700000000003</v>
      </c>
      <c r="H22" s="88"/>
      <c r="I22" s="61">
        <f>I18*$C$18+I19*$C$19+I20*$C$20+I21*$C$21</f>
        <v>2167.9500000000003</v>
      </c>
      <c r="J22" s="61">
        <f>J18*$C$18+J19*$C$19+J20*$C$20+J21*$C$21</f>
        <v>2235</v>
      </c>
      <c r="K22" s="61">
        <f>K18*$C$18+K19*$C$19+K20*$C$20+K21*$C$21</f>
        <v>2024.5</v>
      </c>
      <c r="L22" s="61">
        <f>L18*$C$18+L19*$C$19+L20*$C$20+L21*$C$21</f>
        <v>2320.0100000000002</v>
      </c>
    </row>
    <row r="23" spans="2:12" ht="16.5" customHeight="1">
      <c r="B23" s="22" t="s">
        <v>52</v>
      </c>
      <c r="C23" s="98">
        <f>D22*12</f>
        <v>26820</v>
      </c>
      <c r="D23" s="98"/>
      <c r="E23" s="87">
        <f>E22*12</f>
        <v>29231.52</v>
      </c>
      <c r="F23" s="88"/>
      <c r="G23" s="87">
        <f t="shared" ref="G23" si="1">G22*12</f>
        <v>26477.640000000003</v>
      </c>
      <c r="H23" s="88"/>
      <c r="I23" s="61">
        <f>I22*12</f>
        <v>26015.4</v>
      </c>
      <c r="J23" s="61">
        <f>J22*12</f>
        <v>26820</v>
      </c>
      <c r="K23" s="61">
        <f>K22*12</f>
        <v>24294</v>
      </c>
      <c r="L23" s="61">
        <f>L22*12</f>
        <v>27840.120000000003</v>
      </c>
    </row>
    <row r="24" spans="2:12">
      <c r="B24" s="22" t="s">
        <v>53</v>
      </c>
      <c r="C24" s="96"/>
      <c r="D24" s="97"/>
      <c r="E24" s="87">
        <f>E22-$D$22</f>
        <v>200.96000000000004</v>
      </c>
      <c r="F24" s="88"/>
      <c r="G24" s="87">
        <f t="shared" ref="G24" si="2">G22-$D$22</f>
        <v>-28.529999999999745</v>
      </c>
      <c r="H24" s="88"/>
      <c r="I24" s="61">
        <f>I22-$D$22</f>
        <v>-67.049999999999727</v>
      </c>
      <c r="J24" s="61">
        <f>J22-$D$22</f>
        <v>0</v>
      </c>
      <c r="K24" s="61">
        <f>K22-$D$22</f>
        <v>-210.5</v>
      </c>
      <c r="L24" s="61">
        <f>L22-$D$22</f>
        <v>85.010000000000218</v>
      </c>
    </row>
    <row r="25" spans="2:12">
      <c r="B25" s="22" t="s">
        <v>54</v>
      </c>
      <c r="C25" s="96"/>
      <c r="D25" s="97"/>
      <c r="E25" s="87">
        <f>E23-$C$23</f>
        <v>2411.5200000000004</v>
      </c>
      <c r="F25" s="88"/>
      <c r="G25" s="87">
        <f t="shared" ref="G25" si="3">G23-$C$23</f>
        <v>-342.35999999999694</v>
      </c>
      <c r="H25" s="88"/>
      <c r="I25" s="61">
        <f>I23-$C$23</f>
        <v>-804.59999999999854</v>
      </c>
      <c r="J25" s="61">
        <f>J23-$C$23</f>
        <v>0</v>
      </c>
      <c r="K25" s="61">
        <f>K23-$C$23</f>
        <v>-2526</v>
      </c>
      <c r="L25" s="61">
        <f>L23-$C$23</f>
        <v>1020.1200000000026</v>
      </c>
    </row>
    <row r="26" spans="2:12">
      <c r="B26" s="23" t="s">
        <v>55</v>
      </c>
      <c r="C26" s="99"/>
      <c r="D26" s="100"/>
      <c r="E26" s="89">
        <f>E24/$D$22</f>
        <v>8.9914988814317684E-2</v>
      </c>
      <c r="F26" s="90"/>
      <c r="G26" s="89">
        <f t="shared" ref="G26" si="4">G24/$D$22</f>
        <v>-1.2765100671140825E-2</v>
      </c>
      <c r="H26" s="90"/>
      <c r="I26" s="60">
        <f>I24/$D$22</f>
        <v>-2.9999999999999877E-2</v>
      </c>
      <c r="J26" s="60">
        <f>J24/$D$22</f>
        <v>0</v>
      </c>
      <c r="K26" s="60">
        <f>K24/$D$22</f>
        <v>-9.4183445190156603E-2</v>
      </c>
      <c r="L26" s="60">
        <f>L24/$D$22</f>
        <v>3.8035794183445285E-2</v>
      </c>
    </row>
  </sheetData>
  <mergeCells count="50">
    <mergeCell ref="C26:D26"/>
    <mergeCell ref="I13:J13"/>
    <mergeCell ref="B15:L15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C13:D13"/>
    <mergeCell ref="G5:H6"/>
    <mergeCell ref="I5:J6"/>
    <mergeCell ref="C24:D24"/>
    <mergeCell ref="C25:D25"/>
    <mergeCell ref="C23:D23"/>
    <mergeCell ref="E22:F22"/>
    <mergeCell ref="E23:F23"/>
    <mergeCell ref="B1:L2"/>
    <mergeCell ref="C4:D4"/>
    <mergeCell ref="E4:F4"/>
    <mergeCell ref="G4:H4"/>
    <mergeCell ref="I4:J4"/>
    <mergeCell ref="K4:L4"/>
    <mergeCell ref="B3:L3"/>
    <mergeCell ref="E13:F13"/>
    <mergeCell ref="K13:L13"/>
    <mergeCell ref="K5:L6"/>
    <mergeCell ref="G13:H13"/>
    <mergeCell ref="B5:B6"/>
    <mergeCell ref="C5:D6"/>
    <mergeCell ref="E5:F6"/>
    <mergeCell ref="E24:F24"/>
    <mergeCell ref="E25:F25"/>
    <mergeCell ref="E26:F26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E18:F18"/>
    <mergeCell ref="E19:F19"/>
    <mergeCell ref="E20:F20"/>
    <mergeCell ref="E21:F21"/>
  </mergeCells>
  <phoneticPr fontId="1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B18E-D94B-4D98-BDB3-8F7591441FE8}">
  <dimension ref="B1:L49"/>
  <sheetViews>
    <sheetView workbookViewId="0">
      <pane xSplit="2" topLeftCell="C1" activePane="topRight" state="frozen"/>
      <selection pane="topRight" activeCell="O29" sqref="O29"/>
    </sheetView>
  </sheetViews>
  <sheetFormatPr defaultRowHeight="14.45"/>
  <cols>
    <col min="2" max="2" width="29.140625" customWidth="1"/>
    <col min="3" max="3" width="18.140625" customWidth="1"/>
    <col min="4" max="4" width="18.5703125" customWidth="1"/>
    <col min="5" max="5" width="15.7109375" customWidth="1"/>
    <col min="6" max="6" width="18.85546875" customWidth="1"/>
    <col min="7" max="7" width="17.42578125" customWidth="1"/>
    <col min="8" max="8" width="18.140625" customWidth="1"/>
    <col min="9" max="9" width="14.85546875" customWidth="1"/>
    <col min="10" max="10" width="17.7109375" customWidth="1"/>
    <col min="11" max="11" width="14.85546875" customWidth="1"/>
    <col min="12" max="12" width="17.7109375" customWidth="1"/>
  </cols>
  <sheetData>
    <row r="1" spans="2:12" ht="66" customHeight="1"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2:12" s="1" customFormat="1" ht="14.45" customHeight="1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2:12">
      <c r="B3" s="91">
        <v>80212</v>
      </c>
      <c r="C3" s="91"/>
      <c r="D3" s="91"/>
      <c r="E3" s="91"/>
      <c r="F3" s="91"/>
      <c r="G3" s="91"/>
      <c r="H3" s="91"/>
      <c r="I3" s="91"/>
      <c r="J3" s="91"/>
    </row>
    <row r="4" spans="2:12">
      <c r="B4" s="8"/>
      <c r="C4" s="81" t="s">
        <v>21</v>
      </c>
      <c r="D4" s="81"/>
      <c r="E4" s="81" t="s">
        <v>22</v>
      </c>
      <c r="F4" s="81"/>
      <c r="G4" s="81" t="s">
        <v>23</v>
      </c>
      <c r="H4" s="81"/>
      <c r="I4" s="81" t="s">
        <v>23</v>
      </c>
      <c r="J4" s="81"/>
      <c r="K4" s="81" t="s">
        <v>23</v>
      </c>
      <c r="L4" s="81"/>
    </row>
    <row r="5" spans="2:12" ht="15" customHeight="1">
      <c r="B5" s="95" t="s">
        <v>9</v>
      </c>
      <c r="C5" s="94" t="s">
        <v>24</v>
      </c>
      <c r="D5" s="94"/>
      <c r="E5" s="94" t="s">
        <v>4</v>
      </c>
      <c r="F5" s="94"/>
      <c r="G5" s="94" t="s">
        <v>5</v>
      </c>
      <c r="H5" s="94"/>
      <c r="I5" s="94" t="s">
        <v>6</v>
      </c>
      <c r="J5" s="94"/>
      <c r="K5" s="94" t="s">
        <v>7</v>
      </c>
      <c r="L5" s="94"/>
    </row>
    <row r="6" spans="2:12" ht="15" customHeight="1">
      <c r="B6" s="95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>
      <c r="B7" s="22"/>
      <c r="C7" s="20" t="s">
        <v>26</v>
      </c>
      <c r="D7" s="20" t="s">
        <v>28</v>
      </c>
      <c r="E7" s="20" t="s">
        <v>26</v>
      </c>
      <c r="F7" s="20" t="s">
        <v>28</v>
      </c>
      <c r="G7" s="20" t="s">
        <v>26</v>
      </c>
      <c r="H7" s="20" t="s">
        <v>28</v>
      </c>
      <c r="I7" s="20" t="s">
        <v>26</v>
      </c>
      <c r="J7" s="20" t="s">
        <v>28</v>
      </c>
      <c r="K7" s="20" t="s">
        <v>26</v>
      </c>
      <c r="L7" s="20" t="s">
        <v>28</v>
      </c>
    </row>
    <row r="8" spans="2:12" ht="15.6">
      <c r="B8" s="16" t="s">
        <v>56</v>
      </c>
      <c r="C8" s="15" t="s">
        <v>57</v>
      </c>
      <c r="D8" s="15" t="s">
        <v>58</v>
      </c>
      <c r="E8" s="15" t="s">
        <v>57</v>
      </c>
      <c r="F8" s="15" t="s">
        <v>58</v>
      </c>
      <c r="G8" s="15" t="s">
        <v>57</v>
      </c>
      <c r="H8" s="15" t="s">
        <v>59</v>
      </c>
      <c r="I8" s="15" t="s">
        <v>57</v>
      </c>
      <c r="J8" s="15" t="s">
        <v>60</v>
      </c>
      <c r="K8" s="15" t="s">
        <v>57</v>
      </c>
      <c r="L8" s="15" t="s">
        <v>59</v>
      </c>
    </row>
    <row r="9" spans="2:12" ht="15.6">
      <c r="B9" s="28" t="s">
        <v>61</v>
      </c>
      <c r="C9" s="104" t="s">
        <v>62</v>
      </c>
      <c r="D9" s="104"/>
      <c r="E9" s="104" t="s">
        <v>62</v>
      </c>
      <c r="F9" s="104"/>
      <c r="G9" s="104" t="s">
        <v>62</v>
      </c>
      <c r="H9" s="104"/>
      <c r="I9" s="104" t="s">
        <v>62</v>
      </c>
      <c r="J9" s="104"/>
      <c r="K9" s="104" t="s">
        <v>62</v>
      </c>
      <c r="L9" s="104"/>
    </row>
    <row r="10" spans="2:12">
      <c r="B10" s="29" t="s">
        <v>63</v>
      </c>
      <c r="C10" s="105"/>
      <c r="D10" s="105"/>
      <c r="E10" s="105"/>
      <c r="F10" s="105"/>
      <c r="G10" s="105"/>
      <c r="H10" s="105"/>
      <c r="I10" s="105"/>
      <c r="J10" s="105"/>
    </row>
    <row r="11" spans="2:12" ht="15.6">
      <c r="B11" s="16" t="s">
        <v>64</v>
      </c>
      <c r="C11" s="30" t="s">
        <v>65</v>
      </c>
      <c r="D11" s="31" t="s">
        <v>66</v>
      </c>
      <c r="E11" s="30" t="s">
        <v>65</v>
      </c>
      <c r="F11" s="31" t="s">
        <v>66</v>
      </c>
      <c r="G11" s="30" t="s">
        <v>65</v>
      </c>
      <c r="H11" s="31" t="s">
        <v>67</v>
      </c>
      <c r="I11" s="30" t="s">
        <v>65</v>
      </c>
      <c r="J11" s="31" t="s">
        <v>68</v>
      </c>
      <c r="K11" s="30" t="s">
        <v>65</v>
      </c>
      <c r="L11" s="31" t="s">
        <v>67</v>
      </c>
    </row>
    <row r="12" spans="2:12" ht="15.6">
      <c r="B12" s="16" t="s">
        <v>69</v>
      </c>
      <c r="C12" s="30" t="s">
        <v>65</v>
      </c>
      <c r="D12" s="31" t="s">
        <v>70</v>
      </c>
      <c r="E12" s="30" t="s">
        <v>65</v>
      </c>
      <c r="F12" s="31" t="s">
        <v>70</v>
      </c>
      <c r="G12" s="30" t="s">
        <v>65</v>
      </c>
      <c r="H12" s="31" t="s">
        <v>71</v>
      </c>
      <c r="I12" s="30" t="s">
        <v>65</v>
      </c>
      <c r="J12" s="31" t="s">
        <v>72</v>
      </c>
      <c r="K12" s="30" t="s">
        <v>65</v>
      </c>
      <c r="L12" s="31" t="s">
        <v>71</v>
      </c>
    </row>
    <row r="13" spans="2:12" ht="15.6">
      <c r="B13" s="16" t="s">
        <v>73</v>
      </c>
      <c r="C13" s="30" t="s">
        <v>65</v>
      </c>
      <c r="D13" s="31" t="s">
        <v>74</v>
      </c>
      <c r="E13" s="30" t="s">
        <v>65</v>
      </c>
      <c r="F13" s="31" t="s">
        <v>74</v>
      </c>
      <c r="G13" s="30" t="s">
        <v>65</v>
      </c>
      <c r="H13" s="31" t="s">
        <v>75</v>
      </c>
      <c r="I13" s="30" t="s">
        <v>65</v>
      </c>
      <c r="J13" s="31" t="s">
        <v>76</v>
      </c>
      <c r="K13" s="30" t="s">
        <v>65</v>
      </c>
      <c r="L13" s="31" t="s">
        <v>75</v>
      </c>
    </row>
    <row r="14" spans="2:12" ht="15.6">
      <c r="B14" s="16" t="s">
        <v>77</v>
      </c>
      <c r="C14" s="30" t="s">
        <v>78</v>
      </c>
      <c r="D14" s="31" t="s">
        <v>79</v>
      </c>
      <c r="E14" s="30" t="s">
        <v>78</v>
      </c>
      <c r="F14" s="31" t="s">
        <v>79</v>
      </c>
      <c r="G14" s="30" t="s">
        <v>65</v>
      </c>
      <c r="H14" s="31" t="s">
        <v>80</v>
      </c>
      <c r="I14" s="30" t="s">
        <v>65</v>
      </c>
      <c r="J14" s="31" t="s">
        <v>81</v>
      </c>
      <c r="K14" s="30" t="s">
        <v>65</v>
      </c>
      <c r="L14" s="31" t="s">
        <v>80</v>
      </c>
    </row>
    <row r="15" spans="2:12" ht="15.6">
      <c r="B15" s="28" t="s">
        <v>61</v>
      </c>
      <c r="C15" s="104" t="s">
        <v>62</v>
      </c>
      <c r="D15" s="104"/>
      <c r="E15" s="104" t="s">
        <v>62</v>
      </c>
      <c r="F15" s="104"/>
      <c r="G15" s="104" t="s">
        <v>62</v>
      </c>
      <c r="H15" s="104"/>
      <c r="I15" s="104" t="s">
        <v>62</v>
      </c>
      <c r="J15" s="104"/>
      <c r="K15" s="104" t="s">
        <v>62</v>
      </c>
      <c r="L15" s="104"/>
    </row>
    <row r="16" spans="2:12">
      <c r="C16" s="105"/>
      <c r="D16" s="105"/>
      <c r="E16" s="105"/>
      <c r="F16" s="105"/>
      <c r="G16" s="105"/>
      <c r="H16" s="105"/>
      <c r="I16" s="105"/>
      <c r="J16" s="105"/>
    </row>
    <row r="17" spans="2:12">
      <c r="B17" s="29" t="s">
        <v>82</v>
      </c>
      <c r="C17" s="15" t="s">
        <v>83</v>
      </c>
      <c r="D17" s="15" t="s">
        <v>75</v>
      </c>
      <c r="E17" s="15" t="s">
        <v>83</v>
      </c>
      <c r="F17" s="15" t="s">
        <v>75</v>
      </c>
      <c r="G17" s="15" t="s">
        <v>83</v>
      </c>
      <c r="H17" s="15" t="s">
        <v>84</v>
      </c>
      <c r="I17" s="15" t="s">
        <v>83</v>
      </c>
      <c r="J17" s="15" t="s">
        <v>85</v>
      </c>
      <c r="K17" s="15" t="s">
        <v>83</v>
      </c>
      <c r="L17" s="15" t="s">
        <v>84</v>
      </c>
    </row>
    <row r="18" spans="2:12" ht="15.6">
      <c r="B18" s="28" t="s">
        <v>61</v>
      </c>
      <c r="C18" s="104" t="s">
        <v>62</v>
      </c>
      <c r="D18" s="104"/>
      <c r="E18" s="104" t="s">
        <v>62</v>
      </c>
      <c r="F18" s="104"/>
      <c r="G18" s="104" t="s">
        <v>86</v>
      </c>
      <c r="H18" s="104"/>
      <c r="I18" s="104" t="s">
        <v>62</v>
      </c>
      <c r="J18" s="104"/>
      <c r="K18" s="104" t="s">
        <v>62</v>
      </c>
      <c r="L18" s="104"/>
    </row>
    <row r="19" spans="2:12">
      <c r="B19" s="29" t="s">
        <v>87</v>
      </c>
      <c r="C19" s="105"/>
      <c r="D19" s="105"/>
      <c r="E19" s="105"/>
      <c r="F19" s="105"/>
      <c r="G19" s="105"/>
      <c r="H19" s="105"/>
      <c r="I19" s="105"/>
      <c r="J19" s="105"/>
    </row>
    <row r="20" spans="2:12">
      <c r="B20" s="15" t="s">
        <v>88</v>
      </c>
      <c r="C20" s="15" t="s">
        <v>83</v>
      </c>
      <c r="D20" s="15" t="s">
        <v>89</v>
      </c>
      <c r="E20" s="15" t="s">
        <v>83</v>
      </c>
      <c r="F20" s="15" t="s">
        <v>89</v>
      </c>
      <c r="G20" s="15" t="s">
        <v>83</v>
      </c>
      <c r="H20" s="15" t="s">
        <v>90</v>
      </c>
      <c r="I20" s="15" t="s">
        <v>83</v>
      </c>
      <c r="J20" s="15" t="s">
        <v>91</v>
      </c>
      <c r="K20" s="15" t="s">
        <v>83</v>
      </c>
      <c r="L20" s="15" t="s">
        <v>90</v>
      </c>
    </row>
    <row r="21" spans="2:12">
      <c r="B21" s="15" t="s">
        <v>92</v>
      </c>
      <c r="C21" s="15" t="s">
        <v>93</v>
      </c>
      <c r="D21" s="15" t="s">
        <v>94</v>
      </c>
      <c r="E21" s="15" t="s">
        <v>93</v>
      </c>
      <c r="F21" s="15" t="s">
        <v>94</v>
      </c>
      <c r="G21" s="15" t="s">
        <v>57</v>
      </c>
      <c r="H21" s="15" t="s">
        <v>95</v>
      </c>
      <c r="I21" s="15" t="s">
        <v>57</v>
      </c>
      <c r="J21" s="15" t="s">
        <v>95</v>
      </c>
      <c r="K21" s="15" t="s">
        <v>57</v>
      </c>
      <c r="L21" s="15" t="s">
        <v>95</v>
      </c>
    </row>
    <row r="22" spans="2:12" ht="15.6">
      <c r="B22" s="28" t="s">
        <v>61</v>
      </c>
      <c r="C22" s="104" t="s">
        <v>62</v>
      </c>
      <c r="D22" s="104"/>
      <c r="E22" s="104" t="s">
        <v>62</v>
      </c>
      <c r="F22" s="104"/>
      <c r="G22" s="104" t="s">
        <v>62</v>
      </c>
      <c r="H22" s="104"/>
      <c r="I22" s="104" t="s">
        <v>62</v>
      </c>
      <c r="J22" s="104"/>
      <c r="K22" s="104" t="s">
        <v>62</v>
      </c>
      <c r="L22" s="104"/>
    </row>
    <row r="23" spans="2:12" ht="15.6">
      <c r="B23" s="106"/>
      <c r="C23" s="106"/>
      <c r="D23" s="106"/>
      <c r="E23" s="106"/>
      <c r="F23" s="106"/>
      <c r="G23" s="106"/>
      <c r="H23" s="106"/>
      <c r="I23" s="106"/>
      <c r="J23" s="106"/>
    </row>
    <row r="24" spans="2:12">
      <c r="B24" s="32"/>
      <c r="C24" s="81" t="s">
        <v>21</v>
      </c>
      <c r="D24" s="81"/>
      <c r="E24" s="81" t="s">
        <v>22</v>
      </c>
      <c r="F24" s="81"/>
      <c r="G24" s="81" t="s">
        <v>23</v>
      </c>
      <c r="H24" s="81"/>
      <c r="I24" s="81" t="s">
        <v>23</v>
      </c>
      <c r="J24" s="81"/>
      <c r="K24" s="81" t="s">
        <v>23</v>
      </c>
      <c r="L24" s="81"/>
    </row>
    <row r="25" spans="2:12" s="1" customFormat="1">
      <c r="B25" s="19"/>
      <c r="C25" s="19" t="s">
        <v>96</v>
      </c>
      <c r="D25" s="19" t="s">
        <v>45</v>
      </c>
      <c r="E25" s="102" t="s">
        <v>45</v>
      </c>
      <c r="F25" s="102"/>
      <c r="G25" s="102" t="s">
        <v>45</v>
      </c>
      <c r="H25" s="102"/>
      <c r="I25" s="102" t="s">
        <v>45</v>
      </c>
      <c r="J25" s="102"/>
      <c r="K25" s="102" t="s">
        <v>45</v>
      </c>
      <c r="L25" s="102"/>
    </row>
    <row r="26" spans="2:12">
      <c r="B26" s="20" t="s">
        <v>47</v>
      </c>
      <c r="C26" s="15">
        <v>21</v>
      </c>
      <c r="D26" s="21">
        <v>7.5</v>
      </c>
      <c r="E26" s="98">
        <v>8.0399999999999991</v>
      </c>
      <c r="F26" s="98"/>
      <c r="G26" s="98">
        <v>6.61</v>
      </c>
      <c r="H26" s="98"/>
      <c r="I26" s="98">
        <v>6</v>
      </c>
      <c r="J26" s="98"/>
      <c r="K26" s="98">
        <v>7.65</v>
      </c>
      <c r="L26" s="98"/>
    </row>
    <row r="27" spans="2:12">
      <c r="B27" s="20" t="s">
        <v>48</v>
      </c>
      <c r="C27" s="15">
        <v>5</v>
      </c>
      <c r="D27" s="21">
        <v>15.5</v>
      </c>
      <c r="E27" s="98">
        <v>16.600000000000001</v>
      </c>
      <c r="F27" s="98"/>
      <c r="G27" s="98">
        <v>13.65</v>
      </c>
      <c r="H27" s="98"/>
      <c r="I27" s="98">
        <v>12.4</v>
      </c>
      <c r="J27" s="98"/>
      <c r="K27" s="98">
        <v>15.33</v>
      </c>
      <c r="L27" s="98"/>
    </row>
    <row r="28" spans="2:12">
      <c r="B28" s="20" t="s">
        <v>49</v>
      </c>
      <c r="C28" s="15">
        <v>1</v>
      </c>
      <c r="D28" s="21">
        <v>14.4</v>
      </c>
      <c r="E28" s="98">
        <v>15.44</v>
      </c>
      <c r="F28" s="98"/>
      <c r="G28" s="98">
        <v>12.7</v>
      </c>
      <c r="H28" s="98"/>
      <c r="I28" s="98">
        <v>11.52</v>
      </c>
      <c r="J28" s="98"/>
      <c r="K28" s="98">
        <v>12.98</v>
      </c>
      <c r="L28" s="98"/>
    </row>
    <row r="29" spans="2:12">
      <c r="B29" s="20" t="s">
        <v>50</v>
      </c>
      <c r="C29" s="15">
        <v>3</v>
      </c>
      <c r="D29" s="21">
        <v>22.4</v>
      </c>
      <c r="E29" s="98">
        <v>24</v>
      </c>
      <c r="F29" s="98"/>
      <c r="G29" s="98">
        <v>19.739999999999998</v>
      </c>
      <c r="H29" s="98"/>
      <c r="I29" s="98">
        <v>17.920000000000002</v>
      </c>
      <c r="J29" s="98"/>
      <c r="K29" s="98">
        <v>21.4</v>
      </c>
      <c r="L29" s="98"/>
    </row>
    <row r="30" spans="2:12">
      <c r="B30" s="22" t="s">
        <v>51</v>
      </c>
      <c r="C30" s="15"/>
      <c r="D30" s="21">
        <f>$C$26*D26+$C$28*D28+$C$29*D29+$C$27*D27</f>
        <v>316.60000000000002</v>
      </c>
      <c r="E30" s="98">
        <f>$C$26*E26+$C$28*E28+$C$29*E29+$C$27*E27</f>
        <v>339.28</v>
      </c>
      <c r="F30" s="98"/>
      <c r="G30" s="98">
        <f t="shared" ref="G30:I30" si="0">$C$26*G26+$C$28*G28+$C$29*G29+$C$27*G27</f>
        <v>278.98</v>
      </c>
      <c r="H30" s="98"/>
      <c r="I30" s="98">
        <f t="shared" si="0"/>
        <v>253.28000000000003</v>
      </c>
      <c r="J30" s="98"/>
      <c r="K30" s="98">
        <f>$C$26*K26+$C$28*K28+$C$29*K29+$C$27*K27</f>
        <v>314.48</v>
      </c>
      <c r="L30" s="98"/>
    </row>
    <row r="31" spans="2:12">
      <c r="B31" s="22" t="s">
        <v>97</v>
      </c>
      <c r="C31" s="15"/>
      <c r="D31" s="21">
        <f>D30*12</f>
        <v>3799.2000000000003</v>
      </c>
      <c r="E31" s="98">
        <f t="shared" ref="E31" si="1">E30*12</f>
        <v>4071.3599999999997</v>
      </c>
      <c r="F31" s="98"/>
      <c r="G31" s="98">
        <f t="shared" ref="G31" si="2">G30*12</f>
        <v>3347.76</v>
      </c>
      <c r="H31" s="98"/>
      <c r="I31" s="98">
        <f>I30*12</f>
        <v>3039.3600000000006</v>
      </c>
      <c r="J31" s="98"/>
      <c r="K31" s="98">
        <f>K30*12</f>
        <v>3773.76</v>
      </c>
      <c r="L31" s="98"/>
    </row>
    <row r="32" spans="2:12">
      <c r="B32" s="22" t="s">
        <v>53</v>
      </c>
      <c r="C32" s="98"/>
      <c r="D32" s="98"/>
      <c r="E32" s="98">
        <f>E30-$D$30</f>
        <v>22.67999999999995</v>
      </c>
      <c r="F32" s="98"/>
      <c r="G32" s="98">
        <f t="shared" ref="G32" si="3">G30-$D$30</f>
        <v>-37.620000000000005</v>
      </c>
      <c r="H32" s="98"/>
      <c r="I32" s="98">
        <f>I30-$D$30</f>
        <v>-63.319999999999993</v>
      </c>
      <c r="J32" s="98"/>
      <c r="K32" s="98">
        <f>K30-$D$30</f>
        <v>-2.1200000000000045</v>
      </c>
      <c r="L32" s="98"/>
    </row>
    <row r="33" spans="2:12">
      <c r="B33" s="22" t="s">
        <v>98</v>
      </c>
      <c r="C33" s="98"/>
      <c r="D33" s="98"/>
      <c r="E33" s="98">
        <f t="shared" ref="E33" si="4">E32*12</f>
        <v>272.1599999999994</v>
      </c>
      <c r="F33" s="98"/>
      <c r="G33" s="98">
        <f t="shared" ref="G33" si="5">G32*12</f>
        <v>-451.44000000000005</v>
      </c>
      <c r="H33" s="98"/>
      <c r="I33" s="98">
        <f>I32*12</f>
        <v>-759.83999999999992</v>
      </c>
      <c r="J33" s="98"/>
      <c r="K33" s="98">
        <f>K32*12</f>
        <v>-25.440000000000055</v>
      </c>
      <c r="L33" s="98"/>
    </row>
    <row r="34" spans="2:12">
      <c r="B34" s="33" t="s">
        <v>55</v>
      </c>
      <c r="C34" s="103"/>
      <c r="D34" s="103"/>
      <c r="E34" s="103">
        <f>(E30-$D$30)/$D$30</f>
        <v>7.1636133922930986E-2</v>
      </c>
      <c r="F34" s="103"/>
      <c r="G34" s="103">
        <f t="shared" ref="G34" si="6">(G30-$D$30)/$D$30</f>
        <v>-0.11882501579279849</v>
      </c>
      <c r="H34" s="103"/>
      <c r="I34" s="103">
        <f>(I30-$D$30)/$D$30</f>
        <v>-0.19999999999999996</v>
      </c>
      <c r="J34" s="103"/>
      <c r="K34" s="103">
        <f>(K30-$D$30)/$D$30</f>
        <v>-6.6961465571699448E-3</v>
      </c>
      <c r="L34" s="103"/>
    </row>
    <row r="43" spans="2:12">
      <c r="C43" s="2"/>
    </row>
    <row r="44" spans="2:12">
      <c r="C44" s="2"/>
    </row>
    <row r="45" spans="2:12">
      <c r="C45" s="2"/>
    </row>
    <row r="46" spans="2:12">
      <c r="C46" s="2"/>
    </row>
    <row r="49" spans="3:3">
      <c r="C49" s="3"/>
    </row>
  </sheetData>
  <mergeCells count="85">
    <mergeCell ref="K33:L33"/>
    <mergeCell ref="K34:L34"/>
    <mergeCell ref="B1:L2"/>
    <mergeCell ref="K28:L28"/>
    <mergeCell ref="K29:L29"/>
    <mergeCell ref="K30:L30"/>
    <mergeCell ref="K31:L31"/>
    <mergeCell ref="K32:L32"/>
    <mergeCell ref="K22:L22"/>
    <mergeCell ref="K24:L24"/>
    <mergeCell ref="K25:L25"/>
    <mergeCell ref="K26:L26"/>
    <mergeCell ref="K27:L27"/>
    <mergeCell ref="K4:L4"/>
    <mergeCell ref="K5:L6"/>
    <mergeCell ref="K9:L9"/>
    <mergeCell ref="K15:L15"/>
    <mergeCell ref="K18:L18"/>
    <mergeCell ref="I26:J26"/>
    <mergeCell ref="I9:J9"/>
    <mergeCell ref="B5:B6"/>
    <mergeCell ref="C5:D6"/>
    <mergeCell ref="E5:F6"/>
    <mergeCell ref="I25:J25"/>
    <mergeCell ref="G5:H6"/>
    <mergeCell ref="I5:J6"/>
    <mergeCell ref="C10:J10"/>
    <mergeCell ref="G9:H9"/>
    <mergeCell ref="E9:F9"/>
    <mergeCell ref="C9:D9"/>
    <mergeCell ref="E25:F25"/>
    <mergeCell ref="G25:H25"/>
    <mergeCell ref="C19:J19"/>
    <mergeCell ref="E29:F29"/>
    <mergeCell ref="E30:F30"/>
    <mergeCell ref="E31:F31"/>
    <mergeCell ref="G26:H26"/>
    <mergeCell ref="G27:H27"/>
    <mergeCell ref="G28:H28"/>
    <mergeCell ref="G29:H29"/>
    <mergeCell ref="G30:H30"/>
    <mergeCell ref="G31:H31"/>
    <mergeCell ref="B23:J23"/>
    <mergeCell ref="C24:D24"/>
    <mergeCell ref="E24:F24"/>
    <mergeCell ref="G24:H24"/>
    <mergeCell ref="I24:J24"/>
    <mergeCell ref="I27:J27"/>
    <mergeCell ref="C4:D4"/>
    <mergeCell ref="E4:F4"/>
    <mergeCell ref="G4:H4"/>
    <mergeCell ref="I4:J4"/>
    <mergeCell ref="B3:J3"/>
    <mergeCell ref="I28:J28"/>
    <mergeCell ref="I29:J29"/>
    <mergeCell ref="I30:J30"/>
    <mergeCell ref="G32:H32"/>
    <mergeCell ref="I31:J31"/>
    <mergeCell ref="G33:H33"/>
    <mergeCell ref="G34:H34"/>
    <mergeCell ref="I32:J32"/>
    <mergeCell ref="I33:J33"/>
    <mergeCell ref="I34:J34"/>
    <mergeCell ref="E26:F26"/>
    <mergeCell ref="E27:F27"/>
    <mergeCell ref="E28:F28"/>
    <mergeCell ref="C22:D22"/>
    <mergeCell ref="I15:J15"/>
    <mergeCell ref="I18:J18"/>
    <mergeCell ref="I22:J22"/>
    <mergeCell ref="C15:D15"/>
    <mergeCell ref="C18:D18"/>
    <mergeCell ref="G15:H15"/>
    <mergeCell ref="G18:H18"/>
    <mergeCell ref="G22:H22"/>
    <mergeCell ref="E15:F15"/>
    <mergeCell ref="C16:J16"/>
    <mergeCell ref="E18:F18"/>
    <mergeCell ref="E22:F22"/>
    <mergeCell ref="C34:D34"/>
    <mergeCell ref="C33:D33"/>
    <mergeCell ref="C32:D32"/>
    <mergeCell ref="E32:F32"/>
    <mergeCell ref="E33:F33"/>
    <mergeCell ref="E34:F3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07DE-8DC0-4D30-BEBC-7722FF783909}">
  <dimension ref="B1:L23"/>
  <sheetViews>
    <sheetView zoomScaleNormal="100" workbookViewId="0">
      <selection activeCell="B1" sqref="B1:L2"/>
    </sheetView>
  </sheetViews>
  <sheetFormatPr defaultRowHeight="14.45"/>
  <cols>
    <col min="2" max="2" width="30.28515625" customWidth="1"/>
    <col min="3" max="12" width="12.5703125" customWidth="1"/>
  </cols>
  <sheetData>
    <row r="1" spans="2:12" ht="15" customHeight="1">
      <c r="B1" s="86" t="s">
        <v>99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2:12" ht="57.75" customHeight="1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2:12">
      <c r="B3" s="91">
        <v>80212</v>
      </c>
      <c r="C3" s="91"/>
      <c r="D3" s="91"/>
      <c r="E3" s="91"/>
      <c r="F3" s="91"/>
      <c r="G3" s="91"/>
      <c r="H3" s="91"/>
    </row>
    <row r="4" spans="2:12">
      <c r="B4" s="8"/>
      <c r="C4" s="81" t="s">
        <v>1</v>
      </c>
      <c r="D4" s="81"/>
      <c r="E4" s="81" t="s">
        <v>100</v>
      </c>
      <c r="F4" s="81"/>
      <c r="G4" s="81" t="s">
        <v>23</v>
      </c>
      <c r="H4" s="81"/>
      <c r="I4" s="81" t="s">
        <v>23</v>
      </c>
      <c r="J4" s="81"/>
      <c r="K4" s="81" t="s">
        <v>23</v>
      </c>
      <c r="L4" s="81"/>
    </row>
    <row r="5" spans="2:12">
      <c r="B5" s="95" t="s">
        <v>101</v>
      </c>
      <c r="C5" s="94" t="s">
        <v>24</v>
      </c>
      <c r="D5" s="94"/>
      <c r="E5" s="94" t="s">
        <v>24</v>
      </c>
      <c r="F5" s="94"/>
      <c r="G5" s="94" t="s">
        <v>5</v>
      </c>
      <c r="H5" s="94"/>
      <c r="I5" s="94" t="s">
        <v>6</v>
      </c>
      <c r="J5" s="94"/>
      <c r="K5" s="94" t="s">
        <v>102</v>
      </c>
      <c r="L5" s="94"/>
    </row>
    <row r="6" spans="2:12">
      <c r="B6" s="95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ht="30.95">
      <c r="B7" s="5" t="s">
        <v>103</v>
      </c>
      <c r="C7" s="107">
        <v>0.09</v>
      </c>
      <c r="D7" s="107"/>
      <c r="E7" s="107">
        <v>0.09</v>
      </c>
      <c r="F7" s="107"/>
      <c r="G7" s="107">
        <v>7.2999999999999995E-2</v>
      </c>
      <c r="H7" s="107"/>
      <c r="I7" s="107">
        <v>0.08</v>
      </c>
      <c r="J7" s="107"/>
      <c r="K7" s="107">
        <v>8.3000000000000004E-2</v>
      </c>
      <c r="L7" s="107"/>
    </row>
    <row r="8" spans="2:12" ht="15.6">
      <c r="B8" s="5" t="s">
        <v>104</v>
      </c>
      <c r="C8" s="116">
        <v>1.4999999999999999E-2</v>
      </c>
      <c r="D8" s="116"/>
      <c r="E8" s="116">
        <v>1.4999999999999999E-2</v>
      </c>
      <c r="F8" s="116"/>
      <c r="G8" s="120">
        <v>3.1E-2</v>
      </c>
      <c r="H8" s="120"/>
      <c r="I8" s="120">
        <v>0.02</v>
      </c>
      <c r="J8" s="120"/>
      <c r="K8" s="120">
        <v>1.4999999999999999E-2</v>
      </c>
      <c r="L8" s="120"/>
    </row>
    <row r="9" spans="2:12" ht="15.6">
      <c r="B9" s="24" t="s">
        <v>105</v>
      </c>
      <c r="C9" s="117">
        <f>44*100000+50000</f>
        <v>4450000</v>
      </c>
      <c r="D9" s="117"/>
      <c r="E9" s="117">
        <f>44*100000+50000</f>
        <v>4450000</v>
      </c>
      <c r="F9" s="117"/>
      <c r="G9" s="117">
        <f>44*100000+50000</f>
        <v>4450000</v>
      </c>
      <c r="H9" s="117"/>
      <c r="I9" s="117">
        <v>4450000</v>
      </c>
      <c r="J9" s="117"/>
      <c r="K9" s="117">
        <v>4450000</v>
      </c>
      <c r="L9" s="117"/>
    </row>
    <row r="10" spans="2:12" ht="15.6">
      <c r="B10" s="24" t="s">
        <v>106</v>
      </c>
      <c r="C10" s="109">
        <v>100000</v>
      </c>
      <c r="D10" s="110"/>
      <c r="E10" s="109">
        <v>100000</v>
      </c>
      <c r="F10" s="110"/>
      <c r="G10" s="109">
        <v>100000</v>
      </c>
      <c r="H10" s="110"/>
      <c r="I10" s="109">
        <v>100000</v>
      </c>
      <c r="J10" s="110"/>
      <c r="K10" s="109">
        <v>100000</v>
      </c>
      <c r="L10" s="110"/>
    </row>
    <row r="11" spans="2:12" ht="15.6">
      <c r="B11" s="24" t="s">
        <v>107</v>
      </c>
      <c r="C11" s="111">
        <v>100000</v>
      </c>
      <c r="D11" s="111"/>
      <c r="E11" s="111">
        <v>100000</v>
      </c>
      <c r="F11" s="111"/>
      <c r="G11" s="111">
        <v>100000</v>
      </c>
      <c r="H11" s="111"/>
      <c r="I11" s="111">
        <v>100000</v>
      </c>
      <c r="J11" s="111"/>
      <c r="K11" s="111">
        <v>100000</v>
      </c>
      <c r="L11" s="111"/>
    </row>
    <row r="12" spans="2:12" ht="34.5" customHeight="1">
      <c r="B12" s="24" t="s">
        <v>108</v>
      </c>
      <c r="C12" s="112" t="s">
        <v>109</v>
      </c>
      <c r="D12" s="112"/>
      <c r="E12" s="112" t="s">
        <v>109</v>
      </c>
      <c r="F12" s="112"/>
      <c r="G12" s="112" t="s">
        <v>109</v>
      </c>
      <c r="H12" s="112"/>
      <c r="I12" s="112" t="s">
        <v>109</v>
      </c>
      <c r="J12" s="112"/>
      <c r="K12" s="112" t="s">
        <v>109</v>
      </c>
      <c r="L12" s="112"/>
    </row>
    <row r="13" spans="2:12" ht="18" customHeight="1">
      <c r="B13" s="24" t="s">
        <v>110</v>
      </c>
      <c r="C13" s="113">
        <v>45</v>
      </c>
      <c r="D13" s="113"/>
      <c r="E13" s="113">
        <v>45</v>
      </c>
      <c r="F13" s="113"/>
      <c r="G13" s="113">
        <v>45</v>
      </c>
      <c r="H13" s="113"/>
      <c r="I13" s="113">
        <v>45</v>
      </c>
      <c r="J13" s="113"/>
      <c r="K13" s="113">
        <v>45</v>
      </c>
      <c r="L13" s="113"/>
    </row>
    <row r="14" spans="2:12" ht="15.6">
      <c r="B14" s="101"/>
      <c r="C14" s="101"/>
      <c r="D14" s="101"/>
      <c r="E14" s="101"/>
      <c r="F14" s="101"/>
      <c r="G14" s="101"/>
      <c r="H14" s="101"/>
    </row>
    <row r="15" spans="2:12" ht="15.6">
      <c r="B15" s="18"/>
      <c r="C15" s="81" t="s">
        <v>1</v>
      </c>
      <c r="D15" s="81"/>
      <c r="E15" s="81" t="s">
        <v>23</v>
      </c>
      <c r="F15" s="81"/>
      <c r="G15" s="81" t="s">
        <v>23</v>
      </c>
      <c r="H15" s="81"/>
      <c r="I15" s="81" t="s">
        <v>23</v>
      </c>
      <c r="J15" s="81"/>
      <c r="K15" s="81" t="s">
        <v>23</v>
      </c>
      <c r="L15" s="81"/>
    </row>
    <row r="16" spans="2:12" ht="15.6">
      <c r="B16" s="25"/>
      <c r="C16" s="95" t="s">
        <v>111</v>
      </c>
      <c r="D16" s="95"/>
      <c r="E16" s="95" t="s">
        <v>111</v>
      </c>
      <c r="F16" s="95"/>
      <c r="G16" s="95" t="s">
        <v>111</v>
      </c>
      <c r="H16" s="95"/>
      <c r="I16" s="95" t="s">
        <v>111</v>
      </c>
      <c r="J16" s="95"/>
      <c r="K16" s="95" t="s">
        <v>111</v>
      </c>
      <c r="L16" s="95"/>
    </row>
    <row r="17" spans="2:12" ht="15.6">
      <c r="B17" s="34" t="s">
        <v>112</v>
      </c>
      <c r="C17" s="108">
        <f>C7*C9/1000</f>
        <v>400.5</v>
      </c>
      <c r="D17" s="108"/>
      <c r="E17" s="114">
        <f>E7*E9/1000</f>
        <v>400.5</v>
      </c>
      <c r="F17" s="115"/>
      <c r="G17" s="108">
        <f>G7*G9/1000</f>
        <v>324.85000000000002</v>
      </c>
      <c r="H17" s="108"/>
      <c r="I17" s="108">
        <f>I7*I9/1000</f>
        <v>356</v>
      </c>
      <c r="J17" s="108"/>
      <c r="K17" s="108">
        <f>K7*K9/1000</f>
        <v>369.35</v>
      </c>
      <c r="L17" s="108"/>
    </row>
    <row r="18" spans="2:12" ht="15.6">
      <c r="B18" s="34" t="s">
        <v>113</v>
      </c>
      <c r="C18" s="108">
        <f>C8*C9/1000</f>
        <v>66.75</v>
      </c>
      <c r="D18" s="108"/>
      <c r="E18" s="114">
        <f>E8*E9/1000</f>
        <v>66.75</v>
      </c>
      <c r="F18" s="115"/>
      <c r="G18" s="108">
        <f>G8*G9/1000</f>
        <v>137.94999999999999</v>
      </c>
      <c r="H18" s="108"/>
      <c r="I18" s="108">
        <f>I8*I9/1000</f>
        <v>89</v>
      </c>
      <c r="J18" s="108"/>
      <c r="K18" s="108">
        <f>K8*K9/1000</f>
        <v>66.75</v>
      </c>
      <c r="L18" s="108"/>
    </row>
    <row r="19" spans="2:12" ht="15.6">
      <c r="B19" s="34" t="s">
        <v>114</v>
      </c>
      <c r="C19" s="108">
        <f>C18+C17</f>
        <v>467.25</v>
      </c>
      <c r="D19" s="108"/>
      <c r="E19" s="114">
        <f>E18+E17</f>
        <v>467.25</v>
      </c>
      <c r="F19" s="115"/>
      <c r="G19" s="108">
        <f t="shared" ref="G19:I19" si="0">G18+G17</f>
        <v>462.8</v>
      </c>
      <c r="H19" s="108"/>
      <c r="I19" s="108">
        <f t="shared" si="0"/>
        <v>445</v>
      </c>
      <c r="J19" s="108"/>
      <c r="K19" s="108">
        <f>K18+K17</f>
        <v>436.1</v>
      </c>
      <c r="L19" s="108"/>
    </row>
    <row r="20" spans="2:12" ht="15.6">
      <c r="B20" s="26" t="s">
        <v>115</v>
      </c>
      <c r="C20" s="108">
        <f>C19*12</f>
        <v>5607</v>
      </c>
      <c r="D20" s="108"/>
      <c r="E20" s="108">
        <f>E19*12</f>
        <v>5607</v>
      </c>
      <c r="F20" s="108"/>
      <c r="G20" s="108">
        <f t="shared" ref="G20:I20" si="1">G19*12</f>
        <v>5553.6</v>
      </c>
      <c r="H20" s="108"/>
      <c r="I20" s="108">
        <f t="shared" si="1"/>
        <v>5340</v>
      </c>
      <c r="J20" s="108"/>
      <c r="K20" s="108">
        <f>K19*12</f>
        <v>5233.2000000000007</v>
      </c>
      <c r="L20" s="108"/>
    </row>
    <row r="21" spans="2:12" ht="16.5" customHeight="1">
      <c r="B21" s="34" t="s">
        <v>116</v>
      </c>
      <c r="C21" s="104"/>
      <c r="D21" s="104"/>
      <c r="E21" s="98">
        <f>(E19-$C$19)</f>
        <v>0</v>
      </c>
      <c r="F21" s="98"/>
      <c r="G21" s="98">
        <f>(G19-$C$19)</f>
        <v>-4.4499999999999886</v>
      </c>
      <c r="H21" s="98"/>
      <c r="I21" s="98">
        <f>(I19-$C$19)</f>
        <v>-22.25</v>
      </c>
      <c r="J21" s="98"/>
      <c r="K21" s="98">
        <f>(K19-$C$19)</f>
        <v>-31.149999999999977</v>
      </c>
      <c r="L21" s="98"/>
    </row>
    <row r="22" spans="2:12" ht="15.6">
      <c r="B22" s="35" t="s">
        <v>117</v>
      </c>
      <c r="C22" s="118"/>
      <c r="D22" s="118"/>
      <c r="E22" s="119">
        <f>(E19-$C$19)/$C$19</f>
        <v>0</v>
      </c>
      <c r="F22" s="119"/>
      <c r="G22" s="119">
        <f>(G19-$C$19)/$C$19</f>
        <v>-9.5238095238094986E-3</v>
      </c>
      <c r="H22" s="119"/>
      <c r="I22" s="119">
        <f>(I19-$C$19)/$C$19</f>
        <v>-4.7619047619047616E-2</v>
      </c>
      <c r="J22" s="119"/>
      <c r="K22" s="119">
        <f>(K19-$C$19)/$C$19</f>
        <v>-6.6666666666666624E-2</v>
      </c>
      <c r="L22" s="119"/>
    </row>
    <row r="23" spans="2:1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</sheetData>
  <mergeCells count="89">
    <mergeCell ref="K21:L21"/>
    <mergeCell ref="K22:L22"/>
    <mergeCell ref="B1:L2"/>
    <mergeCell ref="K16:L16"/>
    <mergeCell ref="K17:L17"/>
    <mergeCell ref="K18:L18"/>
    <mergeCell ref="K19:L19"/>
    <mergeCell ref="K20:L20"/>
    <mergeCell ref="K10:L10"/>
    <mergeCell ref="K11:L11"/>
    <mergeCell ref="K12:L12"/>
    <mergeCell ref="K13:L13"/>
    <mergeCell ref="K15:L15"/>
    <mergeCell ref="K4:L4"/>
    <mergeCell ref="K5:L6"/>
    <mergeCell ref="K7:L7"/>
    <mergeCell ref="K8:L8"/>
    <mergeCell ref="K9:L9"/>
    <mergeCell ref="E21:F21"/>
    <mergeCell ref="G21:H21"/>
    <mergeCell ref="G22:H22"/>
    <mergeCell ref="E17:F17"/>
    <mergeCell ref="I8:J8"/>
    <mergeCell ref="I9:J9"/>
    <mergeCell ref="G8:H8"/>
    <mergeCell ref="G9:H9"/>
    <mergeCell ref="I21:J21"/>
    <mergeCell ref="I22:J22"/>
    <mergeCell ref="I16:J16"/>
    <mergeCell ref="I17:J17"/>
    <mergeCell ref="I18:J18"/>
    <mergeCell ref="I19:J19"/>
    <mergeCell ref="C11:D11"/>
    <mergeCell ref="E11:F11"/>
    <mergeCell ref="C22:D22"/>
    <mergeCell ref="C12:D12"/>
    <mergeCell ref="E12:F12"/>
    <mergeCell ref="C13:D13"/>
    <mergeCell ref="E13:F13"/>
    <mergeCell ref="B14:H14"/>
    <mergeCell ref="G20:H20"/>
    <mergeCell ref="G17:H17"/>
    <mergeCell ref="G18:H18"/>
    <mergeCell ref="G19:H19"/>
    <mergeCell ref="G15:H15"/>
    <mergeCell ref="G16:H16"/>
    <mergeCell ref="E22:F22"/>
    <mergeCell ref="C17:D17"/>
    <mergeCell ref="B3:H3"/>
    <mergeCell ref="G10:H10"/>
    <mergeCell ref="G11:H11"/>
    <mergeCell ref="G12:H12"/>
    <mergeCell ref="G13:H13"/>
    <mergeCell ref="C5:D6"/>
    <mergeCell ref="E5:F6"/>
    <mergeCell ref="C7:D7"/>
    <mergeCell ref="E7:F7"/>
    <mergeCell ref="C8:D8"/>
    <mergeCell ref="E8:F8"/>
    <mergeCell ref="C9:D9"/>
    <mergeCell ref="E9:F9"/>
    <mergeCell ref="C10:D10"/>
    <mergeCell ref="E10:F10"/>
    <mergeCell ref="C4:D4"/>
    <mergeCell ref="C18:D18"/>
    <mergeCell ref="C15:D15"/>
    <mergeCell ref="C21:D21"/>
    <mergeCell ref="C20:D20"/>
    <mergeCell ref="E20:F20"/>
    <mergeCell ref="E18:F18"/>
    <mergeCell ref="E15:F15"/>
    <mergeCell ref="C16:D16"/>
    <mergeCell ref="E16:F16"/>
    <mergeCell ref="C19:D19"/>
    <mergeCell ref="E19:F19"/>
    <mergeCell ref="E4:F4"/>
    <mergeCell ref="B5:B6"/>
    <mergeCell ref="G4:H4"/>
    <mergeCell ref="G5:H6"/>
    <mergeCell ref="G7:H7"/>
    <mergeCell ref="I4:J4"/>
    <mergeCell ref="I5:J6"/>
    <mergeCell ref="I7:J7"/>
    <mergeCell ref="I20:J20"/>
    <mergeCell ref="I10:J10"/>
    <mergeCell ref="I11:J11"/>
    <mergeCell ref="I12:J12"/>
    <mergeCell ref="I13:J13"/>
    <mergeCell ref="I15:J15"/>
  </mergeCells>
  <phoneticPr fontId="1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4E5A-14F3-47EE-A3E7-81F2675B9BA6}">
  <dimension ref="B1:L21"/>
  <sheetViews>
    <sheetView zoomScale="120" zoomScaleNormal="120" workbookViewId="0">
      <selection activeCell="P7" sqref="P7"/>
    </sheetView>
  </sheetViews>
  <sheetFormatPr defaultRowHeight="14.45"/>
  <cols>
    <col min="2" max="2" width="29.85546875" customWidth="1"/>
    <col min="3" max="3" width="13.85546875" customWidth="1"/>
    <col min="4" max="5" width="13" customWidth="1"/>
    <col min="6" max="6" width="12.140625" customWidth="1"/>
    <col min="7" max="7" width="13.7109375" customWidth="1"/>
    <col min="8" max="8" width="13.85546875" customWidth="1"/>
    <col min="9" max="9" width="14.5703125" customWidth="1"/>
    <col min="10" max="10" width="11.85546875" customWidth="1"/>
    <col min="11" max="11" width="14.5703125" customWidth="1"/>
    <col min="12" max="12" width="11.85546875" customWidth="1"/>
  </cols>
  <sheetData>
    <row r="1" spans="2:12" ht="21.75" customHeight="1"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2:12" ht="58.5" customHeight="1"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2:12" ht="17.25" customHeight="1">
      <c r="B3" s="128"/>
      <c r="C3" s="128"/>
      <c r="D3" s="128"/>
      <c r="E3" s="128"/>
      <c r="F3" s="128"/>
      <c r="G3" s="128"/>
      <c r="H3" s="128"/>
      <c r="I3" s="128"/>
      <c r="J3" s="128"/>
    </row>
    <row r="4" spans="2:12">
      <c r="B4" s="8"/>
      <c r="C4" s="81" t="s">
        <v>21</v>
      </c>
      <c r="D4" s="81"/>
      <c r="E4" s="81" t="s">
        <v>22</v>
      </c>
      <c r="F4" s="81"/>
      <c r="G4" s="81" t="s">
        <v>23</v>
      </c>
      <c r="H4" s="81"/>
      <c r="I4" s="81" t="s">
        <v>23</v>
      </c>
      <c r="J4" s="81"/>
      <c r="K4" s="81" t="s">
        <v>23</v>
      </c>
      <c r="L4" s="81"/>
    </row>
    <row r="5" spans="2:12" ht="15" customHeight="1">
      <c r="B5" s="129" t="s">
        <v>118</v>
      </c>
      <c r="C5" s="94" t="s">
        <v>24</v>
      </c>
      <c r="D5" s="94"/>
      <c r="E5" s="94" t="s">
        <v>24</v>
      </c>
      <c r="F5" s="94"/>
      <c r="G5" s="94" t="s">
        <v>5</v>
      </c>
      <c r="H5" s="94"/>
      <c r="I5" s="94" t="s">
        <v>6</v>
      </c>
      <c r="J5" s="94"/>
      <c r="K5" s="94" t="s">
        <v>7</v>
      </c>
      <c r="L5" s="94"/>
    </row>
    <row r="6" spans="2:12" ht="15" customHeight="1">
      <c r="B6" s="129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2:12" ht="15.6">
      <c r="B7" s="5" t="s">
        <v>119</v>
      </c>
      <c r="C7" s="121" t="s">
        <v>120</v>
      </c>
      <c r="D7" s="121"/>
      <c r="E7" s="121" t="s">
        <v>120</v>
      </c>
      <c r="F7" s="121"/>
      <c r="G7" s="121" t="s">
        <v>120</v>
      </c>
      <c r="H7" s="121"/>
      <c r="I7" s="121" t="s">
        <v>120</v>
      </c>
      <c r="J7" s="121"/>
      <c r="K7" s="121" t="s">
        <v>120</v>
      </c>
      <c r="L7" s="121"/>
    </row>
    <row r="8" spans="2:12" ht="15.75" customHeight="1">
      <c r="B8" s="5" t="s">
        <v>121</v>
      </c>
      <c r="C8" s="122" t="s">
        <v>122</v>
      </c>
      <c r="D8" s="122"/>
      <c r="E8" s="122" t="s">
        <v>122</v>
      </c>
      <c r="F8" s="122"/>
      <c r="G8" s="122" t="s">
        <v>122</v>
      </c>
      <c r="H8" s="122"/>
      <c r="I8" s="122" t="s">
        <v>122</v>
      </c>
      <c r="J8" s="122"/>
      <c r="K8" s="122" t="s">
        <v>122</v>
      </c>
      <c r="L8" s="122"/>
    </row>
    <row r="9" spans="2:12" ht="15.75" customHeight="1">
      <c r="B9" s="5" t="s">
        <v>123</v>
      </c>
      <c r="C9" s="120">
        <v>0.15</v>
      </c>
      <c r="D9" s="120"/>
      <c r="E9" s="120">
        <f>C9</f>
        <v>0.15</v>
      </c>
      <c r="F9" s="120"/>
      <c r="G9" s="120">
        <v>0.15</v>
      </c>
      <c r="H9" s="120"/>
      <c r="I9" s="120">
        <v>0.15</v>
      </c>
      <c r="J9" s="120"/>
      <c r="K9" s="120">
        <v>0.161</v>
      </c>
      <c r="L9" s="120"/>
    </row>
    <row r="10" spans="2:12" ht="15.6">
      <c r="B10" s="5" t="s">
        <v>124</v>
      </c>
      <c r="C10" s="117">
        <v>309033</v>
      </c>
      <c r="D10" s="117"/>
      <c r="E10" s="117">
        <v>319017</v>
      </c>
      <c r="F10" s="117"/>
      <c r="G10" s="117">
        <v>319017</v>
      </c>
      <c r="H10" s="117"/>
      <c r="I10" s="117">
        <v>319017</v>
      </c>
      <c r="J10" s="117"/>
      <c r="K10" s="117">
        <v>319017</v>
      </c>
      <c r="L10" s="117"/>
    </row>
    <row r="11" spans="2:12" ht="15.6">
      <c r="B11" s="5" t="s">
        <v>125</v>
      </c>
      <c r="C11" s="126" t="s">
        <v>126</v>
      </c>
      <c r="D11" s="126"/>
      <c r="E11" s="126" t="s">
        <v>126</v>
      </c>
      <c r="F11" s="126"/>
      <c r="G11" s="126" t="s">
        <v>126</v>
      </c>
      <c r="H11" s="126"/>
      <c r="I11" s="126" t="s">
        <v>126</v>
      </c>
      <c r="J11" s="126"/>
      <c r="K11" s="126" t="s">
        <v>126</v>
      </c>
      <c r="L11" s="126"/>
    </row>
    <row r="12" spans="2:12" ht="15.6">
      <c r="B12" s="5" t="s">
        <v>127</v>
      </c>
      <c r="C12" s="127"/>
      <c r="D12" s="127"/>
      <c r="E12" s="127" t="s">
        <v>128</v>
      </c>
      <c r="F12" s="127"/>
      <c r="G12" s="127" t="s">
        <v>129</v>
      </c>
      <c r="H12" s="127"/>
      <c r="I12" s="127" t="s">
        <v>129</v>
      </c>
      <c r="J12" s="127"/>
      <c r="K12" s="127" t="s">
        <v>129</v>
      </c>
      <c r="L12" s="127"/>
    </row>
    <row r="13" spans="2:12" ht="15.6">
      <c r="B13" s="6" t="s">
        <v>130</v>
      </c>
      <c r="C13" s="127">
        <v>45</v>
      </c>
      <c r="D13" s="127"/>
      <c r="E13" s="127">
        <v>45</v>
      </c>
      <c r="F13" s="127"/>
      <c r="G13" s="127">
        <v>44</v>
      </c>
      <c r="H13" s="127"/>
      <c r="I13" s="127">
        <v>44</v>
      </c>
      <c r="J13" s="127"/>
      <c r="K13" s="127">
        <v>44</v>
      </c>
      <c r="L13" s="127"/>
    </row>
    <row r="14" spans="2:12" ht="15.6">
      <c r="B14" s="130"/>
      <c r="C14" s="130"/>
      <c r="D14" s="130"/>
      <c r="E14" s="130"/>
      <c r="F14" s="130"/>
      <c r="G14" s="130"/>
      <c r="H14" s="130"/>
      <c r="I14" s="130"/>
      <c r="J14" s="130"/>
    </row>
    <row r="15" spans="2:12" ht="15.6">
      <c r="B15" s="10"/>
      <c r="C15" s="81" t="s">
        <v>1</v>
      </c>
      <c r="D15" s="81"/>
      <c r="E15" s="81" t="s">
        <v>2</v>
      </c>
      <c r="F15" s="81"/>
      <c r="G15" s="81" t="s">
        <v>23</v>
      </c>
      <c r="H15" s="81"/>
      <c r="I15" s="81" t="s">
        <v>23</v>
      </c>
      <c r="J15" s="81"/>
      <c r="K15" s="81" t="s">
        <v>23</v>
      </c>
      <c r="L15" s="81"/>
    </row>
    <row r="16" spans="2:12" ht="15.6">
      <c r="B16" s="11"/>
      <c r="C16" s="95" t="s">
        <v>131</v>
      </c>
      <c r="D16" s="95"/>
      <c r="E16" s="95" t="s">
        <v>131</v>
      </c>
      <c r="F16" s="95"/>
      <c r="G16" s="95" t="s">
        <v>131</v>
      </c>
      <c r="H16" s="95"/>
      <c r="I16" s="95" t="s">
        <v>131</v>
      </c>
      <c r="J16" s="95"/>
      <c r="K16" s="95" t="s">
        <v>131</v>
      </c>
      <c r="L16" s="95"/>
    </row>
    <row r="17" spans="2:12" ht="15.6">
      <c r="B17" s="12" t="s">
        <v>114</v>
      </c>
      <c r="C17" s="108">
        <f>C9*C10/100</f>
        <v>463.54949999999997</v>
      </c>
      <c r="D17" s="108"/>
      <c r="E17" s="108">
        <f>E10*E9/100</f>
        <v>478.52549999999997</v>
      </c>
      <c r="F17" s="108"/>
      <c r="G17" s="108">
        <f t="shared" ref="G17" si="0">G10*G9/100</f>
        <v>478.52549999999997</v>
      </c>
      <c r="H17" s="108"/>
      <c r="I17" s="108">
        <f>I10*I9/100</f>
        <v>478.52549999999997</v>
      </c>
      <c r="J17" s="108"/>
      <c r="K17" s="108">
        <f>K10*K9/100</f>
        <v>513.61737000000005</v>
      </c>
      <c r="L17" s="108"/>
    </row>
    <row r="18" spans="2:12" ht="15.6">
      <c r="B18" s="13" t="s">
        <v>115</v>
      </c>
      <c r="C18" s="108">
        <f>C17*12</f>
        <v>5562.5939999999991</v>
      </c>
      <c r="D18" s="108"/>
      <c r="E18" s="108">
        <f>E17*12</f>
        <v>5742.3059999999996</v>
      </c>
      <c r="F18" s="108"/>
      <c r="G18" s="108">
        <f>G17*12</f>
        <v>5742.3059999999996</v>
      </c>
      <c r="H18" s="108"/>
      <c r="I18" s="108">
        <f>I17*12</f>
        <v>5742.3059999999996</v>
      </c>
      <c r="J18" s="108"/>
      <c r="K18" s="108">
        <f>K17*12</f>
        <v>6163.4084400000011</v>
      </c>
      <c r="L18" s="108"/>
    </row>
    <row r="19" spans="2:12" ht="15.6">
      <c r="B19" s="14" t="s">
        <v>98</v>
      </c>
      <c r="C19" s="123"/>
      <c r="D19" s="123"/>
      <c r="E19" s="124">
        <f>E18-$C$18</f>
        <v>179.71200000000044</v>
      </c>
      <c r="F19" s="125"/>
      <c r="G19" s="124">
        <f>G18-$C$18</f>
        <v>179.71200000000044</v>
      </c>
      <c r="H19" s="125"/>
      <c r="I19" s="124">
        <f>I18-$C$18</f>
        <v>179.71200000000044</v>
      </c>
      <c r="J19" s="125"/>
      <c r="K19" s="124">
        <f>K18-$C$18</f>
        <v>600.81444000000192</v>
      </c>
      <c r="L19" s="125"/>
    </row>
    <row r="20" spans="2:12" ht="15" customHeight="1">
      <c r="B20" s="14" t="s">
        <v>117</v>
      </c>
      <c r="C20" s="123"/>
      <c r="D20" s="123"/>
      <c r="E20" s="125">
        <f>(E17-$C$17)/$C$17</f>
        <v>3.2307229325023543E-2</v>
      </c>
      <c r="F20" s="125"/>
      <c r="G20" s="125">
        <f>(G17-$C$17)/$C$17</f>
        <v>3.2307229325023543E-2</v>
      </c>
      <c r="H20" s="125"/>
      <c r="I20" s="125">
        <f>(I17-$C$17)/$C$17</f>
        <v>3.2307229325023543E-2</v>
      </c>
      <c r="J20" s="125"/>
      <c r="K20" s="125">
        <f>(K17-$C$17)/$C$17</f>
        <v>0.10800975947552546</v>
      </c>
      <c r="L20" s="125"/>
    </row>
    <row r="21" spans="2:12" ht="15" customHeight="1"/>
  </sheetData>
  <mergeCells count="79">
    <mergeCell ref="K17:L17"/>
    <mergeCell ref="K18:L18"/>
    <mergeCell ref="K19:L19"/>
    <mergeCell ref="K20:L20"/>
    <mergeCell ref="K11:L11"/>
    <mergeCell ref="K12:L12"/>
    <mergeCell ref="K13:L13"/>
    <mergeCell ref="K15:L15"/>
    <mergeCell ref="K16:L16"/>
    <mergeCell ref="K5:L6"/>
    <mergeCell ref="K7:L7"/>
    <mergeCell ref="K8:L8"/>
    <mergeCell ref="K9:L9"/>
    <mergeCell ref="K10:L10"/>
    <mergeCell ref="C16:D16"/>
    <mergeCell ref="E16:F16"/>
    <mergeCell ref="G16:H16"/>
    <mergeCell ref="I16:J16"/>
    <mergeCell ref="B14:J14"/>
    <mergeCell ref="C15:D15"/>
    <mergeCell ref="E15:F15"/>
    <mergeCell ref="G15:H15"/>
    <mergeCell ref="I15:J15"/>
    <mergeCell ref="E20:F20"/>
    <mergeCell ref="G20:H20"/>
    <mergeCell ref="I20:J20"/>
    <mergeCell ref="C18:D18"/>
    <mergeCell ref="E18:F18"/>
    <mergeCell ref="G18:H18"/>
    <mergeCell ref="I18:J18"/>
    <mergeCell ref="C20:D20"/>
    <mergeCell ref="C5:D6"/>
    <mergeCell ref="E5:F6"/>
    <mergeCell ref="G5:H6"/>
    <mergeCell ref="I5:J6"/>
    <mergeCell ref="B5:B6"/>
    <mergeCell ref="B3:J3"/>
    <mergeCell ref="B1:L2"/>
    <mergeCell ref="C4:D4"/>
    <mergeCell ref="E4:F4"/>
    <mergeCell ref="G4:H4"/>
    <mergeCell ref="I4:J4"/>
    <mergeCell ref="K4:L4"/>
    <mergeCell ref="C13:D13"/>
    <mergeCell ref="E13:F13"/>
    <mergeCell ref="G13:H13"/>
    <mergeCell ref="I13:J13"/>
    <mergeCell ref="C12:D12"/>
    <mergeCell ref="E12:F12"/>
    <mergeCell ref="G12:H12"/>
    <mergeCell ref="I12:J12"/>
    <mergeCell ref="E10:F10"/>
    <mergeCell ref="G10:H10"/>
    <mergeCell ref="I10:J10"/>
    <mergeCell ref="C19:D19"/>
    <mergeCell ref="E19:F19"/>
    <mergeCell ref="G19:H19"/>
    <mergeCell ref="I19:J19"/>
    <mergeCell ref="C17:D17"/>
    <mergeCell ref="E17:F17"/>
    <mergeCell ref="G17:H17"/>
    <mergeCell ref="I17:J17"/>
    <mergeCell ref="C11:D11"/>
    <mergeCell ref="E11:F11"/>
    <mergeCell ref="G11:H11"/>
    <mergeCell ref="I11:J11"/>
    <mergeCell ref="C10:D10"/>
    <mergeCell ref="C7:D7"/>
    <mergeCell ref="E7:F7"/>
    <mergeCell ref="G7:H7"/>
    <mergeCell ref="I7:J7"/>
    <mergeCell ref="C9:D9"/>
    <mergeCell ref="E9:F9"/>
    <mergeCell ref="G9:H9"/>
    <mergeCell ref="I9:J9"/>
    <mergeCell ref="C8:D8"/>
    <mergeCell ref="E8:F8"/>
    <mergeCell ref="G8:H8"/>
    <mergeCell ref="I8:J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AB29-A2A6-41D8-82B5-09262B3EB2CB}">
  <dimension ref="B1:J23"/>
  <sheetViews>
    <sheetView zoomScale="120" zoomScaleNormal="120" workbookViewId="0">
      <selection activeCell="G11" sqref="G11:H11"/>
    </sheetView>
  </sheetViews>
  <sheetFormatPr defaultColWidth="8.7109375" defaultRowHeight="14.45"/>
  <cols>
    <col min="2" max="2" width="29.85546875" customWidth="1"/>
    <col min="3" max="3" width="14.42578125" customWidth="1"/>
    <col min="4" max="4" width="13.28515625" customWidth="1"/>
    <col min="5" max="5" width="13" customWidth="1"/>
    <col min="6" max="6" width="12.140625" customWidth="1"/>
    <col min="7" max="7" width="13.7109375" customWidth="1"/>
    <col min="8" max="8" width="13.85546875" customWidth="1"/>
    <col min="9" max="9" width="13.7109375" customWidth="1"/>
    <col min="10" max="10" width="13.85546875" customWidth="1"/>
  </cols>
  <sheetData>
    <row r="1" spans="2:10" ht="21.75" customHeight="1">
      <c r="B1" s="86" t="s">
        <v>0</v>
      </c>
      <c r="C1" s="86"/>
      <c r="D1" s="86"/>
      <c r="E1" s="86"/>
      <c r="F1" s="86"/>
      <c r="G1" s="86"/>
      <c r="H1" s="86"/>
      <c r="I1" s="86"/>
      <c r="J1" s="86"/>
    </row>
    <row r="2" spans="2:10" ht="58.5" customHeight="1">
      <c r="B2" s="86"/>
      <c r="C2" s="86"/>
      <c r="D2" s="86"/>
      <c r="E2" s="86"/>
      <c r="F2" s="86"/>
      <c r="G2" s="86"/>
      <c r="H2" s="86"/>
      <c r="I2" s="86"/>
      <c r="J2" s="86"/>
    </row>
    <row r="3" spans="2:10" ht="17.25" customHeight="1">
      <c r="B3" s="128"/>
      <c r="C3" s="128"/>
      <c r="D3" s="128"/>
      <c r="E3" s="128"/>
      <c r="F3" s="128"/>
      <c r="G3" s="128"/>
      <c r="H3" s="128"/>
    </row>
    <row r="4" spans="2:10">
      <c r="B4" s="8"/>
      <c r="C4" s="81" t="s">
        <v>132</v>
      </c>
      <c r="D4" s="81"/>
      <c r="E4" s="81" t="s">
        <v>23</v>
      </c>
      <c r="F4" s="81"/>
      <c r="G4" s="81" t="s">
        <v>23</v>
      </c>
      <c r="H4" s="81"/>
      <c r="I4" s="81" t="s">
        <v>23</v>
      </c>
      <c r="J4" s="81"/>
    </row>
    <row r="5" spans="2:10" ht="15" customHeight="1">
      <c r="B5" s="129" t="s">
        <v>133</v>
      </c>
      <c r="C5" s="94" t="s">
        <v>24</v>
      </c>
      <c r="D5" s="94"/>
      <c r="E5" s="94" t="s">
        <v>6</v>
      </c>
      <c r="F5" s="94"/>
      <c r="G5" s="94" t="s">
        <v>5</v>
      </c>
      <c r="H5" s="94"/>
      <c r="I5" s="94" t="s">
        <v>134</v>
      </c>
      <c r="J5" s="94"/>
    </row>
    <row r="6" spans="2:10" ht="15" customHeight="1">
      <c r="B6" s="129"/>
      <c r="C6" s="94"/>
      <c r="D6" s="94"/>
      <c r="E6" s="94"/>
      <c r="F6" s="94"/>
      <c r="G6" s="94"/>
      <c r="H6" s="94"/>
      <c r="I6" s="94"/>
      <c r="J6" s="94"/>
    </row>
    <row r="7" spans="2:10" ht="15.6" customHeight="1">
      <c r="B7" s="5" t="s">
        <v>135</v>
      </c>
      <c r="C7" s="111" t="s">
        <v>136</v>
      </c>
      <c r="D7" s="111"/>
      <c r="E7" s="111" t="s">
        <v>136</v>
      </c>
      <c r="F7" s="111"/>
      <c r="G7" s="111" t="s">
        <v>136</v>
      </c>
      <c r="H7" s="111"/>
      <c r="I7" s="111" t="s">
        <v>136</v>
      </c>
      <c r="J7" s="111"/>
    </row>
    <row r="8" spans="2:10" ht="15.75" customHeight="1">
      <c r="B8" s="24" t="s">
        <v>137</v>
      </c>
      <c r="C8" s="110" t="s">
        <v>138</v>
      </c>
      <c r="D8" s="110"/>
      <c r="E8" s="110" t="s">
        <v>139</v>
      </c>
      <c r="F8" s="110"/>
      <c r="G8" s="110" t="s">
        <v>139</v>
      </c>
      <c r="H8" s="110"/>
      <c r="I8" s="110" t="s">
        <v>139</v>
      </c>
      <c r="J8" s="110"/>
    </row>
    <row r="9" spans="2:10" ht="15.75" customHeight="1">
      <c r="B9" s="5" t="s">
        <v>140</v>
      </c>
      <c r="C9" s="135">
        <v>0.30299999999999999</v>
      </c>
      <c r="D9" s="136"/>
      <c r="E9" s="120">
        <v>0.3</v>
      </c>
      <c r="F9" s="120"/>
      <c r="G9" s="120">
        <v>0.28999999999999998</v>
      </c>
      <c r="H9" s="120"/>
      <c r="I9" s="120">
        <v>0.26500000000000001</v>
      </c>
      <c r="J9" s="120"/>
    </row>
    <row r="10" spans="2:10" ht="15.6">
      <c r="B10" s="5" t="s">
        <v>105</v>
      </c>
      <c r="C10" s="137">
        <v>43747</v>
      </c>
      <c r="D10" s="138"/>
      <c r="E10" s="117">
        <v>45729</v>
      </c>
      <c r="F10" s="117"/>
      <c r="G10" s="117">
        <v>45727</v>
      </c>
      <c r="H10" s="117"/>
      <c r="I10" s="117">
        <v>45727</v>
      </c>
      <c r="J10" s="117"/>
    </row>
    <row r="11" spans="2:10" ht="30.95">
      <c r="B11" s="5" t="s">
        <v>141</v>
      </c>
      <c r="C11" s="117" t="s">
        <v>142</v>
      </c>
      <c r="D11" s="117"/>
      <c r="E11" s="117" t="s">
        <v>143</v>
      </c>
      <c r="F11" s="117"/>
      <c r="G11" s="117" t="s">
        <v>143</v>
      </c>
      <c r="H11" s="117"/>
      <c r="I11" s="117" t="s">
        <v>142</v>
      </c>
      <c r="J11" s="117"/>
    </row>
    <row r="12" spans="2:10" ht="15.6">
      <c r="B12" s="5" t="s">
        <v>144</v>
      </c>
      <c r="C12" s="93" t="s">
        <v>145</v>
      </c>
      <c r="D12" s="93"/>
      <c r="E12" s="93" t="s">
        <v>145</v>
      </c>
      <c r="F12" s="93"/>
      <c r="G12" s="93" t="s">
        <v>145</v>
      </c>
      <c r="H12" s="93"/>
      <c r="I12" s="93" t="s">
        <v>145</v>
      </c>
      <c r="J12" s="93"/>
    </row>
    <row r="13" spans="2:10" ht="15.6">
      <c r="B13" s="16" t="s">
        <v>130</v>
      </c>
      <c r="C13" s="93">
        <v>44</v>
      </c>
      <c r="D13" s="93"/>
      <c r="E13" s="93">
        <v>44</v>
      </c>
      <c r="F13" s="93"/>
      <c r="G13" s="93">
        <v>44</v>
      </c>
      <c r="H13" s="93"/>
      <c r="I13" s="93">
        <v>44</v>
      </c>
      <c r="J13" s="93"/>
    </row>
    <row r="14" spans="2:10" ht="15.6">
      <c r="B14" s="16" t="s">
        <v>146</v>
      </c>
      <c r="C14" s="93" t="s">
        <v>147</v>
      </c>
      <c r="D14" s="93"/>
      <c r="E14" s="93" t="s">
        <v>148</v>
      </c>
      <c r="F14" s="93"/>
      <c r="G14" s="93" t="s">
        <v>149</v>
      </c>
      <c r="H14" s="93"/>
      <c r="I14" s="93" t="s">
        <v>149</v>
      </c>
      <c r="J14" s="93"/>
    </row>
    <row r="15" spans="2:10" ht="15.6">
      <c r="B15" s="134"/>
      <c r="C15" s="134"/>
      <c r="D15" s="134"/>
      <c r="E15" s="134"/>
      <c r="F15" s="134"/>
      <c r="G15" s="134"/>
      <c r="H15" s="134"/>
    </row>
    <row r="16" spans="2:10" ht="15.6">
      <c r="B16" s="18"/>
      <c r="C16" s="81" t="str">
        <f>C4</f>
        <v xml:space="preserve">Proposal </v>
      </c>
      <c r="D16" s="81"/>
      <c r="E16" s="81" t="str">
        <f>E4</f>
        <v xml:space="preserve">Alternative </v>
      </c>
      <c r="F16" s="81"/>
      <c r="G16" s="81" t="s">
        <v>23</v>
      </c>
      <c r="H16" s="81"/>
      <c r="I16" s="81" t="s">
        <v>23</v>
      </c>
      <c r="J16" s="81"/>
    </row>
    <row r="17" spans="2:10" ht="15.6">
      <c r="B17" s="25"/>
      <c r="C17" s="95" t="s">
        <v>111</v>
      </c>
      <c r="D17" s="95"/>
      <c r="E17" s="95" t="s">
        <v>111</v>
      </c>
      <c r="F17" s="95"/>
      <c r="G17" s="95" t="s">
        <v>111</v>
      </c>
      <c r="H17" s="95"/>
      <c r="I17" s="95" t="s">
        <v>111</v>
      </c>
      <c r="J17" s="95"/>
    </row>
    <row r="18" spans="2:10" ht="15.6">
      <c r="B18" s="34" t="s">
        <v>114</v>
      </c>
      <c r="C18" s="114">
        <f>C10*C9/10</f>
        <v>1325.5341000000001</v>
      </c>
      <c r="D18" s="115"/>
      <c r="E18" s="114">
        <f>E10*E9/10</f>
        <v>1371.87</v>
      </c>
      <c r="F18" s="115"/>
      <c r="G18" s="114">
        <f>G10*G9/10</f>
        <v>1326.0830000000001</v>
      </c>
      <c r="H18" s="115"/>
      <c r="I18" s="114">
        <f>I10*I9/10</f>
        <v>1211.7655</v>
      </c>
      <c r="J18" s="115"/>
    </row>
    <row r="19" spans="2:10" ht="15.6">
      <c r="B19" s="26" t="s">
        <v>115</v>
      </c>
      <c r="C19" s="114">
        <f>C18*12</f>
        <v>15906.409200000002</v>
      </c>
      <c r="D19" s="115"/>
      <c r="E19" s="108">
        <f>E18*12</f>
        <v>16462.439999999999</v>
      </c>
      <c r="F19" s="108"/>
      <c r="G19" s="108">
        <f t="shared" ref="G19" si="0">G18*12</f>
        <v>15912.996000000001</v>
      </c>
      <c r="H19" s="108"/>
      <c r="I19" s="108">
        <f>I18*12</f>
        <v>14541.186</v>
      </c>
      <c r="J19" s="108"/>
    </row>
    <row r="20" spans="2:10" ht="15.6">
      <c r="B20" s="26" t="s">
        <v>150</v>
      </c>
      <c r="C20" s="114"/>
      <c r="D20" s="115"/>
      <c r="E20" s="114">
        <f>E19-$C$19</f>
        <v>556.03079999999682</v>
      </c>
      <c r="F20" s="115"/>
      <c r="G20" s="114">
        <f t="shared" ref="G20" si="1">G19-$C$19</f>
        <v>6.5867999999991298</v>
      </c>
      <c r="H20" s="115"/>
      <c r="I20" s="114">
        <f>I19-$C$19</f>
        <v>-1365.2232000000022</v>
      </c>
      <c r="J20" s="115"/>
    </row>
    <row r="21" spans="2:10" ht="15" customHeight="1">
      <c r="B21" s="36" t="s">
        <v>117</v>
      </c>
      <c r="C21" s="131"/>
      <c r="D21" s="132"/>
      <c r="E21" s="133">
        <f t="shared" ref="E21:G21" si="2">(E19-$C$19)/$C$19</f>
        <v>3.4956399839128793E-2</v>
      </c>
      <c r="F21" s="133"/>
      <c r="G21" s="133">
        <f t="shared" si="2"/>
        <v>4.1409723069359546E-4</v>
      </c>
      <c r="H21" s="133"/>
      <c r="I21" s="133">
        <f>(I19-$C$19)/$C$19</f>
        <v>-8.5828497358159381E-2</v>
      </c>
      <c r="J21" s="133"/>
    </row>
    <row r="23" spans="2:10" ht="15" customHeight="1"/>
  </sheetData>
  <mergeCells count="68">
    <mergeCell ref="I16:J16"/>
    <mergeCell ref="I17:J17"/>
    <mergeCell ref="B1:J2"/>
    <mergeCell ref="I10:J10"/>
    <mergeCell ref="I11:J11"/>
    <mergeCell ref="I12:J12"/>
    <mergeCell ref="I13:J13"/>
    <mergeCell ref="I14:J14"/>
    <mergeCell ref="I4:J4"/>
    <mergeCell ref="I5:J6"/>
    <mergeCell ref="I7:J7"/>
    <mergeCell ref="I8:J8"/>
    <mergeCell ref="I9:J9"/>
    <mergeCell ref="C7:D7"/>
    <mergeCell ref="E7:F7"/>
    <mergeCell ref="G7:H7"/>
    <mergeCell ref="B3:H3"/>
    <mergeCell ref="E9:F9"/>
    <mergeCell ref="G9:H9"/>
    <mergeCell ref="E10:F10"/>
    <mergeCell ref="G10:H10"/>
    <mergeCell ref="C8:D8"/>
    <mergeCell ref="C9:D9"/>
    <mergeCell ref="C10:D10"/>
    <mergeCell ref="B5:B6"/>
    <mergeCell ref="C5:D6"/>
    <mergeCell ref="E5:F6"/>
    <mergeCell ref="G5:H6"/>
    <mergeCell ref="C4:D4"/>
    <mergeCell ref="E4:F4"/>
    <mergeCell ref="G4:H4"/>
    <mergeCell ref="E11:F11"/>
    <mergeCell ref="G11:H11"/>
    <mergeCell ref="C12:D12"/>
    <mergeCell ref="E12:F12"/>
    <mergeCell ref="G12:H12"/>
    <mergeCell ref="C11:D11"/>
    <mergeCell ref="I21:J21"/>
    <mergeCell ref="E18:F18"/>
    <mergeCell ref="G18:H18"/>
    <mergeCell ref="I18:J18"/>
    <mergeCell ref="E19:F19"/>
    <mergeCell ref="G19:H19"/>
    <mergeCell ref="I19:J19"/>
    <mergeCell ref="I20:J20"/>
    <mergeCell ref="C18:D18"/>
    <mergeCell ref="C16:D16"/>
    <mergeCell ref="C13:D13"/>
    <mergeCell ref="B15:H15"/>
    <mergeCell ref="E8:F8"/>
    <mergeCell ref="G8:H8"/>
    <mergeCell ref="E16:F16"/>
    <mergeCell ref="G16:H16"/>
    <mergeCell ref="C17:D17"/>
    <mergeCell ref="E17:F17"/>
    <mergeCell ref="G17:H17"/>
    <mergeCell ref="E13:F13"/>
    <mergeCell ref="G13:H13"/>
    <mergeCell ref="C14:D14"/>
    <mergeCell ref="E14:F14"/>
    <mergeCell ref="G14:H14"/>
    <mergeCell ref="C19:D19"/>
    <mergeCell ref="C20:D20"/>
    <mergeCell ref="C21:D21"/>
    <mergeCell ref="E20:F20"/>
    <mergeCell ref="G20:H20"/>
    <mergeCell ref="E21:F21"/>
    <mergeCell ref="G21:H21"/>
  </mergeCells>
  <phoneticPr fontId="16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E9A2-667B-4B3E-A23D-FB1C0FCF6C7D}">
  <dimension ref="B1:F21"/>
  <sheetViews>
    <sheetView workbookViewId="0">
      <selection activeCell="I19" sqref="I19"/>
    </sheetView>
  </sheetViews>
  <sheetFormatPr defaultRowHeight="14.45"/>
  <cols>
    <col min="2" max="2" width="23.5703125" customWidth="1"/>
    <col min="3" max="3" width="12.42578125" customWidth="1"/>
    <col min="4" max="4" width="16.5703125" customWidth="1"/>
    <col min="5" max="5" width="14.5703125" customWidth="1"/>
    <col min="6" max="6" width="18.5703125" customWidth="1"/>
  </cols>
  <sheetData>
    <row r="1" spans="2:6" ht="28.5" customHeight="1">
      <c r="B1" s="86" t="s">
        <v>151</v>
      </c>
      <c r="C1" s="86"/>
      <c r="D1" s="86"/>
      <c r="E1" s="86"/>
      <c r="F1" s="86"/>
    </row>
    <row r="2" spans="2:6" ht="33" customHeight="1">
      <c r="B2" s="86"/>
      <c r="C2" s="86"/>
      <c r="D2" s="86"/>
      <c r="E2" s="86"/>
      <c r="F2" s="86"/>
    </row>
    <row r="3" spans="2:6">
      <c r="B3" s="86"/>
      <c r="C3" s="86"/>
      <c r="D3" s="86"/>
      <c r="E3" s="86"/>
      <c r="F3" s="86"/>
    </row>
    <row r="4" spans="2:6" ht="12" customHeight="1">
      <c r="B4" s="128"/>
      <c r="C4" s="128"/>
      <c r="D4" s="128"/>
      <c r="E4" s="128"/>
      <c r="F4" s="128"/>
    </row>
    <row r="5" spans="2:6" ht="34.5" customHeight="1">
      <c r="B5" s="38"/>
      <c r="C5" s="94" t="s">
        <v>152</v>
      </c>
      <c r="D5" s="94"/>
      <c r="E5" s="94" t="s">
        <v>153</v>
      </c>
      <c r="F5" s="94"/>
    </row>
    <row r="6" spans="2:6">
      <c r="B6" s="39" t="s">
        <v>154</v>
      </c>
      <c r="C6" s="142" t="s">
        <v>155</v>
      </c>
      <c r="D6" s="142"/>
      <c r="E6" s="142" t="s">
        <v>155</v>
      </c>
      <c r="F6" s="142"/>
    </row>
    <row r="7" spans="2:6">
      <c r="B7" s="37" t="s">
        <v>156</v>
      </c>
      <c r="C7" s="139" t="s">
        <v>157</v>
      </c>
      <c r="D7" s="139"/>
      <c r="E7" s="139" t="s">
        <v>158</v>
      </c>
      <c r="F7" s="139"/>
    </row>
    <row r="8" spans="2:6" ht="42.95" customHeight="1">
      <c r="B8" s="37" t="s">
        <v>125</v>
      </c>
      <c r="C8" s="139" t="s">
        <v>159</v>
      </c>
      <c r="D8" s="139"/>
      <c r="E8" s="139" t="s">
        <v>160</v>
      </c>
      <c r="F8" s="139"/>
    </row>
    <row r="9" spans="2:6">
      <c r="B9" s="37" t="s">
        <v>161</v>
      </c>
      <c r="C9" s="139" t="s">
        <v>162</v>
      </c>
      <c r="D9" s="139"/>
      <c r="E9" s="139" t="s">
        <v>162</v>
      </c>
      <c r="F9" s="139"/>
    </row>
    <row r="10" spans="2:6" ht="42" customHeight="1">
      <c r="B10" s="37" t="s">
        <v>163</v>
      </c>
      <c r="C10" s="139" t="s">
        <v>164</v>
      </c>
      <c r="D10" s="139"/>
      <c r="E10" s="139" t="s">
        <v>165</v>
      </c>
      <c r="F10" s="139"/>
    </row>
    <row r="11" spans="2:6" ht="32.450000000000003" customHeight="1">
      <c r="B11" s="37" t="s">
        <v>166</v>
      </c>
      <c r="C11" s="139" t="s">
        <v>167</v>
      </c>
      <c r="D11" s="139"/>
      <c r="E11" s="139" t="s">
        <v>167</v>
      </c>
      <c r="F11" s="139"/>
    </row>
    <row r="12" spans="2:6" ht="36.75" customHeight="1">
      <c r="B12" s="37" t="s">
        <v>168</v>
      </c>
      <c r="C12" s="139" t="s">
        <v>169</v>
      </c>
      <c r="D12" s="139"/>
      <c r="E12" s="139" t="s">
        <v>170</v>
      </c>
      <c r="F12" s="139"/>
    </row>
    <row r="13" spans="2:6" ht="30" customHeight="1">
      <c r="B13" s="37" t="s">
        <v>171</v>
      </c>
      <c r="C13" s="139" t="s">
        <v>159</v>
      </c>
      <c r="D13" s="139"/>
      <c r="E13" s="139" t="s">
        <v>172</v>
      </c>
      <c r="F13" s="139"/>
    </row>
    <row r="14" spans="2:6">
      <c r="B14" s="37" t="s">
        <v>173</v>
      </c>
      <c r="C14" s="139" t="s">
        <v>159</v>
      </c>
      <c r="D14" s="139"/>
      <c r="E14" s="139" t="s">
        <v>174</v>
      </c>
      <c r="F14" s="139"/>
    </row>
    <row r="15" spans="2:6">
      <c r="B15" s="37" t="s">
        <v>175</v>
      </c>
      <c r="C15" s="139" t="s">
        <v>159</v>
      </c>
      <c r="D15" s="139"/>
      <c r="E15" s="139" t="s">
        <v>176</v>
      </c>
      <c r="F15" s="139"/>
    </row>
    <row r="16" spans="2:6">
      <c r="B16" s="37" t="s">
        <v>177</v>
      </c>
      <c r="C16" s="139" t="s">
        <v>159</v>
      </c>
      <c r="D16" s="139"/>
      <c r="E16" s="139" t="s">
        <v>159</v>
      </c>
      <c r="F16" s="139"/>
    </row>
    <row r="17" spans="2:6">
      <c r="B17" s="37" t="s">
        <v>178</v>
      </c>
      <c r="C17" s="139" t="s">
        <v>179</v>
      </c>
      <c r="D17" s="139"/>
      <c r="E17" s="139" t="s">
        <v>179</v>
      </c>
      <c r="F17" s="139"/>
    </row>
    <row r="18" spans="2:6">
      <c r="B18" s="37" t="s">
        <v>180</v>
      </c>
      <c r="C18" s="139" t="s">
        <v>181</v>
      </c>
      <c r="D18" s="139"/>
      <c r="E18" s="139" t="s">
        <v>181</v>
      </c>
      <c r="F18" s="139"/>
    </row>
    <row r="19" spans="2:6">
      <c r="B19" s="37" t="s">
        <v>182</v>
      </c>
      <c r="C19" s="139"/>
      <c r="D19" s="139"/>
      <c r="E19" s="139" t="s">
        <v>183</v>
      </c>
      <c r="F19" s="139"/>
    </row>
    <row r="20" spans="2:6">
      <c r="B20" s="37" t="s">
        <v>184</v>
      </c>
      <c r="C20" s="139" t="s">
        <v>185</v>
      </c>
      <c r="D20" s="139"/>
      <c r="E20" s="139" t="s">
        <v>185</v>
      </c>
      <c r="F20" s="139"/>
    </row>
    <row r="21" spans="2:6">
      <c r="B21" s="4"/>
      <c r="C21" s="140"/>
      <c r="D21" s="141"/>
      <c r="E21" s="140"/>
      <c r="F21" s="141"/>
    </row>
  </sheetData>
  <mergeCells count="36">
    <mergeCell ref="B1:F3"/>
    <mergeCell ref="B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3A0932-7A4E-49BF-8A0F-B9542D874499}"/>
</file>

<file path=customXml/itemProps2.xml><?xml version="1.0" encoding="utf-8"?>
<ds:datastoreItem xmlns:ds="http://schemas.openxmlformats.org/officeDocument/2006/customXml" ds:itemID="{BA38BB5C-1DC2-4C7F-939D-AD3C03E1FE67}"/>
</file>

<file path=customXml/itemProps3.xml><?xml version="1.0" encoding="utf-8"?>
<ds:datastoreItem xmlns:ds="http://schemas.openxmlformats.org/officeDocument/2006/customXml" ds:itemID="{7C71C757-E6C5-4331-8BED-AAB91185D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Kyami Clarke</dc:creator>
  <cp:keywords/>
  <dc:description/>
  <cp:lastModifiedBy>John McPhail</cp:lastModifiedBy>
  <cp:revision/>
  <dcterms:created xsi:type="dcterms:W3CDTF">2021-09-16T16:32:37Z</dcterms:created>
  <dcterms:modified xsi:type="dcterms:W3CDTF">2023-06-08T11:29:03Z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