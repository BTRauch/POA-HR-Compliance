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G:\Benefits\Group Clients\Partners of the Americas\"/>
    </mc:Choice>
  </mc:AlternateContent>
  <xr:revisionPtr revIDLastSave="0" documentId="13_ncr:1_{2EFB5DA0-609A-4F8B-A4EA-ECACA67B0DC8}" xr6:coauthVersionLast="47" xr6:coauthVersionMax="47" xr10:uidLastSave="{00000000-0000-0000-0000-000000000000}"/>
  <bookViews>
    <workbookView xWindow="-108" yWindow="-108" windowWidth="23256" windowHeight="13176" xr2:uid="{00000000-000D-0000-FFFF-FFFF00000000}"/>
  </bookViews>
  <sheets>
    <sheet name="Premium History" sheetId="16" r:id="rId1"/>
    <sheet name="Totals" sheetId="13" r:id="rId2"/>
    <sheet name="Partners 23-24 No Change" sheetId="9" r:id="rId3"/>
    <sheet name="Partners 23-24 75%" sheetId="10" r:id="rId4"/>
    <sheet name="Prtnrs Change Ref to Gold HRA" sheetId="12" r:id="rId5"/>
    <sheet name="Prtnrs Change Ref to Silver HRA" sheetId="1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a">#REF!</definedName>
    <definedName name="\A1">#REF!</definedName>
    <definedName name="\A10">#REF!</definedName>
    <definedName name="\A2">#REF!</definedName>
    <definedName name="\A4">#REF!</definedName>
    <definedName name="\A7">#REF!</definedName>
    <definedName name="\A8">#REF!</definedName>
    <definedName name="\A9">#REF!</definedName>
    <definedName name="\b">#REF!</definedName>
    <definedName name="\B1">#REF!</definedName>
    <definedName name="\B10">#REF!</definedName>
    <definedName name="\B3">#REF!</definedName>
    <definedName name="\B4">#REF!</definedName>
    <definedName name="\B7">#REF!</definedName>
    <definedName name="\B8">#REF!</definedName>
    <definedName name="\B9">#REF!</definedName>
    <definedName name="\c">#REF!</definedName>
    <definedName name="\C1">#REF!</definedName>
    <definedName name="\C10">#REF!</definedName>
    <definedName name="\C2">#REF!</definedName>
    <definedName name="\C3">#REF!</definedName>
    <definedName name="\C5">#REF!</definedName>
    <definedName name="\C7">#REF!</definedName>
    <definedName name="\C8">#REF!</definedName>
    <definedName name="\C9">#REF!</definedName>
    <definedName name="\d">#REF!</definedName>
    <definedName name="\D1">#REF!</definedName>
    <definedName name="\D10">#REF!</definedName>
    <definedName name="\D2">#REF!</definedName>
    <definedName name="\D3">#REF!</definedName>
    <definedName name="\D7">#REF!</definedName>
    <definedName name="\D8">#REF!</definedName>
    <definedName name="\D9">#REF!</definedName>
    <definedName name="\g">#N/A</definedName>
    <definedName name="\h">#REF!</definedName>
    <definedName name="\P">[4]InputData!#REF!</definedName>
    <definedName name="\q">'[5]COMPTRFC Page8'!#REF!</definedName>
    <definedName name="\R">[4]InputData!#REF!</definedName>
    <definedName name="\s">#REF!</definedName>
    <definedName name="\T">[4]InputData!#REF!</definedName>
    <definedName name="\U">[4]InputData!#REF!</definedName>
    <definedName name="\V">[4]InputData!#REF!</definedName>
    <definedName name="\W">[4]InputData!#REF!</definedName>
    <definedName name="_.">#REF!</definedName>
    <definedName name="___ASO1">#REF!</definedName>
    <definedName name="___MOS6">#REF!</definedName>
    <definedName name="___PUL1">#REF!</definedName>
    <definedName name="___PUL2">#REF!</definedName>
    <definedName name="__1_0REV">'[6]Age Sheet'!#REF!</definedName>
    <definedName name="__123Graph_A" hidden="1">'[7]pp 8'!#REF!</definedName>
    <definedName name="__123Graph_X" hidden="1">'[7]pp 8'!#REF!</definedName>
    <definedName name="__123Graph_X65GLOBAL" hidden="1">'[7]pp 8'!#REF!</definedName>
    <definedName name="__ASO1">#REF!</definedName>
    <definedName name="__MOS6">#REF!</definedName>
    <definedName name="__PUL1">#REF!</definedName>
    <definedName name="__PUL2">#REF!</definedName>
    <definedName name="_1_0REV">'[6]Age Sheet'!#REF!</definedName>
    <definedName name="_2_0REV">'[6]Age Sheet'!#REF!</definedName>
    <definedName name="_219">#REF!</definedName>
    <definedName name="_2REV">'[6]Age Sheet'!#REF!</definedName>
    <definedName name="_3_0REV">'[6]Age Sheet'!#REF!</definedName>
    <definedName name="_4_0REV">'[6]Age Sheet'!#REF!</definedName>
    <definedName name="_7">#N/A</definedName>
    <definedName name="_A">#REF!</definedName>
    <definedName name="_adv1">#REF!</definedName>
    <definedName name="_adv2">#REF!</definedName>
    <definedName name="_ASO1">#REF!</definedName>
    <definedName name="_cfm6" localSheetId="0">{"janact",#N/A,FALSE,"Jan98ACT";"janplan",#N/A,FALSE,"Jan98ACT";"janvar",#N/A,FALSE,"Jan98ACT"}</definedName>
    <definedName name="_cfm6" localSheetId="1">{"janact",#N/A,FALSE,"Jan98ACT";"janplan",#N/A,FALSE,"Jan98ACT";"janvar",#N/A,FALSE,"Jan98ACT"}</definedName>
    <definedName name="_cfm6">{"janact",#N/A,FALSE,"Jan98ACT";"janplan",#N/A,FALSE,"Jan98ACT";"janvar",#N/A,FALSE,"Jan98ACT"}</definedName>
    <definedName name="_CON1">#REF!</definedName>
    <definedName name="_CON2">#REF!</definedName>
    <definedName name="_CON3">#REF!</definedName>
    <definedName name="_CON4">#REF!</definedName>
    <definedName name="_Fill" hidden="1">#REF!</definedName>
    <definedName name="_xlnm._FilterDatabase" localSheetId="3" hidden="1">'Partners 23-24 75%'!$A$5:$Q$108</definedName>
    <definedName name="_xlnm._FilterDatabase" localSheetId="2" hidden="1">'Partners 23-24 No Change'!$A$5:$Q$108</definedName>
    <definedName name="_xlnm._FilterDatabase" localSheetId="4" hidden="1">'Prtnrs Change Ref to Gold HRA'!$A$5:$Q$108</definedName>
    <definedName name="_xlnm._FilterDatabase" localSheetId="5" hidden="1">'Prtnrs Change Ref to Silver HRA'!$A$5:$Q$108</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MOS6" localSheetId="0">#REF!</definedName>
    <definedName name="_MOS6" localSheetId="1">#REF!</definedName>
    <definedName name="_MOS6">#REF!</definedName>
    <definedName name="_Order1" hidden="1">255</definedName>
    <definedName name="_Order2" hidden="1">255</definedName>
    <definedName name="_PIC1">#REF!</definedName>
    <definedName name="_PIC2">#REF!</definedName>
    <definedName name="_PIC3">#REF!</definedName>
    <definedName name="_PIC4">#REF!</definedName>
    <definedName name="_PIC5">'[4]DURLR Page 13'!#REF!</definedName>
    <definedName name="_PPO2" localSheetId="0" hidden="1">{#N/A,#N/A,FALSE,"Page 1";#N/A,#N/A,FALSE,"Page 2";#N/A,#N/A,FALSE,"Page 3";#N/A,#N/A,FALSE,"Page 4";#N/A,#N/A,FALSE,"Page 5";#N/A,#N/A,FALSE,"Page 6"}</definedName>
    <definedName name="_PPO2" localSheetId="1" hidden="1">{#N/A,#N/A,FALSE,"Page 1";#N/A,#N/A,FALSE,"Page 2";#N/A,#N/A,FALSE,"Page 3";#N/A,#N/A,FALSE,"Page 4";#N/A,#N/A,FALSE,"Page 5";#N/A,#N/A,FALSE,"Page 6"}</definedName>
    <definedName name="_PPO2" hidden="1">{#N/A,#N/A,FALSE,"Page 1";#N/A,#N/A,FALSE,"Page 2";#N/A,#N/A,FALSE,"Page 3";#N/A,#N/A,FALSE,"Page 4";#N/A,#N/A,FALSE,"Page 5";#N/A,#N/A,FALSE,"Page 6"}</definedName>
    <definedName name="_PUL1">#REF!</definedName>
    <definedName name="_PUL2">#REF!</definedName>
    <definedName name="_RNG1">'[4]DURLR Page 13'!#REF!</definedName>
    <definedName name="_RNG2" localSheetId="0">#REF!</definedName>
    <definedName name="_RNG2" localSheetId="1">#REF!</definedName>
    <definedName name="_RNG2">#REF!</definedName>
    <definedName name="_Sort" localSheetId="0" hidden="1">#REF!</definedName>
    <definedName name="_Sort" localSheetId="1" hidden="1">#REF!</definedName>
    <definedName name="_Sort" hidden="1">#REF!</definedName>
    <definedName name="_WRN1" localSheetId="0" hidden="1">{#N/A,#N/A,FALSE,"100.90%.300.70%";#N/A,#N/A,FALSE,"300.90%.500.70%";#N/A,#N/A,FALSE,"300.80%.500.60%";#N/A,#N/A,FALSE,"500.80%.750.60%"}</definedName>
    <definedName name="_WRN1" localSheetId="1" hidden="1">{#N/A,#N/A,FALSE,"100.90%.300.70%";#N/A,#N/A,FALSE,"300.90%.500.70%";#N/A,#N/A,FALSE,"300.80%.500.60%";#N/A,#N/A,FALSE,"500.80%.750.60%"}</definedName>
    <definedName name="_WRN1" hidden="1">{#N/A,#N/A,FALSE,"100.90%.300.70%";#N/A,#N/A,FALSE,"300.90%.500.70%";#N/A,#N/A,FALSE,"300.80%.500.60%";#N/A,#N/A,FALSE,"500.80%.750.60%"}</definedName>
    <definedName name="_WRN10" localSheetId="0" hidden="1">{#N/A,#N/A,FALSE,"100.90%.300.70%";#N/A,#N/A,FALSE,"300.90%.500.70%";#N/A,#N/A,FALSE,"300.80%.500.60%";#N/A,#N/A,FALSE,"500.80%.750.60%"}</definedName>
    <definedName name="_WRN10" localSheetId="1" hidden="1">{#N/A,#N/A,FALSE,"100.90%.300.70%";#N/A,#N/A,FALSE,"300.90%.500.70%";#N/A,#N/A,FALSE,"300.80%.500.60%";#N/A,#N/A,FALSE,"500.80%.750.60%"}</definedName>
    <definedName name="_WRN10" hidden="1">{#N/A,#N/A,FALSE,"100.90%.300.70%";#N/A,#N/A,FALSE,"300.90%.500.70%";#N/A,#N/A,FALSE,"300.80%.500.60%";#N/A,#N/A,FALSE,"500.80%.750.60%"}</definedName>
    <definedName name="_WRN2" localSheetId="0" hidden="1">{#N/A,#N/A,FALSE,"100.90%.300.70%";#N/A,#N/A,FALSE,"300.90%.500.70%";#N/A,#N/A,FALSE,"300.80%.500.60%";#N/A,#N/A,FALSE,"500.80%.750.60%"}</definedName>
    <definedName name="_WRN2" localSheetId="1" hidden="1">{#N/A,#N/A,FALSE,"100.90%.300.70%";#N/A,#N/A,FALSE,"300.90%.500.70%";#N/A,#N/A,FALSE,"300.80%.500.60%";#N/A,#N/A,FALSE,"500.80%.750.60%"}</definedName>
    <definedName name="_WRN2" hidden="1">{#N/A,#N/A,FALSE,"100.90%.300.70%";#N/A,#N/A,FALSE,"300.90%.500.70%";#N/A,#N/A,FALSE,"300.80%.500.60%";#N/A,#N/A,FALSE,"500.80%.750.60%"}</definedName>
    <definedName name="_WRN3" localSheetId="0" hidden="1">{#N/A,#N/A,FALSE,"100.90%.300.70%";#N/A,#N/A,FALSE,"300.90%.500.70%";#N/A,#N/A,FALSE,"300.80%.500.60%";#N/A,#N/A,FALSE,"500.80%.750.60%"}</definedName>
    <definedName name="_WRN3" localSheetId="1" hidden="1">{#N/A,#N/A,FALSE,"100.90%.300.70%";#N/A,#N/A,FALSE,"300.90%.500.70%";#N/A,#N/A,FALSE,"300.80%.500.60%";#N/A,#N/A,FALSE,"500.80%.750.60%"}</definedName>
    <definedName name="_WRN3" hidden="1">{#N/A,#N/A,FALSE,"100.90%.300.70%";#N/A,#N/A,FALSE,"300.90%.500.70%";#N/A,#N/A,FALSE,"300.80%.500.60%";#N/A,#N/A,FALSE,"500.80%.750.60%"}</definedName>
    <definedName name="_WRN4" localSheetId="0" hidden="1">{#N/A,#N/A,FALSE,"100.90%.300.70%";#N/A,#N/A,FALSE,"300.90%.500.70%";#N/A,#N/A,FALSE,"300.80%.500.60%";#N/A,#N/A,FALSE,"500.80%.750.60%"}</definedName>
    <definedName name="_WRN4" localSheetId="1" hidden="1">{#N/A,#N/A,FALSE,"100.90%.300.70%";#N/A,#N/A,FALSE,"300.90%.500.70%";#N/A,#N/A,FALSE,"300.80%.500.60%";#N/A,#N/A,FALSE,"500.80%.750.60%"}</definedName>
    <definedName name="_WRN4" hidden="1">{#N/A,#N/A,FALSE,"100.90%.300.70%";#N/A,#N/A,FALSE,"300.90%.500.70%";#N/A,#N/A,FALSE,"300.80%.500.60%";#N/A,#N/A,FALSE,"500.80%.750.60%"}</definedName>
    <definedName name="_WRN6" localSheetId="0" hidden="1">{#N/A,#N/A,FALSE,"100.90%.300.70%";#N/A,#N/A,FALSE,"300.90%.500.70%";#N/A,#N/A,FALSE,"300.80%.500.60%";#N/A,#N/A,FALSE,"500.80%.750.60%"}</definedName>
    <definedName name="_WRN6" localSheetId="1" hidden="1">{#N/A,#N/A,FALSE,"100.90%.300.70%";#N/A,#N/A,FALSE,"300.90%.500.70%";#N/A,#N/A,FALSE,"300.80%.500.60%";#N/A,#N/A,FALSE,"500.80%.750.60%"}</definedName>
    <definedName name="_WRN6" hidden="1">{#N/A,#N/A,FALSE,"100.90%.300.70%";#N/A,#N/A,FALSE,"300.90%.500.70%";#N/A,#N/A,FALSE,"300.80%.500.60%";#N/A,#N/A,FALSE,"500.80%.750.60%"}</definedName>
    <definedName name="_WRN7" localSheetId="0" hidden="1">{#N/A,#N/A,FALSE,"100.90%.300.70%";#N/A,#N/A,FALSE,"300.90%.500.70%";#N/A,#N/A,FALSE,"300.80%.500.60%";#N/A,#N/A,FALSE,"500.80%.750.60%"}</definedName>
    <definedName name="_WRN7" localSheetId="1" hidden="1">{#N/A,#N/A,FALSE,"100.90%.300.70%";#N/A,#N/A,FALSE,"300.90%.500.70%";#N/A,#N/A,FALSE,"300.80%.500.60%";#N/A,#N/A,FALSE,"500.80%.750.60%"}</definedName>
    <definedName name="_WRN7" hidden="1">{#N/A,#N/A,FALSE,"100.90%.300.70%";#N/A,#N/A,FALSE,"300.90%.500.70%";#N/A,#N/A,FALSE,"300.80%.500.60%";#N/A,#N/A,FALSE,"500.80%.750.60%"}</definedName>
    <definedName name="_WRN9" localSheetId="0" hidden="1">{#N/A,#N/A,FALSE,"100.90%.300.70%";#N/A,#N/A,FALSE,"300.90%.500.70%";#N/A,#N/A,FALSE,"300.80%.500.60%";#N/A,#N/A,FALSE,"500.80%.750.60%"}</definedName>
    <definedName name="_WRN9" localSheetId="1" hidden="1">{#N/A,#N/A,FALSE,"100.90%.300.70%";#N/A,#N/A,FALSE,"300.90%.500.70%";#N/A,#N/A,FALSE,"300.80%.500.60%";#N/A,#N/A,FALSE,"500.80%.750.60%"}</definedName>
    <definedName name="_WRN9" hidden="1">{#N/A,#N/A,FALSE,"100.90%.300.70%";#N/A,#N/A,FALSE,"300.90%.500.70%";#N/A,#N/A,FALSE,"300.80%.500.60%";#N/A,#N/A,FALSE,"500.80%.750.60%"}</definedName>
    <definedName name="A8_015">#REF!</definedName>
    <definedName name="aadasdasd">[8]Input!$D$13</definedName>
    <definedName name="abcdef" localSheetId="0">{"janact",#N/A,FALSE,"Jan98ACT";"janplan",#N/A,FALSE,"Jan98ACT";"janvar",#N/A,FALSE,"Jan98ACT"}</definedName>
    <definedName name="abcdef" localSheetId="1">{"janact",#N/A,FALSE,"Jan98ACT";"janplan",#N/A,FALSE,"Jan98ACT";"janvar",#N/A,FALSE,"Jan98ACT"}</definedName>
    <definedName name="abcdef">{"janact",#N/A,FALSE,"Jan98ACT";"janplan",#N/A,FALSE,"Jan98ACT";"janvar",#N/A,FALSE,"Jan98ACT"}</definedName>
    <definedName name="ABS" localSheetId="0">{#N/A,#N/A,FALSE,"Page 1";#N/A,#N/A,FALSE,"Page 2";#N/A,#N/A,FALSE,"Page 3";#N/A,#N/A,FALSE,"Page 4";#N/A,#N/A,FALSE,"Page 5";#N/A,#N/A,FALSE,"Page 6"}</definedName>
    <definedName name="ABS" localSheetId="1">{#N/A,#N/A,FALSE,"Page 1";#N/A,#N/A,FALSE,"Page 2";#N/A,#N/A,FALSE,"Page 3";#N/A,#N/A,FALSE,"Page 4";#N/A,#N/A,FALSE,"Page 5";#N/A,#N/A,FALSE,"Page 6"}</definedName>
    <definedName name="ABS">{#N/A,#N/A,FALSE,"Page 1";#N/A,#N/A,FALSE,"Page 2";#N/A,#N/A,FALSE,"Page 3";#N/A,#N/A,FALSE,"Page 4";#N/A,#N/A,FALSE,"Page 5";#N/A,#N/A,FALSE,"Page 6"}</definedName>
    <definedName name="Actual.vs.plan.dollars">#REF!</definedName>
    <definedName name="Actual.vs.plan.dollars.detail">#REF!</definedName>
    <definedName name="Actual.vs.plan.dollars.pmpm">#REF!</definedName>
    <definedName name="Actual.vs.plan.dollars.summary.pmpm">#REF!</definedName>
    <definedName name="ADMIN">[9]BPref2!#REF!</definedName>
    <definedName name="Admin_Charge">'[10]2005 Proposed Compet'!$A$12:$L$46</definedName>
    <definedName name="admin_charges">'[11]2005_Rates'!$A$12:$L$46</definedName>
    <definedName name="Admit_Thous_Table">[12]Assumptions!$X$5:$AC$43</definedName>
    <definedName name="Adv">'[13]Main Input'!$C$26</definedName>
    <definedName name="AGAIN" localSheetId="0" hidden="1">{"febactytd",#N/A,FALSE,"Feb98ACT&amp;YTD";"febplanytd",#N/A,FALSE,"Feb98ACT&amp;YTD";"febvarytd",#N/A,FALSE,"Feb98ACT&amp;YTD"}</definedName>
    <definedName name="AGAIN" localSheetId="1" hidden="1">{"febactytd",#N/A,FALSE,"Feb98ACT&amp;YTD";"febplanytd",#N/A,FALSE,"Feb98ACT&amp;YTD";"febvarytd",#N/A,FALSE,"Feb98ACT&amp;YTD"}</definedName>
    <definedName name="AGAIN" hidden="1">{"febactytd",#N/A,FALSE,"Feb98ACT&amp;YTD";"febplanytd",#N/A,FALSE,"Feb98ACT&amp;YTD";"febvarytd",#N/A,FALSE,"Feb98ACT&amp;YTD"}</definedName>
    <definedName name="Agg">[11]Agg!$C$3:$K$92</definedName>
    <definedName name="Agg_2005">[10]Agg_05!$A$3:$L$171</definedName>
    <definedName name="all" localSheetId="0">#REF!</definedName>
    <definedName name="all" localSheetId="1">#REF!</definedName>
    <definedName name="all">#REF!</definedName>
    <definedName name="All_groups_agesex">[14]all_grps_demo!$A$2:$I$124</definedName>
    <definedName name="ALOS_Table">[15]Assumptions!$AQ$5:$AU$12</definedName>
    <definedName name="Aover65" localSheetId="0">#REF!</definedName>
    <definedName name="Aover65" localSheetId="1">#REF!</definedName>
    <definedName name="Aover65">#REF!</definedName>
    <definedName name="AP13_" localSheetId="0">#REF!</definedName>
    <definedName name="AP13_" localSheetId="1">#REF!</definedName>
    <definedName name="AP13_">#REF!</definedName>
    <definedName name="AprActualMTD" localSheetId="0">#REF!</definedName>
    <definedName name="AprActualMTD" localSheetId="1">#REF!</definedName>
    <definedName name="AprActualMTD">#REF!</definedName>
    <definedName name="AprActualYTD">#REF!</definedName>
    <definedName name="AprPlanMTD">#REF!</definedName>
    <definedName name="AprPlanYTD">#REF!</definedName>
    <definedName name="AprVarMTD">#REF!</definedName>
    <definedName name="AprVarYTD">#REF!</definedName>
    <definedName name="ARE" localSheetId="0" hidden="1">{#N/A,#N/A,FALSE,"100.90%.300.70%";#N/A,#N/A,FALSE,"300.90%.500.70%";#N/A,#N/A,FALSE,"300.80%.500.60%";#N/A,#N/A,FALSE,"500.80%.750.60%"}</definedName>
    <definedName name="ARE" localSheetId="1" hidden="1">{#N/A,#N/A,FALSE,"100.90%.300.70%";#N/A,#N/A,FALSE,"300.90%.500.70%";#N/A,#N/A,FALSE,"300.80%.500.60%";#N/A,#N/A,FALSE,"500.80%.750.60%"}</definedName>
    <definedName name="ARE" hidden="1">{#N/A,#N/A,FALSE,"100.90%.300.70%";#N/A,#N/A,FALSE,"300.90%.500.70%";#N/A,#N/A,FALSE,"300.80%.500.60%";#N/A,#N/A,FALSE,"500.80%.750.60%"}</definedName>
    <definedName name="Area_Zip">[16]Input!#REF!</definedName>
    <definedName name="as">[17]Net.Prems!$A$117:$J$159</definedName>
    <definedName name="ASO" localSheetId="0">#REF!</definedName>
    <definedName name="ASO" localSheetId="1">#REF!</definedName>
    <definedName name="ASO">#REF!</definedName>
    <definedName name="ASO_OFF" localSheetId="0">#REF!</definedName>
    <definedName name="ASO_OFF" localSheetId="1">#REF!</definedName>
    <definedName name="ASO_OFF">#REF!</definedName>
    <definedName name="ASO_ON" localSheetId="0">#REF!</definedName>
    <definedName name="ASO_ON" localSheetId="1">#REF!</definedName>
    <definedName name="ASO_ON">#REF!</definedName>
    <definedName name="ASOBOT">#REF!</definedName>
    <definedName name="ASOMM99">[18]Consolidated!$AY$34</definedName>
    <definedName name="ASSUME" localSheetId="0">#REF!</definedName>
    <definedName name="ASSUME" localSheetId="1">#REF!</definedName>
    <definedName name="ASSUME">#REF!</definedName>
    <definedName name="ASSUMM" localSheetId="0">#REF!</definedName>
    <definedName name="ASSUMM" localSheetId="1">#REF!</definedName>
    <definedName name="ASSUMM">#REF!</definedName>
    <definedName name="aunder65" localSheetId="0">#REF!</definedName>
    <definedName name="aunder65" localSheetId="1">#REF!</definedName>
    <definedName name="aunder65">#REF!</definedName>
    <definedName name="Ave_Age">#REF!</definedName>
    <definedName name="AVERAGE_MEMBERS">#REF!</definedName>
    <definedName name="BC">#REF!</definedName>
    <definedName name="bcbs">#REF!</definedName>
    <definedName name="BCexp">#REF!</definedName>
    <definedName name="BCPURE">[9]BPref2!#REF!</definedName>
    <definedName name="Benefit_Options" localSheetId="0">#REF!</definedName>
    <definedName name="Benefit_Options" localSheetId="1">#REF!</definedName>
    <definedName name="Benefit_Options">#REF!</definedName>
    <definedName name="BluePreferred" localSheetId="0">#REF!</definedName>
    <definedName name="BluePreferred" localSheetId="1">#REF!</definedName>
    <definedName name="BluePreferred">#REF!</definedName>
    <definedName name="BP">'[13]Main Input'!$C$23</definedName>
    <definedName name="BREAKOUT">[9]BPref2!#REF!</definedName>
    <definedName name="BSPURE">[9]BPref2!#REF!</definedName>
    <definedName name="Cap_Table">[15]Assumptions!$AQ$32:$AU$38</definedName>
    <definedName name="Cases_Table">[15]Assumptions!$AG$5:$AK$41</definedName>
    <definedName name="CCa">'[13]Main Input'!$C$25</definedName>
    <definedName name="CCexp" localSheetId="0">#REF!</definedName>
    <definedName name="CCexp" localSheetId="1">#REF!</definedName>
    <definedName name="CCexp">#REF!</definedName>
    <definedName name="CCh">'[13]Main Input'!$C$24</definedName>
    <definedName name="CFMI_Query" localSheetId="0">#REF!</definedName>
    <definedName name="CFMI_Query" localSheetId="1">#REF!</definedName>
    <definedName name="CFMI_Query">#REF!</definedName>
    <definedName name="cfmi2" localSheetId="0">{"septactmtd",#N/A,FALSE,"Sep99";"sepactytd",#N/A,FALSE,"Sep99";"septplanmtd",#N/A,FALSE,"Sep99";"septplanytd",#N/A,FALSE,"Sep99";"septvarmtd",#N/A,FALSE,"Sep99";"septvarytd",#N/A,FALSE,"Sep99"}</definedName>
    <definedName name="cfmi2" localSheetId="1">{"septactmtd",#N/A,FALSE,"Sep99";"sepactytd",#N/A,FALSE,"Sep99";"septplanmtd",#N/A,FALSE,"Sep99";"septplanytd",#N/A,FALSE,"Sep99";"septvarmtd",#N/A,FALSE,"Sep99";"septvarytd",#N/A,FALSE,"Sep99"}</definedName>
    <definedName name="cfmi2">{"septactmtd",#N/A,FALSE,"Sep99";"sepactytd",#N/A,FALSE,"Sep99";"septplanmtd",#N/A,FALSE,"Sep99";"septplanytd",#N/A,FALSE,"Sep99";"septvarmtd",#N/A,FALSE,"Sep99";"septvarytd",#N/A,FALSE,"Sep99"}</definedName>
    <definedName name="cfmi4" localSheetId="0">{"febactytd",#N/A,FALSE,"Feb98ACT&amp;YTD";"febplanytd",#N/A,FALSE,"Feb98ACT&amp;YTD";"febvarytd",#N/A,FALSE,"Feb98ACT&amp;YTD"}</definedName>
    <definedName name="cfmi4" localSheetId="1">{"febactytd",#N/A,FALSE,"Feb98ACT&amp;YTD";"febplanytd",#N/A,FALSE,"Feb98ACT&amp;YTD";"febvarytd",#N/A,FALSE,"Feb98ACT&amp;YTD"}</definedName>
    <definedName name="cfmi4">{"febactytd",#N/A,FALSE,"Feb98ACT&amp;YTD";"febplanytd",#N/A,FALSE,"Feb98ACT&amp;YTD";"febvarytd",#N/A,FALSE,"Feb98ACT&amp;YTD"}</definedName>
    <definedName name="cfmi5" localSheetId="0">{"janact",#N/A,FALSE,"Jan98ACT";"janplan",#N/A,FALSE,"Jan98ACT";"janvar",#N/A,FALSE,"Jan98ACT"}</definedName>
    <definedName name="cfmi5" localSheetId="1">{"janact",#N/A,FALSE,"Jan98ACT";"janplan",#N/A,FALSE,"Jan98ACT";"janvar",#N/A,FALSE,"Jan98ACT"}</definedName>
    <definedName name="cfmi5">{"janact",#N/A,FALSE,"Jan98ACT";"janplan",#N/A,FALSE,"Jan98ACT";"janvar",#N/A,FALSE,"Jan98ACT"}</definedName>
    <definedName name="cfmigl2" localSheetId="0">{"janact",#N/A,FALSE,"Jan98ACT";"janplan",#N/A,FALSE,"Jan98ACT";"janvar",#N/A,FALSE,"Jan98ACT"}</definedName>
    <definedName name="cfmigl2" localSheetId="1">{"janact",#N/A,FALSE,"Jan98ACT";"janplan",#N/A,FALSE,"Jan98ACT";"janvar",#N/A,FALSE,"Jan98ACT"}</definedName>
    <definedName name="cfmigl2">{"janact",#N/A,FALSE,"Jan98ACT";"janplan",#N/A,FALSE,"Jan98ACT";"janvar",#N/A,FALSE,"Jan98ACT"}</definedName>
    <definedName name="CFS">#REF!</definedName>
    <definedName name="Children">[19]Input!$D$32</definedName>
    <definedName name="Christine_Upload">[11]christine_upload!$A$2:$AQ$87</definedName>
    <definedName name="claims" localSheetId="0">[20]!Sheet1</definedName>
    <definedName name="claims" localSheetId="5">[20]!Sheet1</definedName>
    <definedName name="claims">[20]!Sheet1</definedName>
    <definedName name="clearang" localSheetId="0">#REF!</definedName>
    <definedName name="clearang" localSheetId="1">#REF!</definedName>
    <definedName name="clearang">#REF!</definedName>
    <definedName name="clms" localSheetId="0">[20]!Sheet1</definedName>
    <definedName name="clms" localSheetId="5">[20]!Sheet1</definedName>
    <definedName name="clms">[20]!Sheet1</definedName>
    <definedName name="cmfigl2" localSheetId="0">{"janact",#N/A,FALSE,"Jan98ACT";"janplan",#N/A,FALSE,"Jan98ACT";"janvar",#N/A,FALSE,"Jan98ACT"}</definedName>
    <definedName name="cmfigl2" localSheetId="1">{"janact",#N/A,FALSE,"Jan98ACT";"janplan",#N/A,FALSE,"Jan98ACT";"janvar",#N/A,FALSE,"Jan98ACT"}</definedName>
    <definedName name="cmfigl2">{"janact",#N/A,FALSE,"Jan98ACT";"janplan",#N/A,FALSE,"Jan98ACT";"janvar",#N/A,FALSE,"Jan98ACT"}</definedName>
    <definedName name="CMM">[9]BPref2!#REF!</definedName>
    <definedName name="cmm2_19" localSheetId="0">#REF!</definedName>
    <definedName name="cmm2_19" localSheetId="1">#REF!</definedName>
    <definedName name="cmm2_19">#REF!</definedName>
    <definedName name="cmm2_49" localSheetId="0">#REF!</definedName>
    <definedName name="cmm2_49" localSheetId="1">#REF!</definedName>
    <definedName name="cmm2_49">#REF!</definedName>
    <definedName name="cmm20_49" localSheetId="0">'[21]CMM-ren'!#REF!</definedName>
    <definedName name="cmm20_49" localSheetId="1">'[21]CMM-ren'!#REF!</definedName>
    <definedName name="cmm20_49">'[21]CMM-ren'!#REF!</definedName>
    <definedName name="CoinsTable6">[22]GSChart!$B$8:$C$11</definedName>
    <definedName name="COLBOR" localSheetId="0">#REF!</definedName>
    <definedName name="COLBOR" localSheetId="1">#REF!</definedName>
    <definedName name="COLBOR">#REF!</definedName>
    <definedName name="COMPTBLE">[9]BPref2!#REF!</definedName>
    <definedName name="COUNT" localSheetId="0">#REF!</definedName>
    <definedName name="COUNT" localSheetId="1">#REF!</definedName>
    <definedName name="COUNT">#REF!</definedName>
    <definedName name="Covd_Covg_Level" localSheetId="0">#REF!</definedName>
    <definedName name="Covd_Covg_Level" localSheetId="1">#REF!</definedName>
    <definedName name="Covd_Covg_Level">#REF!</definedName>
    <definedName name="Cover65" localSheetId="0">#REF!</definedName>
    <definedName name="Cover65" localSheetId="1">#REF!</definedName>
    <definedName name="Cover65">#REF!</definedName>
    <definedName name="_xlnm.Criteria">#REF!</definedName>
    <definedName name="Criteria_MI">#REF!</definedName>
    <definedName name="CtM">[23]Input!$D$31</definedName>
    <definedName name="Cunder65" localSheetId="0">#REF!</definedName>
    <definedName name="Cunder65" localSheetId="1">#REF!</definedName>
    <definedName name="Cunder65">#REF!</definedName>
    <definedName name="Cur_Mail_Acute_Brand_Multi_Cop">[24]Input!$H$43</definedName>
    <definedName name="Cur_Mail_Acute_Brand_Single_Cop">[24]Input!$H$42</definedName>
    <definedName name="Cur_Mail_Acute_Gen_Cop">[24]Input!$H$41</definedName>
    <definedName name="Cur_Mail_Acute_NonForm_Cop">[24]Input!$H$44</definedName>
    <definedName name="Cur_Mail_Maint_Brand_Multi_Cop">[24]Input!$H$50</definedName>
    <definedName name="Cur_Mail_Maint_Brand_Single_Cop">[24]Input!$H$49</definedName>
    <definedName name="Cur_Mail_Maint_Gen_Cop">[24]Input!$H$48</definedName>
    <definedName name="Cur_Mail_Maint_NonForm_Cop">[24]Input!$H$51</definedName>
    <definedName name="Cur_Retail_Acute_Brand_Multi_Cop">[24]Input!$H$27</definedName>
    <definedName name="Cur_Retail_Acute_Brand_Single_Cop">[24]Input!$H$26</definedName>
    <definedName name="Cur_Retail_Acute_Gen_Cop">[24]Input!$H$25</definedName>
    <definedName name="Cur_Retail_Acute_NonForm_Cop">[24]Input!$H$28</definedName>
    <definedName name="Cur_Retail_Maint_Brand_Multi_Cop">[24]Input!$H$34</definedName>
    <definedName name="Cur_Retail_Maint_Brand_Single_Cop">[24]Input!$H$33</definedName>
    <definedName name="Cur_Retail_Maint_Gen_Cop">[24]Input!$H$32</definedName>
    <definedName name="Cur_Retail_Maint_NonForm_Cop">[24]Input!$H$35</definedName>
    <definedName name="Curr_3Tier">[25]StandardProd!$J$64</definedName>
    <definedName name="Curr_Ann_Max">[24]StandardProd!$C$68</definedName>
    <definedName name="Curr_Coins">[24]Input!$H$59</definedName>
    <definedName name="Curr_Deductible">[24]Input!$H$57</definedName>
    <definedName name="Curr_Mail_Acute_Day">[24]Input!$H$46</definedName>
    <definedName name="Curr_Mail_Maint_Day">[24]Input!$H$53</definedName>
    <definedName name="Curr_Retail_Acute_Day">[24]Input!$H$30</definedName>
    <definedName name="Curr_Retail_Maint_Day">[24]Input!$H$37</definedName>
    <definedName name="current_charged">[14]SL_Charges!$B$22:$AG$47</definedName>
    <definedName name="D">[9]BPref2!#REF!</definedName>
    <definedName name="d_court_grp_name">[14]Dick_Courtney!$B$9:$BL$156</definedName>
    <definedName name="d_court_local_num">[14]Dick_Courtney!$E$9:$BL$156</definedName>
    <definedName name="D_Courtney">[26]Dick_Courtney!$B$4:$BL$166</definedName>
    <definedName name="DATA" localSheetId="3">'Partners 23-24 75%'!$N:$Q</definedName>
    <definedName name="DATA" localSheetId="2">'Partners 23-24 No Change'!$N:$Q</definedName>
    <definedName name="DATA" localSheetId="0">#REF!</definedName>
    <definedName name="DATA" localSheetId="4">'Prtnrs Change Ref to Gold HRA'!$N:$Q</definedName>
    <definedName name="DATA" localSheetId="5">'Prtnrs Change Ref to Silver HRA'!$N:$Q</definedName>
    <definedName name="DATA" localSheetId="1">#REF!</definedName>
    <definedName name="DATA">#REF!</definedName>
    <definedName name="Data_Date" localSheetId="0">#REF!</definedName>
    <definedName name="Data_Date" localSheetId="1">#REF!</definedName>
    <definedName name="Data_Date">#REF!</definedName>
    <definedName name="_xlnm.Database" localSheetId="0">#REF!</definedName>
    <definedName name="_xlnm.Database" localSheetId="1">#REF!</definedName>
    <definedName name="_xlnm.Database">#REF!</definedName>
    <definedName name="Database_MI">#REF!</definedName>
    <definedName name="DC">#REF!</definedName>
    <definedName name="dcmems">'[27]FinComP&amp;L'!$AB$52</definedName>
    <definedName name="DCSWITCH">[9]BPref2!#REF!</definedName>
    <definedName name="decdental" localSheetId="0">#REF!</definedName>
    <definedName name="decdental" localSheetId="1">#REF!</definedName>
    <definedName name="decdental">#REF!</definedName>
    <definedName name="decdrug" localSheetId="0">#REF!</definedName>
    <definedName name="decdrug" localSheetId="1">#REF!</definedName>
    <definedName name="decdrug">#REF!</definedName>
    <definedName name="decvision" localSheetId="0">#REF!</definedName>
    <definedName name="decvision" localSheetId="1">#REF!</definedName>
    <definedName name="decvision">#REF!</definedName>
    <definedName name="DHMO">[28]Input!$D$124</definedName>
    <definedName name="DOLLARS">[9]BPref2!#REF!</definedName>
    <definedName name="DomesticPartner">[19]Input!$I$34</definedName>
    <definedName name="DRANGE" localSheetId="0">#REF!</definedName>
    <definedName name="DRANGE" localSheetId="1">#REF!</definedName>
    <definedName name="DRANGE">#REF!</definedName>
    <definedName name="DRANGE2" localSheetId="0">#REF!</definedName>
    <definedName name="DRANGE2" localSheetId="1">#REF!</definedName>
    <definedName name="DRANGE2">#REF!</definedName>
    <definedName name="Drug" localSheetId="0">#REF!</definedName>
    <definedName name="Drug" localSheetId="1">#REF!</definedName>
    <definedName name="Drug">#REF!</definedName>
    <definedName name="DrugDed" localSheetId="0">[29]Net.Prems!#REF!</definedName>
    <definedName name="DrugDed" localSheetId="1">[29]Net.Prems!#REF!</definedName>
    <definedName name="DrugDed">[29]Net.Prems!#REF!</definedName>
    <definedName name="DRUGWINDOW" localSheetId="0">[9]BPref2!#REF!</definedName>
    <definedName name="DRUGWINDOW" localSheetId="1">[9]BPref2!#REF!</definedName>
    <definedName name="DRUGWINDOW">[9]BPref2!#REF!</definedName>
    <definedName name="edfswew" localSheetId="0">{#N/A,#N/A,FALSE,"100.90%.300.70%";#N/A,#N/A,FALSE,"300.90%.500.70%";#N/A,#N/A,FALSE,"300.80%.500.60%";#N/A,#N/A,FALSE,"500.80%.750.60%"}</definedName>
    <definedName name="edfswew" localSheetId="1">{#N/A,#N/A,FALSE,"100.90%.300.70%";#N/A,#N/A,FALSE,"300.90%.500.70%";#N/A,#N/A,FALSE,"300.80%.500.60%";#N/A,#N/A,FALSE,"500.80%.750.60%"}</definedName>
    <definedName name="edfswew">{#N/A,#N/A,FALSE,"100.90%.300.70%";#N/A,#N/A,FALSE,"300.90%.500.70%";#N/A,#N/A,FALSE,"300.80%.500.60%";#N/A,#N/A,FALSE,"500.80%.750.60%"}</definedName>
    <definedName name="Eff_Date">#REF!</definedName>
    <definedName name="ENTER">#REF!</definedName>
    <definedName name="ETHEL">#REF!</definedName>
    <definedName name="_xlnm.Extract">#REF!</definedName>
    <definedName name="Extract_MI">#REF!</definedName>
    <definedName name="factor">#REF!</definedName>
    <definedName name="Factor_Table">#REF!</definedName>
    <definedName name="Feb_Cons">'[11]02_2005_Contracts'!$A$8:$M$97</definedName>
    <definedName name="Feb_contracts" localSheetId="0">#REF!</definedName>
    <definedName name="Feb_contracts" localSheetId="1">#REF!</definedName>
    <definedName name="Feb_contracts">#REF!</definedName>
    <definedName name="febdental" localSheetId="0">#REF!</definedName>
    <definedName name="febdental" localSheetId="1">#REF!</definedName>
    <definedName name="febdental">#REF!</definedName>
    <definedName name="febdrug" localSheetId="0">#REF!</definedName>
    <definedName name="febdrug" localSheetId="1">#REF!</definedName>
    <definedName name="febdrug">#REF!</definedName>
    <definedName name="febvision">#REF!</definedName>
    <definedName name="FEE">[9]BPref2!#REF!</definedName>
    <definedName name="fgc" localSheetId="0">{#N/A,#N/A,FALSE,"100.90%.300.70%";#N/A,#N/A,FALSE,"300.90%.500.70%";#N/A,#N/A,FALSE,"300.80%.500.60%";#N/A,#N/A,FALSE,"500.80%.750.60%"}</definedName>
    <definedName name="fgc" localSheetId="1">{#N/A,#N/A,FALSE,"100.90%.300.70%";#N/A,#N/A,FALSE,"300.90%.500.70%";#N/A,#N/A,FALSE,"300.80%.500.60%";#N/A,#N/A,FALSE,"500.80%.750.60%"}</definedName>
    <definedName name="fgc">{#N/A,#N/A,FALSE,"100.90%.300.70%";#N/A,#N/A,FALSE,"300.90%.500.70%";#N/A,#N/A,FALSE,"300.80%.500.60%";#N/A,#N/A,FALSE,"500.80%.750.60%"}</definedName>
    <definedName name="FIRST">#REF!</definedName>
    <definedName name="First_Annual_Benefit_Max">[30]Input!$E$24</definedName>
    <definedName name="First_Annual_Benefit_Max799">[30]Input!$E$24</definedName>
    <definedName name="First_Dollar_Pure" localSheetId="0">#REF!</definedName>
    <definedName name="First_Dollar_Pure" localSheetId="1">#REF!</definedName>
    <definedName name="First_Dollar_Pure">#REF!</definedName>
    <definedName name="First_In_Coins_All" localSheetId="0">#REF!</definedName>
    <definedName name="First_In_Coins_All" localSheetId="1">#REF!</definedName>
    <definedName name="First_In_Coins_All">#REF!</definedName>
    <definedName name="First_In_Coins_Inhosp">[31]Input!$E$37</definedName>
    <definedName name="First_In_Coins_Inphys">[31]Input!$E$39</definedName>
    <definedName name="First_In_Coins_IPMH" localSheetId="0">#REF!</definedName>
    <definedName name="First_In_Coins_IPMH" localSheetId="1">#REF!</definedName>
    <definedName name="First_In_Coins_IPMH">#REF!</definedName>
    <definedName name="First_In_Coins_Lab" localSheetId="0">#REF!</definedName>
    <definedName name="First_In_Coins_Lab" localSheetId="1">#REF!</definedName>
    <definedName name="First_In_Coins_Lab">#REF!</definedName>
    <definedName name="First_In_Coins_OPMH" localSheetId="0">#REF!</definedName>
    <definedName name="First_In_Coins_OPMH" localSheetId="1">#REF!</definedName>
    <definedName name="First_In_Coins_OPMH">#REF!</definedName>
    <definedName name="First_In_Coins_OPMH1">#REF!</definedName>
    <definedName name="First_In_Coins_OPMH11">#REF!</definedName>
    <definedName name="First_In_Coins_OPMH21">#REF!</definedName>
    <definedName name="First_In_Coins_OPMH31">#REF!</definedName>
    <definedName name="First_In_Coins_OPMH6">#REF!</definedName>
    <definedName name="First_In_Coins_OPSA1">#REF!</definedName>
    <definedName name="First_In_Coins_OPSA11">#REF!</definedName>
    <definedName name="First_In_Coins_OPSA21">#REF!</definedName>
    <definedName name="First_In_Coins_OPSA31">#REF!</definedName>
    <definedName name="First_In_Coins_OPSA6">#REF!</definedName>
    <definedName name="First_In_Coins_Outhosp">[31]Input!$E$38</definedName>
    <definedName name="First_In_Coins_Outphys">[31]Input!$E$40</definedName>
    <definedName name="First_In_Coins_Prev" localSheetId="0">#REF!</definedName>
    <definedName name="First_In_Coins_Prev" localSheetId="1">#REF!</definedName>
    <definedName name="First_In_Coins_Prev">#REF!</definedName>
    <definedName name="First_In_Cop_ER" localSheetId="0">#REF!</definedName>
    <definedName name="First_In_Cop_ER" localSheetId="1">#REF!</definedName>
    <definedName name="First_In_Cop_ER">#REF!</definedName>
    <definedName name="First_In_Cop_IPHosp" localSheetId="0">#REF!</definedName>
    <definedName name="First_In_Cop_IPHosp" localSheetId="1">#REF!</definedName>
    <definedName name="First_In_Cop_IPHosp">#REF!</definedName>
    <definedName name="First_In_Cop_IPMH">#REF!</definedName>
    <definedName name="First_In_Cop_Mat">#REF!</definedName>
    <definedName name="First_In_Cop_MHPH">#REF!</definedName>
    <definedName name="First_In_Cop_OPHosp">#REF!</definedName>
    <definedName name="First_In_Cop_OPMH">#REF!</definedName>
    <definedName name="First_In_Cop_PCP">#REF!</definedName>
    <definedName name="First_In_Cop_Spec">#REF!</definedName>
    <definedName name="First_In_Ded_IP">#REF!</definedName>
    <definedName name="First_In_Ded_OP">#REF!</definedName>
    <definedName name="First_In_Life">#REF!</definedName>
    <definedName name="First_In_OOP">#REF!</definedName>
    <definedName name="First_In_Trans_Rider">[31]Input!$E$66</definedName>
    <definedName name="First_In_Visit_IPMH" localSheetId="0">#REF!</definedName>
    <definedName name="First_In_Visit_IPMH" localSheetId="1">#REF!</definedName>
    <definedName name="First_In_Visit_IPMH">#REF!</definedName>
    <definedName name="First_In_Visit_IPSA" localSheetId="0">#REF!</definedName>
    <definedName name="First_In_Visit_IPSA" localSheetId="1">#REF!</definedName>
    <definedName name="First_In_Visit_IPSA">#REF!</definedName>
    <definedName name="First_In_Visit_OPMH" localSheetId="0">#REF!</definedName>
    <definedName name="First_In_Visit_OPMH" localSheetId="1">#REF!</definedName>
    <definedName name="First_In_Visit_OPMH">#REF!</definedName>
    <definedName name="First_In_Visit_OPSA">#REF!</definedName>
    <definedName name="First_Level_1_Coinsurance">[30]Input!$E$31</definedName>
    <definedName name="First_Level_1_Coinsurance799">[30]Input!$E$31</definedName>
    <definedName name="First_Level_1_Ded_Family">[30]Input!$E$41</definedName>
    <definedName name="First_Level_1_Ded_Ind">[30]Input!$E$37</definedName>
    <definedName name="First_Level_2_Coinsurance">[30]Input!$E$32</definedName>
    <definedName name="First_Level_2_Ded_Family">[30]Input!$E$42</definedName>
    <definedName name="First_Level_2_Ded_Ind">[30]Input!$E$38</definedName>
    <definedName name="First_Level_3_Coinsurance">[30]Input!$E$33</definedName>
    <definedName name="First_Level_3_Ded_Family">[30]Input!$E$43</definedName>
    <definedName name="First_Level_3_Ded_Ind">[30]Input!$E$39</definedName>
    <definedName name="First_Level_4_Benefit_Max">[30]Input!$E$27</definedName>
    <definedName name="First_Level_4_Coinsurance">[30]Input!$E$34</definedName>
    <definedName name="First_Level_4_Ded_Family">[30]Input!$E$44</definedName>
    <definedName name="First_Level_4_Ded_Ind">[30]Input!$E$40</definedName>
    <definedName name="First_Level_4_Lifetime_Max2">[30]Input!$E$28</definedName>
    <definedName name="First_Network" localSheetId="0">#REF!</definedName>
    <definedName name="First_Network" localSheetId="1">#REF!</definedName>
    <definedName name="First_Network">#REF!</definedName>
    <definedName name="First_NonStand_Prod">[15]StandProd!$P$47</definedName>
    <definedName name="First_Out_Coins_All" localSheetId="0">#REF!</definedName>
    <definedName name="First_Out_Coins_All" localSheetId="1">#REF!</definedName>
    <definedName name="First_Out_Coins_All">#REF!</definedName>
    <definedName name="First_Out_Coins_Inhosp">[31]Input!$H$37</definedName>
    <definedName name="First_Out_Coins_Inphys">[31]Input!$H$39</definedName>
    <definedName name="First_Out_Coins_IPMH" localSheetId="0">#REF!</definedName>
    <definedName name="First_Out_Coins_IPMH" localSheetId="1">#REF!</definedName>
    <definedName name="First_Out_Coins_IPMH">#REF!</definedName>
    <definedName name="First_Out_Coins_Lab" localSheetId="0">#REF!</definedName>
    <definedName name="First_Out_Coins_Lab" localSheetId="1">#REF!</definedName>
    <definedName name="First_Out_Coins_Lab">#REF!</definedName>
    <definedName name="First_Out_Coins_OPMH" localSheetId="0">#REF!</definedName>
    <definedName name="First_Out_Coins_OPMH" localSheetId="1">#REF!</definedName>
    <definedName name="First_Out_Coins_OPMH">#REF!</definedName>
    <definedName name="First_Out_Coins_OPMH1">#REF!</definedName>
    <definedName name="First_Out_Coins_OPMH11">#REF!</definedName>
    <definedName name="First_Out_Coins_OPMH21">#REF!</definedName>
    <definedName name="First_Out_Coins_OPMH31">#REF!</definedName>
    <definedName name="First_Out_Coins_OPMH6">#REF!</definedName>
    <definedName name="First_Out_Coins_OPSA1">#REF!</definedName>
    <definedName name="First_Out_Coins_OPSA11">#REF!</definedName>
    <definedName name="First_Out_Coins_OPSA21">#REF!</definedName>
    <definedName name="First_Out_Coins_OPSA31">#REF!</definedName>
    <definedName name="First_Out_Coins_OPSA6">#REF!</definedName>
    <definedName name="First_Out_Coins_Outhosp">[31]Input!$H$38</definedName>
    <definedName name="First_Out_Coins_Outphys">[31]Input!$H$40</definedName>
    <definedName name="First_Out_Coins_Prev" localSheetId="0">#REF!</definedName>
    <definedName name="First_Out_Coins_Prev" localSheetId="1">#REF!</definedName>
    <definedName name="First_Out_Coins_Prev">#REF!</definedName>
    <definedName name="First_Out_Cop_ER" localSheetId="0">#REF!</definedName>
    <definedName name="First_Out_Cop_ER" localSheetId="1">#REF!</definedName>
    <definedName name="First_Out_Cop_ER">#REF!</definedName>
    <definedName name="First_Out_Cop_IPHosp" localSheetId="0">#REF!</definedName>
    <definedName name="First_Out_Cop_IPHosp" localSheetId="1">#REF!</definedName>
    <definedName name="First_Out_Cop_IPHosp">#REF!</definedName>
    <definedName name="First_Out_Cop_IPMH">#REF!</definedName>
    <definedName name="First_Out_Cop_Mat">#REF!</definedName>
    <definedName name="First_Out_Cop_MHPH">#REF!</definedName>
    <definedName name="First_Out_Cop_OPHosp">#REF!</definedName>
    <definedName name="First_Out_Cop_OPMH">#REF!</definedName>
    <definedName name="First_Out_Cop_PCP">#REF!</definedName>
    <definedName name="First_Out_Cop_Spec">#REF!</definedName>
    <definedName name="First_Out_Ded_IP">#REF!</definedName>
    <definedName name="First_Out_Ded_OP">#REF!</definedName>
    <definedName name="First_Out_Life">#REF!</definedName>
    <definedName name="First_Out_OOP">#REF!</definedName>
    <definedName name="First_Out_Trans_Rider">[31]Input!$H$66</definedName>
    <definedName name="First_Out_Visit_IPMH" localSheetId="0">#REF!</definedName>
    <definedName name="First_Out_Visit_IPMH" localSheetId="1">#REF!</definedName>
    <definedName name="First_Out_Visit_IPMH">#REF!</definedName>
    <definedName name="First_Out_Visit_IPSA" localSheetId="0">#REF!</definedName>
    <definedName name="First_Out_Visit_IPSA" localSheetId="1">#REF!</definedName>
    <definedName name="First_Out_Visit_IPSA">#REF!</definedName>
    <definedName name="First_Out_Visit_OPMH" localSheetId="0">#REF!</definedName>
    <definedName name="First_Out_Visit_OPMH" localSheetId="1">#REF!</definedName>
    <definedName name="First_Out_Visit_OPMH">#REF!</definedName>
    <definedName name="First_Out_Visit_OPSA">#REF!</definedName>
    <definedName name="First_Stand_Opt">[15]StandProd!$F$47</definedName>
    <definedName name="First_Stand_Prod">[15]StandProd!$L$47</definedName>
    <definedName name="Forecast_Actual_Admin_4" localSheetId="0">#REF!</definedName>
    <definedName name="Forecast_Actual_Admin_4" localSheetId="1">#REF!</definedName>
    <definedName name="Forecast_Actual_Admin_4">#REF!</definedName>
    <definedName name="Forecast_Actual_Care_4" localSheetId="0">#REF!</definedName>
    <definedName name="Forecast_Actual_Care_4" localSheetId="1">#REF!</definedName>
    <definedName name="Forecast_Actual_Care_4">#REF!</definedName>
    <definedName name="Forecast_Actual_CarePMPM_4" localSheetId="0">#REF!</definedName>
    <definedName name="Forecast_Actual_CarePMPM_4" localSheetId="1">#REF!</definedName>
    <definedName name="Forecast_Actual_CarePMPM_4">#REF!</definedName>
    <definedName name="Forecast_Actual_Enroll_4">#REF!</definedName>
    <definedName name="Forecast_Actual_Min_4">#REF!</definedName>
    <definedName name="Forecast_Actual_MinPMPM_4">#REF!</definedName>
    <definedName name="Forecast_Actual_PremPMPM_4">#REF!</definedName>
    <definedName name="Forecast_Actual_Rev_4">#REF!</definedName>
    <definedName name="Forecast_Actual_Risk_4">#REF!</definedName>
    <definedName name="Forecast_Actual_RiskPMPM_4">#REF!</definedName>
    <definedName name="Forecast_Actual_Total_4">#REF!</definedName>
    <definedName name="Forecast_Actual_TotalPMPM_4">#REF!</definedName>
    <definedName name="gc">#REF!</definedName>
    <definedName name="GHexp">#REF!</definedName>
    <definedName name="ghmsi_stoploss_level">'[14]Q_1Case1(all)'!$A$1:$X$686</definedName>
    <definedName name="Group_Name" localSheetId="0">#REF!</definedName>
    <definedName name="Group_Name" localSheetId="1">#REF!</definedName>
    <definedName name="Group_Name">#REF!</definedName>
    <definedName name="Group_Num_Juris">[10]MD_Jurisdictions!$C$2:$H$148</definedName>
    <definedName name="Group_Number" localSheetId="0">#REF!</definedName>
    <definedName name="Group_Number" localSheetId="1">#REF!</definedName>
    <definedName name="Group_Number">#REF!</definedName>
    <definedName name="Grp_Num" localSheetId="0">#REF!</definedName>
    <definedName name="Grp_Num" localSheetId="1">#REF!</definedName>
    <definedName name="Grp_Num">#REF!</definedName>
    <definedName name="GS32Level2Table6">[22]GSChart!$B$3:$F$6</definedName>
    <definedName name="GS32Level3Table6">[22]GSChart!$B$15:$F$18</definedName>
    <definedName name="GS32OtherTable6">[22]GSChart!$B$22:$F$25</definedName>
    <definedName name="headsort">'[32]List of Tabs'!#REF!</definedName>
    <definedName name="health" localSheetId="0">#REF!</definedName>
    <definedName name="health" localSheetId="1">#REF!</definedName>
    <definedName name="health">#REF!</definedName>
    <definedName name="hkgf" localSheetId="0">{#N/A,#N/A,FALSE,"Page 1";#N/A,#N/A,FALSE,"Page 2";#N/A,#N/A,FALSE,"Page 3";#N/A,#N/A,FALSE,"Page 4";#N/A,#N/A,FALSE,"Page 5";#N/A,#N/A,FALSE,"Page 6"}</definedName>
    <definedName name="hkgf" localSheetId="1">{#N/A,#N/A,FALSE,"Page 1";#N/A,#N/A,FALSE,"Page 2";#N/A,#N/A,FALSE,"Page 3";#N/A,#N/A,FALSE,"Page 4";#N/A,#N/A,FALSE,"Page 5";#N/A,#N/A,FALSE,"Page 6"}</definedName>
    <definedName name="hkgf">{#N/A,#N/A,FALSE,"Page 1";#N/A,#N/A,FALSE,"Page 2";#N/A,#N/A,FALSE,"Page 3";#N/A,#N/A,FALSE,"Page 4";#N/A,#N/A,FALSE,"Page 5";#N/A,#N/A,FALSE,"Page 6"}</definedName>
    <definedName name="HMO">#REF!</definedName>
    <definedName name="HSQ">[33]Input!$D$25</definedName>
    <definedName name="I">[9]BPref2!#REF!</definedName>
    <definedName name="ID" localSheetId="0">#REF!</definedName>
    <definedName name="ID" localSheetId="1">#REF!</definedName>
    <definedName name="ID">#REF!</definedName>
    <definedName name="INCADI2" localSheetId="0">#REF!</definedName>
    <definedName name="INCADI2" localSheetId="1">#REF!</definedName>
    <definedName name="INCADI2">#REF!</definedName>
    <definedName name="incadj" localSheetId="0">[34]PricingAnalysis!#REF!</definedName>
    <definedName name="incadj" localSheetId="1">[34]PricingAnalysis!#REF!</definedName>
    <definedName name="incadj">[34]PricingAnalysis!#REF!</definedName>
    <definedName name="Ind65Care99">[18]Consolidated!$AX$37</definedName>
    <definedName name="Ind65MM99">[18]Consolidated!$AY$37</definedName>
    <definedName name="Ind65Rev99">[18]Consolidated!$AW$37</definedName>
    <definedName name="Inden">[33]Input!$D$112</definedName>
    <definedName name="INPUTRANGE" localSheetId="0">#REF!</definedName>
    <definedName name="INPUTRANGE" localSheetId="1">#REF!</definedName>
    <definedName name="INPUTRANGE">#REF!</definedName>
    <definedName name="jan" localSheetId="0">#REF!</definedName>
    <definedName name="jan" localSheetId="1">#REF!</definedName>
    <definedName name="jan">#REF!</definedName>
    <definedName name="JuneIntandOtherInc" localSheetId="0">[35]Consolidated!#REF!</definedName>
    <definedName name="JuneIntandOtherInc" localSheetId="1">[35]Consolidated!#REF!</definedName>
    <definedName name="JuneIntandOtherInc">[35]Consolidated!#REF!</definedName>
    <definedName name="Jurisdiction">[11]Juris!$A$2:$G$91</definedName>
    <definedName name="LINCOLN">[9]BPref2!#REF!</definedName>
    <definedName name="LOBTOTALS" localSheetId="0">#REF!</definedName>
    <definedName name="LOBTOTALS" localSheetId="1">#REF!</definedName>
    <definedName name="LOBTOTALS">#REF!</definedName>
    <definedName name="LOOP" localSheetId="0">#REF!</definedName>
    <definedName name="LOOP" localSheetId="1">#REF!</definedName>
    <definedName name="LOOP">#REF!</definedName>
    <definedName name="LOOP1_" localSheetId="0">#REF!</definedName>
    <definedName name="LOOP1_" localSheetId="1">#REF!</definedName>
    <definedName name="LOOP1_">#REF!</definedName>
    <definedName name="LOOP2_">#REF!</definedName>
    <definedName name="LUCY">#REF!</definedName>
    <definedName name="lyuu" localSheetId="0">{#N/A,#N/A,FALSE,"Page 14"}</definedName>
    <definedName name="lyuu" localSheetId="1">{#N/A,#N/A,FALSE,"Page 14"}</definedName>
    <definedName name="lyuu">{#N/A,#N/A,FALSE,"Page 14"}</definedName>
    <definedName name="Mdmems">'[18]FinComP&amp;L'!$AA$42</definedName>
    <definedName name="MDSGR_DECLM">[36]CLAIMS!$E$7:$E$22</definedName>
    <definedName name="MDSGR_DEINC">[36]INCOME!$F$5:$F$20</definedName>
    <definedName name="MDSGR_DISTCLM">[36]CLAIMS!$A$7:$A$22</definedName>
    <definedName name="MDSGR_DISTENR">[36]ENROLL!$B$5:$B$19</definedName>
    <definedName name="MDSGR_DISTINC">[36]INCOME!$B$5:$B$20</definedName>
    <definedName name="MDSGR_DRCLM">[36]CLAIMS!$D$7:$D$22</definedName>
    <definedName name="MDSGR_DRINC">[36]INCOME!$E$5:$E$20</definedName>
    <definedName name="MDSGR_ECM">[36]ENROLL!$C$5:$C$19</definedName>
    <definedName name="MDSGR_HMOCLM">[36]CLAIMS!$B$7:$B$22</definedName>
    <definedName name="MDSGR_HMOINC">[36]INCOME!$C$5:$C$20</definedName>
    <definedName name="MDSGR_MEDCLM">[37]CLAIMS!$D$7:$D$26</definedName>
    <definedName name="MDSGR_MEDINC">[37]INCOME!$E$5:$E$22</definedName>
    <definedName name="MDSGR_MEM">[36]ENROLL!$D$5:$D$19</definedName>
    <definedName name="MDSGR_NONCLM">[36]CLAIMS!$C$7:$C$22</definedName>
    <definedName name="MDSGR_NONINC">[36]INCOME!$D$5:$D$20</definedName>
    <definedName name="MDSGR_VSCLM">[36]CLAIMS!$F$7:$F$22</definedName>
    <definedName name="MDSGR_VSINC">[36]INCOME!$G$5:$G$20</definedName>
    <definedName name="Med_Admin">[38]UnCap!$CL$2:$CN$5</definedName>
    <definedName name="Medicaid" localSheetId="0" hidden="1">{#N/A,#N/A,FALSE,"Consolidated";#N/A,#N/A,FALSE,"Ind&gt;65";#N/A,#N/A,FALSE,"Ind&lt;65";#N/A,#N/A,FALSE,"Sego&lt;50";#N/A,#N/A,FALSE,"Grp51+";#N/A,#N/A,FALSE,"CommercialHMO";#N/A,#N/A,FALSE,"MCare1st";#N/A,#N/A,FALSE,"Medicaid";#N/A,#N/A,FALSE,"FEP";#N/A,#N/A,FALSE,"Elim";#N/A,#N/A,FALSE,"N-R";#N/A,#N/A,FALSE,"N-R 51+";#N/A,#N/A,FALSE,"Nat'l-C";#N/A,#N/A,FALSE,"Nat'l-NC";#N/A,#N/A,FALSE,"TPA";#N/A,#N/A,FALSE,"ASO";#N/A,#N/A,FALSE,"Medicare A"}</definedName>
    <definedName name="Medicaid" localSheetId="1" hidden="1">{#N/A,#N/A,FALSE,"Consolidated";#N/A,#N/A,FALSE,"Ind&gt;65";#N/A,#N/A,FALSE,"Ind&lt;65";#N/A,#N/A,FALSE,"Sego&lt;50";#N/A,#N/A,FALSE,"Grp51+";#N/A,#N/A,FALSE,"CommercialHMO";#N/A,#N/A,FALSE,"MCare1st";#N/A,#N/A,FALSE,"Medicaid";#N/A,#N/A,FALSE,"FEP";#N/A,#N/A,FALSE,"Elim";#N/A,#N/A,FALSE,"N-R";#N/A,#N/A,FALSE,"N-R 51+";#N/A,#N/A,FALSE,"Nat'l-C";#N/A,#N/A,FALSE,"Nat'l-NC";#N/A,#N/A,FALSE,"TPA";#N/A,#N/A,FALSE,"ASO";#N/A,#N/A,FALSE,"Medicare A"}</definedName>
    <definedName name="Medicaid" hidden="1">{#N/A,#N/A,FALSE,"Consolidated";#N/A,#N/A,FALSE,"Ind&gt;65";#N/A,#N/A,FALSE,"Ind&lt;65";#N/A,#N/A,FALSE,"Sego&lt;50";#N/A,#N/A,FALSE,"Grp51+";#N/A,#N/A,FALSE,"CommercialHMO";#N/A,#N/A,FALSE,"MCare1st";#N/A,#N/A,FALSE,"Medicaid";#N/A,#N/A,FALSE,"FEP";#N/A,#N/A,FALSE,"Elim";#N/A,#N/A,FALSE,"N-R";#N/A,#N/A,FALSE,"N-R 51+";#N/A,#N/A,FALSE,"Nat'l-C";#N/A,#N/A,FALSE,"Nat'l-NC";#N/A,#N/A,FALSE,"TPA";#N/A,#N/A,FALSE,"ASO";#N/A,#N/A,FALSE,"Medicare A"}</definedName>
    <definedName name="MESSAGE">#REF!</definedName>
    <definedName name="Misc">'[13]Main Input'!$C$27</definedName>
    <definedName name="MM">[9]BPref2!#REF!</definedName>
    <definedName name="MMPURE">[9]BPref2!#REF!</definedName>
    <definedName name="months" localSheetId="0">#REF!</definedName>
    <definedName name="months" localSheetId="1">#REF!</definedName>
    <definedName name="months">#REF!</definedName>
    <definedName name="months_97" localSheetId="0">#REF!</definedName>
    <definedName name="months_97" localSheetId="1">#REF!</definedName>
    <definedName name="months_97">#REF!</definedName>
    <definedName name="months_98" localSheetId="0">#REF!</definedName>
    <definedName name="months_98" localSheetId="1">#REF!</definedName>
    <definedName name="months_98">#REF!</definedName>
    <definedName name="months_99">#REF!</definedName>
    <definedName name="N1ASO">#REF!</definedName>
    <definedName name="N2ASO">#REF!</definedName>
    <definedName name="NAME">#REF!</definedName>
    <definedName name="Nasco_Care">[10]Contracts!$B$2:$H$153</definedName>
    <definedName name="network" localSheetId="0" hidden="1">{#N/A,#N/A,FALSE,"II.General ";#N/A,#N/A,FALSE,"III.Plan Design";#N/A,#N/A,FALSE,"IV.Delivery System";#N/A,#N/A,FALSE,"V.Reimbursement";#N/A,#N/A,FALSE,"VI.Manage-Satisf.";#N/A,#N/A,FALSE,"VII. &amp;VIII. Other";#N/A,#N/A,FALSE,"Appendix 2";#N/A,#N/A,FALSE,"Appendix 3a";#N/A,#N/A,FALSE,"Appendix 3b";#N/A,#N/A,FALSE,"Appendix 3b(cont.)"}</definedName>
    <definedName name="network" localSheetId="1" hidden="1">{#N/A,#N/A,FALSE,"II.General ";#N/A,#N/A,FALSE,"III.Plan Design";#N/A,#N/A,FALSE,"IV.Delivery System";#N/A,#N/A,FALSE,"V.Reimbursement";#N/A,#N/A,FALSE,"VI.Manage-Satisf.";#N/A,#N/A,FALSE,"VII. &amp;VIII. Other";#N/A,#N/A,FALSE,"Appendix 2";#N/A,#N/A,FALSE,"Appendix 3a";#N/A,#N/A,FALSE,"Appendix 3b";#N/A,#N/A,FALSE,"Appendix 3b(cont.)"}</definedName>
    <definedName name="network" hidden="1">{#N/A,#N/A,FALSE,"II.General ";#N/A,#N/A,FALSE,"III.Plan Design";#N/A,#N/A,FALSE,"IV.Delivery System";#N/A,#N/A,FALSE,"V.Reimbursement";#N/A,#N/A,FALSE,"VI.Manage-Satisf.";#N/A,#N/A,FALSE,"VII. &amp;VIII. Other";#N/A,#N/A,FALSE,"Appendix 2";#N/A,#N/A,FALSE,"Appendix 3a";#N/A,#N/A,FALSE,"Appendix 3b";#N/A,#N/A,FALSE,"Appendix 3b(cont.)"}</definedName>
    <definedName name="Network_Discount">[15]Assumptions!$E$46:$I$82</definedName>
    <definedName name="Network_Util_Disc">[15]Assumptions!$N$46:$R$82</definedName>
    <definedName name="Network_Util_Disc2">[39]Assumptions!$P$112:$V$148</definedName>
    <definedName name="NEW" localSheetId="0" hidden="1">{#N/A,#N/A,FALSE,"100.90%.300.70%";#N/A,#N/A,FALSE,"300.90%.500.70%";#N/A,#N/A,FALSE,"300.80%.500.60%";#N/A,#N/A,FALSE,"500.80%.750.60%"}</definedName>
    <definedName name="NEW" localSheetId="1" hidden="1">{#N/A,#N/A,FALSE,"100.90%.300.70%";#N/A,#N/A,FALSE,"300.90%.500.70%";#N/A,#N/A,FALSE,"300.80%.500.60%";#N/A,#N/A,FALSE,"500.80%.750.60%"}</definedName>
    <definedName name="NEW" hidden="1">{#N/A,#N/A,FALSE,"100.90%.300.70%";#N/A,#N/A,FALSE,"300.90%.500.70%";#N/A,#N/A,FALSE,"300.80%.500.60%";#N/A,#N/A,FALSE,"500.80%.750.60%"}</definedName>
    <definedName name="NEXT">#REF!</definedName>
    <definedName name="Noname">[40]Input!$B$5</definedName>
    <definedName name="O5C" localSheetId="0">#REF!</definedName>
    <definedName name="O5C" localSheetId="1">#REF!</definedName>
    <definedName name="O5C">#REF!</definedName>
    <definedName name="O5C_OFF" localSheetId="0">#REF!</definedName>
    <definedName name="O5C_OFF" localSheetId="1">#REF!</definedName>
    <definedName name="O5C_OFF">#REF!</definedName>
    <definedName name="O5C_ON" localSheetId="0">#REF!</definedName>
    <definedName name="O5C_ON" localSheetId="1">#REF!</definedName>
    <definedName name="O5C_ON">#REF!</definedName>
    <definedName name="O5CCRIT">#REF!</definedName>
    <definedName name="O5OC">#REF!</definedName>
    <definedName name="O5OCBOT">#REF!</definedName>
    <definedName name="OE">#REF!</definedName>
    <definedName name="OFF">#REF!</definedName>
    <definedName name="OGC">#REF!</definedName>
    <definedName name="OMU">#REF!</definedName>
    <definedName name="ONCADI">#REF!</definedName>
    <definedName name="OOE">#REF!</definedName>
    <definedName name="OOE_OFF">#REF!</definedName>
    <definedName name="OOE_ON">#REF!</definedName>
    <definedName name="OOECRIT">#REF!</definedName>
    <definedName name="OpenAccess">#REF!</definedName>
    <definedName name="OptOutPlus">#REF!</definedName>
    <definedName name="Ortho">[23]Input!$D$121</definedName>
    <definedName name="OUTPUT" localSheetId="0">#REF!</definedName>
    <definedName name="OUTPUT" localSheetId="1">#REF!</definedName>
    <definedName name="OUTPUT">#REF!</definedName>
    <definedName name="OVER" localSheetId="0">#REF!</definedName>
    <definedName name="OVER" localSheetId="1">#REF!</definedName>
    <definedName name="OVER">#REF!</definedName>
    <definedName name="over65" localSheetId="0">#REF!</definedName>
    <definedName name="over65" localSheetId="1">#REF!</definedName>
    <definedName name="over65">#REF!</definedName>
    <definedName name="Page_1">#REF!</definedName>
    <definedName name="PAGE1">#REF!</definedName>
    <definedName name="PAGE2">#N/A</definedName>
    <definedName name="page3">#REF!</definedName>
    <definedName name="page4">#REF!</definedName>
    <definedName name="payprdstart">'[1]Pay Dates'!$A$1:$A$24</definedName>
    <definedName name="PERCENT">[9]BPref2!#REF!</definedName>
    <definedName name="PIC1D" localSheetId="0">#REF!</definedName>
    <definedName name="PIC1D" localSheetId="1">#REF!</definedName>
    <definedName name="PIC1D">#REF!</definedName>
    <definedName name="PIC1E" localSheetId="0">#REF!</definedName>
    <definedName name="PIC1E" localSheetId="1">#REF!</definedName>
    <definedName name="PIC1E">#REF!</definedName>
    <definedName name="PIC1F" localSheetId="0">#REF!</definedName>
    <definedName name="PIC1F" localSheetId="1">#REF!</definedName>
    <definedName name="PIC1F">#REF!</definedName>
    <definedName name="PIC1G">#REF!</definedName>
    <definedName name="PIC1H">#REF!</definedName>
    <definedName name="PIC1I">#REF!</definedName>
    <definedName name="PIC1J">[4]InputData!#REF!</definedName>
    <definedName name="PIC1K">[4]InputData!#REF!</definedName>
    <definedName name="PIC2D">#REF!</definedName>
    <definedName name="PIC2E">#REF!</definedName>
    <definedName name="PIC2F">#REF!</definedName>
    <definedName name="PIC2G">#REF!</definedName>
    <definedName name="PIC2H">#REF!</definedName>
    <definedName name="PIC2I">#REF!</definedName>
    <definedName name="PIC2J">[4]InputData!#REF!</definedName>
    <definedName name="PIC2K">[4]InputData!#REF!</definedName>
    <definedName name="PIC3D">#REF!</definedName>
    <definedName name="PIC3E">#REF!</definedName>
    <definedName name="PIC3F">#REF!</definedName>
    <definedName name="PIC3G">#REF!</definedName>
    <definedName name="PIC3H">#REF!</definedName>
    <definedName name="PIC3I">#REF!</definedName>
    <definedName name="PIC3J">[4]InputData!#REF!</definedName>
    <definedName name="PIC3K">[4]InputData!#REF!</definedName>
    <definedName name="PIC4D">#REF!</definedName>
    <definedName name="PIC4E">#REF!</definedName>
    <definedName name="PIC4F">#REF!</definedName>
    <definedName name="PIC4G">#REF!</definedName>
    <definedName name="PIC4H">#REF!</definedName>
    <definedName name="PIC4I">#REF!</definedName>
    <definedName name="PIC4J">[4]InputData!#REF!</definedName>
    <definedName name="PIC4K">[4]InputData!#REF!</definedName>
    <definedName name="PIC5D">#REF!</definedName>
    <definedName name="PIC5E">#REF!</definedName>
    <definedName name="PIC5F">#REF!</definedName>
    <definedName name="PIC5G">#REF!</definedName>
    <definedName name="PIC5H">#REF!</definedName>
    <definedName name="PIC5I">#REF!</definedName>
    <definedName name="PIC5J">[4]InputData!#REF!</definedName>
    <definedName name="PIC5K">[4]InputData!#REF!</definedName>
    <definedName name="PIC6D">#REF!</definedName>
    <definedName name="PIC6E">#REF!</definedName>
    <definedName name="PIC6F">#REF!</definedName>
    <definedName name="PIC6G">#REF!</definedName>
    <definedName name="PIC6H">#REF!</definedName>
    <definedName name="PIC6I">#REF!</definedName>
    <definedName name="PIC6J">[4]InputData!#REF!</definedName>
    <definedName name="PIC6K">[4]InputData!#REF!</definedName>
    <definedName name="PMPM_Breakdown_Table">[15]Assumptions!$W$5:$AA$42</definedName>
    <definedName name="POOLLVL">[9]BPref2!#REF!</definedName>
    <definedName name="PPO" localSheetId="0" hidden="1">{#N/A,#N/A,FALSE,"Page 14"}</definedName>
    <definedName name="PPO" localSheetId="1" hidden="1">{#N/A,#N/A,FALSE,"Page 14"}</definedName>
    <definedName name="PPO" hidden="1">{#N/A,#N/A,FALSE,"Page 14"}</definedName>
    <definedName name="PPOO" localSheetId="0" hidden="1">{#N/A,#N/A,TRUE,"CC &amp; Adv VADC";#N/A,#N/A,TRUE,"Choice &amp; Ind VADC";#N/A,#N/A,TRUE,"BluPref VADC";#N/A,#N/A,TRUE,"Rx VADC"}</definedName>
    <definedName name="PPOO" localSheetId="1" hidden="1">{#N/A,#N/A,TRUE,"CC &amp; Adv VADC";#N/A,#N/A,TRUE,"Choice &amp; Ind VADC";#N/A,#N/A,TRUE,"BluPref VADC";#N/A,#N/A,TRUE,"Rx VADC"}</definedName>
    <definedName name="PPOO" hidden="1">{#N/A,#N/A,TRUE,"CC &amp; Adv VADC";#N/A,#N/A,TRUE,"Choice &amp; Ind VADC";#N/A,#N/A,TRUE,"BluPref VADC";#N/A,#N/A,TRUE,"Rx VADC"}</definedName>
    <definedName name="Price">#REF!</definedName>
    <definedName name="PRINT">#REF!</definedName>
    <definedName name="Print_Area_MI">#REF!</definedName>
    <definedName name="_xlnm.Print_Titles" localSheetId="3">'Partners 23-24 75%'!$1:$5</definedName>
    <definedName name="_xlnm.Print_Titles" localSheetId="2">'Partners 23-24 No Change'!$1:$5</definedName>
    <definedName name="_xlnm.Print_Titles" localSheetId="4">'Prtnrs Change Ref to Gold HRA'!$1:$5</definedName>
    <definedName name="_xlnm.Print_Titles" localSheetId="5">'Prtnrs Change Ref to Silver HRA'!$1:$5</definedName>
    <definedName name="Pro_Mail_Acute_Brand_Multi_Cop">[24]Input!$Q$43</definedName>
    <definedName name="Pro_Mail_Acute_Brand_Single_Cop">[24]Input!$Q$42</definedName>
    <definedName name="Pro_Mail_Acute_Gen_Cop">[24]Input!$Q$41</definedName>
    <definedName name="Pro_Mail_Acute_NonForm_Cop">[24]Input!$Q$44</definedName>
    <definedName name="Pro_Mail_Maint_Brand_Multi_Cop">[24]Input!$Q$50</definedName>
    <definedName name="Pro_Mail_Maint_Brand_Single_Cop">[24]Input!$Q$49</definedName>
    <definedName name="Pro_Mail_Maint_Gen_Cop">[24]Input!$Q$48</definedName>
    <definedName name="Pro_Mail_Maint_NonForm_Cop">[24]Input!$Q$51</definedName>
    <definedName name="Pro_Retail_Acute_Brand_Multi_Cop">[24]Input!$Q$27</definedName>
    <definedName name="Pro_Retail_Acute_Brand_Single_Cop">[24]Input!$Q$26</definedName>
    <definedName name="Pro_Retail_Acute_Gen_Cop">[24]Input!$Q$25</definedName>
    <definedName name="Pro_Retail_Acute_NonForm_Cop">[24]Input!$Q$28</definedName>
    <definedName name="Pro_Retail_Maint_Brand_Multi_Cop">[24]Input!$Q$34</definedName>
    <definedName name="Pro_Retail_Maint_Brand_Single_Cop">[24]Input!$Q$33</definedName>
    <definedName name="Pro_Retail_Maint_Gen_Cop">[24]Input!$Q$32</definedName>
    <definedName name="Pro_Retail_Maint_NonForm_Cop">[24]Input!$Q$35</definedName>
    <definedName name="Prod_Util_Table">[15]Assumptions!$E$12:$I$14</definedName>
    <definedName name="Prop_Ann_Max">[24]StandardProd!$F$68</definedName>
    <definedName name="Prop_Coins">[24]Input!$Q$59</definedName>
    <definedName name="Prop_Deductible">[24]Input!$Q$57</definedName>
    <definedName name="Prop_Mail_Acute_Day">[24]Input!$Q$46</definedName>
    <definedName name="Prop_Mail_Maint_Day">[24]Input!$Q$53</definedName>
    <definedName name="Prop_Retail_Acute_Day">[24]Input!$Q$30</definedName>
    <definedName name="Prop_Retail_Maint_Day">[24]Input!$Q$37</definedName>
    <definedName name="PRORISK">[9]BPref2!#REF!</definedName>
    <definedName name="Quarterly_Min_Dollars" localSheetId="0">#REF!</definedName>
    <definedName name="Quarterly_Min_Dollars" localSheetId="1">#REF!</definedName>
    <definedName name="Quarterly_Min_Dollars">#REF!</definedName>
    <definedName name="Quarterly_Min_PMPM" localSheetId="0">#REF!</definedName>
    <definedName name="Quarterly_Min_PMPM" localSheetId="1">#REF!</definedName>
    <definedName name="Quarterly_Min_PMPM">#REF!</definedName>
    <definedName name="Quarterly_Print" localSheetId="0">#REF!</definedName>
    <definedName name="Quarterly_Print" localSheetId="1">#REF!</definedName>
    <definedName name="Quarterly_Print">#REF!</definedName>
    <definedName name="Quarterly_Risk_Dollars">#REF!</definedName>
    <definedName name="Quarterly_Risk_PMPM">#REF!</definedName>
    <definedName name="Quarterly_Total_Dollars">#REF!</definedName>
    <definedName name="Quarterly_Total_PMPM">#REF!</definedName>
    <definedName name="RATE">[9]BPref2!#REF!</definedName>
    <definedName name="RATE1">[9]BPref2!#REF!</definedName>
    <definedName name="RenIncr2002" localSheetId="0">#REF!</definedName>
    <definedName name="RenIncr2002" localSheetId="1">#REF!</definedName>
    <definedName name="RenIncr2002">#REF!</definedName>
    <definedName name="RESERVE">[9]BPref2!#REF!</definedName>
    <definedName name="RET">[9]BPref2!#REF!</definedName>
    <definedName name="REVREQ" localSheetId="0">#REF!</definedName>
    <definedName name="REVREQ" localSheetId="1">#REF!</definedName>
    <definedName name="REVREQ">#REF!</definedName>
    <definedName name="ROWBOR" localSheetId="0">#REF!</definedName>
    <definedName name="ROWBOR" localSheetId="1">#REF!</definedName>
    <definedName name="ROWBOR">#REF!</definedName>
    <definedName name="ROWCOUNT" localSheetId="0">#REF!</definedName>
    <definedName name="ROWCOUNT" localSheetId="1">#REF!</definedName>
    <definedName name="ROWCOUNT">#REF!</definedName>
    <definedName name="Scenarios">#REF!</definedName>
    <definedName name="Sec_Annual_Benefit_Max">[30]Input!$N$24</definedName>
    <definedName name="Sec_In_Coins_All" localSheetId="0">#REF!</definedName>
    <definedName name="Sec_In_Coins_All" localSheetId="1">#REF!</definedName>
    <definedName name="Sec_In_Coins_All">#REF!</definedName>
    <definedName name="Sec_In_Coins_Inhosp">[31]Input!$N$37</definedName>
    <definedName name="Sec_In_Coins_Inphys">[31]Input!$N$39</definedName>
    <definedName name="Sec_In_Coins_IPMH" localSheetId="0">#REF!</definedName>
    <definedName name="Sec_In_Coins_IPMH" localSheetId="1">#REF!</definedName>
    <definedName name="Sec_In_Coins_IPMH">#REF!</definedName>
    <definedName name="Sec_In_Coins_Lab" localSheetId="0">#REF!</definedName>
    <definedName name="Sec_In_Coins_Lab" localSheetId="1">#REF!</definedName>
    <definedName name="Sec_In_Coins_Lab">#REF!</definedName>
    <definedName name="Sec_In_Coins_OPMH" localSheetId="0">#REF!</definedName>
    <definedName name="Sec_In_Coins_OPMH" localSheetId="1">#REF!</definedName>
    <definedName name="Sec_In_Coins_OPMH">#REF!</definedName>
    <definedName name="Sec_In_Coins_OPMH1">#REF!</definedName>
    <definedName name="Sec_In_Coins_OPMH11">#REF!</definedName>
    <definedName name="Sec_In_Coins_OPMH21">#REF!</definedName>
    <definedName name="Sec_In_Coins_OPMH31">#REF!</definedName>
    <definedName name="Sec_In_Coins_OPMH6">#REF!</definedName>
    <definedName name="Sec_In_Coins_OPSA1">#REF!</definedName>
    <definedName name="Sec_In_Coins_OPSA11">#REF!</definedName>
    <definedName name="Sec_In_Coins_OPSA21">#REF!</definedName>
    <definedName name="Sec_In_Coins_OPSA31">#REF!</definedName>
    <definedName name="Sec_In_Coins_OPSA6">#REF!</definedName>
    <definedName name="Sec_In_Coins_Outhosp">[31]Input!$N$38</definedName>
    <definedName name="Sec_In_Coins_Outphys">[31]Input!$N$40</definedName>
    <definedName name="Sec_In_Coins_Prev" localSheetId="0">#REF!</definedName>
    <definedName name="Sec_In_Coins_Prev" localSheetId="1">#REF!</definedName>
    <definedName name="Sec_In_Coins_Prev">#REF!</definedName>
    <definedName name="Sec_In_Cop_ER" localSheetId="0">#REF!</definedName>
    <definedName name="Sec_In_Cop_ER" localSheetId="1">#REF!</definedName>
    <definedName name="Sec_In_Cop_ER">#REF!</definedName>
    <definedName name="Sec_In_Cop_IPHosp" localSheetId="0">#REF!</definedName>
    <definedName name="Sec_In_Cop_IPHosp" localSheetId="1">#REF!</definedName>
    <definedName name="Sec_In_Cop_IPHosp">#REF!</definedName>
    <definedName name="Sec_In_Cop_IPMH">#REF!</definedName>
    <definedName name="Sec_In_Cop_Mat">#REF!</definedName>
    <definedName name="Sec_In_Cop_MHPH">#REF!</definedName>
    <definedName name="Sec_In_Cop_OPHosp">#REF!</definedName>
    <definedName name="Sec_In_Cop_OPMH">#REF!</definedName>
    <definedName name="Sec_In_Cop_PCP">#REF!</definedName>
    <definedName name="Sec_In_Cop_Spec">#REF!</definedName>
    <definedName name="Sec_In_Ded_IP">#REF!</definedName>
    <definedName name="Sec_In_Ded_OP">#REF!</definedName>
    <definedName name="Sec_In_Life">#REF!</definedName>
    <definedName name="Sec_In_OOP">#REF!</definedName>
    <definedName name="Sec_In_Trans_Rider">[31]Input!$N$66</definedName>
    <definedName name="Sec_In_Visit_IPMH" localSheetId="0">#REF!</definedName>
    <definedName name="Sec_In_Visit_IPMH" localSheetId="1">#REF!</definedName>
    <definedName name="Sec_In_Visit_IPMH">#REF!</definedName>
    <definedName name="Sec_In_Visit_IPSA" localSheetId="0">#REF!</definedName>
    <definedName name="Sec_In_Visit_IPSA" localSheetId="1">#REF!</definedName>
    <definedName name="Sec_In_Visit_IPSA">#REF!</definedName>
    <definedName name="Sec_In_Visit_OPMH" localSheetId="0">#REF!</definedName>
    <definedName name="Sec_In_Visit_OPMH" localSheetId="1">#REF!</definedName>
    <definedName name="Sec_In_Visit_OPMH">#REF!</definedName>
    <definedName name="Sec_In_Visit_OPSA">#REF!</definedName>
    <definedName name="Sec_Level_1_Coinsurance">[30]Input!$N$31</definedName>
    <definedName name="Sec_Level_1_Ded_Family">[30]Input!$N$41</definedName>
    <definedName name="Sec_Level_1_Ded_Ind">[30]Input!$N$37</definedName>
    <definedName name="Sec_Level_2_Coinsurance">[30]Input!$N$32</definedName>
    <definedName name="Sec_Level_2_Ded_Family">[30]Input!$N$42</definedName>
    <definedName name="Sec_Level_2_Ded_Ind">[30]Input!$N$38</definedName>
    <definedName name="Sec_Level_3_Coinsurance">[30]Input!$N$33</definedName>
    <definedName name="Sec_Level_3_Ded_Family">[30]Input!$N$43</definedName>
    <definedName name="Sec_Level_3_Ded_Ind">[30]Input!$N$39</definedName>
    <definedName name="Sec_Level_4_Benefit_Max">[30]Input!$N$27</definedName>
    <definedName name="Sec_Level_4_Coinsurance">[30]Input!$N$34</definedName>
    <definedName name="Sec_Level_4_Ded_Family">[30]Input!$N$44</definedName>
    <definedName name="Sec_Level_4_Ded_Ind">[30]Input!$N$40</definedName>
    <definedName name="Sec_Network" localSheetId="0">#REF!</definedName>
    <definedName name="Sec_Network" localSheetId="1">#REF!</definedName>
    <definedName name="Sec_Network">#REF!</definedName>
    <definedName name="Sec_NonStand_Prod">[15]StandProd!$Q$47</definedName>
    <definedName name="Sec_Out_Coins_All" localSheetId="0">#REF!</definedName>
    <definedName name="Sec_Out_Coins_All" localSheetId="1">#REF!</definedName>
    <definedName name="Sec_Out_Coins_All">#REF!</definedName>
    <definedName name="Sec_Out_Coins_Inhosp">[31]Input!$Q$37</definedName>
    <definedName name="Sec_Out_Coins_Inphys">[31]Input!$Q$39</definedName>
    <definedName name="Sec_Out_Coins_IPMH" localSheetId="0">#REF!</definedName>
    <definedName name="Sec_Out_Coins_IPMH" localSheetId="1">#REF!</definedName>
    <definedName name="Sec_Out_Coins_IPMH">#REF!</definedName>
    <definedName name="Sec_Out_Coins_Lab" localSheetId="0">#REF!</definedName>
    <definedName name="Sec_Out_Coins_Lab" localSheetId="1">#REF!</definedName>
    <definedName name="Sec_Out_Coins_Lab">#REF!</definedName>
    <definedName name="Sec_Out_Coins_OPMH" localSheetId="0">#REF!</definedName>
    <definedName name="Sec_Out_Coins_OPMH" localSheetId="1">#REF!</definedName>
    <definedName name="Sec_Out_Coins_OPMH">#REF!</definedName>
    <definedName name="Sec_Out_Coins_OPMH1">#REF!</definedName>
    <definedName name="Sec_Out_Coins_OPMH11">#REF!</definedName>
    <definedName name="Sec_Out_Coins_OPMH21">#REF!</definedName>
    <definedName name="Sec_Out_Coins_OPMH31">#REF!</definedName>
    <definedName name="Sec_Out_Coins_OPMH6">#REF!</definedName>
    <definedName name="Sec_Out_Coins_OPSA1">#REF!</definedName>
    <definedName name="Sec_Out_Coins_OPSA11">#REF!</definedName>
    <definedName name="Sec_Out_Coins_OPSA21">#REF!</definedName>
    <definedName name="Sec_Out_Coins_OPSA31">#REF!</definedName>
    <definedName name="Sec_Out_Coins_OPSA6">#REF!</definedName>
    <definedName name="Sec_Out_Coins_Outhosp">[31]Input!$Q$38</definedName>
    <definedName name="Sec_Out_Coins_Outphys">[31]Input!$Q$40</definedName>
    <definedName name="Sec_Out_Coins_Prev" localSheetId="0">#REF!</definedName>
    <definedName name="Sec_Out_Coins_Prev" localSheetId="1">#REF!</definedName>
    <definedName name="Sec_Out_Coins_Prev">#REF!</definedName>
    <definedName name="Sec_Out_Cop_ER" localSheetId="0">#REF!</definedName>
    <definedName name="Sec_Out_Cop_ER" localSheetId="1">#REF!</definedName>
    <definedName name="Sec_Out_Cop_ER">#REF!</definedName>
    <definedName name="Sec_Out_Cop_IPHosp" localSheetId="0">#REF!</definedName>
    <definedName name="Sec_Out_Cop_IPHosp" localSheetId="1">#REF!</definedName>
    <definedName name="Sec_Out_Cop_IPHosp">#REF!</definedName>
    <definedName name="Sec_Out_Cop_IPMH">#REF!</definedName>
    <definedName name="Sec_Out_Cop_Mat">#REF!</definedName>
    <definedName name="Sec_Out_Cop_MHPH">#REF!</definedName>
    <definedName name="Sec_Out_Cop_OPHosp">#REF!</definedName>
    <definedName name="Sec_Out_Cop_OPMH">#REF!</definedName>
    <definedName name="Sec_Out_Cop_PCP">#REF!</definedName>
    <definedName name="Sec_Out_Cop_Spec">#REF!</definedName>
    <definedName name="Sec_Out_Ded_IP">#REF!</definedName>
    <definedName name="Sec_Out_Ded_OP">#REF!</definedName>
    <definedName name="Sec_Out_Life">#REF!</definedName>
    <definedName name="Sec_Out_OOP">#REF!</definedName>
    <definedName name="Sec_Out_Trans_Rider">[31]Input!$Q$66</definedName>
    <definedName name="Sec_Out_Visit_IPMH" localSheetId="0">#REF!</definedName>
    <definedName name="Sec_Out_Visit_IPMH" localSheetId="1">#REF!</definedName>
    <definedName name="Sec_Out_Visit_IPMH">#REF!</definedName>
    <definedName name="Sec_Out_Visit_IPSA" localSheetId="0">#REF!</definedName>
    <definedName name="Sec_Out_Visit_IPSA" localSheetId="1">#REF!</definedName>
    <definedName name="Sec_Out_Visit_IPSA">#REF!</definedName>
    <definedName name="Sec_Out_Visit_OPMH" localSheetId="0">#REF!</definedName>
    <definedName name="Sec_Out_Visit_OPMH" localSheetId="1">#REF!</definedName>
    <definedName name="Sec_Out_Visit_OPMH">#REF!</definedName>
    <definedName name="Sec_Out_Visit_OPSA">#REF!</definedName>
    <definedName name="Sec_Stand_Opt">[15]StandProd!$H$47</definedName>
    <definedName name="Sec_Stand_Prod">[15]StandProd!$M$47</definedName>
    <definedName name="sefw" localSheetId="0">{#N/A,#N/A,FALSE,"Cover";#N/A,#N/A,FALSE,"UWGainLoss";#N/A,#N/A,FALSE,"FinComP&amp;L";#N/A,#N/A,FALSE,"FinComPlan";#N/A,#N/A,FALSE,"Consolidated";#N/A,#N/A,FALSE,"Ind&gt;65";#N/A,#N/A,FALSE,"Ind&lt;65";#N/A,#N/A,FALSE,"Sego&lt;50";#N/A,#N/A,FALSE,"Grp51+";#N/A,#N/A,FALSE,"CommercialHMO";#N/A,#N/A,FALSE,"MCare1st";#N/A,#N/A,FALSE,"Medicaid";#N/A,#N/A,FALSE,"FEP";#N/A,#N/A,FALSE,"N-R 51+";#N/A,#N/A,FALSE,"Elim";#N/A,#N/A,FALSE,"N-R";#N/A,#N/A,FALSE,"Nat'l-C";#N/A,#N/A,FALSE,"Nat'l-NC";#N/A,#N/A,FALSE,"TPA";#N/A,#N/A,FALSE,"ASO";#N/A,#N/A,FALSE,"Medicare A";#N/A,#N/A,FALSE,"Sum-$";#N/A,#N/A,FALSE,"Sum-enroll";#N/A,#N/A,FALSE,"Assumptions"}</definedName>
    <definedName name="sefw" localSheetId="1">{#N/A,#N/A,FALSE,"Cover";#N/A,#N/A,FALSE,"UWGainLoss";#N/A,#N/A,FALSE,"FinComP&amp;L";#N/A,#N/A,FALSE,"FinComPlan";#N/A,#N/A,FALSE,"Consolidated";#N/A,#N/A,FALSE,"Ind&gt;65";#N/A,#N/A,FALSE,"Ind&lt;65";#N/A,#N/A,FALSE,"Sego&lt;50";#N/A,#N/A,FALSE,"Grp51+";#N/A,#N/A,FALSE,"CommercialHMO";#N/A,#N/A,FALSE,"MCare1st";#N/A,#N/A,FALSE,"Medicaid";#N/A,#N/A,FALSE,"FEP";#N/A,#N/A,FALSE,"N-R 51+";#N/A,#N/A,FALSE,"Elim";#N/A,#N/A,FALSE,"N-R";#N/A,#N/A,FALSE,"Nat'l-C";#N/A,#N/A,FALSE,"Nat'l-NC";#N/A,#N/A,FALSE,"TPA";#N/A,#N/A,FALSE,"ASO";#N/A,#N/A,FALSE,"Medicare A";#N/A,#N/A,FALSE,"Sum-$";#N/A,#N/A,FALSE,"Sum-enroll";#N/A,#N/A,FALSE,"Assumptions"}</definedName>
    <definedName name="sefw">{#N/A,#N/A,FALSE,"Cover";#N/A,#N/A,FALSE,"UWGainLoss";#N/A,#N/A,FALSE,"FinComP&amp;L";#N/A,#N/A,FALSE,"FinComPlan";#N/A,#N/A,FALSE,"Consolidated";#N/A,#N/A,FALSE,"Ind&gt;65";#N/A,#N/A,FALSE,"Ind&lt;65";#N/A,#N/A,FALSE,"Sego&lt;50";#N/A,#N/A,FALSE,"Grp51+";#N/A,#N/A,FALSE,"CommercialHMO";#N/A,#N/A,FALSE,"MCare1st";#N/A,#N/A,FALSE,"Medicaid";#N/A,#N/A,FALSE,"FEP";#N/A,#N/A,FALSE,"N-R 51+";#N/A,#N/A,FALSE,"Elim";#N/A,#N/A,FALSE,"N-R";#N/A,#N/A,FALSE,"Nat'l-C";#N/A,#N/A,FALSE,"Nat'l-NC";#N/A,#N/A,FALSE,"TPA";#N/A,#N/A,FALSE,"ASO";#N/A,#N/A,FALSE,"Medicare A";#N/A,#N/A,FALSE,"Sum-$";#N/A,#N/A,FALSE,"Sum-enroll";#N/A,#N/A,FALSE,"Assumptions"}</definedName>
    <definedName name="Service_Code_4X">#REF!</definedName>
    <definedName name="Sheet1">#REF!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het10">#REF!</definedName>
    <definedName name="sortout">#REF!</definedName>
    <definedName name="sortout1">#REF!</definedName>
    <definedName name="sortrang">#REF!</definedName>
    <definedName name="SP_COUNT">#REF!</definedName>
    <definedName name="SPACES">#REF!</definedName>
    <definedName name="spec">'[14]2004_charged'!$C$3:$K$92</definedName>
    <definedName name="Spec_2005">[10]Spec_05!$A$3:$L$171</definedName>
    <definedName name="SPECIAL">[9]BPref2!#REF!</definedName>
    <definedName name="ss">[33]Input!$D$13</definedName>
    <definedName name="START" localSheetId="0">#REF!</definedName>
    <definedName name="START" localSheetId="1">#REF!</definedName>
    <definedName name="START">#REF!</definedName>
    <definedName name="STATE">[41]Input!$D$13</definedName>
    <definedName name="STATEs">[42]Input!$D$13</definedName>
    <definedName name="STL" localSheetId="0">#REF!</definedName>
    <definedName name="STL" localSheetId="1">#REF!</definedName>
    <definedName name="STL">#REF!</definedName>
    <definedName name="STOPLOSS">[9]BPref2!#REF!</definedName>
    <definedName name="STOPPERC">[9]BPref2!#REF!</definedName>
    <definedName name="STPL_OFF" localSheetId="0">#REF!</definedName>
    <definedName name="STPL_OFF" localSheetId="1">#REF!</definedName>
    <definedName name="STPL_OFF">#REF!</definedName>
    <definedName name="STPL_ON" localSheetId="0">#REF!</definedName>
    <definedName name="STPL_ON" localSheetId="1">#REF!</definedName>
    <definedName name="STPL_ON">#REF!</definedName>
    <definedName name="STPLCRIT" localSheetId="0">#REF!</definedName>
    <definedName name="STPLCRIT" localSheetId="1">#REF!</definedName>
    <definedName name="STPLCRIT">#REF!</definedName>
    <definedName name="STRAT">#REF!</definedName>
    <definedName name="STU">#REF!</definedName>
    <definedName name="SUMMARY">#REF!</definedName>
    <definedName name="SUMMCRIT">#REF!</definedName>
    <definedName name="SUMMCRIT2">#REF!</definedName>
    <definedName name="SUMMRANGE">#REF!</definedName>
    <definedName name="SUMR1">#REF!</definedName>
    <definedName name="SUMR2">#REF!</definedName>
    <definedName name="table1">#REF!</definedName>
    <definedName name="table2">#REF!</definedName>
    <definedName name="table3">#REF!</definedName>
    <definedName name="table4">#REF!</definedName>
    <definedName name="table5">#REF!</definedName>
    <definedName name="table6">#REF!</definedName>
    <definedName name="TEST">#REF!</definedName>
    <definedName name="TIER">[19]Input!$D$34</definedName>
    <definedName name="TITLR" localSheetId="0">#REF!</definedName>
    <definedName name="TITLR" localSheetId="1">#REF!</definedName>
    <definedName name="TITLR">#REF!</definedName>
    <definedName name="TORANGE" localSheetId="0">#REF!</definedName>
    <definedName name="TORANGE" localSheetId="1">#REF!</definedName>
    <definedName name="TORANGE">#REF!</definedName>
    <definedName name="Total_mo" localSheetId="0">#REF!</definedName>
    <definedName name="Total_mo" localSheetId="1">#REF!</definedName>
    <definedName name="Total_mo">#REF!</definedName>
    <definedName name="tparev">'[27]FinComP&amp;L'!$Z$52</definedName>
    <definedName name="TRADTBLE">[9]BPref2!#REF!</definedName>
    <definedName name="TRANS" localSheetId="0">#REF!</definedName>
    <definedName name="TRANS" localSheetId="1">#REF!</definedName>
    <definedName name="TRANS">#REF!</definedName>
    <definedName name="Transplant">[19]Input!$I$31</definedName>
    <definedName name="ugo_charged">'[14]03 vs 04 PMPM'!$C$6:$AM$47</definedName>
    <definedName name="ugo_charged_untrended">'[14]03 vs 04 PMPM'!$C$54:$AM$95</definedName>
    <definedName name="uiy" localSheetId="0">{#N/A,#N/A,FALSE,"Cover";"Assumptions",#N/A,FALSE,"Assumptions";"FinComPlan",#N/A,FALSE,"FinComPlan";"UWGainLoss",#N/A,FALSE,"UWGainLoss"}</definedName>
    <definedName name="uiy" localSheetId="1">{#N/A,#N/A,FALSE,"Cover";"Assumptions",#N/A,FALSE,"Assumptions";"FinComPlan",#N/A,FALSE,"FinComPlan";"UWGainLoss",#N/A,FALSE,"UWGainLoss"}</definedName>
    <definedName name="uiy">{#N/A,#N/A,FALSE,"Cover";"Assumptions",#N/A,FALSE,"Assumptions";"FinComPlan",#N/A,FALSE,"FinComPlan";"UWGainLoss",#N/A,FALSE,"UWGainLoss"}</definedName>
    <definedName name="ukly" localSheetId="0">{"septactmtd",#N/A,FALSE,"Sep99";"sepactytd",#N/A,FALSE,"Sep99";"septplanmtd",#N/A,FALSE,"Sep99";"septplanytd",#N/A,FALSE,"Sep99";"septvarmtd",#N/A,FALSE,"Sep99";"septvarytd",#N/A,FALSE,"Sep99"}</definedName>
    <definedName name="ukly" localSheetId="1">{"septactmtd",#N/A,FALSE,"Sep99";"sepactytd",#N/A,FALSE,"Sep99";"septplanmtd",#N/A,FALSE,"Sep99";"septplanytd",#N/A,FALSE,"Sep99";"septvarmtd",#N/A,FALSE,"Sep99";"septvarytd",#N/A,FALSE,"Sep99"}</definedName>
    <definedName name="ukly">{"septactmtd",#N/A,FALSE,"Sep99";"sepactytd",#N/A,FALSE,"Sep99";"septplanmtd",#N/A,FALSE,"Sep99";"septplanytd",#N/A,FALSE,"Sep99";"septvarmtd",#N/A,FALSE,"Sep99";"septvarytd",#N/A,FALSE,"Sep99"}</definedName>
    <definedName name="under65">#REF!</definedName>
    <definedName name="upload">[43]upload!$A$3:$BB$61</definedName>
    <definedName name="UW" localSheetId="0">{#N/A,#N/A,FALSE,"100.90%.300.70%";#N/A,#N/A,FALSE,"300.90%.500.70%";#N/A,#N/A,FALSE,"300.80%.500.60%";#N/A,#N/A,FALSE,"500.80%.750.60%"}</definedName>
    <definedName name="UW" localSheetId="1">{#N/A,#N/A,FALSE,"100.90%.300.70%";#N/A,#N/A,FALSE,"300.90%.500.70%";#N/A,#N/A,FALSE,"300.80%.500.60%";#N/A,#N/A,FALSE,"500.80%.750.60%"}</definedName>
    <definedName name="UW">{#N/A,#N/A,FALSE,"100.90%.300.70%";#N/A,#N/A,FALSE,"300.90%.500.70%";#N/A,#N/A,FALSE,"300.80%.500.60%";#N/A,#N/A,FALSE,"500.80%.750.60%"}</definedName>
    <definedName name="VADC_DECLM">[37]CLAIMS!$F$35:$F$58</definedName>
    <definedName name="VADC_DEINC">[37]INCOME!$G$23:$G$44</definedName>
    <definedName name="VADC_DISTCLM">[37]CLAIMS!$A$35:$A$58</definedName>
    <definedName name="VADC_DISTENR">[37]ENROLL!$B$22:$B$40</definedName>
    <definedName name="VADC_DISTINC">[37]INCOME!$B$23:$B$44</definedName>
    <definedName name="VADC_DRCLM">[37]CLAIMS!$E$35:$E$58</definedName>
    <definedName name="VADC_DRINC">[37]INCOME!$F$23:$F$44</definedName>
    <definedName name="VADC_ECM">[37]ENROLL!$C$22:$C$40</definedName>
    <definedName name="VADC_MEDCLM">[37]CLAIMS!$D$35:$D$58</definedName>
    <definedName name="VADC_MEDINC">[37]INCOME!$E$23:$E$44</definedName>
    <definedName name="VADC_MEM">[37]ENROLL!$D$22:$D$40</definedName>
    <definedName name="Variables">'[1]Health Costs'!$C:$D</definedName>
    <definedName name="WARN">[9]BPref2!#REF!</definedName>
    <definedName name="what" localSheetId="0" hidden="1">{#N/A,#N/A,FALSE,"100.90%.300.70%";#N/A,#N/A,FALSE,"300.90%.500.70%";#N/A,#N/A,FALSE,"300.80%.500.60%";#N/A,#N/A,FALSE,"500.80%.750.60%"}</definedName>
    <definedName name="what" localSheetId="1" hidden="1">{#N/A,#N/A,FALSE,"100.90%.300.70%";#N/A,#N/A,FALSE,"300.90%.500.70%";#N/A,#N/A,FALSE,"300.80%.500.60%";#N/A,#N/A,FALSE,"500.80%.750.60%"}</definedName>
    <definedName name="what" hidden="1">{#N/A,#N/A,FALSE,"100.90%.300.70%";#N/A,#N/A,FALSE,"300.90%.500.70%";#N/A,#N/A,FALSE,"300.80%.500.60%";#N/A,#N/A,FALSE,"500.80%.750.60%"}</definedName>
    <definedName name="wrn.All._.PLs." localSheetId="0" hidden="1">{#N/A,#N/A,FALSE,"Consolidated";#N/A,#N/A,FALSE,"Ind&gt;65";#N/A,#N/A,FALSE,"Ind&lt;65";#N/A,#N/A,FALSE,"Sego&lt;50";#N/A,#N/A,FALSE,"Grp51+";#N/A,#N/A,FALSE,"CommercialHMO";#N/A,#N/A,FALSE,"MCare1st";#N/A,#N/A,FALSE,"Medicaid";#N/A,#N/A,FALSE,"FEP";#N/A,#N/A,FALSE,"Elim";#N/A,#N/A,FALSE,"N-R";#N/A,#N/A,FALSE,"N-R 51+";#N/A,#N/A,FALSE,"Nat'l-C";#N/A,#N/A,FALSE,"Nat'l-NC";#N/A,#N/A,FALSE,"TPA";#N/A,#N/A,FALSE,"ASO";#N/A,#N/A,FALSE,"Medicare A"}</definedName>
    <definedName name="wrn.All._.PLs." localSheetId="1" hidden="1">{#N/A,#N/A,FALSE,"Consolidated";#N/A,#N/A,FALSE,"Ind&gt;65";#N/A,#N/A,FALSE,"Ind&lt;65";#N/A,#N/A,FALSE,"Sego&lt;50";#N/A,#N/A,FALSE,"Grp51+";#N/A,#N/A,FALSE,"CommercialHMO";#N/A,#N/A,FALSE,"MCare1st";#N/A,#N/A,FALSE,"Medicaid";#N/A,#N/A,FALSE,"FEP";#N/A,#N/A,FALSE,"Elim";#N/A,#N/A,FALSE,"N-R";#N/A,#N/A,FALSE,"N-R 51+";#N/A,#N/A,FALSE,"Nat'l-C";#N/A,#N/A,FALSE,"Nat'l-NC";#N/A,#N/A,FALSE,"TPA";#N/A,#N/A,FALSE,"ASO";#N/A,#N/A,FALSE,"Medicare A"}</definedName>
    <definedName name="wrn.All._.PLs." hidden="1">{#N/A,#N/A,FALSE,"Consolidated";#N/A,#N/A,FALSE,"Ind&gt;65";#N/A,#N/A,FALSE,"Ind&lt;65";#N/A,#N/A,FALSE,"Sego&lt;50";#N/A,#N/A,FALSE,"Grp51+";#N/A,#N/A,FALSE,"CommercialHMO";#N/A,#N/A,FALSE,"MCare1st";#N/A,#N/A,FALSE,"Medicaid";#N/A,#N/A,FALSE,"FEP";#N/A,#N/A,FALSE,"Elim";#N/A,#N/A,FALSE,"N-R";#N/A,#N/A,FALSE,"N-R 51+";#N/A,#N/A,FALSE,"Nat'l-C";#N/A,#N/A,FALSE,"Nat'l-NC";#N/A,#N/A,FALSE,"TPA";#N/A,#N/A,FALSE,"ASO";#N/A,#N/A,FALSE,"Medicare A"}</definedName>
    <definedName name="wrn.Blue._.Preferred._.VA._.DB." localSheetId="0" hidden="1">{#N/A,#N/A,FALSE,"100.90%.300.70%";#N/A,#N/A,FALSE,"300.90%.600.70%";#N/A,#N/A,FALSE,"300.80%.600.60%";#N/A,#N/A,FALSE,"500.80%.1000.60%";#N/A,#N/A,FALSE,"750.80%.1500.60%";#N/A,#N/A,FALSE,"2500.80%.5000.60%"}</definedName>
    <definedName name="wrn.Blue._.Preferred._.VA._.DB." localSheetId="1" hidden="1">{#N/A,#N/A,FALSE,"100.90%.300.70%";#N/A,#N/A,FALSE,"300.90%.600.70%";#N/A,#N/A,FALSE,"300.80%.600.60%";#N/A,#N/A,FALSE,"500.80%.1000.60%";#N/A,#N/A,FALSE,"750.80%.1500.60%";#N/A,#N/A,FALSE,"2500.80%.5000.60%"}</definedName>
    <definedName name="wrn.Blue._.Preferred._.VA._.DB." hidden="1">{#N/A,#N/A,FALSE,"100.90%.300.70%";#N/A,#N/A,FALSE,"300.90%.600.70%";#N/A,#N/A,FALSE,"300.80%.600.60%";#N/A,#N/A,FALSE,"500.80%.1000.60%";#N/A,#N/A,FALSE,"750.80%.1500.60%";#N/A,#N/A,FALSE,"2500.80%.5000.60%"}</definedName>
    <definedName name="wrn.BluePreferred._.DB." localSheetId="0" hidden="1">{#N/A,#N/A,FALSE,"Sheet1";#N/A,#N/A,FALSE,"Sheet2";#N/A,#N/A,FALSE,"Sheet3";#N/A,#N/A,FALSE,"Sheet4"}</definedName>
    <definedName name="wrn.BluePreferred._.DB." localSheetId="1" hidden="1">{#N/A,#N/A,FALSE,"Sheet1";#N/A,#N/A,FALSE,"Sheet2";#N/A,#N/A,FALSE,"Sheet3";#N/A,#N/A,FALSE,"Sheet4"}</definedName>
    <definedName name="wrn.BluePreferred._.DB." hidden="1">{#N/A,#N/A,FALSE,"Sheet1";#N/A,#N/A,FALSE,"Sheet2";#N/A,#N/A,FALSE,"Sheet3";#N/A,#N/A,FALSE,"Sheet4"}</definedName>
    <definedName name="wrn.BluePreferred._.DC._.DB." localSheetId="0" hidden="1">{#N/A,#N/A,FALSE,"100.90%.300.70%";#N/A,#N/A,FALSE,"300.90%.600.70%";#N/A,#N/A,FALSE,"300.80%.600.60%";#N/A,#N/A,FALSE,"500.80%.1000.60%";#N/A,#N/A,FALSE,"750.80%.1500.60%";#N/A,#N/A,FALSE,"2500.80%.5000.60%"}</definedName>
    <definedName name="wrn.BluePreferred._.DC._.DB." localSheetId="1" hidden="1">{#N/A,#N/A,FALSE,"100.90%.300.70%";#N/A,#N/A,FALSE,"300.90%.600.70%";#N/A,#N/A,FALSE,"300.80%.600.60%";#N/A,#N/A,FALSE,"500.80%.1000.60%";#N/A,#N/A,FALSE,"750.80%.1500.60%";#N/A,#N/A,FALSE,"2500.80%.5000.60%"}</definedName>
    <definedName name="wrn.BluePreferred._.DC._.DB." hidden="1">{#N/A,#N/A,FALSE,"100.90%.300.70%";#N/A,#N/A,FALSE,"300.90%.600.70%";#N/A,#N/A,FALSE,"300.80%.600.60%";#N/A,#N/A,FALSE,"500.80%.1000.60%";#N/A,#N/A,FALSE,"750.80%.1500.60%";#N/A,#N/A,FALSE,"2500.80%.5000.60%"}</definedName>
    <definedName name="wrn.bpdbmd." localSheetId="0" hidden="1">{#N/A,#N/A,FALSE,"100.90%.300.70%";#N/A,#N/A,FALSE,"300.90%.500.70%";#N/A,#N/A,FALSE,"300.80%.500.60%";#N/A,#N/A,FALSE,"500.80%.750.60%"}</definedName>
    <definedName name="wrn.bpdbmd." localSheetId="1" hidden="1">{#N/A,#N/A,FALSE,"100.90%.300.70%";#N/A,#N/A,FALSE,"300.90%.500.70%";#N/A,#N/A,FALSE,"300.80%.500.60%";#N/A,#N/A,FALSE,"500.80%.750.60%"}</definedName>
    <definedName name="wrn.bpdbmd." hidden="1">{#N/A,#N/A,FALSE,"100.90%.300.70%";#N/A,#N/A,FALSE,"300.90%.500.70%";#N/A,#N/A,FALSE,"300.80%.500.60%";#N/A,#N/A,FALSE,"500.80%.750.60%"}</definedName>
    <definedName name="wrn.FebPrint." localSheetId="0" hidden="1">{"febact",#N/A,FALSE,"Feb98ACT&amp;YTD";"febplan",#N/A,FALSE,"Feb98ACT&amp;YTD";"febvar",#N/A,FALSE,"Feb98ACT&amp;YTD";"febactytd",#N/A,FALSE,"Feb98ACT&amp;YTD";"febplanytd",#N/A,FALSE,"Feb98ACT&amp;YTD";"febvarytd",#N/A,FALSE,"Feb98ACT&amp;YTD"}</definedName>
    <definedName name="wrn.FebPrint." localSheetId="1" hidden="1">{"febact",#N/A,FALSE,"Feb98ACT&amp;YTD";"febplan",#N/A,FALSE,"Feb98ACT&amp;YTD";"febvar",#N/A,FALSE,"Feb98ACT&amp;YTD";"febactytd",#N/A,FALSE,"Feb98ACT&amp;YTD";"febplanytd",#N/A,FALSE,"Feb98ACT&amp;YTD";"febvarytd",#N/A,FALSE,"Feb98ACT&amp;YTD"}</definedName>
    <definedName name="wrn.FebPrint." hidden="1">{"febact",#N/A,FALSE,"Feb98ACT&amp;YTD";"febplan",#N/A,FALSE,"Feb98ACT&amp;YTD";"febvar",#N/A,FALSE,"Feb98ACT&amp;YTD";"febactytd",#N/A,FALSE,"Feb98ACT&amp;YTD";"febplanytd",#N/A,FALSE,"Feb98ACT&amp;YTD";"febvarytd",#N/A,FALSE,"Feb98ACT&amp;YTD"}</definedName>
    <definedName name="wrn.FebYTD." localSheetId="0" hidden="1">{"febactytd",#N/A,FALSE,"Feb98ACT&amp;YTD";"febplanytd",#N/A,FALSE,"Feb98ACT&amp;YTD";"febvarytd",#N/A,FALSE,"Feb98ACT&amp;YTD"}</definedName>
    <definedName name="wrn.FebYTD." localSheetId="1" hidden="1">{"febactytd",#N/A,FALSE,"Feb98ACT&amp;YTD";"febplanytd",#N/A,FALSE,"Feb98ACT&amp;YTD";"febvarytd",#N/A,FALSE,"Feb98ACT&amp;YTD"}</definedName>
    <definedName name="wrn.FebYTD." hidden="1">{"febactytd",#N/A,FALSE,"Feb98ACT&amp;YTD";"febplanytd",#N/A,FALSE,"Feb98ACT&amp;YTD";"febvarytd",#N/A,FALSE,"Feb98ACT&amp;YTD"}</definedName>
    <definedName name="wrn.janprint" localSheetId="0">{"febact",#N/A,FALSE,"Feb98ACT&amp;YTD";"febplan",#N/A,FALSE,"Feb98ACT&amp;YTD";"febvar",#N/A,FALSE,"Feb98ACT&amp;YTD";"febactytd",#N/A,FALSE,"Feb98ACT&amp;YTD";"febplanytd",#N/A,FALSE,"Feb98ACT&amp;YTD";"febvarytd",#N/A,FALSE,"Feb98ACT&amp;YTD"}</definedName>
    <definedName name="wrn.janprint" localSheetId="1">{"febact",#N/A,FALSE,"Feb98ACT&amp;YTD";"febplan",#N/A,FALSE,"Feb98ACT&amp;YTD";"febvar",#N/A,FALSE,"Feb98ACT&amp;YTD";"febactytd",#N/A,FALSE,"Feb98ACT&amp;YTD";"febplanytd",#N/A,FALSE,"Feb98ACT&amp;YTD";"febvarytd",#N/A,FALSE,"Feb98ACT&amp;YTD"}</definedName>
    <definedName name="wrn.janprint">{"febact",#N/A,FALSE,"Feb98ACT&amp;YTD";"febplan",#N/A,FALSE,"Feb98ACT&amp;YTD";"febvar",#N/A,FALSE,"Feb98ACT&amp;YTD";"febactytd",#N/A,FALSE,"Feb98ACT&amp;YTD";"febplanytd",#N/A,FALSE,"Feb98ACT&amp;YTD";"febvarytd",#N/A,FALSE,"Feb98ACT&amp;YTD"}</definedName>
    <definedName name="wrn.JanPrint." localSheetId="0" hidden="1">{"janact",#N/A,FALSE,"Jan98ACT";"janplan",#N/A,FALSE,"Jan98ACT";"janvar",#N/A,FALSE,"Jan98ACT"}</definedName>
    <definedName name="wrn.JanPrint." localSheetId="1" hidden="1">{"janact",#N/A,FALSE,"Jan98ACT";"janplan",#N/A,FALSE,"Jan98ACT";"janvar",#N/A,FALSE,"Jan98ACT"}</definedName>
    <definedName name="wrn.JanPrint." hidden="1">{"janact",#N/A,FALSE,"Jan98ACT";"janplan",#N/A,FALSE,"Jan98ACT";"janvar",#N/A,FALSE,"Jan98ACT"}</definedName>
    <definedName name="wrn.jun01charts." localSheetId="0" hidden="1">{#N/A,#N/A,TRUE,"CC &amp; Adv VADC";#N/A,#N/A,TRUE,"Choice &amp; Ind VADC";#N/A,#N/A,TRUE,"BluPref VADC";#N/A,#N/A,TRUE,"Rx VADC"}</definedName>
    <definedName name="wrn.jun01charts." localSheetId="1" hidden="1">{#N/A,#N/A,TRUE,"CC &amp; Adv VADC";#N/A,#N/A,TRUE,"Choice &amp; Ind VADC";#N/A,#N/A,TRUE,"BluPref VADC";#N/A,#N/A,TRUE,"Rx VADC"}</definedName>
    <definedName name="wrn.jun01charts." hidden="1">{#N/A,#N/A,TRUE,"CC &amp; Adv VADC";#N/A,#N/A,TRUE,"Choice &amp; Ind VADC";#N/A,#N/A,TRUE,"BluPref VADC";#N/A,#N/A,TRUE,"Rx VADC"}</definedName>
    <definedName name="wrn.MarPrint" localSheetId="0" hidden="1">{"janact",#N/A,FALSE,"Jan98ACT";"janplan",#N/A,FALSE,"Jan98ACT";"janvar",#N/A,FALSE,"Jan98ACT"}</definedName>
    <definedName name="wrn.MarPrint" localSheetId="1" hidden="1">{"janact",#N/A,FALSE,"Jan98ACT";"janplan",#N/A,FALSE,"Jan98ACT";"janvar",#N/A,FALSE,"Jan98ACT"}</definedName>
    <definedName name="wrn.MarPrint" hidden="1">{"janact",#N/A,FALSE,"Jan98ACT";"janplan",#N/A,FALSE,"Jan98ACT";"janvar",#N/A,FALSE,"Jan98ACT"}</definedName>
    <definedName name="wrn.MarPrint." localSheetId="0" hidden="1">{"janact",#N/A,FALSE,"Jan98ACT";"janplan",#N/A,FALSE,"Jan98ACT";"janvar",#N/A,FALSE,"Jan98ACT"}</definedName>
    <definedName name="wrn.MarPrint." localSheetId="1" hidden="1">{"janact",#N/A,FALSE,"Jan98ACT";"janplan",#N/A,FALSE,"Jan98ACT";"janvar",#N/A,FALSE,"Jan98ACT"}</definedName>
    <definedName name="wrn.MarPrint." hidden="1">{"janact",#N/A,FALSE,"Jan98ACT";"janplan",#N/A,FALSE,"Jan98ACT";"janvar",#N/A,FALSE,"Jan98ACT"}</definedName>
    <definedName name="wrn.marprint2" localSheetId="0">{"janact",#N/A,FALSE,"Jan98ACT";"janplan",#N/A,FALSE,"Jan98ACT";"janvar",#N/A,FALSE,"Jan98ACT"}</definedName>
    <definedName name="wrn.marprint2" localSheetId="1">{"janact",#N/A,FALSE,"Jan98ACT";"janplan",#N/A,FALSE,"Jan98ACT";"janvar",#N/A,FALSE,"Jan98ACT"}</definedName>
    <definedName name="wrn.marprint2">{"janact",#N/A,FALSE,"Jan98ACT";"janplan",#N/A,FALSE,"Jan98ACT";"janvar",#N/A,FALSE,"Jan98ACT"}</definedName>
    <definedName name="wrn.marprint3" localSheetId="0">{"janact",#N/A,FALSE,"Jan98ACT";"janplan",#N/A,FALSE,"Jan98ACT";"janvar",#N/A,FALSE,"Jan98ACT"}</definedName>
    <definedName name="wrn.marprint3" localSheetId="1">{"janact",#N/A,FALSE,"Jan98ACT";"janplan",#N/A,FALSE,"Jan98ACT";"janvar",#N/A,FALSE,"Jan98ACT"}</definedName>
    <definedName name="wrn.marprint3">{"janact",#N/A,FALSE,"Jan98ACT";"janplan",#N/A,FALSE,"Jan98ACT";"janvar",#N/A,FALSE,"Jan98ACT"}</definedName>
    <definedName name="wrn.network." localSheetId="0" hidden="1">{#N/A,#N/A,FALSE,"II.General ";#N/A,#N/A,FALSE,"III.Plan Design";#N/A,#N/A,FALSE,"IV.Delivery System";#N/A,#N/A,FALSE,"V.Reimbursement";#N/A,#N/A,FALSE,"VI.Manage-Satisf.";#N/A,#N/A,FALSE,"VII. &amp;VIII. Other";#N/A,#N/A,FALSE,"Appendix 2";#N/A,#N/A,FALSE,"Appendix 3a";#N/A,#N/A,FALSE,"Appendix 3b";#N/A,#N/A,FALSE,"Appendix 3b(cont.)"}</definedName>
    <definedName name="wrn.network." localSheetId="1" hidden="1">{#N/A,#N/A,FALSE,"II.General ";#N/A,#N/A,FALSE,"III.Plan Design";#N/A,#N/A,FALSE,"IV.Delivery System";#N/A,#N/A,FALSE,"V.Reimbursement";#N/A,#N/A,FALSE,"VI.Manage-Satisf.";#N/A,#N/A,FALSE,"VII. &amp;VIII. Other";#N/A,#N/A,FALSE,"Appendix 2";#N/A,#N/A,FALSE,"Appendix 3a";#N/A,#N/A,FALSE,"Appendix 3b";#N/A,#N/A,FALSE,"Appendix 3b(cont.)"}</definedName>
    <definedName name="wrn.network." hidden="1">{#N/A,#N/A,FALSE,"II.General ";#N/A,#N/A,FALSE,"III.Plan Design";#N/A,#N/A,FALSE,"IV.Delivery System";#N/A,#N/A,FALSE,"V.Reimbursement";#N/A,#N/A,FALSE,"VI.Manage-Satisf.";#N/A,#N/A,FALSE,"VII. &amp;VIII. Other";#N/A,#N/A,FALSE,"Appendix 2";#N/A,#N/A,FALSE,"Appendix 3a";#N/A,#N/A,FALSE,"Appendix 3b";#N/A,#N/A,FALSE,"Appendix 3b(cont.)"}</definedName>
    <definedName name="wrn.newprint2" localSheetId="0">{"janact",#N/A,FALSE,"Jan98ACT";"janplan",#N/A,FALSE,"Jan98ACT";"janvar",#N/A,FALSE,"Jan98ACT"}</definedName>
    <definedName name="wrn.newprint2" localSheetId="1">{"janact",#N/A,FALSE,"Jan98ACT";"janplan",#N/A,FALSE,"Jan98ACT";"janvar",#N/A,FALSE,"Jan98ACT"}</definedName>
    <definedName name="wrn.newprint2">{"janact",#N/A,FALSE,"Jan98ACT";"janplan",#N/A,FALSE,"Jan98ACT";"janvar",#N/A,FALSE,"Jan98ACT"}</definedName>
    <definedName name="wrn.OCT01." localSheetId="0">{#N/A,#N/A,FALSE,"CC &amp; Adv VADC";#N/A,#N/A,FALSE,"Choice &amp; Ind VADC";#N/A,#N/A,FALSE,"BluPref &amp; Dent VADC";#N/A,#N/A,FALSE,"Rx VADC";#N/A,#N/A,FALSE,"CC &amp; Adv MSGR";#N/A,#N/A,FALSE,"Choice &amp; Dent MSGR";#N/A,#N/A,FALSE,"Rx  CC MSGR";#N/A,#N/A,FALSE,"BluPref &amp; Ind MSGR";#N/A,#N/A,FALSE,"Rx BC MSGR"}</definedName>
    <definedName name="wrn.OCT01." localSheetId="1">{#N/A,#N/A,FALSE,"CC &amp; Adv VADC";#N/A,#N/A,FALSE,"Choice &amp; Ind VADC";#N/A,#N/A,FALSE,"BluPref &amp; Dent VADC";#N/A,#N/A,FALSE,"Rx VADC";#N/A,#N/A,FALSE,"CC &amp; Adv MSGR";#N/A,#N/A,FALSE,"Choice &amp; Dent MSGR";#N/A,#N/A,FALSE,"Rx  CC MSGR";#N/A,#N/A,FALSE,"BluPref &amp; Ind MSGR";#N/A,#N/A,FALSE,"Rx BC MSGR"}</definedName>
    <definedName name="wrn.OCT01.">{#N/A,#N/A,FALSE,"CC &amp; Adv VADC";#N/A,#N/A,FALSE,"Choice &amp; Ind VADC";#N/A,#N/A,FALSE,"BluPref &amp; Dent VADC";#N/A,#N/A,FALSE,"Rx VADC";#N/A,#N/A,FALSE,"CC &amp; Adv MSGR";#N/A,#N/A,FALSE,"Choice &amp; Dent MSGR";#N/A,#N/A,FALSE,"Rx  CC MSGR";#N/A,#N/A,FALSE,"BluPref &amp; Ind MSGR";#N/A,#N/A,FALSE,"Rx BC MSGR"}</definedName>
    <definedName name="wrn.October._.99." localSheetId="0" hidden="1">{"oct_act_mtd",#N/A,FALSE,"Oct99";"oct_act_ytd",#N/A,FALSE,"Oct99";"oct_plan_mtd",#N/A,FALSE,"Oct99";"oct_plan_ytd",#N/A,FALSE,"Oct99";"oct_var_mtd",#N/A,FALSE,"Oct99";"oct_var_ytd",#N/A,FALSE,"Oct99"}</definedName>
    <definedName name="wrn.October._.99." localSheetId="1" hidden="1">{"oct_act_mtd",#N/A,FALSE,"Oct99";"oct_act_ytd",#N/A,FALSE,"Oct99";"oct_plan_mtd",#N/A,FALSE,"Oct99";"oct_plan_ytd",#N/A,FALSE,"Oct99";"oct_var_mtd",#N/A,FALSE,"Oct99";"oct_var_ytd",#N/A,FALSE,"Oct99"}</definedName>
    <definedName name="wrn.October._.99." hidden="1">{"oct_act_mtd",#N/A,FALSE,"Oct99";"oct_act_ytd",#N/A,FALSE,"Oct99";"oct_plan_mtd",#N/A,FALSE,"Oct99";"oct_plan_ytd",#N/A,FALSE,"Oct99";"oct_var_mtd",#N/A,FALSE,"Oct99";"oct_var_ytd",#N/A,FALSE,"Oct99"}</definedName>
    <definedName name="wrn.pgs1to6." localSheetId="0" hidden="1">{#N/A,#N/A,FALSE,"Page 1";#N/A,#N/A,FALSE,"Page 2";#N/A,#N/A,FALSE,"Page 3";#N/A,#N/A,FALSE,"Page 4";#N/A,#N/A,FALSE,"Page 5";#N/A,#N/A,FALSE,"Page 6"}</definedName>
    <definedName name="wrn.pgs1to6." localSheetId="1" hidden="1">{#N/A,#N/A,FALSE,"Page 1";#N/A,#N/A,FALSE,"Page 2";#N/A,#N/A,FALSE,"Page 3";#N/A,#N/A,FALSE,"Page 4";#N/A,#N/A,FALSE,"Page 5";#N/A,#N/A,FALSE,"Page 6"}</definedName>
    <definedName name="wrn.pgs1to6." hidden="1">{#N/A,#N/A,FALSE,"Page 1";#N/A,#N/A,FALSE,"Page 2";#N/A,#N/A,FALSE,"Page 3";#N/A,#N/A,FALSE,"Page 4";#N/A,#N/A,FALSE,"Page 5";#N/A,#N/A,FALSE,"Page 6"}</definedName>
    <definedName name="wrn.Print._.All." localSheetId="0" hidden="1">{#N/A,#N/A,FALSE,"Cover";#N/A,#N/A,FALSE,"UWGainLoss";#N/A,#N/A,FALSE,"FinComP&amp;L";#N/A,#N/A,FALSE,"FinComPlan";#N/A,#N/A,FALSE,"Consolidated";#N/A,#N/A,FALSE,"Ind&gt;65";#N/A,#N/A,FALSE,"Ind&lt;65";#N/A,#N/A,FALSE,"Sego&lt;50";#N/A,#N/A,FALSE,"Grp51+";#N/A,#N/A,FALSE,"CommercialHMO";#N/A,#N/A,FALSE,"MCare1st";#N/A,#N/A,FALSE,"Medicaid";#N/A,#N/A,FALSE,"FEP";#N/A,#N/A,FALSE,"N-R 51+";#N/A,#N/A,FALSE,"Elim";#N/A,#N/A,FALSE,"N-R";#N/A,#N/A,FALSE,"Nat'l-C";#N/A,#N/A,FALSE,"Nat'l-NC";#N/A,#N/A,FALSE,"TPA";#N/A,#N/A,FALSE,"ASO";#N/A,#N/A,FALSE,"Medicare A";#N/A,#N/A,FALSE,"Sum-$";#N/A,#N/A,FALSE,"Sum-enroll";#N/A,#N/A,FALSE,"Assumptions"}</definedName>
    <definedName name="wrn.Print._.All." localSheetId="1" hidden="1">{#N/A,#N/A,FALSE,"Cover";#N/A,#N/A,FALSE,"UWGainLoss";#N/A,#N/A,FALSE,"FinComP&amp;L";#N/A,#N/A,FALSE,"FinComPlan";#N/A,#N/A,FALSE,"Consolidated";#N/A,#N/A,FALSE,"Ind&gt;65";#N/A,#N/A,FALSE,"Ind&lt;65";#N/A,#N/A,FALSE,"Sego&lt;50";#N/A,#N/A,FALSE,"Grp51+";#N/A,#N/A,FALSE,"CommercialHMO";#N/A,#N/A,FALSE,"MCare1st";#N/A,#N/A,FALSE,"Medicaid";#N/A,#N/A,FALSE,"FEP";#N/A,#N/A,FALSE,"N-R 51+";#N/A,#N/A,FALSE,"Elim";#N/A,#N/A,FALSE,"N-R";#N/A,#N/A,FALSE,"Nat'l-C";#N/A,#N/A,FALSE,"Nat'l-NC";#N/A,#N/A,FALSE,"TPA";#N/A,#N/A,FALSE,"ASO";#N/A,#N/A,FALSE,"Medicare A";#N/A,#N/A,FALSE,"Sum-$";#N/A,#N/A,FALSE,"Sum-enroll";#N/A,#N/A,FALSE,"Assumptions"}</definedName>
    <definedName name="wrn.Print._.All." hidden="1">{#N/A,#N/A,FALSE,"Cover";#N/A,#N/A,FALSE,"UWGainLoss";#N/A,#N/A,FALSE,"FinComP&amp;L";#N/A,#N/A,FALSE,"FinComPlan";#N/A,#N/A,FALSE,"Consolidated";#N/A,#N/A,FALSE,"Ind&gt;65";#N/A,#N/A,FALSE,"Ind&lt;65";#N/A,#N/A,FALSE,"Sego&lt;50";#N/A,#N/A,FALSE,"Grp51+";#N/A,#N/A,FALSE,"CommercialHMO";#N/A,#N/A,FALSE,"MCare1st";#N/A,#N/A,FALSE,"Medicaid";#N/A,#N/A,FALSE,"FEP";#N/A,#N/A,FALSE,"N-R 51+";#N/A,#N/A,FALSE,"Elim";#N/A,#N/A,FALSE,"N-R";#N/A,#N/A,FALSE,"Nat'l-C";#N/A,#N/A,FALSE,"Nat'l-NC";#N/A,#N/A,FALSE,"TPA";#N/A,#N/A,FALSE,"ASO";#N/A,#N/A,FALSE,"Medicare A";#N/A,#N/A,FALSE,"Sum-$";#N/A,#N/A,FALSE,"Sum-enroll";#N/A,#N/A,FALSE,"Assumptions"}</definedName>
    <definedName name="wrn.Report._.for._.Mark." localSheetId="0" hidden="1">{#N/A,#N/A,FALSE,"Cover";"Assumptions",#N/A,FALSE,"Assumptions";"FinComPlan",#N/A,FALSE,"FinComPlan";"UWGainLoss",#N/A,FALSE,"UWGainLoss"}</definedName>
    <definedName name="wrn.Report._.for._.Mark." localSheetId="1" hidden="1">{#N/A,#N/A,FALSE,"Cover";"Assumptions",#N/A,FALSE,"Assumptions";"FinComPlan",#N/A,FALSE,"FinComPlan";"UWGainLoss",#N/A,FALSE,"UWGainLoss"}</definedName>
    <definedName name="wrn.Report._.for._.Mark." hidden="1">{#N/A,#N/A,FALSE,"Cover";"Assumptions",#N/A,FALSE,"Assumptions";"FinComPlan",#N/A,FALSE,"FinComPlan";"UWGainLoss",#N/A,FALSE,"UWGainLoss"}</definedName>
    <definedName name="wrn.sept._.reports." localSheetId="0" hidden="1">{"septactmtd",#N/A,FALSE,"Sep99";"sepactytd",#N/A,FALSE,"Sep99";"septplanmtd",#N/A,FALSE,"Sep99";"septplanytd",#N/A,FALSE,"Sep99";"septvarmtd",#N/A,FALSE,"Sep99";"septvarytd",#N/A,FALSE,"Sep99"}</definedName>
    <definedName name="wrn.sept._.reports." localSheetId="1" hidden="1">{"septactmtd",#N/A,FALSE,"Sep99";"sepactytd",#N/A,FALSE,"Sep99";"septplanmtd",#N/A,FALSE,"Sep99";"septplanytd",#N/A,FALSE,"Sep99";"septvarmtd",#N/A,FALSE,"Sep99";"septvarytd",#N/A,FALSE,"Sep99"}</definedName>
    <definedName name="wrn.sept._.reports." hidden="1">{"septactmtd",#N/A,FALSE,"Sep99";"sepactytd",#N/A,FALSE,"Sep99";"septplanmtd",#N/A,FALSE,"Sep99";"septplanytd",#N/A,FALSE,"Sep99";"septvarmtd",#N/A,FALSE,"Sep99";"septvarytd",#N/A,FALSE,"Sep99"}</definedName>
    <definedName name="wrn.sheet14." localSheetId="0" hidden="1">{#N/A,#N/A,FALSE,"Page 14"}</definedName>
    <definedName name="wrn.sheet14." localSheetId="1" hidden="1">{#N/A,#N/A,FALSE,"Page 14"}</definedName>
    <definedName name="wrn.sheet14." hidden="1">{#N/A,#N/A,FALSE,"Page 14"}</definedName>
    <definedName name="Y1ASO">#REF!</definedName>
    <definedName name="Y2AS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4" i="16" l="1"/>
  <c r="Q3" i="16"/>
  <c r="M6" i="16"/>
  <c r="O6" i="16"/>
  <c r="K6" i="16"/>
  <c r="I6" i="16" l="1"/>
  <c r="G6" i="16"/>
  <c r="G4" i="16" l="1"/>
  <c r="Q6" i="16"/>
  <c r="G21" i="13" l="1"/>
  <c r="E21" i="13"/>
  <c r="G17" i="13"/>
  <c r="E17" i="13"/>
  <c r="G13" i="13"/>
  <c r="E13" i="13"/>
  <c r="G23" i="13"/>
  <c r="G24" i="13" s="1"/>
  <c r="E23" i="13"/>
  <c r="E24" i="13" s="1"/>
  <c r="G9" i="13"/>
  <c r="E9" i="13"/>
  <c r="G8" i="13"/>
  <c r="E8" i="13"/>
  <c r="M83" i="15"/>
  <c r="M84" i="15" s="1"/>
  <c r="M85" i="15" s="1"/>
  <c r="M85" i="12"/>
  <c r="M84" i="12"/>
  <c r="M83" i="12"/>
  <c r="M78" i="15"/>
  <c r="N76" i="15"/>
  <c r="P76" i="15" s="1"/>
  <c r="I76" i="15"/>
  <c r="M76" i="15" s="1"/>
  <c r="O76" i="15" s="1"/>
  <c r="D76" i="15"/>
  <c r="I75" i="15"/>
  <c r="L75" i="15" s="1"/>
  <c r="N75" i="15" s="1"/>
  <c r="D75" i="15"/>
  <c r="I74" i="15"/>
  <c r="L74" i="15" s="1"/>
  <c r="D74" i="15"/>
  <c r="I73" i="15"/>
  <c r="J73" i="15" s="1"/>
  <c r="D73" i="15"/>
  <c r="I72" i="15"/>
  <c r="L72" i="15" s="1"/>
  <c r="N72" i="15" s="1"/>
  <c r="D72" i="15"/>
  <c r="I68" i="15"/>
  <c r="L68" i="15" s="1"/>
  <c r="D68" i="15"/>
  <c r="I67" i="15"/>
  <c r="J67" i="15" s="1"/>
  <c r="D67" i="15"/>
  <c r="I66" i="15"/>
  <c r="J66" i="15" s="1"/>
  <c r="D66" i="15"/>
  <c r="I65" i="15"/>
  <c r="L65" i="15" s="1"/>
  <c r="D65" i="15"/>
  <c r="I64" i="15"/>
  <c r="J64" i="15" s="1"/>
  <c r="D64" i="15"/>
  <c r="I63" i="15"/>
  <c r="J63" i="15" s="1"/>
  <c r="D63" i="15"/>
  <c r="I58" i="15"/>
  <c r="L58" i="15" s="1"/>
  <c r="D58" i="15"/>
  <c r="I57" i="15"/>
  <c r="J57" i="15" s="1"/>
  <c r="D57" i="15"/>
  <c r="I56" i="15"/>
  <c r="L56" i="15" s="1"/>
  <c r="N56" i="15" s="1"/>
  <c r="D56" i="15"/>
  <c r="I54" i="15"/>
  <c r="J54" i="15" s="1"/>
  <c r="D54" i="15"/>
  <c r="I50" i="15"/>
  <c r="J50" i="15" s="1"/>
  <c r="D50" i="15"/>
  <c r="I49" i="15"/>
  <c r="L49" i="15" s="1"/>
  <c r="N49" i="15" s="1"/>
  <c r="D49" i="15"/>
  <c r="I45" i="15"/>
  <c r="J45" i="15" s="1"/>
  <c r="D45" i="15"/>
  <c r="I43" i="15"/>
  <c r="J43" i="15" s="1"/>
  <c r="D43" i="15"/>
  <c r="I42" i="15"/>
  <c r="J42" i="15" s="1"/>
  <c r="D42" i="15"/>
  <c r="I40" i="15"/>
  <c r="L40" i="15" s="1"/>
  <c r="D40" i="15"/>
  <c r="I38" i="15"/>
  <c r="J38" i="15" s="1"/>
  <c r="D38" i="15"/>
  <c r="I36" i="15"/>
  <c r="L36" i="15" s="1"/>
  <c r="N36" i="15" s="1"/>
  <c r="D36" i="15"/>
  <c r="I34" i="15"/>
  <c r="D34" i="15"/>
  <c r="I33" i="15"/>
  <c r="J33" i="15" s="1"/>
  <c r="D33" i="15"/>
  <c r="I32" i="15"/>
  <c r="J32" i="15" s="1"/>
  <c r="D32" i="15"/>
  <c r="I31" i="15"/>
  <c r="D31" i="15"/>
  <c r="I29" i="15"/>
  <c r="D29" i="15"/>
  <c r="I28" i="15"/>
  <c r="D28" i="15"/>
  <c r="I27" i="15"/>
  <c r="D27" i="15"/>
  <c r="I26" i="15"/>
  <c r="D26" i="15"/>
  <c r="I25" i="15"/>
  <c r="J25" i="15" s="1"/>
  <c r="D25" i="15"/>
  <c r="I24" i="15"/>
  <c r="D24" i="15"/>
  <c r="I23" i="15"/>
  <c r="J23" i="15" s="1"/>
  <c r="D23" i="15"/>
  <c r="I20" i="15"/>
  <c r="D20" i="15"/>
  <c r="I19" i="15"/>
  <c r="L19" i="15" s="1"/>
  <c r="D19" i="15"/>
  <c r="I17" i="15"/>
  <c r="J17" i="15" s="1"/>
  <c r="D17" i="15"/>
  <c r="I12" i="15"/>
  <c r="L12" i="15" s="1"/>
  <c r="N12" i="15" s="1"/>
  <c r="D12" i="15"/>
  <c r="I9" i="15"/>
  <c r="J9" i="15" s="1"/>
  <c r="D9" i="15"/>
  <c r="I8" i="15"/>
  <c r="D8" i="15"/>
  <c r="I6" i="15"/>
  <c r="J6" i="15" s="1"/>
  <c r="D6" i="15"/>
  <c r="I50" i="12"/>
  <c r="I68" i="12"/>
  <c r="I58" i="12"/>
  <c r="I54" i="12"/>
  <c r="I45" i="12"/>
  <c r="I43" i="12"/>
  <c r="I40" i="12"/>
  <c r="I36" i="12"/>
  <c r="I38" i="12"/>
  <c r="I34" i="12"/>
  <c r="I29" i="12"/>
  <c r="I20" i="12"/>
  <c r="I17" i="12"/>
  <c r="I12" i="12"/>
  <c r="I9" i="12"/>
  <c r="I76" i="12"/>
  <c r="I75" i="12"/>
  <c r="I74" i="12"/>
  <c r="I73" i="12"/>
  <c r="I72" i="12"/>
  <c r="I67" i="12"/>
  <c r="I66" i="12"/>
  <c r="I65" i="12"/>
  <c r="I64" i="12"/>
  <c r="I63" i="12"/>
  <c r="I57" i="12"/>
  <c r="I56" i="12"/>
  <c r="I49" i="12"/>
  <c r="I42" i="12"/>
  <c r="I33" i="12"/>
  <c r="I32" i="12"/>
  <c r="I31" i="12"/>
  <c r="I28" i="12"/>
  <c r="I27" i="12"/>
  <c r="I26" i="12"/>
  <c r="I25" i="12"/>
  <c r="I24" i="12"/>
  <c r="I23" i="12"/>
  <c r="I19" i="12"/>
  <c r="I8" i="12"/>
  <c r="I6" i="12"/>
  <c r="G19" i="13" l="1"/>
  <c r="G20" i="13" s="1"/>
  <c r="E22" i="13"/>
  <c r="E19" i="13"/>
  <c r="E20" i="13" s="1"/>
  <c r="G22" i="13"/>
  <c r="E18" i="13"/>
  <c r="G18" i="13"/>
  <c r="E15" i="13"/>
  <c r="E16" i="13" s="1"/>
  <c r="E10" i="13"/>
  <c r="L63" i="15"/>
  <c r="N63" i="15" s="1"/>
  <c r="L9" i="15"/>
  <c r="N9" i="15" s="1"/>
  <c r="L45" i="15"/>
  <c r="N45" i="15" s="1"/>
  <c r="L6" i="15"/>
  <c r="N6" i="15" s="1"/>
  <c r="L42" i="15"/>
  <c r="N42" i="15" s="1"/>
  <c r="J19" i="15"/>
  <c r="J12" i="15"/>
  <c r="N19" i="15"/>
  <c r="M19" i="15"/>
  <c r="O19" i="15" s="1"/>
  <c r="M40" i="15"/>
  <c r="O40" i="15" s="1"/>
  <c r="N40" i="15"/>
  <c r="J24" i="15"/>
  <c r="J27" i="15"/>
  <c r="J31" i="15"/>
  <c r="J34" i="15"/>
  <c r="L27" i="15"/>
  <c r="N27" i="15" s="1"/>
  <c r="L31" i="15"/>
  <c r="N31" i="15" s="1"/>
  <c r="L34" i="15"/>
  <c r="N34" i="15" s="1"/>
  <c r="J40" i="15"/>
  <c r="L66" i="15"/>
  <c r="N66" i="15" s="1"/>
  <c r="L24" i="15"/>
  <c r="N24" i="15" s="1"/>
  <c r="L54" i="15"/>
  <c r="M75" i="15"/>
  <c r="P75" i="15" s="1"/>
  <c r="M12" i="15"/>
  <c r="O12" i="15" s="1"/>
  <c r="J20" i="15"/>
  <c r="J28" i="15"/>
  <c r="J36" i="15"/>
  <c r="M56" i="15"/>
  <c r="O56" i="15" s="1"/>
  <c r="M72" i="15"/>
  <c r="O72" i="15" s="1"/>
  <c r="J76" i="15"/>
  <c r="L20" i="15"/>
  <c r="N20" i="15" s="1"/>
  <c r="L25" i="15"/>
  <c r="N25" i="15" s="1"/>
  <c r="L28" i="15"/>
  <c r="N28" i="15" s="1"/>
  <c r="L32" i="15"/>
  <c r="N32" i="15" s="1"/>
  <c r="M49" i="15"/>
  <c r="O49" i="15" s="1"/>
  <c r="M36" i="15"/>
  <c r="P36" i="15" s="1"/>
  <c r="N58" i="15"/>
  <c r="M58" i="15"/>
  <c r="N74" i="15"/>
  <c r="M74" i="15"/>
  <c r="N68" i="15"/>
  <c r="M68" i="15"/>
  <c r="N65" i="15"/>
  <c r="M65" i="15"/>
  <c r="L8" i="15"/>
  <c r="N8" i="15" s="1"/>
  <c r="L17" i="15"/>
  <c r="N17" i="15" s="1"/>
  <c r="L23" i="15"/>
  <c r="N23" i="15" s="1"/>
  <c r="L26" i="15"/>
  <c r="N26" i="15" s="1"/>
  <c r="L29" i="15"/>
  <c r="N29" i="15" s="1"/>
  <c r="L33" i="15"/>
  <c r="N33" i="15" s="1"/>
  <c r="L38" i="15"/>
  <c r="N38" i="15" s="1"/>
  <c r="L43" i="15"/>
  <c r="N43" i="15" s="1"/>
  <c r="L50" i="15"/>
  <c r="N50" i="15" s="1"/>
  <c r="L57" i="15"/>
  <c r="N57" i="15" s="1"/>
  <c r="L64" i="15"/>
  <c r="N64" i="15" s="1"/>
  <c r="L67" i="15"/>
  <c r="N67" i="15" s="1"/>
  <c r="L73" i="15"/>
  <c r="N73" i="15" s="1"/>
  <c r="J8" i="15"/>
  <c r="J26" i="15"/>
  <c r="J29" i="15"/>
  <c r="J49" i="15"/>
  <c r="J56" i="15"/>
  <c r="J72" i="15"/>
  <c r="J75" i="15"/>
  <c r="M6" i="15"/>
  <c r="J58" i="15"/>
  <c r="J65" i="15"/>
  <c r="J68" i="15"/>
  <c r="J74" i="15"/>
  <c r="G10" i="13"/>
  <c r="G15" i="13"/>
  <c r="G16" i="13" s="1"/>
  <c r="E11" i="13"/>
  <c r="E12" i="13" s="1"/>
  <c r="G11" i="13"/>
  <c r="G12" i="13" s="1"/>
  <c r="E14" i="13"/>
  <c r="G14" i="13"/>
  <c r="M42" i="15" l="1"/>
  <c r="P42" i="15" s="1"/>
  <c r="O36" i="15"/>
  <c r="P12" i="15"/>
  <c r="P49" i="15"/>
  <c r="M27" i="15"/>
  <c r="O27" i="15" s="1"/>
  <c r="M43" i="15"/>
  <c r="P43" i="15" s="1"/>
  <c r="M63" i="15"/>
  <c r="P63" i="15" s="1"/>
  <c r="M31" i="15"/>
  <c r="P31" i="15" s="1"/>
  <c r="P19" i="15"/>
  <c r="P40" i="15"/>
  <c r="M45" i="15"/>
  <c r="M9" i="15"/>
  <c r="M28" i="15"/>
  <c r="O28" i="15" s="1"/>
  <c r="M34" i="15"/>
  <c r="P72" i="15"/>
  <c r="M66" i="15"/>
  <c r="P66" i="15" s="1"/>
  <c r="P56" i="15"/>
  <c r="O75" i="15"/>
  <c r="M20" i="15"/>
  <c r="M32" i="15"/>
  <c r="M25" i="15"/>
  <c r="N54" i="15"/>
  <c r="M54" i="15"/>
  <c r="M67" i="15"/>
  <c r="P67" i="15" s="1"/>
  <c r="M29" i="15"/>
  <c r="O29" i="15" s="1"/>
  <c r="M24" i="15"/>
  <c r="M33" i="15"/>
  <c r="P33" i="15" s="1"/>
  <c r="M57" i="15"/>
  <c r="M64" i="15"/>
  <c r="O74" i="15"/>
  <c r="P74" i="15"/>
  <c r="O58" i="15"/>
  <c r="P58" i="15"/>
  <c r="O65" i="15"/>
  <c r="P65" i="15"/>
  <c r="M26" i="15"/>
  <c r="M79" i="15"/>
  <c r="M80" i="15" s="1"/>
  <c r="M8" i="15"/>
  <c r="O68" i="15"/>
  <c r="P68" i="15"/>
  <c r="M73" i="15"/>
  <c r="M23" i="15"/>
  <c r="M17" i="15"/>
  <c r="O6" i="15"/>
  <c r="P6" i="15"/>
  <c r="M50" i="15"/>
  <c r="M38" i="15"/>
  <c r="H76" i="10"/>
  <c r="H75" i="10"/>
  <c r="L75" i="10" s="1"/>
  <c r="H74" i="10"/>
  <c r="L74" i="10" s="1"/>
  <c r="H73" i="10"/>
  <c r="L73" i="10" s="1"/>
  <c r="N73" i="10" s="1"/>
  <c r="H72" i="10"/>
  <c r="H71" i="10"/>
  <c r="H70" i="10"/>
  <c r="H69" i="10"/>
  <c r="H68" i="10"/>
  <c r="H67" i="10"/>
  <c r="L67" i="10" s="1"/>
  <c r="N67" i="10" s="1"/>
  <c r="H66" i="10"/>
  <c r="H65" i="10"/>
  <c r="H64" i="10"/>
  <c r="H63" i="10"/>
  <c r="L63" i="10" s="1"/>
  <c r="H62" i="10"/>
  <c r="H61" i="10"/>
  <c r="L58" i="10" s="1"/>
  <c r="N58" i="10" s="1"/>
  <c r="H60" i="10"/>
  <c r="H59" i="10"/>
  <c r="H58" i="10"/>
  <c r="H57" i="10"/>
  <c r="H56" i="10"/>
  <c r="H55" i="10"/>
  <c r="H54" i="10"/>
  <c r="L54" i="10" s="1"/>
  <c r="N54" i="10" s="1"/>
  <c r="H53" i="10"/>
  <c r="H52" i="10"/>
  <c r="H51" i="10"/>
  <c r="H50" i="10"/>
  <c r="L50" i="10" s="1"/>
  <c r="N50" i="10" s="1"/>
  <c r="H49" i="10"/>
  <c r="L49" i="10" s="1"/>
  <c r="H48" i="10"/>
  <c r="H47" i="10"/>
  <c r="H46" i="10"/>
  <c r="H45" i="10"/>
  <c r="H44" i="10"/>
  <c r="L43" i="10" s="1"/>
  <c r="H42" i="10"/>
  <c r="H41" i="10"/>
  <c r="H40" i="10"/>
  <c r="H39" i="10"/>
  <c r="H38" i="10"/>
  <c r="H37" i="10"/>
  <c r="H35" i="10"/>
  <c r="L34" i="10" s="1"/>
  <c r="H34" i="10"/>
  <c r="H31" i="10"/>
  <c r="L31" i="10" s="1"/>
  <c r="H30" i="10"/>
  <c r="H29" i="10"/>
  <c r="H28" i="10"/>
  <c r="L28" i="10" s="1"/>
  <c r="H27" i="10"/>
  <c r="L27" i="10" s="1"/>
  <c r="N27" i="10" s="1"/>
  <c r="H26" i="10"/>
  <c r="L26" i="10" s="1"/>
  <c r="H25" i="10"/>
  <c r="H24" i="10"/>
  <c r="H23" i="10"/>
  <c r="H22" i="10"/>
  <c r="H21" i="10"/>
  <c r="L20" i="10" s="1"/>
  <c r="H20" i="10"/>
  <c r="H19" i="10"/>
  <c r="H18" i="10"/>
  <c r="H16" i="10"/>
  <c r="H15" i="10"/>
  <c r="H14" i="10"/>
  <c r="H13" i="10"/>
  <c r="H12" i="10"/>
  <c r="L12" i="10" s="1"/>
  <c r="N12" i="10" s="1"/>
  <c r="H11" i="10"/>
  <c r="H10" i="10"/>
  <c r="H9" i="10"/>
  <c r="L9" i="10" s="1"/>
  <c r="H8" i="10"/>
  <c r="L8" i="10" s="1"/>
  <c r="H7" i="10"/>
  <c r="H6" i="10"/>
  <c r="L6" i="10" s="1"/>
  <c r="L17" i="10"/>
  <c r="L19" i="10"/>
  <c r="L23" i="10"/>
  <c r="L24" i="10"/>
  <c r="N24" i="10" s="1"/>
  <c r="L25" i="10"/>
  <c r="L29" i="10"/>
  <c r="L32" i="10"/>
  <c r="L33" i="10"/>
  <c r="N33" i="10" s="1"/>
  <c r="L36" i="10"/>
  <c r="L38" i="10"/>
  <c r="L40" i="10"/>
  <c r="L42" i="10"/>
  <c r="N42" i="10" s="1"/>
  <c r="L45" i="10"/>
  <c r="L56" i="10"/>
  <c r="L57" i="10"/>
  <c r="L64" i="10"/>
  <c r="N64" i="10" s="1"/>
  <c r="L65" i="10"/>
  <c r="N65" i="10" s="1"/>
  <c r="L66" i="10"/>
  <c r="L68" i="10"/>
  <c r="N68" i="10" s="1"/>
  <c r="L72" i="10"/>
  <c r="N56" i="10"/>
  <c r="N40" i="10"/>
  <c r="H35" i="9"/>
  <c r="H31" i="9"/>
  <c r="L31" i="9" s="1"/>
  <c r="M31" i="9" s="1"/>
  <c r="P31" i="9" s="1"/>
  <c r="M78" i="12"/>
  <c r="N76" i="12"/>
  <c r="P76" i="12" s="1"/>
  <c r="J76" i="12"/>
  <c r="M76" i="12"/>
  <c r="O76" i="12" s="1"/>
  <c r="D76" i="12"/>
  <c r="L75" i="12"/>
  <c r="N75" i="12" s="1"/>
  <c r="D75" i="12"/>
  <c r="L74" i="12"/>
  <c r="N74" i="12" s="1"/>
  <c r="D74" i="12"/>
  <c r="L73" i="12"/>
  <c r="N73" i="12" s="1"/>
  <c r="J73" i="12"/>
  <c r="D73" i="12"/>
  <c r="J72" i="12"/>
  <c r="L72" i="12"/>
  <c r="D72" i="12"/>
  <c r="J68" i="12"/>
  <c r="L68" i="12"/>
  <c r="D68" i="12"/>
  <c r="L67" i="12"/>
  <c r="N67" i="12" s="1"/>
  <c r="D67" i="12"/>
  <c r="L66" i="12"/>
  <c r="N66" i="12" s="1"/>
  <c r="D66" i="12"/>
  <c r="L65" i="12"/>
  <c r="N65" i="12" s="1"/>
  <c r="J65" i="12"/>
  <c r="D65" i="12"/>
  <c r="J64" i="12"/>
  <c r="L64" i="12"/>
  <c r="D64" i="12"/>
  <c r="L63" i="12"/>
  <c r="N63" i="12" s="1"/>
  <c r="D63" i="12"/>
  <c r="J58" i="12"/>
  <c r="L58" i="12"/>
  <c r="N58" i="12" s="1"/>
  <c r="D58" i="12"/>
  <c r="J57" i="12"/>
  <c r="L57" i="12"/>
  <c r="D57" i="12"/>
  <c r="L56" i="12"/>
  <c r="N56" i="12" s="1"/>
  <c r="J56" i="12"/>
  <c r="D56" i="12"/>
  <c r="J54" i="12"/>
  <c r="L54" i="12"/>
  <c r="D54" i="12"/>
  <c r="J50" i="12"/>
  <c r="L50" i="12"/>
  <c r="D50" i="12"/>
  <c r="J49" i="12"/>
  <c r="L49" i="12"/>
  <c r="D49" i="12"/>
  <c r="J45" i="12"/>
  <c r="L45" i="12"/>
  <c r="D45" i="12"/>
  <c r="L43" i="12"/>
  <c r="N43" i="12" s="1"/>
  <c r="D43" i="12"/>
  <c r="L42" i="12"/>
  <c r="N42" i="12" s="1"/>
  <c r="J42" i="12"/>
  <c r="D42" i="12"/>
  <c r="J40" i="12"/>
  <c r="L40" i="12"/>
  <c r="D40" i="12"/>
  <c r="J38" i="12"/>
  <c r="L38" i="12"/>
  <c r="N38" i="12" s="1"/>
  <c r="D38" i="12"/>
  <c r="J36" i="12"/>
  <c r="L36" i="12"/>
  <c r="N36" i="12" s="1"/>
  <c r="D36" i="12"/>
  <c r="L34" i="12"/>
  <c r="N34" i="12" s="1"/>
  <c r="D34" i="12"/>
  <c r="L33" i="12"/>
  <c r="N33" i="12" s="1"/>
  <c r="J33" i="12"/>
  <c r="D33" i="12"/>
  <c r="L32" i="12"/>
  <c r="N32" i="12" s="1"/>
  <c r="J32" i="12"/>
  <c r="D32" i="12"/>
  <c r="L31" i="12"/>
  <c r="M31" i="12" s="1"/>
  <c r="J31" i="12"/>
  <c r="D31" i="12"/>
  <c r="J29" i="12"/>
  <c r="L29" i="12"/>
  <c r="D29" i="12"/>
  <c r="J28" i="12"/>
  <c r="L28" i="12"/>
  <c r="D28" i="12"/>
  <c r="L27" i="12"/>
  <c r="M27" i="12" s="1"/>
  <c r="J27" i="12"/>
  <c r="D27" i="12"/>
  <c r="J26" i="12"/>
  <c r="L26" i="12"/>
  <c r="D26" i="12"/>
  <c r="J25" i="12"/>
  <c r="L25" i="12"/>
  <c r="D25" i="12"/>
  <c r="L24" i="12"/>
  <c r="M24" i="12" s="1"/>
  <c r="J24" i="12"/>
  <c r="D24" i="12"/>
  <c r="J23" i="12"/>
  <c r="L23" i="12"/>
  <c r="D23" i="12"/>
  <c r="J20" i="12"/>
  <c r="L20" i="12"/>
  <c r="D20" i="12"/>
  <c r="J19" i="12"/>
  <c r="L19" i="12"/>
  <c r="D19" i="12"/>
  <c r="J17" i="12"/>
  <c r="L17" i="12"/>
  <c r="D17" i="12"/>
  <c r="J12" i="12"/>
  <c r="L12" i="12"/>
  <c r="D12" i="12"/>
  <c r="L9" i="12"/>
  <c r="N9" i="12" s="1"/>
  <c r="J9" i="12"/>
  <c r="D9" i="12"/>
  <c r="J8" i="12"/>
  <c r="L8" i="12"/>
  <c r="D8" i="12"/>
  <c r="L6" i="12"/>
  <c r="J6" i="12"/>
  <c r="D6" i="12"/>
  <c r="M78" i="10"/>
  <c r="N76" i="10"/>
  <c r="P76" i="10" s="1"/>
  <c r="I76" i="10"/>
  <c r="M76" i="10" s="1"/>
  <c r="O76" i="10" s="1"/>
  <c r="D76" i="10"/>
  <c r="I75" i="10"/>
  <c r="D75" i="10"/>
  <c r="I74" i="10"/>
  <c r="D74" i="10"/>
  <c r="I73" i="10"/>
  <c r="J73" i="10" s="1"/>
  <c r="D73" i="10"/>
  <c r="N72" i="10"/>
  <c r="I72" i="10"/>
  <c r="J72" i="10" s="1"/>
  <c r="D72" i="10"/>
  <c r="I68" i="10"/>
  <c r="D68" i="10"/>
  <c r="I67" i="10"/>
  <c r="D67" i="10"/>
  <c r="I66" i="10"/>
  <c r="J66" i="10" s="1"/>
  <c r="D66" i="10"/>
  <c r="I65" i="10"/>
  <c r="J65" i="10" s="1"/>
  <c r="D65" i="10"/>
  <c r="I64" i="10"/>
  <c r="D64" i="10"/>
  <c r="I63" i="10"/>
  <c r="D63" i="10"/>
  <c r="I58" i="10"/>
  <c r="D58" i="10"/>
  <c r="J57" i="10"/>
  <c r="D57" i="10"/>
  <c r="J56" i="10"/>
  <c r="D56" i="10"/>
  <c r="J54" i="10"/>
  <c r="I54" i="10"/>
  <c r="D54" i="10"/>
  <c r="J50" i="10"/>
  <c r="I50" i="10"/>
  <c r="D50" i="10"/>
  <c r="J49" i="10"/>
  <c r="D49" i="10"/>
  <c r="J45" i="10"/>
  <c r="I45" i="10"/>
  <c r="D45" i="10"/>
  <c r="I43" i="10"/>
  <c r="J43" i="10" s="1"/>
  <c r="D43" i="10"/>
  <c r="J42" i="10"/>
  <c r="D42" i="10"/>
  <c r="J40" i="10"/>
  <c r="I40" i="10"/>
  <c r="D40" i="10"/>
  <c r="I38" i="10"/>
  <c r="D38" i="10"/>
  <c r="J36" i="10"/>
  <c r="I36" i="10"/>
  <c r="D36" i="10"/>
  <c r="I34" i="10"/>
  <c r="J34" i="10" s="1"/>
  <c r="D34" i="10"/>
  <c r="J33" i="10"/>
  <c r="D33" i="10"/>
  <c r="N32" i="10"/>
  <c r="M32" i="10"/>
  <c r="P32" i="10" s="1"/>
  <c r="J32" i="10"/>
  <c r="D32" i="10"/>
  <c r="J31" i="10"/>
  <c r="D31" i="10"/>
  <c r="J29" i="10"/>
  <c r="D29" i="10"/>
  <c r="J28" i="10"/>
  <c r="D28" i="10"/>
  <c r="J27" i="10"/>
  <c r="D27" i="10"/>
  <c r="J26" i="10"/>
  <c r="D26" i="10"/>
  <c r="J25" i="10"/>
  <c r="D25" i="10"/>
  <c r="J24" i="10"/>
  <c r="D24" i="10"/>
  <c r="J23" i="10"/>
  <c r="D23" i="10"/>
  <c r="J20" i="10"/>
  <c r="D20" i="10"/>
  <c r="J19" i="10"/>
  <c r="D19" i="10"/>
  <c r="N17" i="10"/>
  <c r="J17" i="10"/>
  <c r="D17" i="10"/>
  <c r="J12" i="10"/>
  <c r="D12" i="10"/>
  <c r="J9" i="10"/>
  <c r="D9" i="10"/>
  <c r="J8" i="10"/>
  <c r="D8" i="10"/>
  <c r="J6" i="10"/>
  <c r="D6" i="10"/>
  <c r="I43" i="9"/>
  <c r="J43" i="9" s="1"/>
  <c r="I40" i="9"/>
  <c r="J40" i="9" s="1"/>
  <c r="I38" i="9"/>
  <c r="L38" i="9" s="1"/>
  <c r="I34" i="9"/>
  <c r="I45" i="9"/>
  <c r="J45" i="9" s="1"/>
  <c r="I36" i="9"/>
  <c r="N76" i="9"/>
  <c r="P76" i="9" s="1"/>
  <c r="M76" i="9"/>
  <c r="O76" i="9" s="1"/>
  <c r="L12" i="9"/>
  <c r="L58" i="9"/>
  <c r="L68" i="9"/>
  <c r="L50" i="9"/>
  <c r="L20" i="9"/>
  <c r="L9" i="9"/>
  <c r="M9" i="9" s="1"/>
  <c r="P9" i="9" s="1"/>
  <c r="L54" i="9"/>
  <c r="L29" i="9"/>
  <c r="L17" i="9"/>
  <c r="L6" i="9"/>
  <c r="L8" i="9"/>
  <c r="L75" i="9"/>
  <c r="L74" i="9"/>
  <c r="M74" i="9" s="1"/>
  <c r="P74" i="9" s="1"/>
  <c r="L73" i="9"/>
  <c r="L72" i="9"/>
  <c r="L67" i="9"/>
  <c r="L66" i="9"/>
  <c r="M66" i="9" s="1"/>
  <c r="L65" i="9"/>
  <c r="M65" i="9" s="1"/>
  <c r="O65" i="9" s="1"/>
  <c r="L64" i="9"/>
  <c r="M64" i="9" s="1"/>
  <c r="P64" i="9" s="1"/>
  <c r="L63" i="9"/>
  <c r="M63" i="9" s="1"/>
  <c r="P63" i="9" s="1"/>
  <c r="L57" i="9"/>
  <c r="M57" i="9" s="1"/>
  <c r="P57" i="9" s="1"/>
  <c r="L56" i="9"/>
  <c r="L49" i="9"/>
  <c r="M49" i="9" s="1"/>
  <c r="P49" i="9" s="1"/>
  <c r="L42" i="9"/>
  <c r="L33" i="9"/>
  <c r="M33" i="9" s="1"/>
  <c r="L32" i="9"/>
  <c r="M32" i="9" s="1"/>
  <c r="P32" i="9" s="1"/>
  <c r="L28" i="9"/>
  <c r="M28" i="9" s="1"/>
  <c r="P28" i="9" s="1"/>
  <c r="L27" i="9"/>
  <c r="M27" i="9" s="1"/>
  <c r="P27" i="9" s="1"/>
  <c r="L26" i="9"/>
  <c r="L25" i="9"/>
  <c r="L24" i="9"/>
  <c r="L23" i="9"/>
  <c r="L19" i="9"/>
  <c r="M19" i="9" s="1"/>
  <c r="P19" i="9" s="1"/>
  <c r="M78" i="9"/>
  <c r="J76" i="9"/>
  <c r="J75" i="9"/>
  <c r="J68" i="9"/>
  <c r="J67" i="9"/>
  <c r="J66" i="9"/>
  <c r="J65" i="9"/>
  <c r="J64" i="9"/>
  <c r="J57" i="9"/>
  <c r="J56" i="9"/>
  <c r="J54" i="9"/>
  <c r="J50" i="9"/>
  <c r="J49" i="9"/>
  <c r="J42" i="9"/>
  <c r="J33" i="9"/>
  <c r="J32" i="9"/>
  <c r="J31" i="9"/>
  <c r="J29" i="9"/>
  <c r="J28" i="9"/>
  <c r="J27" i="9"/>
  <c r="J26" i="9"/>
  <c r="J25" i="9"/>
  <c r="J24" i="9"/>
  <c r="J23" i="9"/>
  <c r="J20" i="9"/>
  <c r="J19" i="9"/>
  <c r="J17" i="9"/>
  <c r="J12" i="9"/>
  <c r="J9" i="9"/>
  <c r="J8" i="9"/>
  <c r="J6" i="9"/>
  <c r="I58" i="9"/>
  <c r="J58" i="9" s="1"/>
  <c r="I54" i="9"/>
  <c r="I50" i="9"/>
  <c r="J38" i="9"/>
  <c r="J36" i="9"/>
  <c r="H56" i="9"/>
  <c r="H63" i="9"/>
  <c r="I76" i="9"/>
  <c r="I75" i="9"/>
  <c r="I74" i="9"/>
  <c r="J74" i="9" s="1"/>
  <c r="I73" i="9"/>
  <c r="J73" i="9" s="1"/>
  <c r="I72" i="9"/>
  <c r="J72" i="9" s="1"/>
  <c r="I68" i="9"/>
  <c r="I67" i="9"/>
  <c r="I66" i="9"/>
  <c r="I65" i="9"/>
  <c r="I64" i="9"/>
  <c r="I63" i="9"/>
  <c r="J63" i="9" s="1"/>
  <c r="H55" i="9"/>
  <c r="H18" i="9"/>
  <c r="H54" i="9"/>
  <c r="H42" i="9"/>
  <c r="H58" i="9"/>
  <c r="H59" i="9"/>
  <c r="H8" i="9"/>
  <c r="H45" i="9"/>
  <c r="H44" i="9"/>
  <c r="H46" i="9"/>
  <c r="H57" i="9"/>
  <c r="H30" i="9"/>
  <c r="H28" i="9"/>
  <c r="H74" i="9"/>
  <c r="H73" i="9"/>
  <c r="H12" i="9"/>
  <c r="H29" i="9"/>
  <c r="H26" i="9"/>
  <c r="H68" i="9"/>
  <c r="H51" i="9"/>
  <c r="H41" i="9"/>
  <c r="H21" i="9"/>
  <c r="H19" i="9"/>
  <c r="H9" i="9"/>
  <c r="H69" i="9"/>
  <c r="H67" i="9"/>
  <c r="H50" i="9"/>
  <c r="H20" i="9"/>
  <c r="H13" i="9"/>
  <c r="H34" i="9"/>
  <c r="H39" i="9"/>
  <c r="H38" i="9"/>
  <c r="H25" i="9"/>
  <c r="H76" i="9"/>
  <c r="H40" i="9"/>
  <c r="H27" i="9"/>
  <c r="H24" i="9"/>
  <c r="H6" i="9"/>
  <c r="H72" i="9"/>
  <c r="M72" i="9" s="1"/>
  <c r="P72" i="9" s="1"/>
  <c r="H66" i="9"/>
  <c r="H10" i="9"/>
  <c r="H23" i="9"/>
  <c r="H75" i="9"/>
  <c r="H71" i="9"/>
  <c r="H70" i="9"/>
  <c r="H64" i="9"/>
  <c r="H65" i="9"/>
  <c r="H62" i="9"/>
  <c r="H61" i="9"/>
  <c r="H60" i="9"/>
  <c r="H53" i="9"/>
  <c r="H52" i="9"/>
  <c r="H49" i="9"/>
  <c r="H48" i="9"/>
  <c r="H47" i="9"/>
  <c r="H37" i="9"/>
  <c r="H22" i="9"/>
  <c r="H16" i="9"/>
  <c r="H15" i="9"/>
  <c r="H14" i="9"/>
  <c r="H11" i="9"/>
  <c r="H7" i="9"/>
  <c r="D33" i="9"/>
  <c r="D76" i="9"/>
  <c r="D75" i="9"/>
  <c r="D74" i="9"/>
  <c r="D73" i="9"/>
  <c r="D72" i="9"/>
  <c r="D68" i="9"/>
  <c r="D67" i="9"/>
  <c r="D66" i="9"/>
  <c r="D65" i="9"/>
  <c r="D64" i="9"/>
  <c r="D63" i="9"/>
  <c r="D58" i="9"/>
  <c r="D57" i="9"/>
  <c r="D56" i="9"/>
  <c r="D54" i="9"/>
  <c r="D50" i="9"/>
  <c r="D49" i="9"/>
  <c r="D45" i="9"/>
  <c r="D43" i="9"/>
  <c r="D42" i="9"/>
  <c r="D40" i="9"/>
  <c r="D38" i="9"/>
  <c r="D36" i="9"/>
  <c r="D34" i="9"/>
  <c r="D32" i="9"/>
  <c r="D31" i="9"/>
  <c r="D29" i="9"/>
  <c r="D28" i="9"/>
  <c r="D27" i="9"/>
  <c r="D26" i="9"/>
  <c r="D25" i="9"/>
  <c r="D24" i="9"/>
  <c r="D23" i="9"/>
  <c r="D20" i="9"/>
  <c r="D19" i="9"/>
  <c r="D17" i="9"/>
  <c r="D12" i="9"/>
  <c r="D9" i="9"/>
  <c r="D8" i="9"/>
  <c r="D6" i="9"/>
  <c r="O42" i="15" l="1"/>
  <c r="O43" i="15"/>
  <c r="P27" i="15"/>
  <c r="O33" i="15"/>
  <c r="O63" i="15"/>
  <c r="O31" i="15"/>
  <c r="O66" i="15"/>
  <c r="P29" i="15"/>
  <c r="P28" i="15"/>
  <c r="P45" i="15"/>
  <c r="O45" i="15"/>
  <c r="P9" i="15"/>
  <c r="O9" i="15"/>
  <c r="O34" i="15"/>
  <c r="P34" i="15"/>
  <c r="P24" i="15"/>
  <c r="O24" i="15"/>
  <c r="O54" i="15"/>
  <c r="P54" i="15"/>
  <c r="O67" i="15"/>
  <c r="O25" i="15"/>
  <c r="P25" i="15"/>
  <c r="P32" i="15"/>
  <c r="O32" i="15"/>
  <c r="P20" i="15"/>
  <c r="O20" i="15"/>
  <c r="P73" i="15"/>
  <c r="O73" i="15"/>
  <c r="P8" i="15"/>
  <c r="O8" i="15"/>
  <c r="P38" i="15"/>
  <c r="O38" i="15"/>
  <c r="P50" i="15"/>
  <c r="O50" i="15"/>
  <c r="M82" i="15"/>
  <c r="M81" i="15"/>
  <c r="P26" i="15"/>
  <c r="O26" i="15"/>
  <c r="P17" i="15"/>
  <c r="O17" i="15"/>
  <c r="P64" i="15"/>
  <c r="O64" i="15"/>
  <c r="P23" i="15"/>
  <c r="O23" i="15"/>
  <c r="P57" i="15"/>
  <c r="O57" i="15"/>
  <c r="M31" i="10"/>
  <c r="P31" i="10" s="1"/>
  <c r="N31" i="10"/>
  <c r="M58" i="10"/>
  <c r="M68" i="10"/>
  <c r="O68" i="10" s="1"/>
  <c r="N74" i="10"/>
  <c r="M27" i="10"/>
  <c r="P27" i="10" s="1"/>
  <c r="M24" i="10"/>
  <c r="P24" i="10" s="1"/>
  <c r="N75" i="10"/>
  <c r="N38" i="10"/>
  <c r="N63" i="10"/>
  <c r="L34" i="9"/>
  <c r="N34" i="9" s="1"/>
  <c r="M56" i="9"/>
  <c r="P56" i="9" s="1"/>
  <c r="M58" i="12"/>
  <c r="P58" i="12" s="1"/>
  <c r="M9" i="12"/>
  <c r="O9" i="12" s="1"/>
  <c r="N31" i="12"/>
  <c r="M66" i="12"/>
  <c r="P66" i="12" s="1"/>
  <c r="M75" i="12"/>
  <c r="P75" i="12" s="1"/>
  <c r="N27" i="12"/>
  <c r="N24" i="12"/>
  <c r="N26" i="12"/>
  <c r="M26" i="12"/>
  <c r="M34" i="12"/>
  <c r="M50" i="12"/>
  <c r="N50" i="12"/>
  <c r="M74" i="12"/>
  <c r="M40" i="12"/>
  <c r="N40" i="12"/>
  <c r="N23" i="12"/>
  <c r="M23" i="12"/>
  <c r="P31" i="12"/>
  <c r="O31" i="12"/>
  <c r="N45" i="12"/>
  <c r="M45" i="12"/>
  <c r="M17" i="12"/>
  <c r="N17" i="12"/>
  <c r="M72" i="12"/>
  <c r="N72" i="12"/>
  <c r="N6" i="12"/>
  <c r="M6" i="12"/>
  <c r="M79" i="12"/>
  <c r="M80" i="12" s="1"/>
  <c r="N12" i="12"/>
  <c r="M12" i="12"/>
  <c r="P24" i="12"/>
  <c r="O24" i="12"/>
  <c r="M36" i="12"/>
  <c r="N57" i="12"/>
  <c r="M57" i="12"/>
  <c r="M63" i="12"/>
  <c r="M43" i="12"/>
  <c r="N19" i="12"/>
  <c r="M19" i="12"/>
  <c r="P27" i="12"/>
  <c r="O27" i="12"/>
  <c r="N8" i="12"/>
  <c r="M8" i="12"/>
  <c r="N20" i="12"/>
  <c r="M20" i="12"/>
  <c r="N28" i="12"/>
  <c r="M28" i="12"/>
  <c r="M64" i="12"/>
  <c r="N64" i="12"/>
  <c r="M67" i="12"/>
  <c r="N25" i="12"/>
  <c r="M25" i="12"/>
  <c r="M54" i="12"/>
  <c r="N54" i="12"/>
  <c r="M68" i="12"/>
  <c r="N68" i="12"/>
  <c r="N29" i="12"/>
  <c r="M29" i="12"/>
  <c r="M38" i="12"/>
  <c r="N49" i="12"/>
  <c r="M49" i="12"/>
  <c r="M33" i="12"/>
  <c r="M42" i="12"/>
  <c r="M56" i="12"/>
  <c r="M65" i="12"/>
  <c r="M73" i="12"/>
  <c r="J63" i="12"/>
  <c r="J67" i="12"/>
  <c r="J75" i="12"/>
  <c r="M32" i="12"/>
  <c r="J34" i="12"/>
  <c r="J43" i="12"/>
  <c r="J66" i="12"/>
  <c r="J74" i="12"/>
  <c r="M40" i="10"/>
  <c r="P40" i="10" s="1"/>
  <c r="M50" i="10"/>
  <c r="P50" i="10" s="1"/>
  <c r="M38" i="10"/>
  <c r="O38" i="10" s="1"/>
  <c r="M54" i="10"/>
  <c r="P54" i="10" s="1"/>
  <c r="M64" i="10"/>
  <c r="P64" i="10" s="1"/>
  <c r="M23" i="10"/>
  <c r="N23" i="10"/>
  <c r="N19" i="10"/>
  <c r="M19" i="10"/>
  <c r="M43" i="10"/>
  <c r="N43" i="10"/>
  <c r="P58" i="10"/>
  <c r="O58" i="10"/>
  <c r="P68" i="10"/>
  <c r="M34" i="10"/>
  <c r="N34" i="10"/>
  <c r="N45" i="10"/>
  <c r="M45" i="10"/>
  <c r="N20" i="10"/>
  <c r="M20" i="10"/>
  <c r="N25" i="10"/>
  <c r="M25" i="10"/>
  <c r="N28" i="10"/>
  <c r="M28" i="10"/>
  <c r="N36" i="10"/>
  <c r="M36" i="10"/>
  <c r="N66" i="10"/>
  <c r="M66" i="10"/>
  <c r="N8" i="10"/>
  <c r="M8" i="10"/>
  <c r="M74" i="10"/>
  <c r="N9" i="10"/>
  <c r="M9" i="10"/>
  <c r="M75" i="10"/>
  <c r="O40" i="10"/>
  <c r="M63" i="10"/>
  <c r="M29" i="10"/>
  <c r="N29" i="10"/>
  <c r="N57" i="10"/>
  <c r="M57" i="10"/>
  <c r="M67" i="10"/>
  <c r="N26" i="10"/>
  <c r="M26" i="10"/>
  <c r="N6" i="10"/>
  <c r="M6" i="10"/>
  <c r="M79" i="10"/>
  <c r="M80" i="10" s="1"/>
  <c r="P38" i="10"/>
  <c r="N49" i="10"/>
  <c r="M49" i="10"/>
  <c r="M12" i="10"/>
  <c r="M17" i="10"/>
  <c r="O24" i="10"/>
  <c r="M33" i="10"/>
  <c r="M42" i="10"/>
  <c r="M56" i="10"/>
  <c r="M65" i="10"/>
  <c r="M73" i="10"/>
  <c r="J64" i="10"/>
  <c r="J68" i="10"/>
  <c r="J76" i="10"/>
  <c r="J38" i="10"/>
  <c r="J58" i="10"/>
  <c r="M72" i="10"/>
  <c r="J63" i="10"/>
  <c r="J67" i="10"/>
  <c r="J75" i="10"/>
  <c r="O32" i="10"/>
  <c r="J74" i="10"/>
  <c r="L40" i="9"/>
  <c r="N40" i="9" s="1"/>
  <c r="L36" i="9"/>
  <c r="N36" i="9" s="1"/>
  <c r="J34" i="9"/>
  <c r="L45" i="9"/>
  <c r="N45" i="9" s="1"/>
  <c r="L43" i="9"/>
  <c r="M67" i="9"/>
  <c r="P67" i="9" s="1"/>
  <c r="N54" i="9"/>
  <c r="M75" i="9"/>
  <c r="M12" i="9"/>
  <c r="P12" i="9" s="1"/>
  <c r="M58" i="9"/>
  <c r="P58" i="9" s="1"/>
  <c r="M68" i="9"/>
  <c r="P68" i="9" s="1"/>
  <c r="M50" i="9"/>
  <c r="P50" i="9" s="1"/>
  <c r="M20" i="9"/>
  <c r="P20" i="9" s="1"/>
  <c r="M26" i="9"/>
  <c r="P26" i="9" s="1"/>
  <c r="M73" i="9"/>
  <c r="P73" i="9" s="1"/>
  <c r="M25" i="9"/>
  <c r="P25" i="9" s="1"/>
  <c r="M6" i="9"/>
  <c r="P6" i="9" s="1"/>
  <c r="M38" i="9"/>
  <c r="P38" i="9" s="1"/>
  <c r="M29" i="9"/>
  <c r="P29" i="9" s="1"/>
  <c r="M17" i="9"/>
  <c r="P17" i="9" s="1"/>
  <c r="M23" i="9"/>
  <c r="P23" i="9" s="1"/>
  <c r="M42" i="9"/>
  <c r="P42" i="9" s="1"/>
  <c r="M24" i="9"/>
  <c r="O24" i="9" s="1"/>
  <c r="M8" i="9"/>
  <c r="O8" i="9" s="1"/>
  <c r="M54" i="9"/>
  <c r="O54" i="9" s="1"/>
  <c r="N65" i="9"/>
  <c r="N66" i="9"/>
  <c r="O67" i="9"/>
  <c r="N67" i="9"/>
  <c r="N68" i="9"/>
  <c r="P65" i="9"/>
  <c r="N8" i="9"/>
  <c r="N12" i="9"/>
  <c r="N24" i="9"/>
  <c r="N33" i="9"/>
  <c r="N6" i="9"/>
  <c r="P66" i="9"/>
  <c r="O66" i="9"/>
  <c r="O33" i="9"/>
  <c r="P33" i="9"/>
  <c r="N26" i="9"/>
  <c r="O9" i="9"/>
  <c r="N38" i="9"/>
  <c r="N17" i="9"/>
  <c r="N28" i="9"/>
  <c r="N57" i="9"/>
  <c r="N72" i="9"/>
  <c r="O28" i="9"/>
  <c r="O57" i="9"/>
  <c r="O72" i="9"/>
  <c r="O49" i="9"/>
  <c r="N25" i="9"/>
  <c r="N9" i="9"/>
  <c r="N56" i="9"/>
  <c r="N19" i="9"/>
  <c r="N29" i="9"/>
  <c r="N42" i="9"/>
  <c r="N58" i="9"/>
  <c r="N73" i="9"/>
  <c r="O19" i="9"/>
  <c r="N50" i="9"/>
  <c r="N20" i="9"/>
  <c r="N31" i="9"/>
  <c r="N63" i="9"/>
  <c r="N74" i="9"/>
  <c r="O31" i="9"/>
  <c r="O63" i="9"/>
  <c r="O74" i="9"/>
  <c r="N49" i="9"/>
  <c r="N27" i="9"/>
  <c r="O27" i="9"/>
  <c r="N23" i="9"/>
  <c r="N32" i="9"/>
  <c r="N64" i="9"/>
  <c r="N75" i="9"/>
  <c r="O32" i="9"/>
  <c r="O64" i="9"/>
  <c r="O31" i="10" l="1"/>
  <c r="O27" i="10"/>
  <c r="O50" i="10"/>
  <c r="O54" i="10"/>
  <c r="O56" i="9"/>
  <c r="M34" i="9"/>
  <c r="O34" i="9" s="1"/>
  <c r="O6" i="9"/>
  <c r="M45" i="9"/>
  <c r="P24" i="9"/>
  <c r="O73" i="9"/>
  <c r="M36" i="9"/>
  <c r="P36" i="9" s="1"/>
  <c r="O75" i="9"/>
  <c r="P75" i="9"/>
  <c r="O66" i="12"/>
  <c r="O58" i="12"/>
  <c r="O75" i="12"/>
  <c r="P9" i="12"/>
  <c r="O12" i="12"/>
  <c r="P12" i="12"/>
  <c r="P40" i="12"/>
  <c r="O40" i="12"/>
  <c r="P68" i="12"/>
  <c r="O68" i="12"/>
  <c r="P28" i="12"/>
  <c r="O28" i="12"/>
  <c r="P43" i="12"/>
  <c r="O43" i="12"/>
  <c r="P74" i="12"/>
  <c r="O74" i="12"/>
  <c r="P23" i="12"/>
  <c r="O23" i="12"/>
  <c r="P67" i="12"/>
  <c r="O67" i="12"/>
  <c r="P73" i="12"/>
  <c r="O73" i="12"/>
  <c r="P63" i="12"/>
  <c r="O63" i="12"/>
  <c r="P72" i="12"/>
  <c r="O72" i="12"/>
  <c r="P29" i="12"/>
  <c r="O29" i="12"/>
  <c r="O19" i="12"/>
  <c r="P19" i="12"/>
  <c r="P65" i="12"/>
  <c r="O65" i="12"/>
  <c r="P20" i="12"/>
  <c r="O20" i="12"/>
  <c r="O57" i="12"/>
  <c r="P57" i="12"/>
  <c r="P50" i="12"/>
  <c r="O50" i="12"/>
  <c r="P32" i="12"/>
  <c r="O32" i="12"/>
  <c r="O17" i="12"/>
  <c r="P17" i="12"/>
  <c r="P34" i="12"/>
  <c r="O34" i="12"/>
  <c r="M82" i="12"/>
  <c r="M81" i="12"/>
  <c r="O6" i="12"/>
  <c r="P6" i="12"/>
  <c r="P42" i="12"/>
  <c r="O42" i="12"/>
  <c r="P54" i="12"/>
  <c r="O54" i="12"/>
  <c r="P8" i="12"/>
  <c r="O8" i="12"/>
  <c r="P36" i="12"/>
  <c r="O36" i="12"/>
  <c r="P45" i="12"/>
  <c r="O45" i="12"/>
  <c r="P26" i="12"/>
  <c r="O26" i="12"/>
  <c r="P49" i="12"/>
  <c r="O49" i="12"/>
  <c r="P38" i="12"/>
  <c r="O38" i="12"/>
  <c r="P64" i="12"/>
  <c r="O64" i="12"/>
  <c r="P56" i="12"/>
  <c r="O56" i="12"/>
  <c r="P33" i="12"/>
  <c r="O33" i="12"/>
  <c r="P25" i="12"/>
  <c r="O25" i="12"/>
  <c r="O64" i="10"/>
  <c r="P29" i="10"/>
  <c r="O29" i="10"/>
  <c r="O36" i="10"/>
  <c r="P36" i="10"/>
  <c r="P34" i="10"/>
  <c r="O34" i="10"/>
  <c r="P42" i="10"/>
  <c r="O42" i="10"/>
  <c r="P63" i="10"/>
  <c r="O63" i="10"/>
  <c r="P72" i="10"/>
  <c r="O72" i="10"/>
  <c r="O33" i="10"/>
  <c r="P33" i="10"/>
  <c r="P75" i="10"/>
  <c r="O75" i="10"/>
  <c r="P25" i="10"/>
  <c r="O25" i="10"/>
  <c r="P17" i="10"/>
  <c r="O17" i="10"/>
  <c r="P9" i="10"/>
  <c r="O9" i="10"/>
  <c r="O6" i="10"/>
  <c r="P6" i="10"/>
  <c r="P12" i="10"/>
  <c r="O12" i="10"/>
  <c r="M82" i="10"/>
  <c r="M81" i="10"/>
  <c r="P28" i="10"/>
  <c r="O28" i="10"/>
  <c r="P26" i="10"/>
  <c r="O26" i="10"/>
  <c r="P74" i="10"/>
  <c r="O74" i="10"/>
  <c r="P43" i="10"/>
  <c r="O43" i="10"/>
  <c r="P67" i="10"/>
  <c r="O67" i="10"/>
  <c r="P20" i="10"/>
  <c r="O20" i="10"/>
  <c r="P73" i="10"/>
  <c r="O73" i="10"/>
  <c r="O57" i="10"/>
  <c r="P57" i="10"/>
  <c r="P65" i="10"/>
  <c r="O65" i="10"/>
  <c r="P66" i="10"/>
  <c r="O66" i="10"/>
  <c r="O45" i="10"/>
  <c r="P45" i="10"/>
  <c r="P8" i="10"/>
  <c r="O8" i="10"/>
  <c r="P19" i="10"/>
  <c r="O19" i="10"/>
  <c r="P49" i="10"/>
  <c r="O49" i="10"/>
  <c r="P56" i="10"/>
  <c r="O56" i="10"/>
  <c r="P23" i="10"/>
  <c r="O23" i="10"/>
  <c r="M40" i="9"/>
  <c r="P40" i="9" s="1"/>
  <c r="M79" i="9"/>
  <c r="M80" i="9" s="1"/>
  <c r="M81" i="9" s="1"/>
  <c r="N43" i="9"/>
  <c r="M43" i="9"/>
  <c r="P43" i="9" s="1"/>
  <c r="O58" i="9"/>
  <c r="O42" i="9"/>
  <c r="O12" i="9"/>
  <c r="O68" i="9"/>
  <c r="O50" i="9"/>
  <c r="O20" i="9"/>
  <c r="O36" i="9"/>
  <c r="O26" i="9"/>
  <c r="O25" i="9"/>
  <c r="O29" i="9"/>
  <c r="O38" i="9"/>
  <c r="O17" i="9"/>
  <c r="O23" i="9"/>
  <c r="P8" i="9"/>
  <c r="P54" i="9"/>
  <c r="P34" i="9" l="1"/>
  <c r="M82" i="9"/>
  <c r="P45" i="9"/>
  <c r="O45" i="9"/>
  <c r="O40" i="9"/>
  <c r="O43" i="9"/>
</calcChain>
</file>

<file path=xl/sharedStrings.xml><?xml version="1.0" encoding="utf-8"?>
<sst xmlns="http://schemas.openxmlformats.org/spreadsheetml/2006/main" count="513" uniqueCount="125">
  <si>
    <t>Employee</t>
  </si>
  <si>
    <t>Renewal Age</t>
  </si>
  <si>
    <t>Employee's Actual Plan Choice</t>
  </si>
  <si>
    <t>Dependents</t>
  </si>
  <si>
    <t>Percentage Change on Actual Plan</t>
  </si>
  <si>
    <t>Renewal Cost Employee's Actual Plan</t>
  </si>
  <si>
    <t>DOB</t>
  </si>
  <si>
    <t>Renewal Date</t>
  </si>
  <si>
    <t>Difference</t>
  </si>
  <si>
    <t>Percentage Change</t>
  </si>
  <si>
    <t>Annual Difference</t>
  </si>
  <si>
    <t>Basic Demographic Data</t>
  </si>
  <si>
    <t>No Changes Employees Actual Choices on DCHL</t>
  </si>
  <si>
    <t>2023 Benefits Worksheet</t>
  </si>
  <si>
    <t>Employee Premium On Renewal</t>
  </si>
  <si>
    <t>Percentage Change for Employee</t>
  </si>
  <si>
    <t>Current Premiums</t>
  </si>
  <si>
    <t>Renewal Information</t>
  </si>
  <si>
    <t>Employee's % Cost of Premium</t>
  </si>
  <si>
    <t>Alexandra Lishansky</t>
  </si>
  <si>
    <t>Marcio Nascimento</t>
  </si>
  <si>
    <t>Penelope Kim</t>
  </si>
  <si>
    <t>Michael B Moscarelli</t>
  </si>
  <si>
    <t>Ana Aslan</t>
  </si>
  <si>
    <t>Lesly Yohana Rubio</t>
  </si>
  <si>
    <t>Carmen Pena</t>
  </si>
  <si>
    <t>Kelly M McNally</t>
  </si>
  <si>
    <t>Susanna J Meyer</t>
  </si>
  <si>
    <t>Madeline Rae Steiner</t>
  </si>
  <si>
    <t>Stephanie Monroy</t>
  </si>
  <si>
    <t>Kirk Amper Del Rosario</t>
  </si>
  <si>
    <t>Sara Jebena</t>
  </si>
  <si>
    <t>Summar T Lyons</t>
  </si>
  <si>
    <t>Armin Cordova</t>
  </si>
  <si>
    <t>Megan Michelle Ash</t>
  </si>
  <si>
    <t>Stephanie Verganza</t>
  </si>
  <si>
    <t>Anh H Nguyen</t>
  </si>
  <si>
    <t>Janira J Romero Reyes</t>
  </si>
  <si>
    <t>Danielle R Martin</t>
  </si>
  <si>
    <t>William D Webber</t>
  </si>
  <si>
    <t>Debra L Cooper</t>
  </si>
  <si>
    <t>Pablo Marcelo Gonzalez</t>
  </si>
  <si>
    <t>Sheila Ann Posas</t>
  </si>
  <si>
    <t>Mariana Cabrera</t>
  </si>
  <si>
    <t>Natalie M Abegesah</t>
  </si>
  <si>
    <t>Nilu Rimal</t>
  </si>
  <si>
    <t>Genesis C Torres-Alcantara</t>
  </si>
  <si>
    <t>Arlette G Gutierrez</t>
  </si>
  <si>
    <t>John Robert McPhail</t>
  </si>
  <si>
    <t>Rachel Shoshana Falek</t>
  </si>
  <si>
    <t>Angel Kristina Rutter</t>
  </si>
  <si>
    <t>Katherine Julia Matteson de Araujo</t>
  </si>
  <si>
    <t>Maia Moore</t>
  </si>
  <si>
    <t>Sarah F Smith</t>
  </si>
  <si>
    <t>Ukiah Busch</t>
  </si>
  <si>
    <t>Robert Colbry Maher</t>
  </si>
  <si>
    <t>Abraham Cisne</t>
  </si>
  <si>
    <t>Colleen Suzanne Boyne</t>
  </si>
  <si>
    <t>Allison S McGovern</t>
  </si>
  <si>
    <t>Partners Current Premium</t>
  </si>
  <si>
    <t>Employee Current Monthly Premium based on May Invoice</t>
  </si>
  <si>
    <t>Total Cost Current Premium</t>
  </si>
  <si>
    <t>Plan Info</t>
  </si>
  <si>
    <t>Maximum Renewal Cost for Partners BlueChoice Plus Platinum 0</t>
  </si>
  <si>
    <t>Covered Dependents</t>
  </si>
  <si>
    <t>BlueChoice Advantage Platinum 0</t>
  </si>
  <si>
    <t>BlueChoice HMO Referral Platinum 0</t>
  </si>
  <si>
    <t>BlueChoice Plus Opt-Out Platinum 0</t>
  </si>
  <si>
    <t>BluePreferred PPO Platinum 0</t>
  </si>
  <si>
    <t>HealthyBlue Advantage Platinum 500</t>
  </si>
  <si>
    <t>HealthyBlue Plus Platinum 500</t>
  </si>
  <si>
    <t>KP DC Platinum 0/10/Vision</t>
  </si>
  <si>
    <t>KP DC Platinum Added Choice 0/10/POS/Vision</t>
  </si>
  <si>
    <t>KP DC Platinum HMO Plus 0/10/Vision</t>
  </si>
  <si>
    <t>UHC Choice Platinum 0</t>
  </si>
  <si>
    <t>UHC Choice Platinum 500</t>
  </si>
  <si>
    <t>UHC Choice Plus Platinum 0-2</t>
  </si>
  <si>
    <t>UHC Choice Plus Platinum 250</t>
  </si>
  <si>
    <t>Renewal Premium BlueChoice Plus Opt-Out Platinum 0</t>
  </si>
  <si>
    <t>Monthly Cost based on 5/1 Invoice (less COBRAs)</t>
  </si>
  <si>
    <t>Hannah Elizabeth Guernsey (COBRA)</t>
  </si>
  <si>
    <t>Partners Covers</t>
  </si>
  <si>
    <t>Percentage Change for Partners</t>
  </si>
  <si>
    <t>Partners of the Americas</t>
  </si>
  <si>
    <t xml:space="preserve">Rates vary based on option selected </t>
  </si>
  <si>
    <t>DC Health Link</t>
  </si>
  <si>
    <t>Total Premium Monthly for DC Health Link*</t>
  </si>
  <si>
    <t>Employer Costs</t>
  </si>
  <si>
    <t>Employee Costs</t>
  </si>
  <si>
    <t>Current Reference Plan POS BCCS Base 80/20 Split (80% of the cost of the base plan covered by employer, remaining 20% employee)</t>
  </si>
  <si>
    <t>Option 1</t>
  </si>
  <si>
    <t>Recommended</t>
  </si>
  <si>
    <t>Difference Total Dollar Monthly</t>
  </si>
  <si>
    <t>Difference Total Dollar Annual</t>
  </si>
  <si>
    <t>Current Reference Plan POS BCCS Base 75/25 Split (75% of the cost of the base plan covered by employer, remaining 25% employee)</t>
  </si>
  <si>
    <t>Option 2</t>
  </si>
  <si>
    <t>*Assumptions are based on current enrollment rates</t>
  </si>
  <si>
    <t>Notes:</t>
  </si>
  <si>
    <t>PPO - preferred provider organization (usually most expensive)</t>
  </si>
  <si>
    <t>POS - point-of-service plan (usually mid range costs)</t>
  </si>
  <si>
    <t>HMO - health maintenance organization (always cheapest option)</t>
  </si>
  <si>
    <t>BlueChoice Advantage HDHP/HSA/HRA Gold Plan - $1,500</t>
  </si>
  <si>
    <t>Renewal Premium BlueChoice Advantage HDHP/HSA/HRA Gold Plan - $1,500</t>
  </si>
  <si>
    <t>Maximum Renewal Cost for Partners BlueChoice Advantage HDHP/HSA/HRA Gold Plan - $1,500</t>
  </si>
  <si>
    <t>Renewal Premium BlueChoice Advantage HSA BlueFund Silver Plan - $1,600</t>
  </si>
  <si>
    <t>BlueChoice Advantage HSA BlueFund Silver Plan - $1,600</t>
  </si>
  <si>
    <t>Maximum Renewal Cost for Partners BlueChoice Advantage HSA BlueFund Silver Plan - $1,600</t>
  </si>
  <si>
    <t>Additional Possible Liability HRA</t>
  </si>
  <si>
    <t>Total Change</t>
  </si>
  <si>
    <t>Renewal %</t>
  </si>
  <si>
    <t xml:space="preserve">Current June 2023 DC Health Link Premium </t>
  </si>
  <si>
    <t>Change Reference to BlueChoice Advantage Gold HRA 80/20 Split and 100% HRA Funding (80% of the cost of the base plan covered by employer, remaining 20% employee)</t>
  </si>
  <si>
    <t>Change Reference to BlueChoice Advantage Silver HRA 80/20 Split and 100% HRA Funding (80% of the cost of the base plan covered by employer, remaining 20% employee)</t>
  </si>
  <si>
    <t>Option 3</t>
  </si>
  <si>
    <t>Option 4</t>
  </si>
  <si>
    <t>Estimated Monthly Cost Renewal 8.1.23</t>
  </si>
  <si>
    <t>Partners Estimated Monthly Premium</t>
  </si>
  <si>
    <t>Employees Covered</t>
  </si>
  <si>
    <t>Reference Plan</t>
  </si>
  <si>
    <t>ER/EE Breakout</t>
  </si>
  <si>
    <t>BlueChoice Plus Platinum</t>
  </si>
  <si>
    <t>80/20</t>
  </si>
  <si>
    <t>Renewal Change at 8/1 based on enrollment at that time</t>
  </si>
  <si>
    <t>Percentage Change in Headcount</t>
  </si>
  <si>
    <t xml:space="preserve">Paul Notes: there is some variance in the Partners Estimated Monthly Premium due to enrollment types, some years had more families or younger/older employees.  Bearing this in mind, I pulled the actual renewal change based on our review from the spreadsheets dating back to 2017.  Overall, Partners has had tremendous employee growth and this is the first major increase since 2017.  As the next tabs lay out, a severe change in plan may not be needed at this time nor will it do much to relieve the premium increase based on the idea of funding a portion of a deductible for employees.  However, it may be the year to change the employer/employee split and encourage employees to look closely at their choices and how they are spending their portion of Partners premium contribution.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</si>
</sst>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color rgb="FF000000"/>
      <name val="Times New Roman"/>
      <family val="1"/>
    </font>
    <font>
      <sz val="10"/>
      <name val="Arial"/>
      <family val="2"/>
    </font>
    <font>
      <u/>
      <sz val="10"/>
      <color theme="10"/>
      <name val="Arial"/>
      <family val="2"/>
    </font>
    <font>
      <sz val="11"/>
      <name val="Bookman Old Style"/>
      <family val="1"/>
    </font>
    <font>
      <sz val="10"/>
      <name val="Times New Roman"/>
      <family val="1"/>
    </font>
    <font>
      <b/>
      <u val="double"/>
      <sz val="12"/>
      <name val="Times New Roman"/>
      <family val="1"/>
    </font>
    <font>
      <sz val="12"/>
      <name val="Times New Roman"/>
      <family val="1"/>
    </font>
    <font>
      <b/>
      <i/>
      <sz val="11"/>
      <color theme="1" tint="0.499984740745262"/>
      <name val="Verdana"/>
      <family val="2"/>
    </font>
    <font>
      <sz val="9"/>
      <name val="Verdana"/>
      <family val="2"/>
    </font>
    <font>
      <sz val="9"/>
      <color theme="1"/>
      <name val="Verdana"/>
      <family val="2"/>
    </font>
    <font>
      <b/>
      <sz val="9"/>
      <color rgb="FFFF0000"/>
      <name val="Verdana"/>
      <family val="2"/>
    </font>
    <font>
      <b/>
      <sz val="9"/>
      <color rgb="FF1F497D"/>
      <name val="Verdana"/>
      <family val="2"/>
    </font>
    <font>
      <b/>
      <sz val="9"/>
      <color theme="0"/>
      <name val="Verdana"/>
      <family val="2"/>
    </font>
    <font>
      <sz val="9"/>
      <color indexed="8"/>
      <name val="Verdana"/>
      <family val="2"/>
    </font>
    <font>
      <b/>
      <sz val="14"/>
      <color rgb="FF00B050"/>
      <name val="Calibri"/>
      <family val="2"/>
      <scheme val="minor"/>
    </font>
    <font>
      <i/>
      <sz val="11"/>
      <color theme="1"/>
      <name val="Calibri"/>
      <family val="2"/>
      <scheme val="minor"/>
    </font>
    <font>
      <sz val="8"/>
      <name val="Calibri"/>
      <family val="2"/>
      <scheme val="minor"/>
    </font>
  </fonts>
  <fills count="9">
    <fill>
      <patternFill patternType="none"/>
    </fill>
    <fill>
      <patternFill patternType="gray125"/>
    </fill>
    <fill>
      <patternFill patternType="solid">
        <fgColor theme="8" tint="0.79998168889431442"/>
        <bgColor indexed="64"/>
      </patternFill>
    </fill>
    <fill>
      <patternFill patternType="solid">
        <fgColor rgb="FF00B050"/>
        <bgColor indexed="64"/>
      </patternFill>
    </fill>
    <fill>
      <patternFill patternType="solid">
        <fgColor theme="0" tint="-0.14999847407452621"/>
        <bgColor indexed="64"/>
      </patternFill>
    </fill>
    <fill>
      <patternFill patternType="solid">
        <fgColor rgb="FF1F497D"/>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tint="-9.9978637043366805E-2"/>
        <bgColor indexed="64"/>
      </patternFill>
    </fill>
  </fills>
  <borders count="19">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theme="0"/>
      </left>
      <right style="medium">
        <color theme="0"/>
      </right>
      <top style="medium">
        <color theme="0"/>
      </top>
      <bottom style="medium">
        <color theme="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1">
    <xf numFmtId="0" fontId="0" fillId="0" borderId="0"/>
    <xf numFmtId="43" fontId="3"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4" fillId="0" borderId="0"/>
    <xf numFmtId="0" fontId="5" fillId="0" borderId="0"/>
    <xf numFmtId="0" fontId="3" fillId="0" borderId="0"/>
    <xf numFmtId="9" fontId="5"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0" fontId="8" fillId="0" borderId="0">
      <alignment horizontal="centerContinuous"/>
    </xf>
    <xf numFmtId="0" fontId="9" fillId="0" borderId="0" applyFont="0">
      <alignment horizontal="centerContinuous"/>
    </xf>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17" fontId="8" fillId="0" borderId="0"/>
    <xf numFmtId="1" fontId="10" fillId="0" borderId="0" applyNumberFormat="0" applyFont="0">
      <alignment horizontal="left" wrapText="1"/>
    </xf>
    <xf numFmtId="1" fontId="8" fillId="0" borderId="0" applyFont="0" applyAlignment="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7" fillId="0" borderId="0"/>
    <xf numFmtId="0" fontId="7"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7" fillId="0" borderId="0"/>
    <xf numFmtId="0" fontId="7" fillId="0" borderId="0"/>
    <xf numFmtId="0" fontId="1" fillId="0" borderId="0"/>
    <xf numFmtId="0" fontId="1" fillId="0" borderId="0"/>
    <xf numFmtId="9" fontId="7"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applyNumberFormat="0" applyFill="0" applyBorder="0" applyAlignment="0" applyProtection="0">
      <alignment vertical="top"/>
      <protection locked="0"/>
    </xf>
    <xf numFmtId="0" fontId="7" fillId="0" borderId="0"/>
    <xf numFmtId="0" fontId="5" fillId="0" borderId="0"/>
    <xf numFmtId="44" fontId="1" fillId="0" borderId="0" applyFont="0" applyFill="0" applyBorder="0" applyAlignment="0" applyProtection="0"/>
  </cellStyleXfs>
  <cellXfs count="174">
    <xf numFmtId="0" fontId="0" fillId="0" borderId="0" xfId="0"/>
    <xf numFmtId="0" fontId="2" fillId="0" borderId="0" xfId="3" applyFont="1" applyProtection="1">
      <protection hidden="1"/>
    </xf>
    <xf numFmtId="0" fontId="2" fillId="0" borderId="0" xfId="3" applyFont="1" applyAlignment="1" applyProtection="1">
      <alignment horizontal="center"/>
      <protection hidden="1"/>
    </xf>
    <xf numFmtId="0" fontId="1" fillId="0" borderId="0" xfId="3"/>
    <xf numFmtId="0" fontId="1" fillId="0" borderId="0" xfId="3" applyProtection="1">
      <protection hidden="1"/>
    </xf>
    <xf numFmtId="0" fontId="2" fillId="2" borderId="0" xfId="3" applyFont="1" applyFill="1" applyAlignment="1" applyProtection="1">
      <alignment horizontal="left"/>
      <protection hidden="1"/>
    </xf>
    <xf numFmtId="0" fontId="2" fillId="2" borderId="0" xfId="3" applyFont="1" applyFill="1" applyAlignment="1" applyProtection="1">
      <alignment horizontal="center"/>
      <protection hidden="1"/>
    </xf>
    <xf numFmtId="0" fontId="1" fillId="0" borderId="0" xfId="3" applyAlignment="1">
      <alignment horizontal="center"/>
    </xf>
    <xf numFmtId="0" fontId="2" fillId="2" borderId="0" xfId="3" applyFont="1" applyFill="1" applyAlignment="1" applyProtection="1">
      <alignment horizontal="center" wrapText="1"/>
      <protection hidden="1"/>
    </xf>
    <xf numFmtId="164" fontId="2" fillId="2" borderId="0" xfId="3" applyNumberFormat="1" applyFont="1" applyFill="1" applyAlignment="1" applyProtection="1">
      <alignment horizontal="center" wrapText="1"/>
      <protection hidden="1"/>
    </xf>
    <xf numFmtId="0" fontId="2" fillId="0" borderId="0" xfId="3" applyFont="1" applyAlignment="1" applyProtection="1">
      <alignment horizontal="center" wrapText="1"/>
      <protection hidden="1"/>
    </xf>
    <xf numFmtId="0" fontId="1" fillId="0" borderId="0" xfId="3" applyAlignment="1" applyProtection="1">
      <alignment horizontal="center" wrapText="1"/>
      <protection hidden="1"/>
    </xf>
    <xf numFmtId="10" fontId="1" fillId="0" borderId="0" xfId="2" applyNumberFormat="1" applyFont="1" applyBorder="1" applyAlignment="1" applyProtection="1">
      <alignment horizontal="center"/>
      <protection hidden="1"/>
    </xf>
    <xf numFmtId="164" fontId="1" fillId="0" borderId="0" xfId="1" applyNumberFormat="1" applyFont="1" applyBorder="1" applyAlignment="1">
      <alignment horizontal="center"/>
    </xf>
    <xf numFmtId="10" fontId="2" fillId="0" borderId="0" xfId="2" applyNumberFormat="1" applyFont="1" applyBorder="1" applyAlignment="1" applyProtection="1">
      <alignment horizontal="center"/>
      <protection hidden="1"/>
    </xf>
    <xf numFmtId="10" fontId="2" fillId="2" borderId="0" xfId="2" applyNumberFormat="1" applyFont="1" applyFill="1" applyBorder="1" applyAlignment="1" applyProtection="1">
      <alignment horizontal="center" wrapText="1"/>
      <protection hidden="1"/>
    </xf>
    <xf numFmtId="164" fontId="1" fillId="0" borderId="0" xfId="3" applyNumberFormat="1" applyAlignment="1" applyProtection="1">
      <alignment horizontal="center"/>
      <protection hidden="1"/>
    </xf>
    <xf numFmtId="0" fontId="1" fillId="0" borderId="0" xfId="3" applyAlignment="1" applyProtection="1">
      <alignment horizontal="center"/>
      <protection hidden="1"/>
    </xf>
    <xf numFmtId="10" fontId="1" fillId="0" borderId="0" xfId="2" applyNumberFormat="1" applyFont="1" applyFill="1" applyBorder="1" applyAlignment="1" applyProtection="1">
      <alignment horizontal="center"/>
      <protection hidden="1"/>
    </xf>
    <xf numFmtId="164" fontId="1" fillId="0" borderId="0" xfId="3" applyNumberFormat="1" applyAlignment="1">
      <alignment horizontal="center"/>
    </xf>
    <xf numFmtId="10" fontId="1" fillId="0" borderId="0" xfId="2" applyNumberFormat="1" applyFont="1" applyBorder="1" applyAlignment="1">
      <alignment horizontal="center"/>
    </xf>
    <xf numFmtId="0" fontId="1" fillId="0" borderId="0" xfId="3" applyAlignment="1">
      <alignment horizontal="center" wrapText="1"/>
    </xf>
    <xf numFmtId="0" fontId="1" fillId="0" borderId="0" xfId="3" applyAlignment="1">
      <alignment horizontal="left" indent="1"/>
    </xf>
    <xf numFmtId="164" fontId="0" fillId="0" borderId="0" xfId="3" applyNumberFormat="1" applyFont="1" applyAlignment="1" applyProtection="1">
      <alignment horizontal="center" wrapText="1"/>
      <protection hidden="1"/>
    </xf>
    <xf numFmtId="164" fontId="2" fillId="0" borderId="0" xfId="3" applyNumberFormat="1" applyFont="1" applyAlignment="1" applyProtection="1">
      <alignment horizontal="center"/>
      <protection hidden="1"/>
    </xf>
    <xf numFmtId="14" fontId="1" fillId="0" borderId="0" xfId="3" applyNumberFormat="1" applyAlignment="1" applyProtection="1">
      <alignment horizontal="center"/>
      <protection hidden="1"/>
    </xf>
    <xf numFmtId="14" fontId="2" fillId="0" borderId="0" xfId="3" applyNumberFormat="1" applyFont="1" applyAlignment="1" applyProtection="1">
      <alignment horizontal="center"/>
      <protection hidden="1"/>
    </xf>
    <xf numFmtId="14" fontId="2" fillId="2" borderId="0" xfId="3" applyNumberFormat="1" applyFont="1" applyFill="1" applyAlignment="1" applyProtection="1">
      <alignment horizontal="center"/>
      <protection hidden="1"/>
    </xf>
    <xf numFmtId="14" fontId="1" fillId="0" borderId="0" xfId="3" applyNumberFormat="1" applyAlignment="1">
      <alignment horizontal="center"/>
    </xf>
    <xf numFmtId="2" fontId="1" fillId="0" borderId="0" xfId="3" applyNumberFormat="1" applyAlignment="1" applyProtection="1">
      <alignment horizontal="center"/>
      <protection hidden="1"/>
    </xf>
    <xf numFmtId="14" fontId="0" fillId="0" borderId="0" xfId="0" applyNumberFormat="1"/>
    <xf numFmtId="0" fontId="1" fillId="0" borderId="3" xfId="3" applyBorder="1" applyAlignment="1">
      <alignment horizontal="center" wrapText="1"/>
    </xf>
    <xf numFmtId="164" fontId="1" fillId="0" borderId="3" xfId="3" applyNumberFormat="1" applyBorder="1" applyAlignment="1">
      <alignment horizontal="center"/>
    </xf>
    <xf numFmtId="10" fontId="1" fillId="0" borderId="3" xfId="2" applyNumberFormat="1" applyFont="1" applyBorder="1" applyAlignment="1">
      <alignment horizontal="center"/>
    </xf>
    <xf numFmtId="164" fontId="1" fillId="0" borderId="2" xfId="3" applyNumberFormat="1" applyBorder="1" applyAlignment="1" applyProtection="1">
      <alignment horizontal="center" wrapText="1"/>
      <protection hidden="1"/>
    </xf>
    <xf numFmtId="10" fontId="1" fillId="0" borderId="2" xfId="2" applyNumberFormat="1" applyFont="1" applyFill="1" applyBorder="1" applyAlignment="1" applyProtection="1">
      <alignment horizontal="center"/>
      <protection hidden="1"/>
    </xf>
    <xf numFmtId="164" fontId="1" fillId="0" borderId="2" xfId="4" applyNumberFormat="1" applyFont="1" applyFill="1" applyBorder="1" applyAlignment="1" applyProtection="1">
      <alignment horizontal="center"/>
      <protection hidden="1"/>
    </xf>
    <xf numFmtId="164" fontId="1" fillId="0" borderId="2" xfId="4" applyNumberFormat="1" applyFont="1" applyFill="1" applyBorder="1" applyAlignment="1" applyProtection="1">
      <alignment horizontal="center" wrapText="1"/>
      <protection hidden="1"/>
    </xf>
    <xf numFmtId="164" fontId="1" fillId="0" borderId="2" xfId="3" applyNumberFormat="1" applyBorder="1" applyAlignment="1" applyProtection="1">
      <alignment horizontal="center"/>
      <protection hidden="1"/>
    </xf>
    <xf numFmtId="164" fontId="1" fillId="0" borderId="2" xfId="3" applyNumberFormat="1" applyBorder="1" applyAlignment="1">
      <alignment horizontal="center"/>
    </xf>
    <xf numFmtId="165" fontId="1" fillId="0" borderId="2" xfId="3" applyNumberFormat="1" applyBorder="1" applyAlignment="1" applyProtection="1">
      <alignment horizontal="center"/>
      <protection hidden="1"/>
    </xf>
    <xf numFmtId="44" fontId="2" fillId="0" borderId="0" xfId="90" applyFont="1" applyBorder="1" applyAlignment="1" applyProtection="1">
      <alignment horizontal="center"/>
      <protection hidden="1"/>
    </xf>
    <xf numFmtId="44" fontId="1" fillId="0" borderId="0" xfId="90" applyFont="1" applyFill="1" applyBorder="1" applyAlignment="1" applyProtection="1">
      <alignment horizontal="center"/>
      <protection hidden="1"/>
    </xf>
    <xf numFmtId="44" fontId="1" fillId="0" borderId="0" xfId="90" applyFont="1" applyBorder="1" applyAlignment="1">
      <alignment horizontal="center"/>
    </xf>
    <xf numFmtId="164" fontId="1" fillId="0" borderId="0" xfId="4" applyNumberFormat="1" applyFont="1" applyFill="1" applyBorder="1" applyAlignment="1" applyProtection="1">
      <alignment horizontal="left" wrapText="1" indent="1"/>
      <protection hidden="1"/>
    </xf>
    <xf numFmtId="164" fontId="1" fillId="0" borderId="0" xfId="4" applyNumberFormat="1" applyFont="1" applyFill="1" applyBorder="1" applyAlignment="1" applyProtection="1">
      <alignment horizontal="center" wrapText="1"/>
      <protection hidden="1"/>
    </xf>
    <xf numFmtId="164" fontId="2" fillId="0" borderId="0" xfId="3" applyNumberFormat="1" applyFont="1" applyProtection="1">
      <protection hidden="1"/>
    </xf>
    <xf numFmtId="10" fontId="1" fillId="0" borderId="2" xfId="2" applyNumberFormat="1" applyFont="1" applyFill="1" applyBorder="1" applyAlignment="1" applyProtection="1">
      <alignment horizontal="center" wrapText="1"/>
      <protection hidden="1"/>
    </xf>
    <xf numFmtId="8" fontId="0" fillId="0" borderId="2" xfId="0" applyNumberFormat="1" applyBorder="1"/>
    <xf numFmtId="164" fontId="2" fillId="2" borderId="4" xfId="4" applyNumberFormat="1" applyFont="1" applyFill="1" applyBorder="1" applyAlignment="1" applyProtection="1">
      <alignment horizontal="center" wrapText="1"/>
      <protection hidden="1"/>
    </xf>
    <xf numFmtId="164" fontId="2" fillId="2" borderId="6" xfId="4" applyNumberFormat="1" applyFont="1" applyFill="1" applyBorder="1" applyAlignment="1" applyProtection="1">
      <alignment horizontal="center" wrapText="1"/>
      <protection hidden="1"/>
    </xf>
    <xf numFmtId="0" fontId="1" fillId="0" borderId="2" xfId="3" applyBorder="1"/>
    <xf numFmtId="9" fontId="1" fillId="0" borderId="2" xfId="2" applyBorder="1"/>
    <xf numFmtId="164" fontId="2" fillId="3" borderId="5" xfId="3" applyNumberFormat="1" applyFont="1" applyFill="1" applyBorder="1" applyAlignment="1" applyProtection="1">
      <alignment horizontal="center"/>
      <protection hidden="1"/>
    </xf>
    <xf numFmtId="165" fontId="1" fillId="0" borderId="2" xfId="3" applyNumberFormat="1" applyFill="1" applyBorder="1" applyAlignment="1" applyProtection="1">
      <alignment horizontal="center"/>
      <protection hidden="1"/>
    </xf>
    <xf numFmtId="8" fontId="0" fillId="0" borderId="2" xfId="0" applyNumberFormat="1" applyFill="1" applyBorder="1"/>
    <xf numFmtId="164" fontId="1" fillId="0" borderId="2" xfId="3" applyNumberFormat="1" applyFill="1" applyBorder="1" applyAlignment="1" applyProtection="1">
      <alignment horizontal="center" wrapText="1"/>
      <protection hidden="1"/>
    </xf>
    <xf numFmtId="9" fontId="1" fillId="0" borderId="2" xfId="2" applyFill="1" applyBorder="1" applyAlignment="1">
      <alignment horizontal="left" indent="1"/>
    </xf>
    <xf numFmtId="164" fontId="2" fillId="0" borderId="6" xfId="3" applyNumberFormat="1" applyFont="1" applyFill="1" applyBorder="1" applyAlignment="1" applyProtection="1">
      <protection hidden="1"/>
    </xf>
    <xf numFmtId="164" fontId="2" fillId="2" borderId="5" xfId="4" applyNumberFormat="1" applyFont="1" applyFill="1" applyBorder="1" applyAlignment="1" applyProtection="1">
      <alignment horizontal="center" wrapText="1"/>
      <protection hidden="1"/>
    </xf>
    <xf numFmtId="44" fontId="2" fillId="2" borderId="6" xfId="90" applyFont="1" applyFill="1" applyBorder="1" applyAlignment="1" applyProtection="1">
      <alignment horizontal="center" wrapText="1"/>
      <protection hidden="1"/>
    </xf>
    <xf numFmtId="164" fontId="1" fillId="0" borderId="7" xfId="4" applyNumberFormat="1" applyFont="1" applyFill="1" applyBorder="1" applyAlignment="1" applyProtection="1">
      <alignment horizontal="center"/>
      <protection hidden="1"/>
    </xf>
    <xf numFmtId="164" fontId="1" fillId="0" borderId="7" xfId="4" applyNumberFormat="1" applyFont="1" applyFill="1" applyBorder="1" applyAlignment="1" applyProtection="1">
      <alignment horizontal="center" wrapText="1"/>
      <protection hidden="1"/>
    </xf>
    <xf numFmtId="10" fontId="1" fillId="0" borderId="7" xfId="2" applyNumberFormat="1" applyFont="1" applyFill="1" applyBorder="1" applyAlignment="1" applyProtection="1">
      <alignment horizontal="center" wrapText="1"/>
      <protection hidden="1"/>
    </xf>
    <xf numFmtId="10" fontId="2" fillId="2" borderId="4" xfId="2" applyNumberFormat="1" applyFont="1" applyFill="1" applyBorder="1" applyAlignment="1" applyProtection="1">
      <alignment horizontal="center" wrapText="1"/>
      <protection hidden="1"/>
    </xf>
    <xf numFmtId="10" fontId="2" fillId="2" borderId="6" xfId="2" applyNumberFormat="1" applyFont="1" applyFill="1" applyBorder="1" applyAlignment="1" applyProtection="1">
      <alignment horizontal="center" wrapText="1"/>
      <protection hidden="1"/>
    </xf>
    <xf numFmtId="9" fontId="2" fillId="2" borderId="2" xfId="2" applyFont="1" applyFill="1" applyBorder="1" applyAlignment="1">
      <alignment horizontal="center" wrapText="1"/>
    </xf>
    <xf numFmtId="8" fontId="0" fillId="0" borderId="0" xfId="0" applyNumberFormat="1"/>
    <xf numFmtId="0" fontId="0" fillId="0" borderId="0" xfId="0" applyAlignment="1">
      <alignment wrapText="1"/>
    </xf>
    <xf numFmtId="0" fontId="1" fillId="0" borderId="0" xfId="3" applyBorder="1" applyAlignment="1">
      <alignment horizontal="center" wrapText="1"/>
    </xf>
    <xf numFmtId="0" fontId="0" fillId="0" borderId="0" xfId="3" applyFont="1" applyBorder="1" applyAlignment="1">
      <alignment horizontal="center" wrapText="1"/>
    </xf>
    <xf numFmtId="10" fontId="1" fillId="0" borderId="2" xfId="2" applyNumberFormat="1" applyBorder="1"/>
    <xf numFmtId="164" fontId="2" fillId="3" borderId="5" xfId="3" applyNumberFormat="1" applyFont="1" applyFill="1" applyBorder="1" applyAlignment="1" applyProtection="1">
      <alignment horizontal="center"/>
      <protection hidden="1"/>
    </xf>
    <xf numFmtId="164" fontId="2" fillId="3" borderId="5" xfId="3" applyNumberFormat="1" applyFont="1" applyFill="1" applyBorder="1" applyAlignment="1" applyProtection="1">
      <alignment horizontal="center"/>
      <protection hidden="1"/>
    </xf>
    <xf numFmtId="0" fontId="0" fillId="0" borderId="0" xfId="0" applyFill="1"/>
    <xf numFmtId="164" fontId="2" fillId="0" borderId="1" xfId="3" applyNumberFormat="1" applyFont="1" applyBorder="1" applyAlignment="1" applyProtection="1">
      <alignment horizontal="center" wrapText="1"/>
      <protection hidden="1"/>
    </xf>
    <xf numFmtId="164" fontId="2" fillId="0" borderId="0" xfId="3" applyNumberFormat="1" applyFont="1" applyAlignment="1" applyProtection="1">
      <alignment horizontal="center" wrapText="1"/>
      <protection hidden="1"/>
    </xf>
    <xf numFmtId="0" fontId="2" fillId="3" borderId="4" xfId="3" applyFont="1" applyFill="1" applyBorder="1" applyAlignment="1" applyProtection="1">
      <alignment horizontal="center"/>
      <protection hidden="1"/>
    </xf>
    <xf numFmtId="0" fontId="2" fillId="3" borderId="5" xfId="3" applyFont="1" applyFill="1" applyBorder="1" applyAlignment="1" applyProtection="1">
      <alignment horizontal="center"/>
      <protection hidden="1"/>
    </xf>
    <xf numFmtId="0" fontId="2" fillId="3" borderId="6" xfId="3" applyFont="1" applyFill="1" applyBorder="1" applyAlignment="1" applyProtection="1">
      <alignment horizontal="center"/>
      <protection hidden="1"/>
    </xf>
    <xf numFmtId="0" fontId="2" fillId="3" borderId="4" xfId="3" applyFont="1" applyFill="1" applyBorder="1" applyAlignment="1" applyProtection="1">
      <alignment horizontal="center" wrapText="1"/>
      <protection hidden="1"/>
    </xf>
    <xf numFmtId="0" fontId="2" fillId="3" borderId="5" xfId="3" applyFont="1" applyFill="1" applyBorder="1" applyAlignment="1" applyProtection="1">
      <alignment horizontal="center" wrapText="1"/>
      <protection hidden="1"/>
    </xf>
    <xf numFmtId="164" fontId="2" fillId="3" borderId="4" xfId="3" applyNumberFormat="1" applyFont="1" applyFill="1" applyBorder="1" applyAlignment="1" applyProtection="1">
      <alignment horizontal="center"/>
      <protection hidden="1"/>
    </xf>
    <xf numFmtId="164" fontId="2" fillId="3" borderId="5" xfId="3" applyNumberFormat="1" applyFont="1" applyFill="1" applyBorder="1" applyAlignment="1" applyProtection="1">
      <alignment horizontal="center"/>
      <protection hidden="1"/>
    </xf>
    <xf numFmtId="164" fontId="2" fillId="3" borderId="6" xfId="3" applyNumberFormat="1" applyFont="1" applyFill="1" applyBorder="1" applyAlignment="1" applyProtection="1">
      <alignment horizontal="center"/>
      <protection hidden="1"/>
    </xf>
    <xf numFmtId="0" fontId="11" fillId="0" borderId="0" xfId="0" applyFont="1"/>
    <xf numFmtId="0" fontId="12" fillId="0" borderId="0" xfId="33" applyFont="1" applyAlignment="1" applyProtection="1">
      <alignment horizontal="left"/>
      <protection locked="0"/>
    </xf>
    <xf numFmtId="0" fontId="12" fillId="0" borderId="0" xfId="33" applyFont="1" applyProtection="1">
      <protection locked="0"/>
    </xf>
    <xf numFmtId="0" fontId="12" fillId="0" borderId="0" xfId="33" applyFont="1" applyAlignment="1" applyProtection="1">
      <alignment horizontal="center"/>
      <protection locked="0"/>
    </xf>
    <xf numFmtId="0" fontId="12" fillId="0" borderId="0" xfId="33" applyFont="1" applyAlignment="1" applyProtection="1">
      <alignment horizontal="center"/>
      <protection locked="0"/>
    </xf>
    <xf numFmtId="0" fontId="13" fillId="0" borderId="0" xfId="0" applyFont="1"/>
    <xf numFmtId="0" fontId="14" fillId="0" borderId="8" xfId="33" applyFont="1" applyBorder="1" applyAlignment="1" applyProtection="1">
      <alignment vertical="center"/>
      <protection locked="0"/>
    </xf>
    <xf numFmtId="6" fontId="15" fillId="4" borderId="9" xfId="33" applyNumberFormat="1" applyFont="1" applyFill="1" applyBorder="1" applyAlignment="1" applyProtection="1">
      <alignment horizontal="center" vertical="center" wrapText="1"/>
      <protection locked="0"/>
    </xf>
    <xf numFmtId="6" fontId="15" fillId="4" borderId="10" xfId="33" applyNumberFormat="1" applyFont="1" applyFill="1" applyBorder="1" applyAlignment="1" applyProtection="1">
      <alignment horizontal="center" vertical="center" wrapText="1"/>
      <protection locked="0"/>
    </xf>
    <xf numFmtId="6" fontId="15" fillId="4" borderId="11" xfId="33" applyNumberFormat="1" applyFont="1" applyFill="1" applyBorder="1" applyAlignment="1" applyProtection="1">
      <alignment horizontal="center" vertical="center" wrapText="1"/>
      <protection locked="0"/>
    </xf>
    <xf numFmtId="0" fontId="16" fillId="5" borderId="12" xfId="33" applyFont="1" applyFill="1" applyBorder="1" applyAlignment="1" applyProtection="1">
      <alignment horizontal="center" vertical="center"/>
      <protection locked="0"/>
    </xf>
    <xf numFmtId="0" fontId="16" fillId="5" borderId="0" xfId="33" applyFont="1" applyFill="1" applyAlignment="1" applyProtection="1">
      <alignment horizontal="center" vertical="center"/>
      <protection locked="0"/>
    </xf>
    <xf numFmtId="0" fontId="16" fillId="5" borderId="13" xfId="33" applyFont="1" applyFill="1" applyBorder="1" applyAlignment="1" applyProtection="1">
      <alignment horizontal="center" vertical="center"/>
      <protection locked="0"/>
    </xf>
    <xf numFmtId="0" fontId="16" fillId="5" borderId="12" xfId="33" applyFont="1" applyFill="1" applyBorder="1" applyAlignment="1" applyProtection="1">
      <alignment horizontal="center" vertical="center"/>
      <protection locked="0"/>
    </xf>
    <xf numFmtId="0" fontId="16" fillId="5" borderId="14" xfId="33" applyFont="1" applyFill="1" applyBorder="1" applyAlignment="1" applyProtection="1">
      <alignment horizontal="center" vertical="center"/>
      <protection locked="0"/>
    </xf>
    <xf numFmtId="0" fontId="16" fillId="5" borderId="13" xfId="33" applyFont="1" applyFill="1" applyBorder="1" applyAlignment="1" applyProtection="1">
      <alignment horizontal="center" vertical="center"/>
      <protection locked="0"/>
    </xf>
    <xf numFmtId="0" fontId="12" fillId="0" borderId="2" xfId="33" applyFont="1" applyBorder="1" applyAlignment="1" applyProtection="1">
      <alignment horizontal="left" vertical="center"/>
      <protection locked="0"/>
    </xf>
    <xf numFmtId="164" fontId="17" fillId="0" borderId="7" xfId="33" applyNumberFormat="1" applyFont="1" applyBorder="1" applyAlignment="1" applyProtection="1">
      <alignment horizontal="center" vertical="center"/>
      <protection locked="0"/>
    </xf>
    <xf numFmtId="164" fontId="17" fillId="0" borderId="15" xfId="33" applyNumberFormat="1" applyFont="1" applyBorder="1" applyAlignment="1" applyProtection="1">
      <alignment horizontal="center" vertical="center"/>
      <protection locked="0"/>
    </xf>
    <xf numFmtId="164" fontId="17" fillId="0" borderId="13" xfId="33" applyNumberFormat="1" applyFont="1" applyBorder="1" applyAlignment="1" applyProtection="1">
      <alignment horizontal="center" vertical="center"/>
      <protection locked="0"/>
    </xf>
    <xf numFmtId="164" fontId="17" fillId="0" borderId="2" xfId="33" applyNumberFormat="1" applyFont="1" applyBorder="1" applyAlignment="1" applyProtection="1">
      <alignment horizontal="center" vertical="center"/>
      <protection locked="0"/>
    </xf>
    <xf numFmtId="0" fontId="12" fillId="6" borderId="16" xfId="33" applyFont="1" applyFill="1" applyBorder="1" applyAlignment="1" applyProtection="1">
      <alignment horizontal="left" vertical="center" wrapText="1"/>
      <protection locked="0"/>
    </xf>
    <xf numFmtId="0" fontId="12" fillId="6" borderId="17" xfId="33" applyFont="1" applyFill="1" applyBorder="1" applyAlignment="1" applyProtection="1">
      <alignment horizontal="left" vertical="center" wrapText="1"/>
      <protection locked="0"/>
    </xf>
    <xf numFmtId="0" fontId="12" fillId="6" borderId="18" xfId="33" applyFont="1" applyFill="1" applyBorder="1" applyAlignment="1" applyProtection="1">
      <alignment horizontal="left" vertical="center" wrapText="1"/>
      <protection locked="0"/>
    </xf>
    <xf numFmtId="164" fontId="17" fillId="6" borderId="2" xfId="33" applyNumberFormat="1" applyFont="1" applyFill="1" applyBorder="1" applyAlignment="1" applyProtection="1">
      <alignment horizontal="center" vertical="center"/>
      <protection locked="0"/>
    </xf>
    <xf numFmtId="164" fontId="17" fillId="6" borderId="2" xfId="33" applyNumberFormat="1" applyFont="1" applyFill="1" applyBorder="1" applyAlignment="1" applyProtection="1">
      <alignment horizontal="center" vertical="center"/>
      <protection locked="0"/>
    </xf>
    <xf numFmtId="0" fontId="18" fillId="0" borderId="0" xfId="0" applyFont="1"/>
    <xf numFmtId="0" fontId="12" fillId="6" borderId="2" xfId="33" applyFont="1" applyFill="1" applyBorder="1" applyAlignment="1" applyProtection="1">
      <alignment horizontal="left" vertical="center"/>
      <protection locked="0"/>
    </xf>
    <xf numFmtId="10" fontId="0" fillId="6" borderId="18" xfId="2" applyNumberFormat="1" applyFont="1" applyFill="1" applyBorder="1" applyAlignment="1">
      <alignment horizontal="center"/>
    </xf>
    <xf numFmtId="10" fontId="0" fillId="6" borderId="2" xfId="2" applyNumberFormat="1" applyFont="1" applyFill="1" applyBorder="1" applyAlignment="1">
      <alignment horizontal="center"/>
    </xf>
    <xf numFmtId="0" fontId="0" fillId="6" borderId="2" xfId="0" applyFill="1" applyBorder="1"/>
    <xf numFmtId="164" fontId="0" fillId="6" borderId="18" xfId="0" applyNumberFormat="1" applyFill="1" applyBorder="1" applyAlignment="1">
      <alignment horizontal="center"/>
    </xf>
    <xf numFmtId="0" fontId="0" fillId="6" borderId="2" xfId="0" applyFill="1" applyBorder="1" applyAlignment="1">
      <alignment horizontal="center"/>
    </xf>
    <xf numFmtId="0" fontId="12" fillId="7" borderId="2" xfId="33" applyFont="1" applyFill="1" applyBorder="1" applyAlignment="1" applyProtection="1">
      <alignment horizontal="left" vertical="center" wrapText="1"/>
      <protection locked="0"/>
    </xf>
    <xf numFmtId="164" fontId="17" fillId="7" borderId="2" xfId="33" applyNumberFormat="1" applyFont="1" applyFill="1" applyBorder="1" applyAlignment="1" applyProtection="1">
      <alignment horizontal="center" vertical="center"/>
      <protection locked="0"/>
    </xf>
    <xf numFmtId="164" fontId="17" fillId="7" borderId="16" xfId="33" applyNumberFormat="1" applyFont="1" applyFill="1" applyBorder="1" applyAlignment="1" applyProtection="1">
      <alignment horizontal="center" vertical="center"/>
      <protection locked="0"/>
    </xf>
    <xf numFmtId="164" fontId="17" fillId="7" borderId="18" xfId="33" applyNumberFormat="1" applyFont="1" applyFill="1" applyBorder="1" applyAlignment="1" applyProtection="1">
      <alignment horizontal="center" vertical="center"/>
      <protection locked="0"/>
    </xf>
    <xf numFmtId="164" fontId="17" fillId="7" borderId="2" xfId="33" applyNumberFormat="1" applyFont="1" applyFill="1" applyBorder="1" applyAlignment="1" applyProtection="1">
      <alignment horizontal="center" vertical="center"/>
      <protection locked="0"/>
    </xf>
    <xf numFmtId="0" fontId="12" fillId="7" borderId="2" xfId="33" applyFont="1" applyFill="1" applyBorder="1" applyAlignment="1" applyProtection="1">
      <alignment horizontal="left" vertical="center"/>
      <protection locked="0"/>
    </xf>
    <xf numFmtId="10" fontId="0" fillId="7" borderId="18" xfId="2" applyNumberFormat="1" applyFont="1" applyFill="1" applyBorder="1" applyAlignment="1">
      <alignment horizontal="center"/>
    </xf>
    <xf numFmtId="10" fontId="0" fillId="7" borderId="2" xfId="2" applyNumberFormat="1" applyFont="1" applyFill="1" applyBorder="1" applyAlignment="1">
      <alignment horizontal="center"/>
    </xf>
    <xf numFmtId="0" fontId="0" fillId="7" borderId="2" xfId="0" applyFill="1" applyBorder="1"/>
    <xf numFmtId="164" fontId="0" fillId="7" borderId="18" xfId="0" applyNumberFormat="1" applyFill="1" applyBorder="1" applyAlignment="1">
      <alignment horizontal="center"/>
    </xf>
    <xf numFmtId="0" fontId="0" fillId="7" borderId="2" xfId="0" applyFill="1" applyBorder="1" applyAlignment="1">
      <alignment horizontal="center"/>
    </xf>
    <xf numFmtId="0" fontId="19" fillId="0" borderId="0" xfId="0" applyFont="1"/>
    <xf numFmtId="10" fontId="1" fillId="0" borderId="0" xfId="2" applyNumberFormat="1" applyAlignment="1">
      <alignment horizontal="center"/>
    </xf>
    <xf numFmtId="0" fontId="12" fillId="2" borderId="16" xfId="33" applyFont="1" applyFill="1" applyBorder="1" applyAlignment="1" applyProtection="1">
      <alignment horizontal="left" vertical="center" wrapText="1"/>
      <protection locked="0"/>
    </xf>
    <xf numFmtId="0" fontId="12" fillId="2" borderId="17" xfId="33" applyFont="1" applyFill="1" applyBorder="1" applyAlignment="1" applyProtection="1">
      <alignment horizontal="left" vertical="center" wrapText="1"/>
      <protection locked="0"/>
    </xf>
    <xf numFmtId="0" fontId="12" fillId="2" borderId="18" xfId="33" applyFont="1" applyFill="1" applyBorder="1" applyAlignment="1" applyProtection="1">
      <alignment horizontal="left" vertical="center" wrapText="1"/>
      <protection locked="0"/>
    </xf>
    <xf numFmtId="164" fontId="17" fillId="2" borderId="16" xfId="33" applyNumberFormat="1" applyFont="1" applyFill="1" applyBorder="1" applyAlignment="1" applyProtection="1">
      <alignment horizontal="center" vertical="center"/>
      <protection locked="0"/>
    </xf>
    <xf numFmtId="164" fontId="17" fillId="2" borderId="18" xfId="33" applyNumberFormat="1" applyFont="1" applyFill="1" applyBorder="1" applyAlignment="1" applyProtection="1">
      <alignment horizontal="center" vertical="center"/>
      <protection locked="0"/>
    </xf>
    <xf numFmtId="164" fontId="17" fillId="2" borderId="2" xfId="33" applyNumberFormat="1" applyFont="1" applyFill="1" applyBorder="1" applyAlignment="1" applyProtection="1">
      <alignment horizontal="center" vertical="center"/>
      <protection locked="0"/>
    </xf>
    <xf numFmtId="0" fontId="12" fillId="2" borderId="16" xfId="33" applyFont="1" applyFill="1" applyBorder="1" applyAlignment="1" applyProtection="1">
      <alignment horizontal="left" vertical="center"/>
      <protection locked="0"/>
    </xf>
    <xf numFmtId="0" fontId="12" fillId="2" borderId="17" xfId="33" applyFont="1" applyFill="1" applyBorder="1" applyAlignment="1" applyProtection="1">
      <alignment horizontal="left" vertical="center"/>
      <protection locked="0"/>
    </xf>
    <xf numFmtId="0" fontId="12" fillId="2" borderId="18" xfId="33" applyFont="1" applyFill="1" applyBorder="1" applyAlignment="1" applyProtection="1">
      <alignment horizontal="left" vertical="center"/>
      <protection locked="0"/>
    </xf>
    <xf numFmtId="10" fontId="0" fillId="2" borderId="16" xfId="2" applyNumberFormat="1" applyFont="1" applyFill="1" applyBorder="1" applyAlignment="1">
      <alignment horizontal="center"/>
    </xf>
    <xf numFmtId="10" fontId="0" fillId="2" borderId="18" xfId="2" applyNumberFormat="1" applyFont="1" applyFill="1" applyBorder="1" applyAlignment="1">
      <alignment horizontal="center"/>
    </xf>
    <xf numFmtId="0" fontId="0" fillId="2" borderId="16" xfId="0" applyFill="1" applyBorder="1"/>
    <xf numFmtId="0" fontId="0" fillId="2" borderId="17" xfId="0" applyFill="1" applyBorder="1"/>
    <xf numFmtId="0" fontId="0" fillId="2" borderId="18" xfId="0" applyFill="1" applyBorder="1"/>
    <xf numFmtId="164" fontId="0" fillId="2" borderId="16" xfId="0" applyNumberFormat="1" applyFill="1" applyBorder="1" applyAlignment="1">
      <alignment horizontal="center"/>
    </xf>
    <xf numFmtId="164" fontId="0" fillId="2" borderId="18" xfId="0" applyNumberFormat="1" applyFill="1" applyBorder="1" applyAlignment="1">
      <alignment horizontal="center"/>
    </xf>
    <xf numFmtId="0" fontId="12" fillId="8" borderId="16" xfId="33" applyFont="1" applyFill="1" applyBorder="1" applyAlignment="1" applyProtection="1">
      <alignment horizontal="left" vertical="center" wrapText="1"/>
      <protection locked="0"/>
    </xf>
    <xf numFmtId="0" fontId="12" fillId="8" borderId="17" xfId="33" applyFont="1" applyFill="1" applyBorder="1" applyAlignment="1" applyProtection="1">
      <alignment horizontal="left" vertical="center" wrapText="1"/>
      <protection locked="0"/>
    </xf>
    <xf numFmtId="0" fontId="12" fillId="8" borderId="18" xfId="33" applyFont="1" applyFill="1" applyBorder="1" applyAlignment="1" applyProtection="1">
      <alignment horizontal="left" vertical="center" wrapText="1"/>
      <protection locked="0"/>
    </xf>
    <xf numFmtId="164" fontId="17" fillId="8" borderId="16" xfId="33" applyNumberFormat="1" applyFont="1" applyFill="1" applyBorder="1" applyAlignment="1" applyProtection="1">
      <alignment horizontal="center" vertical="center"/>
      <protection locked="0"/>
    </xf>
    <xf numFmtId="164" fontId="17" fillId="8" borderId="18" xfId="33" applyNumberFormat="1" applyFont="1" applyFill="1" applyBorder="1" applyAlignment="1" applyProtection="1">
      <alignment horizontal="center" vertical="center"/>
      <protection locked="0"/>
    </xf>
    <xf numFmtId="164" fontId="17" fillId="8" borderId="2" xfId="33" applyNumberFormat="1" applyFont="1" applyFill="1" applyBorder="1" applyAlignment="1" applyProtection="1">
      <alignment horizontal="center" vertical="center"/>
      <protection locked="0"/>
    </xf>
    <xf numFmtId="0" fontId="12" fillId="8" borderId="16" xfId="33" applyFont="1" applyFill="1" applyBorder="1" applyAlignment="1" applyProtection="1">
      <alignment horizontal="left" vertical="center"/>
      <protection locked="0"/>
    </xf>
    <xf numFmtId="0" fontId="12" fillId="8" borderId="17" xfId="33" applyFont="1" applyFill="1" applyBorder="1" applyAlignment="1" applyProtection="1">
      <alignment horizontal="left" vertical="center"/>
      <protection locked="0"/>
    </xf>
    <xf numFmtId="0" fontId="12" fillId="8" borderId="18" xfId="33" applyFont="1" applyFill="1" applyBorder="1" applyAlignment="1" applyProtection="1">
      <alignment horizontal="left" vertical="center"/>
      <protection locked="0"/>
    </xf>
    <xf numFmtId="10" fontId="0" fillId="8" borderId="16" xfId="2" applyNumberFormat="1" applyFont="1" applyFill="1" applyBorder="1" applyAlignment="1">
      <alignment horizontal="center"/>
    </xf>
    <xf numFmtId="10" fontId="0" fillId="8" borderId="18" xfId="2" applyNumberFormat="1" applyFont="1" applyFill="1" applyBorder="1" applyAlignment="1">
      <alignment horizontal="center"/>
    </xf>
    <xf numFmtId="0" fontId="0" fillId="8" borderId="16" xfId="0" applyFill="1" applyBorder="1"/>
    <xf numFmtId="0" fontId="0" fillId="8" borderId="17" xfId="0" applyFill="1" applyBorder="1"/>
    <xf numFmtId="0" fontId="0" fillId="8" borderId="18" xfId="0" applyFill="1" applyBorder="1"/>
    <xf numFmtId="164" fontId="0" fillId="8" borderId="16" xfId="0" applyNumberFormat="1" applyFill="1" applyBorder="1" applyAlignment="1">
      <alignment horizontal="center"/>
    </xf>
    <xf numFmtId="164" fontId="0" fillId="8" borderId="18" xfId="0" applyNumberFormat="1" applyFill="1" applyBorder="1" applyAlignment="1">
      <alignment horizontal="center"/>
    </xf>
    <xf numFmtId="2" fontId="12" fillId="6" borderId="2" xfId="33" applyNumberFormat="1" applyFont="1" applyFill="1" applyBorder="1" applyAlignment="1" applyProtection="1">
      <alignment horizontal="left" vertical="center"/>
      <protection locked="0"/>
    </xf>
    <xf numFmtId="2" fontId="0" fillId="6" borderId="18" xfId="2" applyNumberFormat="1" applyFont="1" applyFill="1" applyBorder="1" applyAlignment="1">
      <alignment horizontal="center"/>
    </xf>
    <xf numFmtId="2" fontId="0" fillId="6" borderId="2" xfId="2" applyNumberFormat="1" applyFont="1" applyFill="1" applyBorder="1" applyAlignment="1">
      <alignment horizontal="center"/>
    </xf>
    <xf numFmtId="2" fontId="0" fillId="0" borderId="0" xfId="0" applyNumberFormat="1"/>
    <xf numFmtId="164" fontId="0" fillId="6" borderId="18" xfId="0" applyNumberFormat="1" applyFill="1" applyBorder="1" applyAlignment="1">
      <alignment horizontal="center" wrapText="1"/>
    </xf>
    <xf numFmtId="0" fontId="0" fillId="6" borderId="2" xfId="0" applyFill="1" applyBorder="1" applyAlignment="1">
      <alignment horizontal="center" wrapText="1"/>
    </xf>
    <xf numFmtId="0" fontId="0" fillId="6" borderId="18" xfId="0" applyNumberFormat="1" applyFill="1" applyBorder="1" applyAlignment="1">
      <alignment horizontal="center"/>
    </xf>
    <xf numFmtId="0" fontId="0" fillId="6" borderId="2" xfId="0" applyNumberFormat="1" applyFill="1" applyBorder="1" applyAlignment="1">
      <alignment horizontal="center"/>
    </xf>
    <xf numFmtId="9" fontId="17" fillId="6" borderId="2" xfId="2" applyFont="1" applyFill="1" applyBorder="1" applyAlignment="1" applyProtection="1">
      <alignment horizontal="center" vertical="center"/>
      <protection locked="0"/>
    </xf>
    <xf numFmtId="10" fontId="17" fillId="6" borderId="2" xfId="2" applyNumberFormat="1" applyFont="1" applyFill="1" applyBorder="1" applyAlignment="1" applyProtection="1">
      <alignment horizontal="center" vertical="center"/>
      <protection locked="0"/>
    </xf>
    <xf numFmtId="0" fontId="0" fillId="0" borderId="0" xfId="0" applyAlignment="1">
      <alignment horizontal="left" vertical="top" wrapText="1"/>
    </xf>
  </cellXfs>
  <cellStyles count="91">
    <cellStyle name="Center" xfId="12" xr:uid="{00000000-0005-0000-0000-000000000000}"/>
    <cellStyle name="CENTER2" xfId="13" xr:uid="{00000000-0005-0000-0000-000001000000}"/>
    <cellStyle name="Comma" xfId="1" builtinId="3"/>
    <cellStyle name="Comma 2" xfId="4" xr:uid="{00000000-0005-0000-0000-000003000000}"/>
    <cellStyle name="Comma 2 2" xfId="14" xr:uid="{00000000-0005-0000-0000-000004000000}"/>
    <cellStyle name="Comma 2 3" xfId="9" xr:uid="{00000000-0005-0000-0000-000005000000}"/>
    <cellStyle name="Comma 3" xfId="15" xr:uid="{00000000-0005-0000-0000-000006000000}"/>
    <cellStyle name="Comma 4" xfId="16" xr:uid="{00000000-0005-0000-0000-000007000000}"/>
    <cellStyle name="Currency" xfId="90" builtinId="4"/>
    <cellStyle name="Currency 2" xfId="17" xr:uid="{00000000-0005-0000-0000-000008000000}"/>
    <cellStyle name="Currency 3" xfId="18" xr:uid="{00000000-0005-0000-0000-000009000000}"/>
    <cellStyle name="date1" xfId="19" xr:uid="{00000000-0005-0000-0000-00000A000000}"/>
    <cellStyle name="FIT" xfId="20" xr:uid="{00000000-0005-0000-0000-00000B000000}"/>
    <cellStyle name="FIXED" xfId="21" xr:uid="{00000000-0005-0000-0000-00000C000000}"/>
    <cellStyle name="Hyperlink 2" xfId="87" xr:uid="{00000000-0005-0000-0000-00000D000000}"/>
    <cellStyle name="Normal" xfId="0" builtinId="0"/>
    <cellStyle name="Normal 10" xfId="22" xr:uid="{00000000-0005-0000-0000-00000F000000}"/>
    <cellStyle name="Normal 10 2" xfId="23" xr:uid="{00000000-0005-0000-0000-000010000000}"/>
    <cellStyle name="Normal 10 2 2" xfId="64" xr:uid="{00000000-0005-0000-0000-000011000000}"/>
    <cellStyle name="Normal 10 3" xfId="63" xr:uid="{00000000-0005-0000-0000-000012000000}"/>
    <cellStyle name="Normal 11" xfId="24" xr:uid="{00000000-0005-0000-0000-000013000000}"/>
    <cellStyle name="Normal 11 2" xfId="25" xr:uid="{00000000-0005-0000-0000-000014000000}"/>
    <cellStyle name="Normal 11 2 2" xfId="26" xr:uid="{00000000-0005-0000-0000-000015000000}"/>
    <cellStyle name="Normal 11 2 2 2" xfId="67" xr:uid="{00000000-0005-0000-0000-000016000000}"/>
    <cellStyle name="Normal 11 2 3" xfId="66" xr:uid="{00000000-0005-0000-0000-000017000000}"/>
    <cellStyle name="Normal 11 3" xfId="27" xr:uid="{00000000-0005-0000-0000-000018000000}"/>
    <cellStyle name="Normal 11 3 2" xfId="68" xr:uid="{00000000-0005-0000-0000-000019000000}"/>
    <cellStyle name="Normal 11 4" xfId="65" xr:uid="{00000000-0005-0000-0000-00001A000000}"/>
    <cellStyle name="Normal 12" xfId="28" xr:uid="{00000000-0005-0000-0000-00001B000000}"/>
    <cellStyle name="Normal 13" xfId="29" xr:uid="{00000000-0005-0000-0000-00001C000000}"/>
    <cellStyle name="Normal 13 2" xfId="69" xr:uid="{00000000-0005-0000-0000-00001D000000}"/>
    <cellStyle name="Normal 14" xfId="86" xr:uid="{00000000-0005-0000-0000-00001E000000}"/>
    <cellStyle name="Normal 15" xfId="6" xr:uid="{00000000-0005-0000-0000-00001F000000}"/>
    <cellStyle name="Normal 2" xfId="3" xr:uid="{00000000-0005-0000-0000-000020000000}"/>
    <cellStyle name="Normal 2 2" xfId="30" xr:uid="{00000000-0005-0000-0000-000021000000}"/>
    <cellStyle name="Normal 2 3" xfId="31" xr:uid="{00000000-0005-0000-0000-000022000000}"/>
    <cellStyle name="Normal 2 4" xfId="32" xr:uid="{00000000-0005-0000-0000-000023000000}"/>
    <cellStyle name="Normal 2 5" xfId="33" xr:uid="{00000000-0005-0000-0000-000024000000}"/>
    <cellStyle name="Normal 2 6" xfId="34" xr:uid="{00000000-0005-0000-0000-000025000000}"/>
    <cellStyle name="Normal 2 7" xfId="7" xr:uid="{00000000-0005-0000-0000-000026000000}"/>
    <cellStyle name="Normal 3" xfId="5" xr:uid="{00000000-0005-0000-0000-000027000000}"/>
    <cellStyle name="Normal 3 2" xfId="88" xr:uid="{00000000-0005-0000-0000-000028000000}"/>
    <cellStyle name="Normal 3 3" xfId="89" xr:uid="{00000000-0005-0000-0000-000029000000}"/>
    <cellStyle name="Normal 3 4" xfId="10" xr:uid="{00000000-0005-0000-0000-00002A000000}"/>
    <cellStyle name="Normal 4" xfId="35" xr:uid="{00000000-0005-0000-0000-00002B000000}"/>
    <cellStyle name="Normal 5" xfId="36" xr:uid="{00000000-0005-0000-0000-00002C000000}"/>
    <cellStyle name="Normal 5 2" xfId="37" xr:uid="{00000000-0005-0000-0000-00002D000000}"/>
    <cellStyle name="Normal 5 2 2" xfId="38" xr:uid="{00000000-0005-0000-0000-00002E000000}"/>
    <cellStyle name="Normal 5 2 2 2" xfId="39" xr:uid="{00000000-0005-0000-0000-00002F000000}"/>
    <cellStyle name="Normal 5 2 2 2 2" xfId="73" xr:uid="{00000000-0005-0000-0000-000030000000}"/>
    <cellStyle name="Normal 5 2 2 3" xfId="72" xr:uid="{00000000-0005-0000-0000-000031000000}"/>
    <cellStyle name="Normal 5 2 3" xfId="40" xr:uid="{00000000-0005-0000-0000-000032000000}"/>
    <cellStyle name="Normal 5 2 3 2" xfId="74" xr:uid="{00000000-0005-0000-0000-000033000000}"/>
    <cellStyle name="Normal 5 2 4" xfId="71" xr:uid="{00000000-0005-0000-0000-000034000000}"/>
    <cellStyle name="Normal 5 3" xfId="41" xr:uid="{00000000-0005-0000-0000-000035000000}"/>
    <cellStyle name="Normal 5 3 2" xfId="42" xr:uid="{00000000-0005-0000-0000-000036000000}"/>
    <cellStyle name="Normal 5 3 2 2" xfId="76" xr:uid="{00000000-0005-0000-0000-000037000000}"/>
    <cellStyle name="Normal 5 3 3" xfId="75" xr:uid="{00000000-0005-0000-0000-000038000000}"/>
    <cellStyle name="Normal 5 4" xfId="43" xr:uid="{00000000-0005-0000-0000-000039000000}"/>
    <cellStyle name="Normal 5 4 2" xfId="77" xr:uid="{00000000-0005-0000-0000-00003A000000}"/>
    <cellStyle name="Normal 5 5" xfId="70" xr:uid="{00000000-0005-0000-0000-00003B000000}"/>
    <cellStyle name="Normal 6" xfId="44" xr:uid="{00000000-0005-0000-0000-00003C000000}"/>
    <cellStyle name="Normal 7" xfId="45" xr:uid="{00000000-0005-0000-0000-00003D000000}"/>
    <cellStyle name="Normal 7 2" xfId="46" xr:uid="{00000000-0005-0000-0000-00003E000000}"/>
    <cellStyle name="Normal 8" xfId="47" xr:uid="{00000000-0005-0000-0000-00003F000000}"/>
    <cellStyle name="Normal 8 2" xfId="48" xr:uid="{00000000-0005-0000-0000-000040000000}"/>
    <cellStyle name="Normal 9" xfId="49" xr:uid="{00000000-0005-0000-0000-000041000000}"/>
    <cellStyle name="Normal 9 2" xfId="50" xr:uid="{00000000-0005-0000-0000-000042000000}"/>
    <cellStyle name="Normal 9 2 2" xfId="79" xr:uid="{00000000-0005-0000-0000-000043000000}"/>
    <cellStyle name="Normal 9 3" xfId="78" xr:uid="{00000000-0005-0000-0000-000044000000}"/>
    <cellStyle name="Percent" xfId="2" builtinId="5"/>
    <cellStyle name="Percent 2" xfId="11" xr:uid="{00000000-0005-0000-0000-000046000000}"/>
    <cellStyle name="Percent 2 2" xfId="51" xr:uid="{00000000-0005-0000-0000-000047000000}"/>
    <cellStyle name="Percent 3" xfId="52" xr:uid="{00000000-0005-0000-0000-000048000000}"/>
    <cellStyle name="Percent 4" xfId="53" xr:uid="{00000000-0005-0000-0000-000049000000}"/>
    <cellStyle name="Percent 4 2" xfId="54" xr:uid="{00000000-0005-0000-0000-00004A000000}"/>
    <cellStyle name="Percent 4 2 2" xfId="81" xr:uid="{00000000-0005-0000-0000-00004B000000}"/>
    <cellStyle name="Percent 4 3" xfId="80" xr:uid="{00000000-0005-0000-0000-00004C000000}"/>
    <cellStyle name="Percent 5" xfId="55" xr:uid="{00000000-0005-0000-0000-00004D000000}"/>
    <cellStyle name="Percent 5 2" xfId="56" xr:uid="{00000000-0005-0000-0000-00004E000000}"/>
    <cellStyle name="Percent 5 2 2" xfId="57" xr:uid="{00000000-0005-0000-0000-00004F000000}"/>
    <cellStyle name="Percent 5 2 2 2" xfId="84" xr:uid="{00000000-0005-0000-0000-000050000000}"/>
    <cellStyle name="Percent 5 2 3" xfId="83" xr:uid="{00000000-0005-0000-0000-000051000000}"/>
    <cellStyle name="Percent 5 3" xfId="58" xr:uid="{00000000-0005-0000-0000-000052000000}"/>
    <cellStyle name="Percent 5 3 2" xfId="85" xr:uid="{00000000-0005-0000-0000-000053000000}"/>
    <cellStyle name="Percent 5 4" xfId="82" xr:uid="{00000000-0005-0000-0000-000054000000}"/>
    <cellStyle name="Percent 6" xfId="59" xr:uid="{00000000-0005-0000-0000-000055000000}"/>
    <cellStyle name="Percent 7" xfId="8" xr:uid="{00000000-0005-0000-0000-000056000000}"/>
    <cellStyle name="TITLE 2" xfId="60" xr:uid="{00000000-0005-0000-0000-000057000000}"/>
    <cellStyle name="TITLE 3" xfId="61" xr:uid="{00000000-0005-0000-0000-000058000000}"/>
    <cellStyle name="TITLE 4" xfId="62" xr:uid="{00000000-0005-0000-0000-00005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9" Type="http://schemas.openxmlformats.org/officeDocument/2006/relationships/externalLink" Target="externalLinks/externalLink33.xml"/><Relationship Id="rId21" Type="http://schemas.openxmlformats.org/officeDocument/2006/relationships/externalLink" Target="externalLinks/externalLink15.xml"/><Relationship Id="rId34" Type="http://schemas.openxmlformats.org/officeDocument/2006/relationships/externalLink" Target="externalLinks/externalLink28.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customXml" Target="../customXml/item3.xml"/><Relationship Id="rId8" Type="http://schemas.openxmlformats.org/officeDocument/2006/relationships/externalLink" Target="externalLinks/externalLink2.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hepj\AppData\Local\Microsoft\Windows\Temporary%20Internet%20Files\Content.Outlook\XITG0DXK\2017%20SRA%20Benefits%20Template%20Testing%20for%20Raff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aul.Phelan\Desktop\Partners%20Table%20Rates%208.1.23%20in%20exce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rtners%202022-2023%20Benefits%20Renewal%20Options%20-%20preferred%20forma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Finance\Underwriting%20&amp;%20Pricing\Pricing\Experience\BCBSDE\Medigap_DPRATINC%20CalYr2002_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TSERVER06\ACTUARY2\Ken\MEDIC\Yr01\medic01.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Startup" Target="(A)FILE/QUOTES/QUOTECHK.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ACTUARY\PRICING\MARCUS\MEDIGAP\GENPRICE\RATES\RateFile\VA\370\37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OCUME~1\9250\LOCALS~1\Temp\notesFEB551\Quote.Model_51+_11-13-06(Eff%201-1-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NDRA\QUOTES\KASTL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Large_Group_Pricing\Pricing_Strategy\CFMI_Group_allocat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Large_Group_Pricing\Pricing_Strategy\GHMSI_Group_allocatio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Finance\Underwriting%20&amp;%20Pricing\Pricing\GHMSI\PRICING\KRISTEN\UNDER50\FILINGS\Virginia\VASE\NewProduct2001\VAS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Finance\Underwriting%20&amp;%20Pricing\Underwriting\GHMSI\Joy\Miscellaneous\Misc\Renewal%20Programs\GLOBAL\RFR%20Update%2011-6-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Finance\Actuarial\UOkpewho\Stop%20Loss%202006\Age_Sex_10%25_trend\Males_Females_Combin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ata\UNDER50\FILINGS\MDSGR\0007\OVER50\Pures\MRQ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Finance\Underwriting%20&amp;%20Pricing\Underwriting\Global%20Pricing\STOPLOSS.MODEL_07.07.20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DOCUME~1\BBOBAN\LOCALS~1\Temp\notes2776E4\Archived%20versions\Quote.Model_51+_01-13-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NTS-FILSHR-1\SHARED\Finance\Financial%20Planning\2000%20Forecast\00%20Forecast-MD.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Finance\Underwriting%20&amp;%20Pricing\Underwriting\GHMSI\GLOBAL\Demo2003-A_D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Billing\Weekly%2047%20Files%207-2-201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ACTUARY\PRICING\KRISTEN\UNDER50\FILINGS\VADC\9907\FILE263\FILE26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Finance\Underwriting%20&amp;%20Pricing\Pricing\SGR\RATE_DEV\SegoData06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Documents%20and%20Settings\nallen\Local%20Settings\Temporary%20Internet%20Files\Content.Outlook\AK9ZC4BC\QM_HealthyBlue_Macro.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TEMP\rx-model_po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ACTUARY\PRICING\Michelle\RX%20Model\rx-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Finance\Actuarial\UOkpewho\2006_Pricing_Strategy\Group_allocation.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NTS-FILSHR-1\SHARED\Finance\Financial%20Planning\2000%20Forecast\01%20Forecast-GHMSI.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1\nallen\LOCALS~1\Temp\notes85AECF\Q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DOCUME~1\nallen\LOCALS~1\Temp\notes85AECF\Benefit.Change.Calc_12.05.0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ACTUARY\PRICING\MARCUS\Ancl\Dental\Manual.Rat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Finance\Underwriting%20&amp;%20Pricing\Underwriting\Global%20Pricing\200408b%20Medical%20Pure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Finance\Underwriting%20&amp;%20Pricing\Pricing\GHMSI\YINGPGMS\U50\U011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Finance\Underwriting%20&amp;%20Pricing\Underwriting\Global%20Pricing\Quote.Model_51+\Quote.Model_51+_08-06-0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Finance\Underwriting%20&amp;%20Pricing\Pricing\2003%20Jan%20Filing\Ind64-\GHMSI%20PRICING%20010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TS-FILSHR-1\SHARED\Finance\Financial%20Planning\2000%20Forecast\01%20Forecast-MD.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Data\Under50\Monitor\3Q98\POE\PTOFSAL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Data\UNDER50\MONITOR\1Q00\PTOFSAL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ACTUARY\PRICING\MARCUS\Expense.Allocation\Retentio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Finance\Underwriting%20&amp;%20Pricing\Pricing\Small%20Grp\Model\Benefit-Pricing-200508.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Finance\Underwriting%20&amp;%20Pricing\Underwriting\GHMSI\Joy\Renewals\200+\2007\11%20November\CSAAC,%20Inc.%20-%207H99\Benefit%20Changes\7H99%20Benefit%20Change%20Calc%20-%20Post%20Concession.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Finance\Underwriting%20&amp;%20Pricing\Underwriting\Global%20Pricing\Quote.Model_51+\Quote.Model_51+_07-16-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Copy%20of%20Quote.Model_51+_9-16-0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TEMP\c.progra~1.notes.data\Dec02\ASOFE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lth Costs"/>
      <sheetName val="SRA - Cafeteria - NoNo"/>
      <sheetName val="SRA - Cafeteria"/>
      <sheetName val="SRA - 403B"/>
      <sheetName val="SRA - Other"/>
      <sheetName val="Data"/>
      <sheetName val="Pay Dates"/>
    </sheetNames>
    <sheetDataSet>
      <sheetData sheetId="0">
        <row r="8">
          <cell r="C8" t="str">
            <v>ACost</v>
          </cell>
          <cell r="D8" t="str">
            <v>MCost</v>
          </cell>
        </row>
        <row r="9">
          <cell r="C9">
            <v>0</v>
          </cell>
        </row>
        <row r="10">
          <cell r="C10">
            <v>189.24</v>
          </cell>
          <cell r="D10">
            <v>15.77</v>
          </cell>
        </row>
        <row r="11">
          <cell r="C11">
            <v>247.92</v>
          </cell>
          <cell r="D11">
            <v>20.66</v>
          </cell>
        </row>
        <row r="12">
          <cell r="C12">
            <v>292.92</v>
          </cell>
          <cell r="D12">
            <v>24.41</v>
          </cell>
        </row>
        <row r="13">
          <cell r="C13">
            <v>351.72</v>
          </cell>
          <cell r="D13">
            <v>29.31</v>
          </cell>
        </row>
        <row r="14">
          <cell r="C14">
            <v>0</v>
          </cell>
        </row>
        <row r="15">
          <cell r="C15">
            <v>246</v>
          </cell>
          <cell r="D15">
            <v>20.5</v>
          </cell>
        </row>
        <row r="16">
          <cell r="C16">
            <v>264</v>
          </cell>
          <cell r="D16">
            <v>22</v>
          </cell>
        </row>
        <row r="17">
          <cell r="C17">
            <v>408</v>
          </cell>
          <cell r="D17">
            <v>34</v>
          </cell>
        </row>
        <row r="18">
          <cell r="C18">
            <v>318</v>
          </cell>
          <cell r="D18">
            <v>26.5</v>
          </cell>
        </row>
        <row r="19">
          <cell r="C19">
            <v>360</v>
          </cell>
          <cell r="D19">
            <v>30</v>
          </cell>
        </row>
        <row r="20">
          <cell r="C20">
            <v>540</v>
          </cell>
          <cell r="D20">
            <v>45</v>
          </cell>
        </row>
        <row r="21">
          <cell r="C21">
            <v>0</v>
          </cell>
          <cell r="D21">
            <v>0</v>
          </cell>
        </row>
        <row r="22">
          <cell r="C22">
            <v>24.36</v>
          </cell>
          <cell r="D22">
            <v>2.0299999999999998</v>
          </cell>
        </row>
        <row r="23">
          <cell r="C23">
            <v>91.08</v>
          </cell>
          <cell r="D23">
            <v>7.59</v>
          </cell>
        </row>
        <row r="24">
          <cell r="C24">
            <v>94.44</v>
          </cell>
          <cell r="D24">
            <v>7.87</v>
          </cell>
        </row>
        <row r="25">
          <cell r="C25">
            <v>197.04</v>
          </cell>
          <cell r="D25">
            <v>16.420000000000002</v>
          </cell>
        </row>
        <row r="26">
          <cell r="C26">
            <v>0</v>
          </cell>
          <cell r="D26">
            <v>0</v>
          </cell>
        </row>
        <row r="27">
          <cell r="C27">
            <v>0</v>
          </cell>
          <cell r="D27">
            <v>0</v>
          </cell>
        </row>
        <row r="28">
          <cell r="C28">
            <v>513</v>
          </cell>
          <cell r="D28">
            <v>42.75</v>
          </cell>
        </row>
        <row r="29">
          <cell r="C29">
            <v>513</v>
          </cell>
          <cell r="D29">
            <v>42.75</v>
          </cell>
        </row>
        <row r="30">
          <cell r="C30">
            <v>1060.2</v>
          </cell>
          <cell r="D30">
            <v>88.35</v>
          </cell>
        </row>
        <row r="31">
          <cell r="C31">
            <v>364.8</v>
          </cell>
          <cell r="D31">
            <v>30.4</v>
          </cell>
        </row>
      </sheetData>
      <sheetData sheetId="1" refreshError="1"/>
      <sheetData sheetId="2" refreshError="1"/>
      <sheetData sheetId="3" refreshError="1"/>
      <sheetData sheetId="4" refreshError="1"/>
      <sheetData sheetId="5"/>
      <sheetData sheetId="6">
        <row r="1">
          <cell r="A1">
            <v>42736</v>
          </cell>
        </row>
        <row r="2">
          <cell r="A2">
            <v>42751</v>
          </cell>
        </row>
        <row r="3">
          <cell r="A3">
            <v>42767</v>
          </cell>
        </row>
        <row r="4">
          <cell r="A4">
            <v>42782</v>
          </cell>
        </row>
        <row r="5">
          <cell r="A5">
            <v>42795</v>
          </cell>
        </row>
        <row r="6">
          <cell r="A6">
            <v>42810</v>
          </cell>
        </row>
        <row r="7">
          <cell r="A7">
            <v>42826</v>
          </cell>
        </row>
        <row r="8">
          <cell r="A8">
            <v>42841</v>
          </cell>
        </row>
        <row r="9">
          <cell r="A9">
            <v>42856</v>
          </cell>
        </row>
        <row r="10">
          <cell r="A10">
            <v>42871</v>
          </cell>
        </row>
        <row r="11">
          <cell r="A11">
            <v>42887</v>
          </cell>
        </row>
        <row r="12">
          <cell r="A12">
            <v>42902</v>
          </cell>
        </row>
        <row r="13">
          <cell r="A13">
            <v>42917</v>
          </cell>
        </row>
        <row r="14">
          <cell r="A14">
            <v>42932</v>
          </cell>
        </row>
        <row r="15">
          <cell r="A15">
            <v>42948</v>
          </cell>
        </row>
        <row r="16">
          <cell r="A16">
            <v>42963</v>
          </cell>
        </row>
        <row r="17">
          <cell r="A17">
            <v>42979</v>
          </cell>
        </row>
        <row r="18">
          <cell r="A18">
            <v>42994</v>
          </cell>
        </row>
        <row r="19">
          <cell r="A19">
            <v>43009</v>
          </cell>
        </row>
        <row r="20">
          <cell r="A20">
            <v>43024</v>
          </cell>
        </row>
        <row r="21">
          <cell r="A21">
            <v>43040</v>
          </cell>
        </row>
        <row r="22">
          <cell r="A22">
            <v>43055</v>
          </cell>
        </row>
        <row r="23">
          <cell r="A23">
            <v>43070</v>
          </cell>
        </row>
        <row r="24">
          <cell r="A24">
            <v>43085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DICAL-Cover Page"/>
      <sheetName val="MEDICAL-Table Rates"/>
    </sheetNames>
    <sheetDataSet>
      <sheetData sheetId="0" refreshError="1"/>
      <sheetData sheetId="1" refreshError="1">
        <row r="16">
          <cell r="S16">
            <v>431.02</v>
          </cell>
          <cell r="V16">
            <v>408.04</v>
          </cell>
        </row>
        <row r="28">
          <cell r="S28">
            <v>479.13</v>
          </cell>
        </row>
        <row r="36">
          <cell r="Y36">
            <v>511.69</v>
          </cell>
        </row>
        <row r="37">
          <cell r="V37">
            <v>453.59</v>
          </cell>
          <cell r="Z37">
            <v>519.12</v>
          </cell>
        </row>
        <row r="39">
          <cell r="S39">
            <v>490.33</v>
          </cell>
        </row>
        <row r="41">
          <cell r="S41">
            <v>500.88</v>
          </cell>
          <cell r="U41">
            <v>517.74</v>
          </cell>
          <cell r="V41">
            <v>474.18</v>
          </cell>
        </row>
        <row r="42">
          <cell r="S42">
            <v>513.4</v>
          </cell>
          <cell r="Y42">
            <v>548.29</v>
          </cell>
        </row>
        <row r="44">
          <cell r="S44">
            <v>526.58000000000004</v>
          </cell>
        </row>
        <row r="45">
          <cell r="S45">
            <v>538.44000000000005</v>
          </cell>
        </row>
        <row r="52">
          <cell r="S52">
            <v>590.51</v>
          </cell>
          <cell r="V52">
            <v>559.03</v>
          </cell>
        </row>
        <row r="54">
          <cell r="S54">
            <v>603.69000000000005</v>
          </cell>
          <cell r="V54">
            <v>571.51</v>
          </cell>
        </row>
        <row r="55">
          <cell r="S55">
            <v>610.94000000000005</v>
          </cell>
        </row>
        <row r="57">
          <cell r="S57">
            <v>618.19000000000005</v>
          </cell>
        </row>
        <row r="58">
          <cell r="S58">
            <v>642.57000000000005</v>
          </cell>
          <cell r="U58">
            <v>664.21</v>
          </cell>
        </row>
        <row r="60">
          <cell r="S60">
            <v>667.62</v>
          </cell>
        </row>
        <row r="62">
          <cell r="S62">
            <v>693.98</v>
          </cell>
        </row>
        <row r="66">
          <cell r="S66">
            <v>778.34</v>
          </cell>
        </row>
        <row r="68">
          <cell r="S68">
            <v>808.65</v>
          </cell>
        </row>
        <row r="70">
          <cell r="S70">
            <v>840.29</v>
          </cell>
        </row>
        <row r="71">
          <cell r="S71">
            <v>873.24</v>
          </cell>
        </row>
        <row r="75">
          <cell r="S75">
            <v>943.1</v>
          </cell>
        </row>
        <row r="81">
          <cell r="S81">
            <v>1099.3</v>
          </cell>
        </row>
        <row r="84">
          <cell r="S84">
            <v>1186.95</v>
          </cell>
        </row>
        <row r="89">
          <cell r="S89">
            <v>1331.28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s"/>
      <sheetName val="Med- Current Plan 80.20 Split"/>
      <sheetName val="Med- Current Plan 75.25 Split"/>
    </sheetNames>
    <sheetDataSet>
      <sheetData sheetId="0" refreshError="1"/>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4"/>
      <sheetName val="EXHI Page 7"/>
      <sheetName val="EXHI Page 8 "/>
      <sheetName val="Page 9"/>
      <sheetName val="Page 10"/>
      <sheetName val="Page 11"/>
      <sheetName val="Page 12"/>
      <sheetName val="DURLR Page 13"/>
      <sheetName val="InputDURLR"/>
      <sheetName val="Page 14"/>
      <sheetName val="Page 15"/>
      <sheetName val="Page 16"/>
      <sheetName val="PAGE17"/>
      <sheetName val="DPRATINC"/>
      <sheetName val="2002 AGEFACT"/>
      <sheetName val="1995 to 2000 BF"/>
      <sheetName val="2000 BF"/>
      <sheetName val="1999 BF"/>
      <sheetName val="1998 BF"/>
      <sheetName val="1997 BF"/>
      <sheetName val="1996 BF"/>
      <sheetName val="1995 BF"/>
      <sheetName val="2002 MF RATES"/>
      <sheetName val="CalYr 2000"/>
      <sheetName val="CalYr 1999"/>
      <sheetName val="cfactor"/>
      <sheetName val="InputData"/>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Data"/>
      <sheetName val="CalYr 1998"/>
      <sheetName val="FiscalYr 1999"/>
      <sheetName val="FiscalYr 2000"/>
      <sheetName val="CalYr 1999"/>
      <sheetName val="FirstHalf 1998"/>
      <sheetName val="FirstHalf 1999"/>
      <sheetName val="FirstHalf 2000"/>
      <sheetName val="cfactor"/>
      <sheetName val="Pure Premium"/>
      <sheetName val="COVER"/>
      <sheetName val="CONTENTS"/>
      <sheetName val="PAGE1"/>
      <sheetName val="CHSPTRND Page2"/>
      <sheetName val="DPHSTRND Page3"/>
      <sheetName val="CSURTRND Page4"/>
      <sheetName val="DPSRTRND Page5"/>
      <sheetName val="CEXTRND Page6"/>
      <sheetName val="DPEXTRND Page7"/>
      <sheetName val="COMPTRFC Page8"/>
      <sheetName val="A (2)"/>
      <sheetName val="InputData_revi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e Sheet"/>
      <sheetName val="Age_Sheet"/>
      <sheetName val="Claims Med &amp; Rx"/>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pp 1"/>
      <sheetName val="pp 2"/>
      <sheetName val="pp 3"/>
      <sheetName val="pp 5"/>
      <sheetName val="pp 6"/>
      <sheetName val="pp 7"/>
      <sheetName val="pp 8"/>
      <sheetName val="pp 14"/>
      <sheetName val="pp 15"/>
      <sheetName val="pp 16"/>
      <sheetName val="pp 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Exper"/>
      <sheetName val="Risk.Calc"/>
      <sheetName val="Single Form"/>
      <sheetName val="POE Form"/>
      <sheetName val="DentalNR"/>
      <sheetName val="GeoFact"/>
      <sheetName val="AgeFacs"/>
      <sheetName val="SIC"/>
      <sheetName val="Vision"/>
      <sheetName val="Net.Prems"/>
      <sheetName val="DLR.51-199"/>
      <sheetName val="DLR.200+"/>
      <sheetName val="Prem.Calc"/>
      <sheetName val="SI_UW.Input"/>
      <sheetName val="SI_Calcs"/>
      <sheetName val="SI_Factors @ 100%"/>
      <sheetName val="SI_Mature.Factors"/>
      <sheetName val="SI_1st.Yr"/>
      <sheetName val="SI_Assumptions"/>
      <sheetName val="Menus"/>
      <sheetName val="Change History"/>
    </sheetNames>
    <sheetDataSet>
      <sheetData sheetId="0" refreshError="1">
        <row r="13">
          <cell r="D1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Pref2"/>
      <sheetName val="DEMO4 new drug"/>
      <sheetName val="Choice"/>
      <sheetName val="gold 1020"/>
      <sheetName val="blue gold"/>
      <sheetName val="calcs"/>
      <sheetName val="Sheet2"/>
      <sheetName val="Gold"/>
      <sheetName val="triple"/>
      <sheetName val="p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MI detail"/>
      <sheetName val="CFMI_recon"/>
      <sheetName val="Dick_Courtney"/>
      <sheetName val="Fee_based (lookup)"/>
      <sheetName val="Stoploss (lookup)"/>
      <sheetName val="Feebased_GainLoss"/>
      <sheetName val="Stoploss_GainLoss"/>
      <sheetName val="2005 Proposed Compet"/>
      <sheetName val="MD_Jurisdictions"/>
      <sheetName val="Contracts"/>
      <sheetName val="Spec_05"/>
      <sheetName val="Agg_05"/>
      <sheetName val="Admin_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2">
          <cell r="A12">
            <v>51</v>
          </cell>
          <cell r="B12">
            <v>52.482272383003107</v>
          </cell>
          <cell r="C12">
            <v>55.106386002153272</v>
          </cell>
          <cell r="D12">
            <v>57.599293940345909</v>
          </cell>
          <cell r="E12">
            <v>60.354613240453574</v>
          </cell>
          <cell r="F12">
            <v>61.929081411943663</v>
          </cell>
          <cell r="G12">
            <v>1.5</v>
          </cell>
          <cell r="H12">
            <v>3.6</v>
          </cell>
          <cell r="I12">
            <v>5.479109974215687</v>
          </cell>
          <cell r="J12">
            <v>13.149863938117649</v>
          </cell>
          <cell r="K12">
            <v>2.5648928407093465</v>
          </cell>
          <cell r="L12">
            <v>6.1557428177024311</v>
          </cell>
        </row>
        <row r="13">
          <cell r="A13">
            <v>70</v>
          </cell>
          <cell r="B13">
            <v>48.468251514902121</v>
          </cell>
          <cell r="C13">
            <v>50.891664090647232</v>
          </cell>
          <cell r="D13">
            <v>53.193906037605075</v>
          </cell>
          <cell r="E13">
            <v>55.738489242137433</v>
          </cell>
          <cell r="F13">
            <v>57.192536787584501</v>
          </cell>
          <cell r="G13">
            <v>1.5</v>
          </cell>
          <cell r="H13">
            <v>3.6</v>
          </cell>
          <cell r="I13">
            <v>5.0708055971490342</v>
          </cell>
          <cell r="J13">
            <v>12.169933433157683</v>
          </cell>
          <cell r="K13">
            <v>2.3129331223195058</v>
          </cell>
          <cell r="L13">
            <v>5.5510394935668135</v>
          </cell>
        </row>
        <row r="14">
          <cell r="A14">
            <v>130</v>
          </cell>
          <cell r="B14">
            <v>42.239847696328624</v>
          </cell>
          <cell r="C14">
            <v>44.351840081145063</v>
          </cell>
          <cell r="D14">
            <v>46.358232846720668</v>
          </cell>
          <cell r="E14">
            <v>48.57582485077792</v>
          </cell>
          <cell r="F14">
            <v>49.843020281667776</v>
          </cell>
          <cell r="G14">
            <v>1.5</v>
          </cell>
          <cell r="H14">
            <v>3.6</v>
          </cell>
          <cell r="I14">
            <v>4.4226224220220409</v>
          </cell>
          <cell r="J14">
            <v>10.614293812852898</v>
          </cell>
          <cell r="K14">
            <v>1.9129470838564173</v>
          </cell>
          <cell r="L14">
            <v>4.5910730012554017</v>
          </cell>
        </row>
        <row r="15">
          <cell r="A15">
            <v>200</v>
          </cell>
          <cell r="B15">
            <v>38.912937624628199</v>
          </cell>
          <cell r="C15">
            <v>40.858584505859596</v>
          </cell>
          <cell r="D15">
            <v>42.706949043029503</v>
          </cell>
          <cell r="E15">
            <v>44.749878268322398</v>
          </cell>
          <cell r="F15">
            <v>45.917266397061297</v>
          </cell>
          <cell r="G15">
            <v>1</v>
          </cell>
          <cell r="H15">
            <v>2.4</v>
          </cell>
          <cell r="I15">
            <v>4.0670485305695996</v>
          </cell>
          <cell r="J15">
            <v>9.7609164733670308</v>
          </cell>
          <cell r="K15">
            <v>1.6935267136885199</v>
          </cell>
          <cell r="L15">
            <v>4.0644641128524501</v>
          </cell>
        </row>
        <row r="16">
          <cell r="A16">
            <v>300</v>
          </cell>
          <cell r="B16">
            <v>36.372866417113698</v>
          </cell>
          <cell r="C16">
            <v>38.191509737969398</v>
          </cell>
          <cell r="D16">
            <v>39.919220892782299</v>
          </cell>
          <cell r="E16">
            <v>41.828796379680803</v>
          </cell>
          <cell r="F16">
            <v>42.919982372194198</v>
          </cell>
          <cell r="G16">
            <v>1</v>
          </cell>
          <cell r="H16">
            <v>2.4</v>
          </cell>
          <cell r="I16">
            <v>3.7898235789465602</v>
          </cell>
          <cell r="J16">
            <v>9.0955765894717509</v>
          </cell>
          <cell r="K16">
            <v>1.5224545315988001</v>
          </cell>
          <cell r="L16">
            <v>3.6538908758371198</v>
          </cell>
        </row>
        <row r="17">
          <cell r="A17">
            <v>400</v>
          </cell>
          <cell r="B17">
            <v>34.858682746187597</v>
          </cell>
          <cell r="C17">
            <v>36.601616883497002</v>
          </cell>
          <cell r="D17">
            <v>38.257404313940903</v>
          </cell>
          <cell r="E17">
            <v>40.087485158115797</v>
          </cell>
          <cell r="F17">
            <v>41.1332456405014</v>
          </cell>
          <cell r="G17">
            <v>1</v>
          </cell>
          <cell r="H17">
            <v>2.4</v>
          </cell>
          <cell r="I17">
            <v>3.6216488093161301</v>
          </cell>
          <cell r="J17">
            <v>8.6919571423587207</v>
          </cell>
          <cell r="K17">
            <v>1.4186759047303401</v>
          </cell>
          <cell r="L17">
            <v>3.40482217135281</v>
          </cell>
        </row>
        <row r="18">
          <cell r="A18">
            <v>500</v>
          </cell>
          <cell r="B18">
            <v>33.825353288148897</v>
          </cell>
          <cell r="C18">
            <v>35.516620952556401</v>
          </cell>
          <cell r="D18">
            <v>37.1233252337435</v>
          </cell>
          <cell r="E18">
            <v>38.899156281371297</v>
          </cell>
          <cell r="F18">
            <v>39.913916880015798</v>
          </cell>
          <cell r="G18">
            <v>1</v>
          </cell>
          <cell r="H18">
            <v>2.4</v>
          </cell>
          <cell r="I18">
            <v>3.5053980936193501</v>
          </cell>
          <cell r="J18">
            <v>8.4129554246864409</v>
          </cell>
          <cell r="K18">
            <v>1.3469389867966901</v>
          </cell>
          <cell r="L18">
            <v>3.2326535683120601</v>
          </cell>
        </row>
        <row r="19">
          <cell r="A19">
            <v>600</v>
          </cell>
          <cell r="B19">
            <v>33.062581170657403</v>
          </cell>
          <cell r="C19">
            <v>34.7157102291903</v>
          </cell>
          <cell r="D19">
            <v>36.286182834796499</v>
          </cell>
          <cell r="E19">
            <v>38.021968346256102</v>
          </cell>
          <cell r="F19">
            <v>39.0138457813758</v>
          </cell>
          <cell r="G19">
            <v>1</v>
          </cell>
          <cell r="H19">
            <v>2.4</v>
          </cell>
          <cell r="I19">
            <v>3.4187082662008801</v>
          </cell>
          <cell r="J19">
            <v>8.2048998388821204</v>
          </cell>
          <cell r="K19">
            <v>1.2934437373444501</v>
          </cell>
          <cell r="L19">
            <v>3.1042649696266902</v>
          </cell>
        </row>
        <row r="20">
          <cell r="A20">
            <v>700</v>
          </cell>
          <cell r="B20">
            <v>32.469755025855001</v>
          </cell>
          <cell r="C20">
            <v>34.0932427771478</v>
          </cell>
          <cell r="D20">
            <v>35.635556140875899</v>
          </cell>
          <cell r="E20">
            <v>37.3402182797333</v>
          </cell>
          <cell r="F20">
            <v>38.314310930508903</v>
          </cell>
          <cell r="G20">
            <v>1</v>
          </cell>
          <cell r="H20">
            <v>2.4</v>
          </cell>
          <cell r="I20">
            <v>3.3507625588710601</v>
          </cell>
          <cell r="J20">
            <v>8.0418301412905393</v>
          </cell>
          <cell r="K20">
            <v>1.2515152588706</v>
          </cell>
          <cell r="L20">
            <v>3.0036366212894401</v>
          </cell>
        </row>
        <row r="21">
          <cell r="A21">
            <v>800</v>
          </cell>
          <cell r="B21">
            <v>31.991891628983701</v>
          </cell>
          <cell r="C21">
            <v>33.591486210432898</v>
          </cell>
          <cell r="D21">
            <v>35.111101062809603</v>
          </cell>
          <cell r="E21">
            <v>36.790675373331197</v>
          </cell>
          <cell r="F21">
            <v>37.750432122200699</v>
          </cell>
          <cell r="G21">
            <v>1</v>
          </cell>
          <cell r="H21">
            <v>2.4</v>
          </cell>
          <cell r="I21">
            <v>3.29559712888345</v>
          </cell>
          <cell r="J21">
            <v>7.9094331093202799</v>
          </cell>
          <cell r="K21">
            <v>1.2174733357729599</v>
          </cell>
          <cell r="L21">
            <v>2.9219360058551</v>
          </cell>
        </row>
        <row r="22">
          <cell r="A22">
            <v>900</v>
          </cell>
          <cell r="B22">
            <v>31.596070375238099</v>
          </cell>
          <cell r="C22">
            <v>33.175873893999999</v>
          </cell>
          <cell r="D22">
            <v>34.676687236823902</v>
          </cell>
          <cell r="E22">
            <v>36.335480931523897</v>
          </cell>
          <cell r="F22">
            <v>37.283363042780998</v>
          </cell>
          <cell r="G22">
            <v>1</v>
          </cell>
          <cell r="H22">
            <v>2.4</v>
          </cell>
          <cell r="I22">
            <v>3.2496144398396001</v>
          </cell>
          <cell r="J22">
            <v>7.7990746556150503</v>
          </cell>
          <cell r="K22">
            <v>1.18909797162543</v>
          </cell>
          <cell r="L22">
            <v>2.85383513190104</v>
          </cell>
        </row>
        <row r="23">
          <cell r="A23">
            <v>1000</v>
          </cell>
          <cell r="B23">
            <v>31.2612173620047</v>
          </cell>
          <cell r="C23">
            <v>32.824278230104902</v>
          </cell>
          <cell r="D23">
            <v>34.3091860548002</v>
          </cell>
          <cell r="E23">
            <v>35.950399966305397</v>
          </cell>
          <cell r="F23">
            <v>36.8882364871655</v>
          </cell>
          <cell r="G23">
            <v>1</v>
          </cell>
          <cell r="H23">
            <v>2.4</v>
          </cell>
          <cell r="I23">
            <v>3.2104966238858998</v>
          </cell>
          <cell r="J23">
            <v>7.7051918973261602</v>
          </cell>
          <cell r="K23">
            <v>1.1649588380640199</v>
          </cell>
          <cell r="L23">
            <v>2.7959012113536499</v>
          </cell>
        </row>
        <row r="24">
          <cell r="A24">
            <v>1250</v>
          </cell>
          <cell r="B24">
            <v>30.607682429854801</v>
          </cell>
          <cell r="C24">
            <v>32.138066551347499</v>
          </cell>
          <cell r="D24">
            <v>33.591931466765601</v>
          </cell>
          <cell r="E24">
            <v>35.198834794333003</v>
          </cell>
          <cell r="F24">
            <v>36.117065267228597</v>
          </cell>
          <cell r="G24">
            <v>1</v>
          </cell>
          <cell r="H24">
            <v>2.4</v>
          </cell>
          <cell r="I24">
            <v>3.1335264209857598</v>
          </cell>
          <cell r="J24">
            <v>7.5204634103658199</v>
          </cell>
          <cell r="K24">
            <v>1.117461451956</v>
          </cell>
          <cell r="L24">
            <v>2.6819074846944102</v>
          </cell>
        </row>
        <row r="25">
          <cell r="A25">
            <v>1500</v>
          </cell>
          <cell r="B25">
            <v>30.1252629844662</v>
          </cell>
          <cell r="C25">
            <v>31.631526133689501</v>
          </cell>
          <cell r="D25">
            <v>33.062476125451703</v>
          </cell>
          <cell r="E25">
            <v>34.6440524321361</v>
          </cell>
          <cell r="F25">
            <v>35.547810321670099</v>
          </cell>
          <cell r="G25">
            <v>1</v>
          </cell>
          <cell r="H25">
            <v>2.4</v>
          </cell>
          <cell r="I25">
            <v>3.0761286358127</v>
          </cell>
          <cell r="J25">
            <v>7.3827087259504802</v>
          </cell>
          <cell r="K25">
            <v>1.0820419693330099</v>
          </cell>
          <cell r="L25">
            <v>2.5969007263992299</v>
          </cell>
        </row>
        <row r="26">
          <cell r="A26">
            <v>1750</v>
          </cell>
          <cell r="B26">
            <v>29.7503268096517</v>
          </cell>
          <cell r="C26">
            <v>31.237843150134299</v>
          </cell>
          <cell r="D26">
            <v>32.650983673592798</v>
          </cell>
          <cell r="E26">
            <v>34.212875831099502</v>
          </cell>
          <cell r="F26">
            <v>35.105385635388998</v>
          </cell>
          <cell r="G26">
            <v>1</v>
          </cell>
          <cell r="H26">
            <v>2.4</v>
          </cell>
          <cell r="I26">
            <v>3.0311414299445598</v>
          </cell>
          <cell r="J26">
            <v>7.2747394318669301</v>
          </cell>
          <cell r="K26">
            <v>1.05428090587561</v>
          </cell>
          <cell r="L26">
            <v>2.5302741741014501</v>
          </cell>
        </row>
        <row r="27">
          <cell r="A27">
            <v>2000</v>
          </cell>
          <cell r="B27">
            <v>29.448099460744</v>
          </cell>
          <cell r="C27">
            <v>30.920504433781201</v>
          </cell>
          <cell r="D27">
            <v>32.319289158166598</v>
          </cell>
          <cell r="E27">
            <v>33.865314379855597</v>
          </cell>
          <cell r="F27">
            <v>34.748757363678003</v>
          </cell>
          <cell r="G27">
            <v>1</v>
          </cell>
          <cell r="H27">
            <v>2.4</v>
          </cell>
          <cell r="I27">
            <v>2.9946161121108599</v>
          </cell>
          <cell r="J27">
            <v>7.18707866906606</v>
          </cell>
          <cell r="K27">
            <v>1.0317415717112399</v>
          </cell>
          <cell r="L27">
            <v>2.4761797721069798</v>
          </cell>
        </row>
        <row r="28">
          <cell r="A28">
            <v>2250</v>
          </cell>
          <cell r="B28">
            <v>29.1977601191162</v>
          </cell>
          <cell r="C28">
            <v>30.657648125072001</v>
          </cell>
          <cell r="D28">
            <v>32.044541730730003</v>
          </cell>
          <cell r="E28">
            <v>33.577424136983602</v>
          </cell>
          <cell r="F28">
            <v>34.4533569405571</v>
          </cell>
          <cell r="G28">
            <v>1</v>
          </cell>
          <cell r="H28">
            <v>2.4</v>
          </cell>
          <cell r="I28">
            <v>2.9641707347694299</v>
          </cell>
          <cell r="J28">
            <v>7.1140097634466404</v>
          </cell>
          <cell r="K28">
            <v>1.01295409567112</v>
          </cell>
          <cell r="L28">
            <v>2.4310898296106802</v>
          </cell>
        </row>
        <row r="29">
          <cell r="A29">
            <v>2500</v>
          </cell>
          <cell r="B29">
            <v>28.985980478478499</v>
          </cell>
          <cell r="C29">
            <v>30.435279502402501</v>
          </cell>
          <cell r="D29">
            <v>31.812113575130201</v>
          </cell>
          <cell r="E29">
            <v>33.3338775502503</v>
          </cell>
          <cell r="F29">
            <v>34.203456964604698</v>
          </cell>
          <cell r="G29">
            <v>1</v>
          </cell>
          <cell r="H29">
            <v>2.4</v>
          </cell>
          <cell r="I29">
            <v>2.93827062557079</v>
          </cell>
          <cell r="J29">
            <v>7.0518495013699001</v>
          </cell>
          <cell r="K29">
            <v>0.99697144991346298</v>
          </cell>
          <cell r="L29">
            <v>2.3927314797923098</v>
          </cell>
        </row>
        <row r="30">
          <cell r="A30">
            <v>2750</v>
          </cell>
          <cell r="B30">
            <v>28.803780240031401</v>
          </cell>
          <cell r="C30">
            <v>30.243969252033001</v>
          </cell>
          <cell r="D30">
            <v>31.612148813434398</v>
          </cell>
          <cell r="E30">
            <v>33.124347276036097</v>
          </cell>
          <cell r="F30">
            <v>33.988460683237001</v>
          </cell>
          <cell r="G30">
            <v>1</v>
          </cell>
          <cell r="H30">
            <v>2.4</v>
          </cell>
          <cell r="I30">
            <v>2.9158758447208202</v>
          </cell>
          <cell r="J30">
            <v>6.9981020273299697</v>
          </cell>
          <cell r="K30">
            <v>0.98315190010383702</v>
          </cell>
          <cell r="L30">
            <v>2.3595645602492099</v>
          </cell>
        </row>
        <row r="31">
          <cell r="A31">
            <v>3000</v>
          </cell>
          <cell r="B31">
            <v>28.644858417268001</v>
          </cell>
          <cell r="C31">
            <v>30.077101338131399</v>
          </cell>
          <cell r="D31">
            <v>31.4377321129517</v>
          </cell>
          <cell r="E31">
            <v>32.941587179858203</v>
          </cell>
          <cell r="F31">
            <v>33.800932932376298</v>
          </cell>
          <cell r="G31">
            <v>0.75</v>
          </cell>
          <cell r="H31">
            <v>1.8</v>
          </cell>
          <cell r="I31">
            <v>2.89625298744537</v>
          </cell>
          <cell r="J31">
            <v>6.9510071698689</v>
          </cell>
          <cell r="K31">
            <v>0.97104287098040398</v>
          </cell>
          <cell r="L31">
            <v>2.3305028903529701</v>
          </cell>
        </row>
        <row r="32">
          <cell r="A32">
            <v>3250</v>
          </cell>
          <cell r="B32">
            <v>28.504646045937001</v>
          </cell>
          <cell r="C32">
            <v>29.929878348233899</v>
          </cell>
          <cell r="D32">
            <v>31.283849035415901</v>
          </cell>
          <cell r="E32">
            <v>32.780342952827603</v>
          </cell>
          <cell r="F32">
            <v>33.635482334205697</v>
          </cell>
          <cell r="G32">
            <v>0.75</v>
          </cell>
          <cell r="H32">
            <v>1.8</v>
          </cell>
          <cell r="I32">
            <v>2.8788677827255298</v>
          </cell>
          <cell r="J32">
            <v>6.9092826785412802</v>
          </cell>
          <cell r="K32">
            <v>0.96031467032571105</v>
          </cell>
          <cell r="L32">
            <v>2.3047552087817098</v>
          </cell>
        </row>
        <row r="33">
          <cell r="A33">
            <v>3500</v>
          </cell>
          <cell r="B33">
            <v>28.379738505544601</v>
          </cell>
          <cell r="C33">
            <v>29.798725430821801</v>
          </cell>
          <cell r="D33">
            <v>31.146763009835201</v>
          </cell>
          <cell r="E33">
            <v>32.636699281376302</v>
          </cell>
          <cell r="F33">
            <v>33.488091436542597</v>
          </cell>
          <cell r="G33">
            <v>0.75</v>
          </cell>
          <cell r="H33">
            <v>1.8</v>
          </cell>
          <cell r="I33">
            <v>2.8633204251393201</v>
          </cell>
          <cell r="J33">
            <v>6.87196902033436</v>
          </cell>
          <cell r="K33">
            <v>0.95072058302429097</v>
          </cell>
          <cell r="L33">
            <v>2.2817293992583001</v>
          </cell>
        </row>
        <row r="34">
          <cell r="A34">
            <v>3750</v>
          </cell>
          <cell r="B34">
            <v>28.267539848266502</v>
          </cell>
          <cell r="C34">
            <v>29.680916840679799</v>
          </cell>
          <cell r="D34">
            <v>31.023624983472398</v>
          </cell>
          <cell r="E34">
            <v>32.507670825506402</v>
          </cell>
          <cell r="F34">
            <v>33.355697020954402</v>
          </cell>
          <cell r="G34">
            <v>0.75</v>
          </cell>
          <cell r="H34">
            <v>1.8</v>
          </cell>
          <cell r="I34">
            <v>2.8493048824930902</v>
          </cell>
          <cell r="J34">
            <v>6.8383317179834204</v>
          </cell>
          <cell r="K34">
            <v>0.94207176029161899</v>
          </cell>
          <cell r="L34">
            <v>2.26097222469989</v>
          </cell>
        </row>
        <row r="35">
          <cell r="A35">
            <v>4000</v>
          </cell>
          <cell r="B35">
            <v>28.166031497671899</v>
          </cell>
          <cell r="C35">
            <v>29.5743330725555</v>
          </cell>
          <cell r="D35">
            <v>30.912219568694901</v>
          </cell>
          <cell r="E35">
            <v>32.390936222322701</v>
          </cell>
          <cell r="F35">
            <v>33.2359171672529</v>
          </cell>
          <cell r="G35">
            <v>0.75</v>
          </cell>
          <cell r="H35">
            <v>1.8</v>
          </cell>
          <cell r="I35">
            <v>2.8365823274492299</v>
          </cell>
          <cell r="J35">
            <v>6.8077975858781397</v>
          </cell>
          <cell r="K35">
            <v>0.93422082465119904</v>
          </cell>
          <cell r="L35">
            <v>2.2421299791628799</v>
          </cell>
        </row>
        <row r="36">
          <cell r="A36">
            <v>4250</v>
          </cell>
          <cell r="B36">
            <v>28.073616986177399</v>
          </cell>
          <cell r="C36">
            <v>29.477297835486301</v>
          </cell>
          <cell r="D36">
            <v>30.8107946423297</v>
          </cell>
          <cell r="E36">
            <v>32.284659534104001</v>
          </cell>
          <cell r="F36">
            <v>33.126868043689399</v>
          </cell>
          <cell r="G36">
            <v>0.75</v>
          </cell>
          <cell r="H36">
            <v>1.8</v>
          </cell>
          <cell r="I36">
            <v>2.82496323780809</v>
          </cell>
          <cell r="J36">
            <v>6.7799117707394201</v>
          </cell>
          <cell r="K36">
            <v>0.92705082423396601</v>
          </cell>
          <cell r="L36">
            <v>2.2249219781615199</v>
          </cell>
        </row>
        <row r="37">
          <cell r="A37">
            <v>4500</v>
          </cell>
          <cell r="B37">
            <v>27.989014851609099</v>
          </cell>
          <cell r="C37">
            <v>29.388465594189501</v>
          </cell>
          <cell r="D37">
            <v>30.717943799640999</v>
          </cell>
          <cell r="E37">
            <v>32.187367079350402</v>
          </cell>
          <cell r="F37">
            <v>33.027037524898702</v>
          </cell>
          <cell r="G37">
            <v>0.75</v>
          </cell>
          <cell r="H37">
            <v>1.8</v>
          </cell>
          <cell r="I37">
            <v>2.8142950067125998</v>
          </cell>
          <cell r="J37">
            <v>6.75430801611025</v>
          </cell>
          <cell r="K37">
            <v>0.92046758718456501</v>
          </cell>
          <cell r="L37">
            <v>2.2091222092429601</v>
          </cell>
        </row>
        <row r="38">
          <cell r="A38">
            <v>4750</v>
          </cell>
          <cell r="B38">
            <v>27.911182979465899</v>
          </cell>
          <cell r="C38">
            <v>29.3067421284392</v>
          </cell>
          <cell r="D38">
            <v>30.632523319963799</v>
          </cell>
          <cell r="E38">
            <v>32.0978604263858</v>
          </cell>
          <cell r="F38">
            <v>32.935195915769803</v>
          </cell>
          <cell r="G38">
            <v>0.75</v>
          </cell>
          <cell r="H38">
            <v>1.8</v>
          </cell>
          <cell r="I38">
            <v>2.8044531625612099</v>
          </cell>
          <cell r="J38">
            <v>6.7306875901469096</v>
          </cell>
          <cell r="K38">
            <v>0.91439430357532403</v>
          </cell>
          <cell r="L38">
            <v>2.1945463285807798</v>
          </cell>
        </row>
        <row r="39">
          <cell r="A39">
            <v>5000</v>
          </cell>
          <cell r="B39">
            <v>27.839264031596901</v>
          </cell>
          <cell r="C39">
            <v>29.231227233176799</v>
          </cell>
          <cell r="D39">
            <v>30.553592274677602</v>
          </cell>
          <cell r="E39">
            <v>32.0151536363365</v>
          </cell>
          <cell r="F39">
            <v>32.850331557284399</v>
          </cell>
          <cell r="G39">
            <v>0.75</v>
          </cell>
          <cell r="H39">
            <v>1.8</v>
          </cell>
          <cell r="I39">
            <v>2.7953350170120199</v>
          </cell>
          <cell r="J39">
            <v>6.7088040408288503</v>
          </cell>
          <cell r="K39">
            <v>0.90876760566599102</v>
          </cell>
          <cell r="L39">
            <v>2.1810422535983802</v>
          </cell>
        </row>
        <row r="40">
          <cell r="A40">
            <v>7500</v>
          </cell>
          <cell r="B40">
            <v>27.331249790093999</v>
          </cell>
          <cell r="C40">
            <v>28.6978122795988</v>
          </cell>
          <cell r="D40">
            <v>29.996046644628201</v>
          </cell>
          <cell r="E40">
            <v>31.4309372586082</v>
          </cell>
          <cell r="F40">
            <v>32.250874752310999</v>
          </cell>
          <cell r="G40">
            <v>0.75</v>
          </cell>
          <cell r="H40">
            <v>1.8</v>
          </cell>
          <cell r="I40">
            <v>2.73020828107741</v>
          </cell>
          <cell r="J40">
            <v>6.5524998745857799</v>
          </cell>
          <cell r="K40">
            <v>0.86857868052239295</v>
          </cell>
          <cell r="L40">
            <v>2.0845888332537399</v>
          </cell>
        </row>
        <row r="41">
          <cell r="A41">
            <v>11000</v>
          </cell>
          <cell r="B41">
            <v>26.937312936685299</v>
          </cell>
          <cell r="C41">
            <v>28.284178583519498</v>
          </cell>
          <cell r="D41">
            <v>29.563700948012102</v>
          </cell>
          <cell r="E41">
            <v>30.977909877188001</v>
          </cell>
          <cell r="F41">
            <v>31.786029265288601</v>
          </cell>
          <cell r="G41">
            <v>0.75</v>
          </cell>
          <cell r="H41">
            <v>1.8</v>
          </cell>
          <cell r="I41">
            <v>2.6786989611387799</v>
          </cell>
          <cell r="J41">
            <v>6.4288775067330599</v>
          </cell>
          <cell r="K41">
            <v>0.83679289894584397</v>
          </cell>
          <cell r="L41">
            <v>2.00830295747003</v>
          </cell>
        </row>
        <row r="42">
          <cell r="A42">
            <v>20000</v>
          </cell>
          <cell r="B42">
            <v>26.455054832468001</v>
          </cell>
          <cell r="C42">
            <v>27.777807574091401</v>
          </cell>
          <cell r="D42">
            <v>29.0344226786337</v>
          </cell>
          <cell r="E42">
            <v>30.423313057338198</v>
          </cell>
          <cell r="F42">
            <v>31.2169647023123</v>
          </cell>
          <cell r="G42">
            <v>0.75</v>
          </cell>
          <cell r="H42">
            <v>1.8</v>
          </cell>
          <cell r="I42">
            <v>2.6141027309935501</v>
          </cell>
          <cell r="J42">
            <v>6.2738465543845203</v>
          </cell>
          <cell r="K42">
            <v>0.8</v>
          </cell>
          <cell r="L42">
            <v>1.92</v>
          </cell>
        </row>
        <row r="43">
          <cell r="A43">
            <v>30000</v>
          </cell>
          <cell r="B43">
            <v>26.201047711716601</v>
          </cell>
          <cell r="C43">
            <v>27.5111000973024</v>
          </cell>
          <cell r="D43">
            <v>28.755649863609001</v>
          </cell>
          <cell r="E43">
            <v>30.1312048684741</v>
          </cell>
          <cell r="F43">
            <v>30.9172362998256</v>
          </cell>
          <cell r="G43">
            <v>0.75</v>
          </cell>
          <cell r="H43">
            <v>1.8</v>
          </cell>
          <cell r="I43">
            <v>2.5792021773553899</v>
          </cell>
          <cell r="J43">
            <v>6.19008522565293</v>
          </cell>
          <cell r="K43">
            <v>0.8</v>
          </cell>
          <cell r="L43">
            <v>1.92</v>
          </cell>
        </row>
        <row r="44">
          <cell r="A44">
            <v>40000</v>
          </cell>
          <cell r="B44">
            <v>26.049629344624002</v>
          </cell>
          <cell r="C44">
            <v>27.352110811855201</v>
          </cell>
          <cell r="D44">
            <v>28.589468205724799</v>
          </cell>
          <cell r="E44">
            <v>29.957073746317601</v>
          </cell>
          <cell r="F44">
            <v>30.7385626266563</v>
          </cell>
          <cell r="G44">
            <v>0.75</v>
          </cell>
          <cell r="H44">
            <v>1.8</v>
          </cell>
          <cell r="I44">
            <v>2.5580302282443501</v>
          </cell>
          <cell r="J44">
            <v>6.1392725477864403</v>
          </cell>
          <cell r="K44">
            <v>0.8</v>
          </cell>
          <cell r="L44">
            <v>1.92</v>
          </cell>
        </row>
        <row r="45">
          <cell r="A45">
            <v>50000</v>
          </cell>
          <cell r="B45">
            <v>25.946296398820099</v>
          </cell>
          <cell r="C45">
            <v>27.243611218761099</v>
          </cell>
          <cell r="D45">
            <v>28.4760602977051</v>
          </cell>
          <cell r="E45">
            <v>29.8382408586431</v>
          </cell>
          <cell r="F45">
            <v>30.6166297506077</v>
          </cell>
          <cell r="G45">
            <v>0.75</v>
          </cell>
          <cell r="H45">
            <v>1.8</v>
          </cell>
          <cell r="I45">
            <v>2.5433951302313602</v>
          </cell>
          <cell r="J45">
            <v>6.1041483125552496</v>
          </cell>
          <cell r="K45">
            <v>0.8</v>
          </cell>
          <cell r="L45">
            <v>1.92</v>
          </cell>
        </row>
        <row r="46">
          <cell r="A46">
            <v>100000</v>
          </cell>
          <cell r="B46">
            <v>25.689882806205699</v>
          </cell>
          <cell r="C46">
            <v>26.974376946515999</v>
          </cell>
          <cell r="D46">
            <v>28.194646379810699</v>
          </cell>
          <cell r="E46">
            <v>29.543365227136501</v>
          </cell>
          <cell r="F46">
            <v>30.314061711322701</v>
          </cell>
          <cell r="G46">
            <v>0.75</v>
          </cell>
          <cell r="H46">
            <v>1.8</v>
          </cell>
          <cell r="I46">
            <v>2.50626923480907</v>
          </cell>
          <cell r="J46">
            <v>6.0150461635417596</v>
          </cell>
          <cell r="K46">
            <v>0.8</v>
          </cell>
          <cell r="L46">
            <v>1.92</v>
          </cell>
        </row>
      </sheetData>
      <sheetData sheetId="8" refreshError="1">
        <row r="2">
          <cell r="C2" t="str">
            <v>57913</v>
          </cell>
          <cell r="D2" t="str">
            <v>JAN</v>
          </cell>
          <cell r="E2" t="str">
            <v>TX</v>
          </cell>
          <cell r="F2">
            <v>75039</v>
          </cell>
          <cell r="G2" t="str">
            <v>MD Other</v>
          </cell>
          <cell r="H2" t="str">
            <v>MDO</v>
          </cell>
        </row>
        <row r="3">
          <cell r="C3" t="str">
            <v>20820</v>
          </cell>
          <cell r="D3" t="str">
            <v>JAN</v>
          </cell>
          <cell r="E3" t="str">
            <v>MD</v>
          </cell>
          <cell r="F3">
            <v>21202</v>
          </cell>
          <cell r="G3" t="str">
            <v>Baltimore City</v>
          </cell>
          <cell r="H3" t="str">
            <v>MDO</v>
          </cell>
        </row>
        <row r="4">
          <cell r="C4" t="str">
            <v>57692</v>
          </cell>
          <cell r="D4" t="str">
            <v>JAN</v>
          </cell>
          <cell r="E4" t="str">
            <v>MD</v>
          </cell>
          <cell r="F4">
            <v>21117</v>
          </cell>
          <cell r="G4" t="str">
            <v>Baltimore County</v>
          </cell>
          <cell r="H4" t="str">
            <v>MDO</v>
          </cell>
        </row>
        <row r="5">
          <cell r="C5" t="str">
            <v>60924</v>
          </cell>
          <cell r="D5" t="str">
            <v>JUL</v>
          </cell>
          <cell r="E5" t="str">
            <v>MD</v>
          </cell>
          <cell r="F5">
            <v>21502</v>
          </cell>
          <cell r="G5" t="str">
            <v>Allegany County</v>
          </cell>
          <cell r="H5" t="str">
            <v>MDO</v>
          </cell>
        </row>
        <row r="6">
          <cell r="C6" t="str">
            <v>40117</v>
          </cell>
          <cell r="D6" t="str">
            <v>JAN</v>
          </cell>
          <cell r="E6" t="str">
            <v>MD</v>
          </cell>
          <cell r="F6">
            <v>21076</v>
          </cell>
          <cell r="G6" t="str">
            <v>Anne Arundel County</v>
          </cell>
          <cell r="H6" t="str">
            <v>MDO</v>
          </cell>
        </row>
        <row r="7">
          <cell r="C7" t="str">
            <v>63901</v>
          </cell>
          <cell r="D7" t="str">
            <v>JAN</v>
          </cell>
          <cell r="E7" t="str">
            <v>MD</v>
          </cell>
          <cell r="F7">
            <v>21076</v>
          </cell>
          <cell r="G7" t="str">
            <v>Anne Arundel County</v>
          </cell>
          <cell r="H7" t="str">
            <v>MDO</v>
          </cell>
        </row>
        <row r="8">
          <cell r="C8" t="str">
            <v>07319</v>
          </cell>
          <cell r="D8" t="str">
            <v>JAN</v>
          </cell>
          <cell r="E8" t="str">
            <v>MD</v>
          </cell>
          <cell r="F8">
            <v>21401</v>
          </cell>
          <cell r="G8" t="str">
            <v>Anne Arundel County</v>
          </cell>
          <cell r="H8" t="str">
            <v>MDO</v>
          </cell>
        </row>
        <row r="9">
          <cell r="C9" t="str">
            <v>08173</v>
          </cell>
          <cell r="D9" t="str">
            <v>JUL</v>
          </cell>
          <cell r="E9" t="str">
            <v>MD</v>
          </cell>
          <cell r="F9">
            <v>21401</v>
          </cell>
          <cell r="G9" t="str">
            <v>Anne Arundel County</v>
          </cell>
          <cell r="H9" t="str">
            <v>MDO</v>
          </cell>
        </row>
        <row r="10">
          <cell r="C10" t="str">
            <v>63840</v>
          </cell>
          <cell r="D10" t="str">
            <v>JAN</v>
          </cell>
          <cell r="E10" t="str">
            <v>MD</v>
          </cell>
          <cell r="F10">
            <v>21046</v>
          </cell>
          <cell r="G10" t="str">
            <v>Howard County</v>
          </cell>
          <cell r="H10" t="str">
            <v>MDO</v>
          </cell>
        </row>
        <row r="11">
          <cell r="C11" t="str">
            <v>51204</v>
          </cell>
          <cell r="D11" t="str">
            <v>termed 7/03</v>
          </cell>
          <cell r="E11" t="str">
            <v>MD</v>
          </cell>
          <cell r="F11">
            <v>21201</v>
          </cell>
          <cell r="G11" t="str">
            <v>Baltimore County</v>
          </cell>
          <cell r="H11" t="str">
            <v>MDO</v>
          </cell>
        </row>
        <row r="12">
          <cell r="C12" t="str">
            <v>61841</v>
          </cell>
          <cell r="D12" t="str">
            <v>JAN</v>
          </cell>
          <cell r="E12" t="str">
            <v>MD</v>
          </cell>
          <cell r="F12">
            <v>78759</v>
          </cell>
          <cell r="G12" t="str">
            <v>Anne Arundel County</v>
          </cell>
          <cell r="H12" t="str">
            <v>MDO</v>
          </cell>
        </row>
        <row r="13">
          <cell r="C13" t="str">
            <v>59288</v>
          </cell>
          <cell r="D13" t="str">
            <v>JAN</v>
          </cell>
          <cell r="E13" t="str">
            <v>DE</v>
          </cell>
          <cell r="F13">
            <v>198505437</v>
          </cell>
          <cell r="G13" t="str">
            <v>MD Other</v>
          </cell>
          <cell r="H13" t="str">
            <v>MDO</v>
          </cell>
        </row>
        <row r="14">
          <cell r="C14" t="str">
            <v>07320</v>
          </cell>
          <cell r="D14" t="str">
            <v>SEP</v>
          </cell>
          <cell r="E14" t="str">
            <v>MD</v>
          </cell>
          <cell r="F14">
            <v>21204</v>
          </cell>
          <cell r="G14" t="str">
            <v>Baltimore County</v>
          </cell>
          <cell r="H14" t="str">
            <v>MDO</v>
          </cell>
        </row>
        <row r="15">
          <cell r="C15" t="str">
            <v>28286</v>
          </cell>
          <cell r="D15" t="str">
            <v>JAN</v>
          </cell>
          <cell r="E15" t="str">
            <v>MD</v>
          </cell>
          <cell r="F15">
            <v>21117</v>
          </cell>
          <cell r="G15" t="str">
            <v>Baltimore County</v>
          </cell>
          <cell r="H15" t="str">
            <v>MDO</v>
          </cell>
        </row>
        <row r="16">
          <cell r="C16" t="str">
            <v>51600</v>
          </cell>
          <cell r="D16" t="str">
            <v>JUL</v>
          </cell>
          <cell r="E16" t="str">
            <v>MD</v>
          </cell>
          <cell r="F16">
            <v>21234</v>
          </cell>
          <cell r="G16" t="str">
            <v>Baltimore City</v>
          </cell>
          <cell r="H16" t="str">
            <v>MDO</v>
          </cell>
        </row>
        <row r="17">
          <cell r="C17" t="str">
            <v>49213</v>
          </cell>
          <cell r="D17" t="str">
            <v>JAN</v>
          </cell>
          <cell r="E17" t="str">
            <v>MD</v>
          </cell>
          <cell r="F17">
            <v>21030</v>
          </cell>
          <cell r="G17" t="str">
            <v xml:space="preserve">Baltimore County </v>
          </cell>
          <cell r="H17" t="str">
            <v>MDO</v>
          </cell>
        </row>
        <row r="18">
          <cell r="C18" t="str">
            <v/>
          </cell>
          <cell r="D18" t="str">
            <v>JUN</v>
          </cell>
          <cell r="E18" t="str">
            <v>MD</v>
          </cell>
          <cell r="G18" t="str">
            <v>Alleghany</v>
          </cell>
          <cell r="H18" t="str">
            <v>MDO</v>
          </cell>
        </row>
        <row r="19">
          <cell r="C19" t="str">
            <v>46919</v>
          </cell>
          <cell r="D19" t="str">
            <v>JUL</v>
          </cell>
          <cell r="E19" t="str">
            <v>MD</v>
          </cell>
          <cell r="F19">
            <v>21244</v>
          </cell>
          <cell r="G19" t="str">
            <v>Baltimore City</v>
          </cell>
          <cell r="H19" t="str">
            <v>MDO</v>
          </cell>
        </row>
        <row r="20">
          <cell r="C20" t="str">
            <v>08262</v>
          </cell>
          <cell r="D20" t="str">
            <v>JUL</v>
          </cell>
          <cell r="E20" t="str">
            <v>MD</v>
          </cell>
          <cell r="F20">
            <v>20678</v>
          </cell>
          <cell r="G20" t="str">
            <v>Calvert County</v>
          </cell>
          <cell r="H20" t="str">
            <v>MDO</v>
          </cell>
        </row>
        <row r="21">
          <cell r="C21" t="str">
            <v>56828</v>
          </cell>
          <cell r="D21" t="str">
            <v>JAN</v>
          </cell>
          <cell r="E21" t="str">
            <v>MD</v>
          </cell>
          <cell r="F21">
            <v>21793</v>
          </cell>
          <cell r="G21" t="str">
            <v>Frederick County</v>
          </cell>
          <cell r="H21" t="str">
            <v>MDO</v>
          </cell>
        </row>
        <row r="22">
          <cell r="C22" t="str">
            <v>07277</v>
          </cell>
          <cell r="D22" t="str">
            <v>APR</v>
          </cell>
          <cell r="E22" t="str">
            <v>MD</v>
          </cell>
          <cell r="F22">
            <v>21117</v>
          </cell>
          <cell r="G22" t="str">
            <v>Baltimore County</v>
          </cell>
          <cell r="H22" t="str">
            <v>MDO</v>
          </cell>
        </row>
        <row r="23">
          <cell r="C23" t="str">
            <v>59344</v>
          </cell>
          <cell r="D23" t="str">
            <v>DEC</v>
          </cell>
          <cell r="E23" t="str">
            <v>MD</v>
          </cell>
          <cell r="F23">
            <v>21224</v>
          </cell>
          <cell r="G23" t="str">
            <v>Baltimore County</v>
          </cell>
          <cell r="H23" t="str">
            <v>MDO</v>
          </cell>
        </row>
        <row r="24">
          <cell r="C24" t="str">
            <v>59765</v>
          </cell>
          <cell r="D24" t="str">
            <v>JAN</v>
          </cell>
          <cell r="E24" t="str">
            <v>MD</v>
          </cell>
          <cell r="F24">
            <v>21157</v>
          </cell>
          <cell r="G24" t="str">
            <v>Howard County</v>
          </cell>
          <cell r="H24" t="str">
            <v>MDO</v>
          </cell>
        </row>
        <row r="25">
          <cell r="C25" t="str">
            <v>25698</v>
          </cell>
          <cell r="D25" t="str">
            <v>JAN</v>
          </cell>
          <cell r="E25" t="str">
            <v>MD</v>
          </cell>
          <cell r="F25">
            <v>21157</v>
          </cell>
          <cell r="G25" t="str">
            <v>Carroll County</v>
          </cell>
          <cell r="H25" t="str">
            <v>MDO</v>
          </cell>
        </row>
        <row r="26">
          <cell r="C26" t="str">
            <v>28209</v>
          </cell>
          <cell r="D26" t="str">
            <v>SEP</v>
          </cell>
          <cell r="E26" t="str">
            <v>MD</v>
          </cell>
          <cell r="F26">
            <v>21921</v>
          </cell>
          <cell r="G26" t="str">
            <v>Cecil County</v>
          </cell>
          <cell r="H26" t="str">
            <v>MDO</v>
          </cell>
        </row>
        <row r="27">
          <cell r="C27" t="str">
            <v/>
          </cell>
          <cell r="E27" t="str">
            <v>MD</v>
          </cell>
          <cell r="F27">
            <v>21921</v>
          </cell>
          <cell r="G27" t="str">
            <v>Cecil County</v>
          </cell>
          <cell r="H27" t="str">
            <v>MDO</v>
          </cell>
        </row>
        <row r="28">
          <cell r="C28" t="str">
            <v>64048</v>
          </cell>
          <cell r="D28" t="str">
            <v>JAN</v>
          </cell>
          <cell r="E28" t="str">
            <v>MD</v>
          </cell>
          <cell r="F28">
            <v>21202</v>
          </cell>
          <cell r="G28" t="str">
            <v>Baltimore City</v>
          </cell>
          <cell r="H28" t="str">
            <v>MDO</v>
          </cell>
        </row>
        <row r="29">
          <cell r="C29" t="str">
            <v>08174</v>
          </cell>
          <cell r="D29" t="str">
            <v>JUL</v>
          </cell>
          <cell r="E29" t="str">
            <v>MD</v>
          </cell>
          <cell r="F29">
            <v>20646</v>
          </cell>
          <cell r="G29" t="str">
            <v>Charles County</v>
          </cell>
          <cell r="H29" t="str">
            <v>MDO</v>
          </cell>
        </row>
        <row r="30">
          <cell r="C30" t="str">
            <v>17940</v>
          </cell>
          <cell r="D30" t="str">
            <v>JAN</v>
          </cell>
          <cell r="E30" t="str">
            <v>NY</v>
          </cell>
          <cell r="F30">
            <v>10020</v>
          </cell>
          <cell r="G30" t="str">
            <v>MD Other</v>
          </cell>
          <cell r="H30" t="str">
            <v>MDO</v>
          </cell>
        </row>
        <row r="31">
          <cell r="C31" t="str">
            <v/>
          </cell>
          <cell r="E31" t="str">
            <v>MD</v>
          </cell>
          <cell r="F31">
            <v>21099</v>
          </cell>
          <cell r="G31" t="str">
            <v>Anne Arundel County</v>
          </cell>
          <cell r="H31" t="str">
            <v>MDO</v>
          </cell>
        </row>
        <row r="32">
          <cell r="C32" t="str">
            <v>12598</v>
          </cell>
          <cell r="D32" t="str">
            <v>JUL</v>
          </cell>
          <cell r="E32" t="str">
            <v>MD</v>
          </cell>
          <cell r="F32">
            <v>21401</v>
          </cell>
          <cell r="G32" t="str">
            <v>Anne Arundel County</v>
          </cell>
          <cell r="H32" t="str">
            <v>MDO</v>
          </cell>
        </row>
        <row r="33">
          <cell r="C33" t="str">
            <v>63584</v>
          </cell>
          <cell r="D33" t="str">
            <v>JAN</v>
          </cell>
          <cell r="E33" t="str">
            <v>MD</v>
          </cell>
          <cell r="F33">
            <v>21202</v>
          </cell>
          <cell r="G33" t="str">
            <v>Baltimore City</v>
          </cell>
          <cell r="H33" t="str">
            <v>MDO</v>
          </cell>
        </row>
        <row r="34">
          <cell r="C34" t="str">
            <v>07495</v>
          </cell>
          <cell r="D34" t="str">
            <v>JAN</v>
          </cell>
          <cell r="E34" t="str">
            <v>MD</v>
          </cell>
          <cell r="F34">
            <v>21202</v>
          </cell>
          <cell r="G34" t="str">
            <v>Baltimore City</v>
          </cell>
          <cell r="H34" t="str">
            <v>MDO</v>
          </cell>
        </row>
        <row r="35">
          <cell r="C35" t="str">
            <v>62461</v>
          </cell>
          <cell r="D35" t="str">
            <v>MAR</v>
          </cell>
          <cell r="E35" t="str">
            <v>MD</v>
          </cell>
          <cell r="F35">
            <v>21074</v>
          </cell>
          <cell r="G35" t="str">
            <v>Carroll County</v>
          </cell>
          <cell r="H35" t="str">
            <v>MDO</v>
          </cell>
        </row>
        <row r="36">
          <cell r="C36" t="str">
            <v>27416</v>
          </cell>
          <cell r="D36" t="str">
            <v>JAN</v>
          </cell>
          <cell r="E36" t="str">
            <v>MD</v>
          </cell>
          <cell r="F36">
            <v>21046</v>
          </cell>
          <cell r="G36" t="str">
            <v>Howard County</v>
          </cell>
          <cell r="H36" t="str">
            <v>MDO</v>
          </cell>
        </row>
        <row r="37">
          <cell r="C37" t="str">
            <v>60328</v>
          </cell>
          <cell r="D37" t="str">
            <v>MAR</v>
          </cell>
          <cell r="E37" t="str">
            <v>MD</v>
          </cell>
          <cell r="F37">
            <v>21076</v>
          </cell>
          <cell r="G37" t="str">
            <v>Anne Arundel County</v>
          </cell>
          <cell r="H37" t="str">
            <v>MDO</v>
          </cell>
        </row>
        <row r="38">
          <cell r="C38" t="str">
            <v>54748</v>
          </cell>
          <cell r="D38" t="str">
            <v>JAN</v>
          </cell>
          <cell r="E38" t="str">
            <v>MD</v>
          </cell>
          <cell r="F38">
            <v>21201</v>
          </cell>
          <cell r="G38" t="str">
            <v>Baltimore City</v>
          </cell>
          <cell r="H38" t="str">
            <v>MDO</v>
          </cell>
        </row>
        <row r="39">
          <cell r="C39" t="str">
            <v>61500</v>
          </cell>
          <cell r="D39" t="str">
            <v>OCT</v>
          </cell>
          <cell r="E39" t="str">
            <v>MD</v>
          </cell>
          <cell r="F39">
            <v>21046</v>
          </cell>
          <cell r="G39" t="str">
            <v>Howard County</v>
          </cell>
          <cell r="H39" t="str">
            <v>MDO</v>
          </cell>
        </row>
        <row r="40">
          <cell r="C40" t="str">
            <v>55220</v>
          </cell>
          <cell r="D40" t="str">
            <v>MAY</v>
          </cell>
          <cell r="E40" t="str">
            <v>MD</v>
          </cell>
          <cell r="F40">
            <v>21117</v>
          </cell>
          <cell r="G40" t="str">
            <v>Baltimore County</v>
          </cell>
          <cell r="H40" t="str">
            <v>MDO</v>
          </cell>
        </row>
        <row r="41">
          <cell r="C41" t="str">
            <v>52326</v>
          </cell>
          <cell r="D41" t="str">
            <v>JAN</v>
          </cell>
          <cell r="E41" t="str">
            <v>MD</v>
          </cell>
          <cell r="F41">
            <v>21093</v>
          </cell>
          <cell r="G41" t="str">
            <v>Baltimore County</v>
          </cell>
          <cell r="H41" t="str">
            <v>MDO</v>
          </cell>
        </row>
        <row r="42">
          <cell r="C42" t="str">
            <v>29216</v>
          </cell>
          <cell r="D42" t="str">
            <v>MAY</v>
          </cell>
          <cell r="E42" t="str">
            <v>MD</v>
          </cell>
          <cell r="F42">
            <v>21802</v>
          </cell>
          <cell r="G42" t="str">
            <v>Wicomico County</v>
          </cell>
          <cell r="H42" t="str">
            <v>MDO</v>
          </cell>
        </row>
        <row r="43">
          <cell r="C43" t="str">
            <v>29032</v>
          </cell>
          <cell r="D43" t="str">
            <v>JAN</v>
          </cell>
          <cell r="E43" t="str">
            <v>MD</v>
          </cell>
          <cell r="F43">
            <v>21224</v>
          </cell>
          <cell r="G43" t="str">
            <v>Baltimore City</v>
          </cell>
          <cell r="H43" t="str">
            <v>MDO</v>
          </cell>
        </row>
        <row r="44">
          <cell r="C44" t="str">
            <v>59982</v>
          </cell>
          <cell r="D44" t="str">
            <v>FEB</v>
          </cell>
          <cell r="E44" t="str">
            <v>FL</v>
          </cell>
          <cell r="F44">
            <v>33180</v>
          </cell>
          <cell r="G44" t="str">
            <v>MD Other</v>
          </cell>
          <cell r="H44" t="str">
            <v>MDO</v>
          </cell>
        </row>
        <row r="45">
          <cell r="C45" t="str">
            <v>48987</v>
          </cell>
          <cell r="D45" t="str">
            <v>JAN</v>
          </cell>
          <cell r="E45" t="str">
            <v>MD</v>
          </cell>
          <cell r="F45">
            <v>21620</v>
          </cell>
          <cell r="G45" t="str">
            <v>Kent County</v>
          </cell>
          <cell r="H45" t="str">
            <v>MDO</v>
          </cell>
        </row>
        <row r="46">
          <cell r="C46" t="str">
            <v>44713</v>
          </cell>
          <cell r="D46" t="str">
            <v>JAN</v>
          </cell>
          <cell r="E46" t="str">
            <v>MD</v>
          </cell>
          <cell r="F46">
            <v>21031</v>
          </cell>
          <cell r="G46" t="str">
            <v>Baltimore County</v>
          </cell>
          <cell r="H46" t="str">
            <v>MDO</v>
          </cell>
        </row>
        <row r="47">
          <cell r="C47" t="str">
            <v>52612</v>
          </cell>
          <cell r="D47" t="str">
            <v>JUL</v>
          </cell>
          <cell r="E47" t="str">
            <v>MD</v>
          </cell>
          <cell r="F47">
            <v>21009</v>
          </cell>
          <cell r="G47" t="str">
            <v>Harford County</v>
          </cell>
          <cell r="H47" t="str">
            <v>MDO</v>
          </cell>
        </row>
        <row r="48">
          <cell r="C48" t="str">
            <v/>
          </cell>
          <cell r="E48" t="str">
            <v>MD</v>
          </cell>
          <cell r="F48">
            <v>21202</v>
          </cell>
          <cell r="G48" t="str">
            <v>Baltimore City</v>
          </cell>
          <cell r="H48" t="str">
            <v>MDO</v>
          </cell>
        </row>
        <row r="49">
          <cell r="C49" t="str">
            <v/>
          </cell>
          <cell r="E49" t="str">
            <v>MD</v>
          </cell>
          <cell r="F49">
            <v>21044</v>
          </cell>
          <cell r="G49" t="str">
            <v>Howard County</v>
          </cell>
          <cell r="H49" t="str">
            <v>MDO</v>
          </cell>
        </row>
        <row r="50">
          <cell r="C50" t="str">
            <v>08266</v>
          </cell>
          <cell r="D50" t="str">
            <v>SEP</v>
          </cell>
          <cell r="E50" t="str">
            <v>MD</v>
          </cell>
          <cell r="F50">
            <v>21629</v>
          </cell>
          <cell r="G50" t="str">
            <v>Caroline County</v>
          </cell>
          <cell r="H50" t="str">
            <v>MDO</v>
          </cell>
        </row>
        <row r="51">
          <cell r="C51" t="str">
            <v>08266</v>
          </cell>
          <cell r="D51" t="str">
            <v>SEP</v>
          </cell>
          <cell r="E51" t="str">
            <v>MD</v>
          </cell>
          <cell r="F51">
            <v>21629</v>
          </cell>
          <cell r="G51" t="str">
            <v>Caroline County</v>
          </cell>
          <cell r="H51" t="str">
            <v>MDO</v>
          </cell>
        </row>
        <row r="52">
          <cell r="C52" t="str">
            <v>9136</v>
          </cell>
          <cell r="D52" t="str">
            <v>JUN</v>
          </cell>
          <cell r="E52" t="str">
            <v>MD</v>
          </cell>
          <cell r="F52">
            <v>21787</v>
          </cell>
          <cell r="G52" t="str">
            <v>Carroll County</v>
          </cell>
          <cell r="H52" t="str">
            <v>MDO</v>
          </cell>
        </row>
        <row r="53">
          <cell r="C53" t="str">
            <v>68274</v>
          </cell>
          <cell r="D53" t="str">
            <v>JUL</v>
          </cell>
          <cell r="E53" t="str">
            <v>MD</v>
          </cell>
          <cell r="F53">
            <v>21044</v>
          </cell>
          <cell r="G53" t="str">
            <v>Howard County</v>
          </cell>
          <cell r="H53" t="str">
            <v>MDO</v>
          </cell>
        </row>
        <row r="54">
          <cell r="C54" t="str">
            <v>57887</v>
          </cell>
          <cell r="D54" t="str">
            <v>JUL</v>
          </cell>
          <cell r="E54" t="str">
            <v>MD</v>
          </cell>
          <cell r="F54">
            <v>21702</v>
          </cell>
          <cell r="G54" t="str">
            <v>Frederick County</v>
          </cell>
          <cell r="H54" t="str">
            <v>MDO</v>
          </cell>
        </row>
        <row r="55">
          <cell r="C55" t="str">
            <v>63835</v>
          </cell>
          <cell r="D55" t="str">
            <v>JAN</v>
          </cell>
          <cell r="E55" t="str">
            <v>MD</v>
          </cell>
          <cell r="F55">
            <v>21401</v>
          </cell>
          <cell r="G55" t="str">
            <v>Anne Arundel County</v>
          </cell>
          <cell r="H55" t="str">
            <v>MDO</v>
          </cell>
        </row>
        <row r="56">
          <cell r="C56" t="str">
            <v/>
          </cell>
          <cell r="E56" t="str">
            <v>MD</v>
          </cell>
          <cell r="F56">
            <v>21060</v>
          </cell>
          <cell r="G56" t="str">
            <v>Anne Arundel County</v>
          </cell>
          <cell r="H56" t="str">
            <v>MDO</v>
          </cell>
        </row>
        <row r="57">
          <cell r="C57" t="str">
            <v>61838</v>
          </cell>
          <cell r="D57" t="str">
            <v>JAN</v>
          </cell>
          <cell r="E57" t="str">
            <v>MD</v>
          </cell>
          <cell r="F57">
            <v>21204</v>
          </cell>
          <cell r="G57" t="str">
            <v>Baltimore County</v>
          </cell>
          <cell r="H57" t="str">
            <v>MDO</v>
          </cell>
        </row>
        <row r="58">
          <cell r="C58" t="str">
            <v>28563</v>
          </cell>
          <cell r="D58" t="str">
            <v>termed 7/03</v>
          </cell>
          <cell r="E58" t="str">
            <v>MD</v>
          </cell>
          <cell r="F58">
            <v>21093</v>
          </cell>
          <cell r="G58" t="str">
            <v>Baltimore City</v>
          </cell>
          <cell r="H58" t="str">
            <v>MDO</v>
          </cell>
        </row>
        <row r="59">
          <cell r="C59" t="str">
            <v>59327</v>
          </cell>
          <cell r="D59" t="str">
            <v>JAN</v>
          </cell>
          <cell r="E59" t="str">
            <v>MD</v>
          </cell>
          <cell r="F59">
            <v>21046</v>
          </cell>
          <cell r="G59" t="str">
            <v>Howard County</v>
          </cell>
          <cell r="H59" t="str">
            <v>MDO</v>
          </cell>
        </row>
        <row r="60">
          <cell r="C60" t="str">
            <v>10058</v>
          </cell>
          <cell r="D60" t="str">
            <v>JAN</v>
          </cell>
          <cell r="E60" t="str">
            <v>MD</v>
          </cell>
          <cell r="F60">
            <v>21231</v>
          </cell>
          <cell r="G60" t="str">
            <v>Baltimore City</v>
          </cell>
          <cell r="H60" t="str">
            <v>MDO</v>
          </cell>
        </row>
        <row r="61">
          <cell r="C61" t="str">
            <v>10383</v>
          </cell>
          <cell r="D61" t="str">
            <v>JUL</v>
          </cell>
          <cell r="E61" t="str">
            <v>MD</v>
          </cell>
          <cell r="F61">
            <v>21014</v>
          </cell>
          <cell r="G61" t="str">
            <v>Harford County</v>
          </cell>
          <cell r="H61" t="str">
            <v>MDO</v>
          </cell>
        </row>
        <row r="62">
          <cell r="C62" t="str">
            <v>50951</v>
          </cell>
          <cell r="D62" t="str">
            <v>JAN</v>
          </cell>
          <cell r="E62" t="str">
            <v>MD</v>
          </cell>
          <cell r="F62">
            <v>21795</v>
          </cell>
          <cell r="G62" t="str">
            <v>Washington County</v>
          </cell>
          <cell r="H62" t="str">
            <v>MDO</v>
          </cell>
        </row>
        <row r="63">
          <cell r="C63" t="str">
            <v/>
          </cell>
          <cell r="E63" t="str">
            <v>NC</v>
          </cell>
          <cell r="F63">
            <v>28211</v>
          </cell>
          <cell r="G63" t="str">
            <v>MD Other</v>
          </cell>
          <cell r="H63" t="str">
            <v>MDO</v>
          </cell>
        </row>
        <row r="64">
          <cell r="C64" t="str">
            <v>10989</v>
          </cell>
          <cell r="D64" t="str">
            <v>JUL</v>
          </cell>
          <cell r="E64" t="str">
            <v>MD</v>
          </cell>
          <cell r="F64">
            <v>21043</v>
          </cell>
          <cell r="G64" t="str">
            <v>Howard County</v>
          </cell>
          <cell r="H64" t="str">
            <v>MDO</v>
          </cell>
        </row>
        <row r="65">
          <cell r="C65" t="str">
            <v>07249</v>
          </cell>
          <cell r="D65" t="str">
            <v>JUL</v>
          </cell>
          <cell r="E65" t="str">
            <v>MD</v>
          </cell>
          <cell r="F65">
            <v>21205</v>
          </cell>
          <cell r="G65" t="str">
            <v>Baltimore City</v>
          </cell>
          <cell r="H65" t="str">
            <v>MDO</v>
          </cell>
        </row>
        <row r="66">
          <cell r="C66" t="str">
            <v>07518</v>
          </cell>
          <cell r="D66" t="str">
            <v>JAN</v>
          </cell>
          <cell r="E66" t="str">
            <v>MD</v>
          </cell>
          <cell r="F66">
            <v>21218</v>
          </cell>
          <cell r="G66" t="str">
            <v>Baltimore City</v>
          </cell>
          <cell r="H66" t="str">
            <v>MDO</v>
          </cell>
        </row>
        <row r="67">
          <cell r="C67" t="str">
            <v>50349</v>
          </cell>
          <cell r="D67" t="str">
            <v>APR</v>
          </cell>
          <cell r="E67" t="str">
            <v>MD</v>
          </cell>
          <cell r="F67">
            <v>21074</v>
          </cell>
          <cell r="G67" t="str">
            <v>Carroll County</v>
          </cell>
          <cell r="H67" t="str">
            <v>MDO</v>
          </cell>
        </row>
        <row r="68">
          <cell r="C68" t="str">
            <v>26198</v>
          </cell>
          <cell r="D68" t="str">
            <v>JAN</v>
          </cell>
          <cell r="E68" t="str">
            <v>MD</v>
          </cell>
          <cell r="F68">
            <v>21801</v>
          </cell>
          <cell r="G68" t="str">
            <v>Wicomico County</v>
          </cell>
          <cell r="H68" t="str">
            <v>MDO</v>
          </cell>
        </row>
        <row r="69">
          <cell r="C69" t="str">
            <v>53345</v>
          </cell>
          <cell r="D69" t="str">
            <v>APR</v>
          </cell>
          <cell r="E69" t="str">
            <v>MD</v>
          </cell>
          <cell r="F69">
            <v>21113</v>
          </cell>
          <cell r="G69" t="str">
            <v>Anne Arundel County</v>
          </cell>
          <cell r="H69" t="str">
            <v>MDO</v>
          </cell>
        </row>
        <row r="70">
          <cell r="C70" t="str">
            <v>53346</v>
          </cell>
          <cell r="D70" t="str">
            <v>JAN</v>
          </cell>
          <cell r="E70" t="str">
            <v>PA</v>
          </cell>
          <cell r="F70">
            <v>15222</v>
          </cell>
          <cell r="G70" t="str">
            <v>MD Other</v>
          </cell>
          <cell r="H70" t="str">
            <v>MDO</v>
          </cell>
        </row>
        <row r="71">
          <cell r="C71" t="str">
            <v>33512</v>
          </cell>
          <cell r="D71" t="str">
            <v>APR</v>
          </cell>
          <cell r="E71" t="str">
            <v>MD</v>
          </cell>
          <cell r="F71">
            <v>21158</v>
          </cell>
          <cell r="G71" t="str">
            <v>Carroll County</v>
          </cell>
          <cell r="H71" t="str">
            <v>MDO</v>
          </cell>
        </row>
        <row r="72">
          <cell r="C72" t="str">
            <v>56202</v>
          </cell>
          <cell r="D72" t="str">
            <v>SEP</v>
          </cell>
          <cell r="E72" t="str">
            <v>MD</v>
          </cell>
          <cell r="F72">
            <v>21202</v>
          </cell>
          <cell r="G72" t="str">
            <v>Baltimore City</v>
          </cell>
          <cell r="H72" t="str">
            <v>MDO</v>
          </cell>
        </row>
        <row r="73">
          <cell r="C73" t="str">
            <v>27710</v>
          </cell>
          <cell r="D73" t="str">
            <v>JAN</v>
          </cell>
          <cell r="E73" t="str">
            <v>MD</v>
          </cell>
          <cell r="F73">
            <v>21215</v>
          </cell>
          <cell r="G73" t="str">
            <v>Baltimore City</v>
          </cell>
          <cell r="H73" t="str">
            <v>MDO</v>
          </cell>
        </row>
        <row r="74">
          <cell r="C74" t="str">
            <v>07844</v>
          </cell>
          <cell r="D74" t="str">
            <v>JAN</v>
          </cell>
          <cell r="E74" t="str">
            <v>MD</v>
          </cell>
          <cell r="F74">
            <v>21230</v>
          </cell>
          <cell r="G74" t="str">
            <v>Baltimore City</v>
          </cell>
          <cell r="H74" t="str">
            <v>MDO</v>
          </cell>
        </row>
        <row r="75">
          <cell r="C75" t="str">
            <v>C1387</v>
          </cell>
          <cell r="D75" t="str">
            <v>JUL</v>
          </cell>
          <cell r="E75" t="str">
            <v>MD</v>
          </cell>
          <cell r="F75">
            <v>21210</v>
          </cell>
          <cell r="G75" t="str">
            <v>Baltimore City</v>
          </cell>
          <cell r="H75" t="str">
            <v>MDO</v>
          </cell>
        </row>
        <row r="76">
          <cell r="C76" t="str">
            <v>63429</v>
          </cell>
          <cell r="D76" t="str">
            <v>JAN</v>
          </cell>
          <cell r="E76" t="str">
            <v>MD</v>
          </cell>
          <cell r="F76">
            <v>21030</v>
          </cell>
          <cell r="G76" t="str">
            <v>Baltimore County</v>
          </cell>
          <cell r="H76" t="str">
            <v>MDO</v>
          </cell>
        </row>
        <row r="77">
          <cell r="C77" t="str">
            <v>57096</v>
          </cell>
          <cell r="D77" t="str">
            <v>JAN</v>
          </cell>
          <cell r="E77" t="str">
            <v>MD</v>
          </cell>
          <cell r="F77">
            <v>21201</v>
          </cell>
          <cell r="G77" t="str">
            <v>Baltimore City</v>
          </cell>
          <cell r="H77" t="str">
            <v>MDO</v>
          </cell>
        </row>
        <row r="78">
          <cell r="C78" t="str">
            <v>48995</v>
          </cell>
          <cell r="D78" t="str">
            <v>JAN</v>
          </cell>
          <cell r="E78" t="str">
            <v>MD</v>
          </cell>
          <cell r="F78">
            <v>21046</v>
          </cell>
          <cell r="G78" t="str">
            <v>Howard County</v>
          </cell>
          <cell r="H78" t="str">
            <v>MDO</v>
          </cell>
        </row>
        <row r="79">
          <cell r="C79" t="str">
            <v>64784</v>
          </cell>
          <cell r="D79" t="str">
            <v>JUN</v>
          </cell>
          <cell r="E79" t="str">
            <v>MD</v>
          </cell>
          <cell r="F79">
            <v>21046</v>
          </cell>
          <cell r="G79" t="str">
            <v>Howard County</v>
          </cell>
          <cell r="H79" t="str">
            <v>MDO</v>
          </cell>
        </row>
        <row r="80">
          <cell r="C80" t="str">
            <v>42402</v>
          </cell>
          <cell r="D80" t="str">
            <v>JAN</v>
          </cell>
          <cell r="E80" t="str">
            <v>MD</v>
          </cell>
          <cell r="F80">
            <v>21201</v>
          </cell>
          <cell r="G80" t="str">
            <v>Baltimore City</v>
          </cell>
          <cell r="H80" t="str">
            <v>MDO</v>
          </cell>
        </row>
        <row r="81">
          <cell r="C81" t="str">
            <v>61864</v>
          </cell>
          <cell r="D81" t="str">
            <v>JAN</v>
          </cell>
          <cell r="E81" t="str">
            <v>MD</v>
          </cell>
          <cell r="F81">
            <v>21225</v>
          </cell>
          <cell r="G81" t="str">
            <v>Baltimore City</v>
          </cell>
          <cell r="H81" t="str">
            <v>MDO</v>
          </cell>
        </row>
        <row r="82">
          <cell r="C82" t="str">
            <v>7517</v>
          </cell>
          <cell r="D82" t="str">
            <v>JAN</v>
          </cell>
          <cell r="E82" t="str">
            <v>MD</v>
          </cell>
          <cell r="F82">
            <v>21090</v>
          </cell>
          <cell r="G82" t="str">
            <v>Anne Arundel County</v>
          </cell>
          <cell r="H82" t="str">
            <v>MDO</v>
          </cell>
        </row>
        <row r="83">
          <cell r="C83" t="str">
            <v>58359</v>
          </cell>
          <cell r="D83" t="str">
            <v>JUL</v>
          </cell>
          <cell r="E83" t="str">
            <v>MD</v>
          </cell>
          <cell r="F83">
            <v>21202</v>
          </cell>
          <cell r="G83" t="str">
            <v>Baltimore City</v>
          </cell>
          <cell r="H83" t="str">
            <v>MDO</v>
          </cell>
        </row>
        <row r="84">
          <cell r="C84" t="str">
            <v>27117</v>
          </cell>
          <cell r="D84" t="str">
            <v>JAN</v>
          </cell>
          <cell r="E84" t="str">
            <v>MD</v>
          </cell>
          <cell r="F84">
            <v>21202</v>
          </cell>
          <cell r="G84" t="str">
            <v>Baltimore City</v>
          </cell>
          <cell r="H84" t="str">
            <v>MDO</v>
          </cell>
        </row>
        <row r="85">
          <cell r="C85" t="str">
            <v>10427</v>
          </cell>
          <cell r="D85" t="str">
            <v>JAN</v>
          </cell>
          <cell r="E85" t="str">
            <v>MD</v>
          </cell>
          <cell r="F85">
            <v>21030</v>
          </cell>
          <cell r="G85" t="str">
            <v>Baltimore County</v>
          </cell>
          <cell r="H85" t="str">
            <v>MDO</v>
          </cell>
        </row>
        <row r="86">
          <cell r="C86" t="str">
            <v>34881</v>
          </cell>
          <cell r="D86" t="str">
            <v>JUL</v>
          </cell>
          <cell r="E86" t="str">
            <v>MD</v>
          </cell>
          <cell r="F86">
            <v>21157</v>
          </cell>
          <cell r="G86" t="str">
            <v>Carroll County</v>
          </cell>
          <cell r="H86" t="str">
            <v>MDO</v>
          </cell>
        </row>
        <row r="87">
          <cell r="C87" t="str">
            <v>54863</v>
          </cell>
          <cell r="D87" t="str">
            <v>JAN</v>
          </cell>
          <cell r="E87" t="str">
            <v>MD</v>
          </cell>
          <cell r="F87">
            <v>21090</v>
          </cell>
          <cell r="G87" t="str">
            <v>Anne Arundel County</v>
          </cell>
          <cell r="H87" t="str">
            <v>MDO</v>
          </cell>
        </row>
        <row r="88">
          <cell r="C88" t="str">
            <v>27954</v>
          </cell>
          <cell r="D88" t="str">
            <v>JAN</v>
          </cell>
          <cell r="E88" t="str">
            <v>MD</v>
          </cell>
          <cell r="F88">
            <v>21030</v>
          </cell>
          <cell r="G88" t="str">
            <v xml:space="preserve">Baltimore County </v>
          </cell>
          <cell r="H88" t="str">
            <v>MDO</v>
          </cell>
        </row>
        <row r="89">
          <cell r="C89" t="str">
            <v>59863</v>
          </cell>
          <cell r="D89" t="str">
            <v>JAN</v>
          </cell>
          <cell r="E89" t="str">
            <v>MD</v>
          </cell>
          <cell r="F89">
            <v>21795</v>
          </cell>
          <cell r="G89" t="str">
            <v>Washington County</v>
          </cell>
          <cell r="H89" t="str">
            <v>MDO</v>
          </cell>
        </row>
        <row r="90">
          <cell r="C90" t="str">
            <v>65304</v>
          </cell>
          <cell r="G90" t="str">
            <v>MD Other</v>
          </cell>
          <cell r="H90" t="str">
            <v>MDO</v>
          </cell>
        </row>
        <row r="91">
          <cell r="C91" t="str">
            <v>44491</v>
          </cell>
          <cell r="D91" t="str">
            <v>JAN</v>
          </cell>
          <cell r="E91" t="str">
            <v>MD</v>
          </cell>
          <cell r="F91">
            <v>212093600</v>
          </cell>
          <cell r="G91" t="str">
            <v>Baltimore City</v>
          </cell>
          <cell r="H91" t="str">
            <v>MDO</v>
          </cell>
        </row>
        <row r="92">
          <cell r="C92" t="str">
            <v>59530</v>
          </cell>
          <cell r="D92" t="str">
            <v>JAN</v>
          </cell>
          <cell r="E92" t="str">
            <v>OH</v>
          </cell>
          <cell r="F92">
            <v>45401</v>
          </cell>
          <cell r="G92" t="str">
            <v>Out of State</v>
          </cell>
          <cell r="H92" t="str">
            <v>MDO</v>
          </cell>
        </row>
        <row r="93">
          <cell r="C93" t="str">
            <v>56806</v>
          </cell>
          <cell r="D93" t="str">
            <v>JAN</v>
          </cell>
          <cell r="E93" t="str">
            <v>MD</v>
          </cell>
          <cell r="F93">
            <v>21202</v>
          </cell>
          <cell r="G93" t="str">
            <v>Baltimore City</v>
          </cell>
          <cell r="H93" t="str">
            <v>MDO</v>
          </cell>
        </row>
        <row r="94">
          <cell r="C94" t="str">
            <v>27954</v>
          </cell>
          <cell r="D94" t="str">
            <v>JAN</v>
          </cell>
          <cell r="E94" t="str">
            <v>MD</v>
          </cell>
          <cell r="F94">
            <v>21030</v>
          </cell>
          <cell r="G94" t="str">
            <v>Baltimore County</v>
          </cell>
          <cell r="H94" t="str">
            <v>MDO</v>
          </cell>
        </row>
        <row r="95">
          <cell r="C95" t="str">
            <v>28964</v>
          </cell>
          <cell r="D95" t="str">
            <v>JAN</v>
          </cell>
          <cell r="E95" t="str">
            <v>MD</v>
          </cell>
          <cell r="F95">
            <v>212021725</v>
          </cell>
          <cell r="G95" t="str">
            <v>Baltimore City</v>
          </cell>
          <cell r="H95" t="str">
            <v>MDO</v>
          </cell>
        </row>
        <row r="96">
          <cell r="C96" t="str">
            <v>59542</v>
          </cell>
          <cell r="D96" t="str">
            <v>DEC</v>
          </cell>
          <cell r="E96" t="str">
            <v>MD</v>
          </cell>
          <cell r="F96">
            <v>21204</v>
          </cell>
          <cell r="G96" t="str">
            <v>Baltimore County</v>
          </cell>
          <cell r="H96" t="str">
            <v>MDO</v>
          </cell>
        </row>
        <row r="97">
          <cell r="C97" t="str">
            <v>59513</v>
          </cell>
          <cell r="D97" t="str">
            <v>JAN</v>
          </cell>
          <cell r="E97" t="str">
            <v>MD</v>
          </cell>
          <cell r="F97">
            <v>21209</v>
          </cell>
          <cell r="G97" t="str">
            <v>Baltimore City</v>
          </cell>
          <cell r="H97" t="str">
            <v>MDO</v>
          </cell>
        </row>
        <row r="98">
          <cell r="C98" t="str">
            <v>55214</v>
          </cell>
          <cell r="D98" t="str">
            <v>JAN</v>
          </cell>
          <cell r="E98" t="str">
            <v>MD</v>
          </cell>
          <cell r="F98">
            <v>21201</v>
          </cell>
          <cell r="G98" t="str">
            <v>Baltimore City</v>
          </cell>
          <cell r="H98" t="str">
            <v>MDO</v>
          </cell>
        </row>
        <row r="99">
          <cell r="C99" t="str">
            <v>53344</v>
          </cell>
          <cell r="D99" t="str">
            <v>JAN</v>
          </cell>
          <cell r="E99" t="str">
            <v>FL</v>
          </cell>
          <cell r="F99">
            <v>32804</v>
          </cell>
          <cell r="G99" t="str">
            <v>Out of State</v>
          </cell>
          <cell r="H99" t="str">
            <v>MDO</v>
          </cell>
        </row>
        <row r="100">
          <cell r="C100" t="str">
            <v>39579</v>
          </cell>
          <cell r="D100" t="str">
            <v>JAN</v>
          </cell>
          <cell r="E100" t="str">
            <v>MD</v>
          </cell>
          <cell r="F100">
            <v>21044</v>
          </cell>
          <cell r="G100" t="str">
            <v>Howard County</v>
          </cell>
          <cell r="H100" t="str">
            <v>MDO</v>
          </cell>
        </row>
        <row r="101">
          <cell r="C101" t="str">
            <v>56808</v>
          </cell>
          <cell r="D101" t="str">
            <v>JAN</v>
          </cell>
          <cell r="E101" t="str">
            <v>MD</v>
          </cell>
          <cell r="F101">
            <v>21228</v>
          </cell>
          <cell r="G101" t="str">
            <v>Baltimore City</v>
          </cell>
          <cell r="H101" t="str">
            <v>MDO</v>
          </cell>
        </row>
        <row r="102">
          <cell r="C102" t="str">
            <v>48921</v>
          </cell>
          <cell r="D102" t="str">
            <v>JAN</v>
          </cell>
          <cell r="E102" t="str">
            <v>MD</v>
          </cell>
          <cell r="F102">
            <v>21044</v>
          </cell>
          <cell r="G102" t="str">
            <v>Howard County</v>
          </cell>
          <cell r="H102" t="str">
            <v>MDO</v>
          </cell>
        </row>
        <row r="103">
          <cell r="C103" t="str">
            <v>29962</v>
          </cell>
          <cell r="D103" t="str">
            <v>JAN</v>
          </cell>
          <cell r="E103" t="str">
            <v>NY</v>
          </cell>
          <cell r="F103">
            <v>100224624</v>
          </cell>
          <cell r="G103" t="str">
            <v>Out of State</v>
          </cell>
          <cell r="H103" t="str">
            <v>MDO</v>
          </cell>
        </row>
        <row r="104">
          <cell r="C104" t="str">
            <v>8055</v>
          </cell>
          <cell r="D104" t="str">
            <v>JAN</v>
          </cell>
          <cell r="E104" t="str">
            <v>MD</v>
          </cell>
          <cell r="F104">
            <v>21236</v>
          </cell>
          <cell r="G104" t="str">
            <v>Baltimore County</v>
          </cell>
          <cell r="H104" t="str">
            <v>MDO</v>
          </cell>
        </row>
        <row r="105">
          <cell r="C105" t="str">
            <v>56835</v>
          </cell>
          <cell r="D105" t="str">
            <v>JAN</v>
          </cell>
          <cell r="E105" t="str">
            <v>MD</v>
          </cell>
          <cell r="F105">
            <v>21202</v>
          </cell>
          <cell r="G105" t="str">
            <v>Baltimore City</v>
          </cell>
          <cell r="H105" t="str">
            <v>MDO</v>
          </cell>
        </row>
        <row r="106">
          <cell r="C106" t="str">
            <v>59749</v>
          </cell>
          <cell r="D106" t="str">
            <v>JAN</v>
          </cell>
          <cell r="E106" t="str">
            <v>MD</v>
          </cell>
          <cell r="F106">
            <v>21218</v>
          </cell>
          <cell r="G106" t="str">
            <v>Baltimore County</v>
          </cell>
          <cell r="H106" t="str">
            <v>MDO</v>
          </cell>
        </row>
        <row r="107">
          <cell r="C107" t="str">
            <v>28558</v>
          </cell>
          <cell r="D107" t="str">
            <v>JUL</v>
          </cell>
          <cell r="E107" t="str">
            <v>MD</v>
          </cell>
          <cell r="F107">
            <v>21244</v>
          </cell>
          <cell r="G107" t="str">
            <v>Baltimore County</v>
          </cell>
          <cell r="H107" t="str">
            <v>MDO</v>
          </cell>
        </row>
        <row r="108">
          <cell r="C108" t="str">
            <v>10721</v>
          </cell>
          <cell r="D108" t="str">
            <v>JUL</v>
          </cell>
          <cell r="E108" t="str">
            <v>MD</v>
          </cell>
          <cell r="F108">
            <v>20650</v>
          </cell>
          <cell r="G108" t="str">
            <v>St Marys County</v>
          </cell>
          <cell r="H108" t="str">
            <v>MDO</v>
          </cell>
        </row>
        <row r="109">
          <cell r="C109" t="str">
            <v>51545</v>
          </cell>
          <cell r="D109" t="str">
            <v>JUL</v>
          </cell>
          <cell r="E109" t="str">
            <v>MD</v>
          </cell>
          <cell r="F109">
            <v>20650</v>
          </cell>
          <cell r="G109" t="str">
            <v>St Marys County</v>
          </cell>
          <cell r="H109" t="str">
            <v>MDO</v>
          </cell>
        </row>
        <row r="110">
          <cell r="C110" t="str">
            <v>08146</v>
          </cell>
          <cell r="D110" t="str">
            <v>OCT</v>
          </cell>
          <cell r="G110" t="str">
            <v>MD Other</v>
          </cell>
          <cell r="H110" t="str">
            <v>MDO</v>
          </cell>
        </row>
        <row r="111">
          <cell r="C111" t="str">
            <v>07311</v>
          </cell>
          <cell r="D111" t="str">
            <v>JAN</v>
          </cell>
          <cell r="E111" t="str">
            <v>MD</v>
          </cell>
          <cell r="F111">
            <v>21201</v>
          </cell>
          <cell r="G111" t="str">
            <v>Baltimore City</v>
          </cell>
          <cell r="H111" t="str">
            <v>MDO</v>
          </cell>
        </row>
        <row r="112">
          <cell r="C112" t="str">
            <v>27304</v>
          </cell>
          <cell r="D112" t="str">
            <v>JAN</v>
          </cell>
          <cell r="E112" t="str">
            <v>MD</v>
          </cell>
          <cell r="F112">
            <v>21202</v>
          </cell>
          <cell r="G112" t="str">
            <v>Baltimore City</v>
          </cell>
          <cell r="H112" t="str">
            <v>MDO</v>
          </cell>
        </row>
        <row r="113">
          <cell r="C113" t="str">
            <v>43468</v>
          </cell>
          <cell r="D113" t="str">
            <v>JUL</v>
          </cell>
          <cell r="E113" t="str">
            <v>MD</v>
          </cell>
          <cell r="F113">
            <v>21146</v>
          </cell>
          <cell r="G113" t="str">
            <v>Anne Arundel County</v>
          </cell>
          <cell r="H113" t="str">
            <v>MDO</v>
          </cell>
        </row>
        <row r="114">
          <cell r="C114" t="str">
            <v>08145</v>
          </cell>
          <cell r="D114" t="str">
            <v>JAN</v>
          </cell>
          <cell r="E114" t="str">
            <v>MD</v>
          </cell>
          <cell r="F114">
            <v>21202</v>
          </cell>
          <cell r="G114" t="str">
            <v>Baltimore City</v>
          </cell>
          <cell r="H114" t="str">
            <v>MDO</v>
          </cell>
        </row>
        <row r="115">
          <cell r="C115" t="str">
            <v>46748</v>
          </cell>
          <cell r="D115" t="str">
            <v>JUL</v>
          </cell>
          <cell r="E115" t="str">
            <v>MD</v>
          </cell>
          <cell r="F115">
            <v>21030</v>
          </cell>
          <cell r="G115" t="str">
            <v>Baltimore County</v>
          </cell>
          <cell r="H115" t="str">
            <v>MDO</v>
          </cell>
        </row>
        <row r="116">
          <cell r="C116" t="str">
            <v>53191</v>
          </cell>
          <cell r="D116" t="str">
            <v>JAN</v>
          </cell>
          <cell r="E116" t="str">
            <v>MD</v>
          </cell>
          <cell r="F116">
            <v>21152</v>
          </cell>
          <cell r="G116" t="str">
            <v>Baltimore County</v>
          </cell>
          <cell r="H116" t="str">
            <v>MDO</v>
          </cell>
        </row>
        <row r="117">
          <cell r="C117" t="str">
            <v>61872</v>
          </cell>
          <cell r="D117" t="str">
            <v>JAN</v>
          </cell>
          <cell r="E117" t="str">
            <v>GA</v>
          </cell>
          <cell r="F117">
            <v>30339</v>
          </cell>
          <cell r="G117" t="str">
            <v>Out of State</v>
          </cell>
          <cell r="H117" t="str">
            <v>MDO</v>
          </cell>
        </row>
        <row r="118">
          <cell r="C118" t="str">
            <v>61840</v>
          </cell>
          <cell r="D118" t="str">
            <v>JAN</v>
          </cell>
          <cell r="E118" t="str">
            <v>MD</v>
          </cell>
          <cell r="F118">
            <v>21201</v>
          </cell>
          <cell r="G118" t="str">
            <v>Baltimore City</v>
          </cell>
          <cell r="H118" t="str">
            <v>MDO</v>
          </cell>
        </row>
        <row r="119">
          <cell r="C119" t="str">
            <v>61448</v>
          </cell>
          <cell r="D119" t="str">
            <v>OCT</v>
          </cell>
          <cell r="E119" t="str">
            <v>MD</v>
          </cell>
          <cell r="F119">
            <v>21401</v>
          </cell>
          <cell r="G119" t="str">
            <v>Anne Arundel County</v>
          </cell>
          <cell r="H119" t="str">
            <v>MDO</v>
          </cell>
        </row>
        <row r="120">
          <cell r="C120" t="str">
            <v>47447</v>
          </cell>
          <cell r="D120" t="str">
            <v>AUG</v>
          </cell>
          <cell r="E120" t="str">
            <v>MD</v>
          </cell>
          <cell r="F120">
            <v>21223</v>
          </cell>
          <cell r="G120" t="str">
            <v>Baltimore City</v>
          </cell>
          <cell r="H120" t="str">
            <v>MDO</v>
          </cell>
        </row>
        <row r="121">
          <cell r="C121" t="str">
            <v>19121</v>
          </cell>
          <cell r="D121" t="str">
            <v>JUL</v>
          </cell>
          <cell r="E121" t="str">
            <v>MD</v>
          </cell>
          <cell r="F121">
            <v>21201</v>
          </cell>
          <cell r="G121" t="str">
            <v>Baltimore City</v>
          </cell>
          <cell r="H121" t="str">
            <v>MDO</v>
          </cell>
        </row>
        <row r="122">
          <cell r="C122" t="str">
            <v>63978</v>
          </cell>
          <cell r="D122" t="str">
            <v>JAN</v>
          </cell>
          <cell r="E122" t="str">
            <v>IN</v>
          </cell>
          <cell r="F122">
            <v>47390</v>
          </cell>
          <cell r="G122" t="str">
            <v>Out of State</v>
          </cell>
          <cell r="H122" t="str">
            <v>MDO</v>
          </cell>
        </row>
        <row r="123">
          <cell r="C123" t="str">
            <v>18278</v>
          </cell>
          <cell r="D123" t="str">
            <v>JAN</v>
          </cell>
          <cell r="E123" t="str">
            <v>MD</v>
          </cell>
          <cell r="F123">
            <v>21201</v>
          </cell>
          <cell r="G123" t="str">
            <v>Baltimore City</v>
          </cell>
          <cell r="H123" t="str">
            <v>MDO</v>
          </cell>
        </row>
        <row r="124">
          <cell r="C124" t="str">
            <v>59317</v>
          </cell>
          <cell r="D124" t="str">
            <v>JAN</v>
          </cell>
          <cell r="E124" t="str">
            <v>MD</v>
          </cell>
          <cell r="F124">
            <v>21046</v>
          </cell>
          <cell r="G124" t="str">
            <v>Howard County</v>
          </cell>
          <cell r="H124" t="str">
            <v>MDO</v>
          </cell>
        </row>
        <row r="125">
          <cell r="C125" t="str">
            <v>51099</v>
          </cell>
          <cell r="D125" t="str">
            <v>JAN</v>
          </cell>
          <cell r="E125" t="str">
            <v>MD</v>
          </cell>
          <cell r="F125">
            <v>21401</v>
          </cell>
          <cell r="G125" t="str">
            <v>Baltimore County</v>
          </cell>
          <cell r="H125" t="str">
            <v>MDO</v>
          </cell>
        </row>
        <row r="126">
          <cell r="C126" t="str">
            <v>53194</v>
          </cell>
          <cell r="D126" t="str">
            <v>APR</v>
          </cell>
          <cell r="E126" t="str">
            <v>MD</v>
          </cell>
          <cell r="F126">
            <v>21201</v>
          </cell>
          <cell r="G126" t="str">
            <v>Baltimore City</v>
          </cell>
          <cell r="H126" t="str">
            <v>MDO</v>
          </cell>
        </row>
        <row r="127">
          <cell r="C127" t="str">
            <v>44648</v>
          </cell>
          <cell r="D127" t="str">
            <v>JAN</v>
          </cell>
          <cell r="E127" t="str">
            <v>MD</v>
          </cell>
          <cell r="F127">
            <v>21204</v>
          </cell>
          <cell r="G127" t="str">
            <v>Baltimore County</v>
          </cell>
          <cell r="H127" t="str">
            <v>MDO</v>
          </cell>
        </row>
        <row r="128">
          <cell r="C128" t="str">
            <v>39219</v>
          </cell>
          <cell r="D128" t="str">
            <v>JAN</v>
          </cell>
          <cell r="E128" t="str">
            <v>MD</v>
          </cell>
          <cell r="F128">
            <v>21224</v>
          </cell>
          <cell r="G128" t="str">
            <v>Baltimore City</v>
          </cell>
          <cell r="H128" t="str">
            <v>MDO</v>
          </cell>
        </row>
        <row r="129">
          <cell r="C129" t="str">
            <v>28795</v>
          </cell>
          <cell r="D129" t="str">
            <v>JUL</v>
          </cell>
          <cell r="E129" t="str">
            <v>MD</v>
          </cell>
          <cell r="F129">
            <v>21740</v>
          </cell>
          <cell r="G129" t="str">
            <v>Washington County</v>
          </cell>
          <cell r="H129" t="str">
            <v>MDO</v>
          </cell>
        </row>
        <row r="130">
          <cell r="C130" t="str">
            <v>60930</v>
          </cell>
          <cell r="D130" t="str">
            <v>JUL</v>
          </cell>
          <cell r="E130" t="str">
            <v>MD</v>
          </cell>
          <cell r="F130">
            <v>21740</v>
          </cell>
          <cell r="G130" t="str">
            <v>Washington County</v>
          </cell>
          <cell r="H130" t="str">
            <v>MDO</v>
          </cell>
        </row>
        <row r="131">
          <cell r="C131" t="str">
            <v>11836</v>
          </cell>
          <cell r="D131" t="str">
            <v>JAN</v>
          </cell>
          <cell r="E131" t="str">
            <v>MD</v>
          </cell>
          <cell r="F131">
            <v>212863048</v>
          </cell>
          <cell r="G131" t="str">
            <v>Baltimore County</v>
          </cell>
          <cell r="H131" t="str">
            <v>MDO</v>
          </cell>
        </row>
        <row r="132">
          <cell r="C132" t="str">
            <v>58397</v>
          </cell>
          <cell r="D132" t="str">
            <v>SEP</v>
          </cell>
          <cell r="E132" t="str">
            <v>MD</v>
          </cell>
          <cell r="F132">
            <v>21801</v>
          </cell>
          <cell r="G132" t="str">
            <v>Wicomico County</v>
          </cell>
          <cell r="H132" t="str">
            <v>MDO</v>
          </cell>
        </row>
        <row r="133">
          <cell r="C133" t="str">
            <v>27094</v>
          </cell>
          <cell r="D133" t="str">
            <v>JUN</v>
          </cell>
          <cell r="E133" t="str">
            <v>MD</v>
          </cell>
          <cell r="F133">
            <v>21043</v>
          </cell>
          <cell r="G133" t="str">
            <v>Howard County</v>
          </cell>
          <cell r="H133" t="str">
            <v>MDO</v>
          </cell>
        </row>
        <row r="134">
          <cell r="C134" t="str">
            <v>10412</v>
          </cell>
          <cell r="D134" t="str">
            <v>SEP</v>
          </cell>
          <cell r="E134" t="str">
            <v>MD</v>
          </cell>
          <cell r="F134">
            <v>218631213</v>
          </cell>
          <cell r="G134" t="str">
            <v>Worchester County</v>
          </cell>
          <cell r="H134" t="str">
            <v>MDO</v>
          </cell>
        </row>
        <row r="135">
          <cell r="C135" t="str">
            <v>65997</v>
          </cell>
          <cell r="D135" t="str">
            <v>APR</v>
          </cell>
          <cell r="E135" t="str">
            <v>FL</v>
          </cell>
          <cell r="G135" t="str">
            <v>MD Other</v>
          </cell>
          <cell r="H135" t="str">
            <v>MDO</v>
          </cell>
        </row>
        <row r="136">
          <cell r="C136" t="str">
            <v>63697</v>
          </cell>
          <cell r="D136" t="str">
            <v>JAN</v>
          </cell>
          <cell r="E136" t="str">
            <v>VA</v>
          </cell>
          <cell r="F136">
            <v>21051</v>
          </cell>
          <cell r="G136" t="str">
            <v>Out of State</v>
          </cell>
          <cell r="H136" t="str">
            <v>MDP</v>
          </cell>
        </row>
        <row r="137">
          <cell r="C137" t="str">
            <v>60918</v>
          </cell>
          <cell r="D137" t="str">
            <v>AUG</v>
          </cell>
          <cell r="E137" t="str">
            <v>MD</v>
          </cell>
          <cell r="F137">
            <v>20877</v>
          </cell>
          <cell r="G137" t="str">
            <v>Montgomery County</v>
          </cell>
          <cell r="H137" t="str">
            <v>MDP</v>
          </cell>
        </row>
        <row r="138">
          <cell r="C138" t="str">
            <v>61863</v>
          </cell>
          <cell r="D138" t="str">
            <v>JAN</v>
          </cell>
          <cell r="E138" t="str">
            <v>MD</v>
          </cell>
          <cell r="F138">
            <v>20705</v>
          </cell>
          <cell r="G138" t="str">
            <v>Prince Georges County</v>
          </cell>
          <cell r="H138" t="str">
            <v>MDP</v>
          </cell>
        </row>
        <row r="139">
          <cell r="C139" t="str">
            <v>56824</v>
          </cell>
          <cell r="D139" t="str">
            <v>JAN</v>
          </cell>
          <cell r="E139" t="str">
            <v>MD</v>
          </cell>
          <cell r="F139">
            <v>20705</v>
          </cell>
          <cell r="G139" t="str">
            <v>Prince Georges County</v>
          </cell>
          <cell r="H139" t="str">
            <v>MDP</v>
          </cell>
        </row>
        <row r="140">
          <cell r="C140" t="str">
            <v>65160</v>
          </cell>
          <cell r="D140" t="str">
            <v>SEP</v>
          </cell>
          <cell r="E140" t="str">
            <v>MD</v>
          </cell>
          <cell r="F140">
            <v>20878</v>
          </cell>
          <cell r="G140" t="str">
            <v>Montgomery County</v>
          </cell>
          <cell r="H140" t="str">
            <v>MDP</v>
          </cell>
        </row>
        <row r="141">
          <cell r="C141" t="str">
            <v>58510</v>
          </cell>
          <cell r="D141" t="str">
            <v>SEP</v>
          </cell>
          <cell r="E141" t="str">
            <v>MD</v>
          </cell>
          <cell r="F141">
            <v>20707</v>
          </cell>
          <cell r="G141" t="str">
            <v>Prince Georges County</v>
          </cell>
          <cell r="H141" t="str">
            <v>MDP</v>
          </cell>
        </row>
        <row r="142">
          <cell r="C142" t="str">
            <v>55710</v>
          </cell>
          <cell r="D142" t="str">
            <v>JAN</v>
          </cell>
          <cell r="E142" t="str">
            <v>MD</v>
          </cell>
          <cell r="F142">
            <v>20814</v>
          </cell>
          <cell r="G142" t="str">
            <v>Montgomery County</v>
          </cell>
          <cell r="H142" t="str">
            <v>MDP</v>
          </cell>
        </row>
        <row r="143">
          <cell r="C143" t="str">
            <v>31400</v>
          </cell>
          <cell r="D143" t="str">
            <v>JAN</v>
          </cell>
          <cell r="E143" t="str">
            <v>MD</v>
          </cell>
          <cell r="F143">
            <v>20774</v>
          </cell>
          <cell r="G143" t="str">
            <v>Prince Georges County</v>
          </cell>
          <cell r="H143" t="str">
            <v>MDP</v>
          </cell>
        </row>
        <row r="144">
          <cell r="C144" t="str">
            <v>61273</v>
          </cell>
          <cell r="D144" t="str">
            <v>SEP</v>
          </cell>
          <cell r="E144" t="str">
            <v>DC</v>
          </cell>
          <cell r="F144">
            <v>20036</v>
          </cell>
          <cell r="G144" t="str">
            <v>Out of State</v>
          </cell>
          <cell r="H144" t="str">
            <v>D</v>
          </cell>
        </row>
        <row r="145">
          <cell r="C145" t="str">
            <v>61846</v>
          </cell>
          <cell r="D145" t="str">
            <v>JAN</v>
          </cell>
          <cell r="E145" t="str">
            <v>DC</v>
          </cell>
          <cell r="F145">
            <v>200055811</v>
          </cell>
          <cell r="G145" t="str">
            <v>Out of State</v>
          </cell>
          <cell r="H145" t="str">
            <v>D</v>
          </cell>
        </row>
        <row r="146">
          <cell r="C146" t="str">
            <v>56311</v>
          </cell>
          <cell r="D146" t="str">
            <v>JAN</v>
          </cell>
          <cell r="E146" t="str">
            <v>DC</v>
          </cell>
          <cell r="F146">
            <v>20004</v>
          </cell>
          <cell r="G146" t="str">
            <v>Out of State</v>
          </cell>
          <cell r="H146" t="str">
            <v>D</v>
          </cell>
        </row>
        <row r="147">
          <cell r="C147" t="str">
            <v>63839</v>
          </cell>
          <cell r="D147" t="str">
            <v>JAN</v>
          </cell>
          <cell r="E147" t="str">
            <v>DC</v>
          </cell>
          <cell r="F147">
            <v>200063900</v>
          </cell>
          <cell r="G147" t="str">
            <v>Out of State</v>
          </cell>
          <cell r="H147" t="str">
            <v>D</v>
          </cell>
        </row>
        <row r="148">
          <cell r="C148" t="str">
            <v>64778</v>
          </cell>
          <cell r="D148" t="str">
            <v>JUL</v>
          </cell>
          <cell r="E148" t="str">
            <v>VA</v>
          </cell>
          <cell r="F148">
            <v>22041</v>
          </cell>
          <cell r="G148" t="str">
            <v>Out of State</v>
          </cell>
          <cell r="H148" t="str">
            <v>V</v>
          </cell>
        </row>
      </sheetData>
      <sheetData sheetId="9" refreshError="1">
        <row r="2">
          <cell r="B2" t="str">
            <v>28020</v>
          </cell>
          <cell r="C2" t="str">
            <v>28020</v>
          </cell>
          <cell r="D2" t="str">
            <v xml:space="preserve">AEGON </v>
          </cell>
          <cell r="E2">
            <v>4568</v>
          </cell>
          <cell r="F2">
            <v>0</v>
          </cell>
          <cell r="G2">
            <v>4567</v>
          </cell>
          <cell r="H2">
            <v>0</v>
          </cell>
        </row>
        <row r="3">
          <cell r="B3" t="str">
            <v>63697</v>
          </cell>
          <cell r="C3" t="str">
            <v xml:space="preserve">63697 </v>
          </cell>
          <cell r="D3" t="str">
            <v xml:space="preserve">AHOLD USA NORTH </v>
          </cell>
          <cell r="E3">
            <v>7334</v>
          </cell>
          <cell r="F3">
            <v>0</v>
          </cell>
          <cell r="G3">
            <v>0</v>
          </cell>
          <cell r="H3">
            <v>0</v>
          </cell>
        </row>
        <row r="4">
          <cell r="B4" t="str">
            <v>40118</v>
          </cell>
          <cell r="C4" t="str">
            <v>40118</v>
          </cell>
          <cell r="D4" t="str">
            <v xml:space="preserve">ALLEGIS INTERNAL MANAGEMENT </v>
          </cell>
          <cell r="E4">
            <v>10099</v>
          </cell>
          <cell r="F4">
            <v>0</v>
          </cell>
          <cell r="G4">
            <v>10099</v>
          </cell>
          <cell r="H4">
            <v>0</v>
          </cell>
        </row>
        <row r="5">
          <cell r="B5" t="str">
            <v>61273</v>
          </cell>
          <cell r="C5" t="str">
            <v xml:space="preserve">61273 </v>
          </cell>
          <cell r="D5" t="str">
            <v xml:space="preserve">AMERICAN BANKERS </v>
          </cell>
          <cell r="E5">
            <v>385</v>
          </cell>
          <cell r="F5">
            <v>0</v>
          </cell>
          <cell r="G5">
            <v>385</v>
          </cell>
          <cell r="H5">
            <v>0</v>
          </cell>
        </row>
        <row r="6">
          <cell r="B6" t="str">
            <v>63901</v>
          </cell>
          <cell r="C6" t="str">
            <v xml:space="preserve">63901 </v>
          </cell>
          <cell r="D6" t="str">
            <v xml:space="preserve">AMERICAN WOOD MOULDING </v>
          </cell>
          <cell r="E6">
            <v>604</v>
          </cell>
          <cell r="F6">
            <v>0</v>
          </cell>
          <cell r="G6">
            <v>604</v>
          </cell>
          <cell r="H6">
            <v>0</v>
          </cell>
        </row>
        <row r="7">
          <cell r="B7" t="str">
            <v>08173</v>
          </cell>
          <cell r="C7" t="str">
            <v xml:space="preserve">08173 </v>
          </cell>
          <cell r="D7" t="str">
            <v xml:space="preserve">ANNE ARUNDEL COUNTY GOVT </v>
          </cell>
          <cell r="E7">
            <v>5139</v>
          </cell>
          <cell r="F7">
            <v>0</v>
          </cell>
          <cell r="G7">
            <v>0</v>
          </cell>
          <cell r="H7">
            <v>0</v>
          </cell>
        </row>
        <row r="8">
          <cell r="B8" t="str">
            <v>07319</v>
          </cell>
          <cell r="C8" t="str">
            <v xml:space="preserve">07319 </v>
          </cell>
          <cell r="D8" t="str">
            <v xml:space="preserve">ANNE ARUNDEL COUNTY PUBLI </v>
          </cell>
          <cell r="E8">
            <v>8690</v>
          </cell>
          <cell r="F8">
            <v>10906</v>
          </cell>
          <cell r="G8">
            <v>0</v>
          </cell>
          <cell r="H8">
            <v>11031</v>
          </cell>
        </row>
        <row r="9">
          <cell r="B9" t="str">
            <v>63840</v>
          </cell>
          <cell r="C9" t="str">
            <v xml:space="preserve">63840 </v>
          </cell>
          <cell r="D9" t="str">
            <v xml:space="preserve">ARBITRON </v>
          </cell>
          <cell r="E9">
            <v>841</v>
          </cell>
          <cell r="F9">
            <v>0</v>
          </cell>
          <cell r="G9">
            <v>841</v>
          </cell>
          <cell r="H9">
            <v>0</v>
          </cell>
        </row>
        <row r="10">
          <cell r="B10" t="str">
            <v>61841</v>
          </cell>
          <cell r="C10" t="str">
            <v xml:space="preserve">61841 </v>
          </cell>
          <cell r="D10" t="str">
            <v xml:space="preserve">ARINC </v>
          </cell>
          <cell r="E10">
            <v>1716</v>
          </cell>
          <cell r="F10">
            <v>0</v>
          </cell>
          <cell r="G10">
            <v>0</v>
          </cell>
          <cell r="H10">
            <v>1503</v>
          </cell>
        </row>
        <row r="11">
          <cell r="B11" t="str">
            <v>60918</v>
          </cell>
          <cell r="C11" t="str">
            <v xml:space="preserve">60918 </v>
          </cell>
          <cell r="D11" t="str">
            <v xml:space="preserve">ASBURY SERVICES INC </v>
          </cell>
          <cell r="E11">
            <v>994</v>
          </cell>
          <cell r="F11">
            <v>0</v>
          </cell>
          <cell r="G11">
            <v>0</v>
          </cell>
          <cell r="H11">
            <v>0</v>
          </cell>
        </row>
        <row r="12">
          <cell r="B12" t="str">
            <v>59288</v>
          </cell>
          <cell r="C12" t="str">
            <v xml:space="preserve">59288 </v>
          </cell>
          <cell r="D12" t="str">
            <v xml:space="preserve">ASTRAZENECA </v>
          </cell>
          <cell r="E12">
            <v>5276</v>
          </cell>
          <cell r="F12">
            <v>0</v>
          </cell>
          <cell r="G12">
            <v>0</v>
          </cell>
          <cell r="H12">
            <v>0</v>
          </cell>
        </row>
        <row r="13">
          <cell r="B13" t="str">
            <v>63584</v>
          </cell>
          <cell r="C13" t="str">
            <v xml:space="preserve">63584 </v>
          </cell>
          <cell r="D13" t="str">
            <v xml:space="preserve">BALTIMORE CITY PUBLIC SCH </v>
          </cell>
          <cell r="E13">
            <v>6659</v>
          </cell>
          <cell r="F13">
            <v>0</v>
          </cell>
          <cell r="G13">
            <v>0</v>
          </cell>
          <cell r="H13">
            <v>0</v>
          </cell>
        </row>
        <row r="14">
          <cell r="B14" t="str">
            <v>07320</v>
          </cell>
          <cell r="C14" t="str">
            <v xml:space="preserve">07320 </v>
          </cell>
          <cell r="D14" t="str">
            <v xml:space="preserve">BALTIMORE COUNTY GOVERNME </v>
          </cell>
          <cell r="E14">
            <v>32612</v>
          </cell>
          <cell r="F14">
            <v>16227</v>
          </cell>
          <cell r="G14">
            <v>0</v>
          </cell>
          <cell r="H14">
            <v>8523</v>
          </cell>
        </row>
        <row r="15">
          <cell r="B15" t="str">
            <v>11100</v>
          </cell>
          <cell r="C15" t="str">
            <v xml:space="preserve">11100 </v>
          </cell>
          <cell r="D15" t="str">
            <v xml:space="preserve">BALTIMORE COUNTY PUBLIC S </v>
          </cell>
          <cell r="E15">
            <v>18570</v>
          </cell>
          <cell r="F15">
            <v>11631</v>
          </cell>
          <cell r="G15">
            <v>0</v>
          </cell>
          <cell r="H15">
            <v>0</v>
          </cell>
        </row>
        <row r="16">
          <cell r="B16" t="str">
            <v>28286</v>
          </cell>
          <cell r="C16" t="str">
            <v xml:space="preserve">28286 </v>
          </cell>
          <cell r="D16" t="str">
            <v xml:space="preserve">BALTIMORE LIFE </v>
          </cell>
          <cell r="E16">
            <v>233</v>
          </cell>
          <cell r="F16">
            <v>0</v>
          </cell>
          <cell r="G16">
            <v>233</v>
          </cell>
          <cell r="H16">
            <v>0</v>
          </cell>
        </row>
        <row r="17">
          <cell r="B17" t="str">
            <v>49213</v>
          </cell>
          <cell r="C17" t="str">
            <v xml:space="preserve">49213 </v>
          </cell>
          <cell r="D17" t="str">
            <v xml:space="preserve">BAY BUSINESS SOLUTIONS </v>
          </cell>
          <cell r="E17">
            <v>348</v>
          </cell>
          <cell r="F17">
            <v>0</v>
          </cell>
          <cell r="G17">
            <v>348</v>
          </cell>
          <cell r="H17">
            <v>0</v>
          </cell>
        </row>
        <row r="18">
          <cell r="B18" t="str">
            <v>51149</v>
          </cell>
          <cell r="C18" t="str">
            <v xml:space="preserve">51149 </v>
          </cell>
          <cell r="D18" t="str">
            <v xml:space="preserve">BIEDERLACK OF AMERICA </v>
          </cell>
          <cell r="E18">
            <v>290</v>
          </cell>
          <cell r="F18">
            <v>293</v>
          </cell>
          <cell r="G18">
            <v>290</v>
          </cell>
          <cell r="H18">
            <v>290</v>
          </cell>
        </row>
        <row r="19">
          <cell r="B19" t="str">
            <v>46919</v>
          </cell>
          <cell r="C19" t="str">
            <v xml:space="preserve">46919 </v>
          </cell>
          <cell r="D19" t="str">
            <v xml:space="preserve">BOARD OF CHILD CARE </v>
          </cell>
          <cell r="E19">
            <v>246</v>
          </cell>
          <cell r="F19">
            <v>280</v>
          </cell>
          <cell r="G19">
            <v>246</v>
          </cell>
          <cell r="H19">
            <v>256</v>
          </cell>
        </row>
        <row r="20">
          <cell r="B20" t="str">
            <v>60924</v>
          </cell>
          <cell r="C20" t="str">
            <v xml:space="preserve">60924 </v>
          </cell>
          <cell r="D20" t="str">
            <v xml:space="preserve">BOARD OF EDUCATION OF ALL </v>
          </cell>
          <cell r="E20">
            <v>1788</v>
          </cell>
          <cell r="F20">
            <v>0</v>
          </cell>
          <cell r="G20">
            <v>1749</v>
          </cell>
          <cell r="H20">
            <v>0</v>
          </cell>
        </row>
        <row r="21">
          <cell r="B21" t="str">
            <v>25698</v>
          </cell>
          <cell r="C21" t="str">
            <v xml:space="preserve">25698 </v>
          </cell>
          <cell r="D21" t="str">
            <v xml:space="preserve">BOARD OF EDUCATION OF CAR </v>
          </cell>
          <cell r="E21">
            <v>0</v>
          </cell>
          <cell r="F21">
            <v>2411</v>
          </cell>
          <cell r="G21">
            <v>0</v>
          </cell>
          <cell r="H21">
            <v>0</v>
          </cell>
        </row>
        <row r="22">
          <cell r="B22" t="str">
            <v>08233</v>
          </cell>
          <cell r="C22" t="str">
            <v xml:space="preserve">08233 </v>
          </cell>
          <cell r="D22" t="str">
            <v xml:space="preserve">CALVERT COUNTY COMMISSION </v>
          </cell>
          <cell r="E22">
            <v>407</v>
          </cell>
          <cell r="F22">
            <v>707</v>
          </cell>
          <cell r="G22">
            <v>407</v>
          </cell>
          <cell r="H22">
            <v>552</v>
          </cell>
        </row>
        <row r="23">
          <cell r="B23" t="str">
            <v>08262</v>
          </cell>
          <cell r="C23" t="str">
            <v xml:space="preserve">08262 </v>
          </cell>
          <cell r="D23" t="str">
            <v xml:space="preserve">CALVERT COUNTY PUBLIC SCH </v>
          </cell>
          <cell r="E23">
            <v>2071</v>
          </cell>
          <cell r="F23">
            <v>2261</v>
          </cell>
          <cell r="G23">
            <v>2071</v>
          </cell>
          <cell r="H23">
            <v>2270</v>
          </cell>
        </row>
        <row r="24">
          <cell r="B24" t="str">
            <v>56828</v>
          </cell>
          <cell r="C24" t="str">
            <v xml:space="preserve">56828 </v>
          </cell>
          <cell r="D24" t="str">
            <v xml:space="preserve">CAMBREX </v>
          </cell>
          <cell r="E24">
            <v>708</v>
          </cell>
          <cell r="F24">
            <v>0</v>
          </cell>
          <cell r="G24">
            <v>0</v>
          </cell>
          <cell r="H24">
            <v>0</v>
          </cell>
        </row>
        <row r="25">
          <cell r="B25" t="str">
            <v>07277</v>
          </cell>
          <cell r="C25" t="str">
            <v>07277</v>
          </cell>
          <cell r="D25" t="str">
            <v xml:space="preserve">CAREFIRST BLUECROSS BLUESHIELD </v>
          </cell>
          <cell r="E25">
            <v>3630</v>
          </cell>
          <cell r="F25">
            <v>6695</v>
          </cell>
          <cell r="G25">
            <v>6603</v>
          </cell>
          <cell r="H25">
            <v>5585</v>
          </cell>
        </row>
        <row r="26">
          <cell r="B26" t="str">
            <v>08266</v>
          </cell>
          <cell r="C26" t="str">
            <v xml:space="preserve">08266 </v>
          </cell>
          <cell r="D26" t="str">
            <v xml:space="preserve">CAROLINE COUNTY BOARD OF </v>
          </cell>
          <cell r="E26">
            <v>786</v>
          </cell>
          <cell r="F26">
            <v>757</v>
          </cell>
          <cell r="G26">
            <v>786</v>
          </cell>
          <cell r="H26">
            <v>786</v>
          </cell>
        </row>
        <row r="27">
          <cell r="B27" t="str">
            <v>59765</v>
          </cell>
          <cell r="C27" t="str">
            <v xml:space="preserve">59765 </v>
          </cell>
          <cell r="D27" t="str">
            <v xml:space="preserve">CARROLL COUNTY COMMISSION </v>
          </cell>
          <cell r="E27">
            <v>1136</v>
          </cell>
          <cell r="F27">
            <v>0</v>
          </cell>
          <cell r="G27">
            <v>1136</v>
          </cell>
          <cell r="H27">
            <v>0</v>
          </cell>
        </row>
        <row r="28">
          <cell r="B28" t="str">
            <v>65766</v>
          </cell>
          <cell r="C28" t="str">
            <v xml:space="preserve">65766 </v>
          </cell>
          <cell r="D28" t="str">
            <v xml:space="preserve">CECIL COUNTY GOVERNMENT </v>
          </cell>
          <cell r="E28">
            <v>624</v>
          </cell>
          <cell r="F28">
            <v>589</v>
          </cell>
          <cell r="G28">
            <v>624</v>
          </cell>
          <cell r="H28">
            <v>597</v>
          </cell>
        </row>
        <row r="29">
          <cell r="B29" t="str">
            <v>28209</v>
          </cell>
          <cell r="C29" t="str">
            <v xml:space="preserve">28209 </v>
          </cell>
          <cell r="D29" t="str">
            <v xml:space="preserve">CECIL COUNTY PUBLIC SCHOO </v>
          </cell>
          <cell r="E29">
            <v>1369</v>
          </cell>
          <cell r="F29">
            <v>1624</v>
          </cell>
          <cell r="G29">
            <v>1369</v>
          </cell>
          <cell r="H29">
            <v>1868</v>
          </cell>
        </row>
        <row r="30">
          <cell r="B30" t="str">
            <v>64048</v>
          </cell>
          <cell r="C30" t="str">
            <v xml:space="preserve">64048 </v>
          </cell>
          <cell r="D30" t="str">
            <v xml:space="preserve">CEDAR ENTERPRISE SOLUTIONS </v>
          </cell>
          <cell r="E30">
            <v>186</v>
          </cell>
          <cell r="F30">
            <v>0</v>
          </cell>
          <cell r="G30">
            <v>0</v>
          </cell>
          <cell r="H30">
            <v>0</v>
          </cell>
        </row>
        <row r="31">
          <cell r="B31" t="str">
            <v>63688</v>
          </cell>
          <cell r="C31" t="str">
            <v xml:space="preserve">63688 </v>
          </cell>
          <cell r="D31" t="str">
            <v xml:space="preserve">CEG </v>
          </cell>
          <cell r="E31">
            <v>9845</v>
          </cell>
          <cell r="F31">
            <v>0</v>
          </cell>
          <cell r="G31">
            <v>0</v>
          </cell>
          <cell r="H31">
            <v>0</v>
          </cell>
        </row>
        <row r="32">
          <cell r="B32" t="str">
            <v>08174</v>
          </cell>
          <cell r="C32" t="str">
            <v xml:space="preserve">08174 </v>
          </cell>
          <cell r="D32" t="str">
            <v xml:space="preserve">CHARLES COUNTY COMMISSION </v>
          </cell>
          <cell r="E32">
            <v>720</v>
          </cell>
          <cell r="F32">
            <v>1138</v>
          </cell>
          <cell r="G32">
            <v>720</v>
          </cell>
          <cell r="H32">
            <v>1368</v>
          </cell>
        </row>
        <row r="33">
          <cell r="B33" t="str">
            <v>42335</v>
          </cell>
          <cell r="C33" t="str">
            <v xml:space="preserve">42335 </v>
          </cell>
          <cell r="D33" t="str">
            <v xml:space="preserve">CHARLES COUNTY PUBLIC SCH </v>
          </cell>
          <cell r="E33">
            <v>0</v>
          </cell>
          <cell r="F33">
            <v>0</v>
          </cell>
          <cell r="G33">
            <v>0</v>
          </cell>
          <cell r="H33">
            <v>2798</v>
          </cell>
        </row>
        <row r="34">
          <cell r="B34" t="str">
            <v>17940</v>
          </cell>
          <cell r="C34" t="str">
            <v xml:space="preserve">17940 </v>
          </cell>
          <cell r="D34" t="str">
            <v xml:space="preserve">CHESAPEAKE PUBLISHING </v>
          </cell>
          <cell r="E34">
            <v>256</v>
          </cell>
          <cell r="F34">
            <v>0</v>
          </cell>
          <cell r="G34">
            <v>256</v>
          </cell>
          <cell r="H34">
            <v>0</v>
          </cell>
        </row>
        <row r="35">
          <cell r="B35" t="str">
            <v>65740</v>
          </cell>
          <cell r="C35" t="str">
            <v xml:space="preserve">65740 </v>
          </cell>
          <cell r="D35" t="str">
            <v xml:space="preserve">CIENA CORPORATION </v>
          </cell>
          <cell r="E35">
            <v>408</v>
          </cell>
          <cell r="F35">
            <v>0</v>
          </cell>
          <cell r="G35">
            <v>408</v>
          </cell>
          <cell r="H35">
            <v>0</v>
          </cell>
        </row>
        <row r="36">
          <cell r="B36" t="str">
            <v>07495</v>
          </cell>
          <cell r="C36" t="str">
            <v xml:space="preserve">07495 </v>
          </cell>
          <cell r="D36" t="str">
            <v xml:space="preserve">CITY OF BALTIMORE </v>
          </cell>
          <cell r="E36">
            <v>27455</v>
          </cell>
          <cell r="F36">
            <v>0</v>
          </cell>
          <cell r="G36">
            <v>0</v>
          </cell>
          <cell r="H36">
            <v>0</v>
          </cell>
        </row>
        <row r="37">
          <cell r="B37" t="str">
            <v>58397</v>
          </cell>
          <cell r="C37" t="str">
            <v xml:space="preserve">58397 </v>
          </cell>
          <cell r="D37" t="str">
            <v xml:space="preserve">CITY OF SALISBURY </v>
          </cell>
          <cell r="E37">
            <v>391</v>
          </cell>
          <cell r="F37">
            <v>394</v>
          </cell>
          <cell r="G37">
            <v>391</v>
          </cell>
          <cell r="H37">
            <v>391</v>
          </cell>
        </row>
        <row r="38">
          <cell r="B38" t="str">
            <v>62461</v>
          </cell>
          <cell r="C38" t="str">
            <v xml:space="preserve">62461 </v>
          </cell>
          <cell r="D38" t="str">
            <v xml:space="preserve">CJ MILLER LLC </v>
          </cell>
          <cell r="E38">
            <v>191</v>
          </cell>
          <cell r="F38">
            <v>0</v>
          </cell>
          <cell r="G38">
            <v>191</v>
          </cell>
          <cell r="H38">
            <v>0</v>
          </cell>
        </row>
        <row r="39">
          <cell r="B39" t="str">
            <v>07340</v>
          </cell>
          <cell r="C39" t="str">
            <v xml:space="preserve">07340 </v>
          </cell>
          <cell r="D39" t="str">
            <v xml:space="preserve">COMMUNITY COLLEGE OF BALT </v>
          </cell>
          <cell r="E39">
            <v>1499</v>
          </cell>
          <cell r="F39">
            <v>1510</v>
          </cell>
          <cell r="G39">
            <v>0</v>
          </cell>
          <cell r="H39">
            <v>1484</v>
          </cell>
        </row>
        <row r="40">
          <cell r="B40" t="str">
            <v>62346</v>
          </cell>
          <cell r="C40" t="str">
            <v xml:space="preserve">62346 </v>
          </cell>
          <cell r="D40" t="str">
            <v xml:space="preserve">COMPUDYNE </v>
          </cell>
          <cell r="E40">
            <v>652</v>
          </cell>
          <cell r="F40">
            <v>0</v>
          </cell>
          <cell r="G40">
            <v>652</v>
          </cell>
          <cell r="H40">
            <v>0</v>
          </cell>
        </row>
        <row r="41">
          <cell r="B41">
            <v>61500</v>
          </cell>
          <cell r="D41" t="str">
            <v>CORVIS</v>
          </cell>
          <cell r="E41">
            <v>156</v>
          </cell>
          <cell r="F41">
            <v>0</v>
          </cell>
          <cell r="G41">
            <v>156</v>
          </cell>
          <cell r="H41">
            <v>156</v>
          </cell>
        </row>
        <row r="42">
          <cell r="B42" t="str">
            <v>66009</v>
          </cell>
          <cell r="C42" t="str">
            <v xml:space="preserve">66009 </v>
          </cell>
          <cell r="D42" t="str">
            <v xml:space="preserve">CUSTOM DIRECT INC </v>
          </cell>
          <cell r="E42">
            <v>0</v>
          </cell>
          <cell r="F42">
            <v>0</v>
          </cell>
          <cell r="G42">
            <v>0</v>
          </cell>
          <cell r="H42">
            <v>0</v>
          </cell>
        </row>
        <row r="43">
          <cell r="B43" t="str">
            <v>55220</v>
          </cell>
          <cell r="C43" t="str">
            <v xml:space="preserve">55220 </v>
          </cell>
          <cell r="D43" t="str">
            <v xml:space="preserve">DANIEL G SCHUSTER LLC </v>
          </cell>
          <cell r="E43">
            <v>349</v>
          </cell>
          <cell r="F43">
            <v>350</v>
          </cell>
          <cell r="G43">
            <v>349</v>
          </cell>
          <cell r="H43">
            <v>0</v>
          </cell>
        </row>
        <row r="44">
          <cell r="B44" t="str">
            <v>52326</v>
          </cell>
          <cell r="C44" t="str">
            <v xml:space="preserve">52326 </v>
          </cell>
          <cell r="D44" t="str">
            <v xml:space="preserve">DIAMOND COMIC DISTRIBUTORS </v>
          </cell>
          <cell r="E44">
            <v>322</v>
          </cell>
          <cell r="F44">
            <v>0</v>
          </cell>
          <cell r="G44">
            <v>322</v>
          </cell>
          <cell r="H44">
            <v>0</v>
          </cell>
        </row>
        <row r="45">
          <cell r="B45" t="str">
            <v>09943</v>
          </cell>
          <cell r="C45" t="str">
            <v xml:space="preserve">09943 </v>
          </cell>
          <cell r="D45" t="str">
            <v xml:space="preserve">DORCHESTER COUNTY BOARD O </v>
          </cell>
          <cell r="E45">
            <v>740</v>
          </cell>
          <cell r="F45">
            <v>0</v>
          </cell>
          <cell r="G45">
            <v>740</v>
          </cell>
          <cell r="H45">
            <v>740</v>
          </cell>
        </row>
        <row r="46">
          <cell r="B46" t="str">
            <v>29216</v>
          </cell>
          <cell r="C46" t="str">
            <v xml:space="preserve">29216 </v>
          </cell>
          <cell r="D46" t="str">
            <v xml:space="preserve">DRAPER COMMUNICATIONS </v>
          </cell>
          <cell r="E46">
            <v>158</v>
          </cell>
          <cell r="F46">
            <v>0</v>
          </cell>
          <cell r="G46">
            <v>0</v>
          </cell>
          <cell r="H46">
            <v>0</v>
          </cell>
        </row>
        <row r="47">
          <cell r="B47" t="str">
            <v>29032</v>
          </cell>
          <cell r="C47" t="str">
            <v xml:space="preserve">29032 </v>
          </cell>
          <cell r="D47" t="str">
            <v xml:space="preserve">DUNBAR ARMORED EXPRESS </v>
          </cell>
          <cell r="E47">
            <v>1365</v>
          </cell>
          <cell r="F47">
            <v>0</v>
          </cell>
          <cell r="G47">
            <v>0</v>
          </cell>
          <cell r="H47">
            <v>2</v>
          </cell>
        </row>
        <row r="48">
          <cell r="B48" t="str">
            <v>59327</v>
          </cell>
          <cell r="C48" t="str">
            <v xml:space="preserve">59327 </v>
          </cell>
          <cell r="D48" t="str">
            <v xml:space="preserve">DURATEK </v>
          </cell>
          <cell r="E48">
            <v>935</v>
          </cell>
          <cell r="F48">
            <v>952</v>
          </cell>
          <cell r="G48">
            <v>0</v>
          </cell>
          <cell r="H48">
            <v>935</v>
          </cell>
        </row>
        <row r="49">
          <cell r="B49" t="str">
            <v>56824</v>
          </cell>
          <cell r="C49" t="str">
            <v xml:space="preserve">56824 </v>
          </cell>
          <cell r="D49" t="str">
            <v xml:space="preserve">DURON INC </v>
          </cell>
          <cell r="E49">
            <v>1</v>
          </cell>
          <cell r="F49">
            <v>0</v>
          </cell>
          <cell r="G49">
            <v>0</v>
          </cell>
          <cell r="H49">
            <v>0</v>
          </cell>
        </row>
        <row r="50">
          <cell r="B50" t="str">
            <v>48987</v>
          </cell>
          <cell r="C50" t="str">
            <v xml:space="preserve">48987 </v>
          </cell>
          <cell r="D50" t="str">
            <v xml:space="preserve">DVCC INC </v>
          </cell>
          <cell r="E50">
            <v>805</v>
          </cell>
          <cell r="F50">
            <v>0</v>
          </cell>
          <cell r="G50">
            <v>0</v>
          </cell>
          <cell r="H50">
            <v>0</v>
          </cell>
        </row>
        <row r="51">
          <cell r="B51" t="str">
            <v>44713</v>
          </cell>
          <cell r="C51" t="str">
            <v xml:space="preserve">44713 </v>
          </cell>
          <cell r="D51" t="str">
            <v xml:space="preserve">E A ENGINEERING </v>
          </cell>
          <cell r="E51">
            <v>292</v>
          </cell>
          <cell r="F51">
            <v>0</v>
          </cell>
          <cell r="G51">
            <v>0</v>
          </cell>
          <cell r="H51">
            <v>0</v>
          </cell>
        </row>
        <row r="52">
          <cell r="B52" t="str">
            <v>64741</v>
          </cell>
          <cell r="C52" t="str">
            <v xml:space="preserve">64741 </v>
          </cell>
          <cell r="D52" t="str">
            <v xml:space="preserve">EAI CORPORATION </v>
          </cell>
          <cell r="E52">
            <v>403</v>
          </cell>
          <cell r="F52">
            <v>0</v>
          </cell>
          <cell r="G52">
            <v>0</v>
          </cell>
          <cell r="H52">
            <v>403</v>
          </cell>
        </row>
        <row r="53">
          <cell r="B53" t="str">
            <v>65575</v>
          </cell>
          <cell r="C53" t="str">
            <v xml:space="preserve">65575 </v>
          </cell>
          <cell r="D53" t="str">
            <v xml:space="preserve">EDUCATE INC </v>
          </cell>
          <cell r="E53">
            <v>1470</v>
          </cell>
          <cell r="F53">
            <v>0</v>
          </cell>
          <cell r="G53">
            <v>0</v>
          </cell>
          <cell r="H53">
            <v>0</v>
          </cell>
        </row>
        <row r="54">
          <cell r="B54" t="str">
            <v>09136</v>
          </cell>
          <cell r="C54" t="str">
            <v xml:space="preserve">09136 </v>
          </cell>
          <cell r="D54" t="str">
            <v xml:space="preserve">EVAPCO </v>
          </cell>
          <cell r="E54">
            <v>754</v>
          </cell>
          <cell r="F54">
            <v>0</v>
          </cell>
          <cell r="G54">
            <v>754</v>
          </cell>
          <cell r="H54">
            <v>0</v>
          </cell>
        </row>
        <row r="55">
          <cell r="B55" t="str">
            <v>17863</v>
          </cell>
          <cell r="C55" t="str">
            <v xml:space="preserve">17863 </v>
          </cell>
          <cell r="D55" t="str">
            <v xml:space="preserve">FEDERAL EMPLOYEE PROGRAM </v>
          </cell>
          <cell r="E55">
            <v>90904</v>
          </cell>
          <cell r="F55">
            <v>90904</v>
          </cell>
          <cell r="G55">
            <v>0</v>
          </cell>
          <cell r="H55">
            <v>0</v>
          </cell>
        </row>
        <row r="56">
          <cell r="B56" t="str">
            <v>62874</v>
          </cell>
          <cell r="C56" t="str">
            <v xml:space="preserve">62874 </v>
          </cell>
          <cell r="D56" t="str">
            <v xml:space="preserve">FIELDSTONE MORTGAGE </v>
          </cell>
          <cell r="E56">
            <v>1028</v>
          </cell>
          <cell r="F56">
            <v>0</v>
          </cell>
          <cell r="G56">
            <v>1028</v>
          </cell>
          <cell r="H56">
            <v>922</v>
          </cell>
        </row>
        <row r="57">
          <cell r="B57" t="str">
            <v>57887</v>
          </cell>
          <cell r="C57" t="str">
            <v xml:space="preserve">57887 </v>
          </cell>
          <cell r="D57" t="str">
            <v xml:space="preserve">FREDERICK COUNTY PUBLIC S </v>
          </cell>
          <cell r="E57">
            <v>5705</v>
          </cell>
          <cell r="F57">
            <v>0</v>
          </cell>
          <cell r="G57">
            <v>0</v>
          </cell>
          <cell r="H57">
            <v>5705</v>
          </cell>
        </row>
        <row r="58">
          <cell r="B58" t="str">
            <v>63835</v>
          </cell>
          <cell r="C58" t="str">
            <v xml:space="preserve">63835 </v>
          </cell>
          <cell r="D58" t="str">
            <v xml:space="preserve">FTI CONSULTING </v>
          </cell>
          <cell r="E58">
            <v>990</v>
          </cell>
          <cell r="F58">
            <v>0</v>
          </cell>
          <cell r="G58">
            <v>990</v>
          </cell>
          <cell r="H58">
            <v>0</v>
          </cell>
        </row>
        <row r="59">
          <cell r="B59" t="str">
            <v>65730</v>
          </cell>
          <cell r="C59" t="str">
            <v xml:space="preserve">65730 </v>
          </cell>
          <cell r="D59" t="str">
            <v xml:space="preserve">GAMES WORKSHOP </v>
          </cell>
          <cell r="E59">
            <v>310</v>
          </cell>
          <cell r="F59">
            <v>0</v>
          </cell>
          <cell r="G59">
            <v>310</v>
          </cell>
          <cell r="H59">
            <v>310</v>
          </cell>
        </row>
        <row r="60">
          <cell r="B60" t="str">
            <v>61838</v>
          </cell>
          <cell r="C60" t="str">
            <v xml:space="preserve">61838 </v>
          </cell>
          <cell r="D60" t="str">
            <v xml:space="preserve">GBMC </v>
          </cell>
          <cell r="E60">
            <v>1813</v>
          </cell>
          <cell r="F60">
            <v>0</v>
          </cell>
          <cell r="G60">
            <v>0</v>
          </cell>
          <cell r="H60">
            <v>0</v>
          </cell>
        </row>
        <row r="61">
          <cell r="B61" t="str">
            <v>65160</v>
          </cell>
          <cell r="C61" t="str">
            <v xml:space="preserve">65160 </v>
          </cell>
          <cell r="D61" t="str">
            <v xml:space="preserve">GENE LOGIC </v>
          </cell>
          <cell r="E61">
            <v>374</v>
          </cell>
          <cell r="F61">
            <v>0</v>
          </cell>
          <cell r="G61">
            <v>0</v>
          </cell>
          <cell r="H61">
            <v>0</v>
          </cell>
        </row>
        <row r="62">
          <cell r="B62" t="str">
            <v>10058</v>
          </cell>
          <cell r="C62" t="str">
            <v xml:space="preserve">10058 </v>
          </cell>
          <cell r="D62" t="str">
            <v xml:space="preserve">H &amp; S BAKERY </v>
          </cell>
          <cell r="E62">
            <v>1673</v>
          </cell>
          <cell r="F62">
            <v>0</v>
          </cell>
          <cell r="G62">
            <v>1284</v>
          </cell>
          <cell r="H62">
            <v>0</v>
          </cell>
        </row>
        <row r="63">
          <cell r="B63" t="str">
            <v>61846</v>
          </cell>
          <cell r="C63" t="str">
            <v xml:space="preserve">61846 </v>
          </cell>
          <cell r="D63" t="str">
            <v xml:space="preserve">HANLEY-WOOD LLC </v>
          </cell>
          <cell r="E63">
            <v>503</v>
          </cell>
          <cell r="F63">
            <v>0</v>
          </cell>
          <cell r="G63">
            <v>0</v>
          </cell>
          <cell r="H63">
            <v>0</v>
          </cell>
        </row>
        <row r="64">
          <cell r="B64" t="str">
            <v>08203</v>
          </cell>
          <cell r="C64" t="str">
            <v xml:space="preserve">08203 </v>
          </cell>
          <cell r="D64" t="str">
            <v xml:space="preserve">HARFORD COMMUNITY COLLEGE </v>
          </cell>
          <cell r="E64">
            <v>273</v>
          </cell>
          <cell r="F64">
            <v>305</v>
          </cell>
          <cell r="G64">
            <v>273</v>
          </cell>
          <cell r="H64">
            <v>293</v>
          </cell>
        </row>
        <row r="65">
          <cell r="B65" t="str">
            <v>08350</v>
          </cell>
          <cell r="C65" t="str">
            <v xml:space="preserve">08350 </v>
          </cell>
          <cell r="D65" t="str">
            <v xml:space="preserve">HARFORD COUNTY BOARD OF E </v>
          </cell>
          <cell r="E65">
            <v>5332</v>
          </cell>
          <cell r="F65">
            <v>5671</v>
          </cell>
          <cell r="G65">
            <v>5332</v>
          </cell>
          <cell r="H65">
            <v>0</v>
          </cell>
        </row>
        <row r="66">
          <cell r="B66" t="str">
            <v>10383</v>
          </cell>
          <cell r="C66" t="str">
            <v xml:space="preserve">10383 </v>
          </cell>
          <cell r="D66" t="str">
            <v xml:space="preserve">HARFORD COUNTY GOVERNMENT </v>
          </cell>
          <cell r="E66">
            <v>1774</v>
          </cell>
          <cell r="F66">
            <v>1847</v>
          </cell>
          <cell r="G66">
            <v>1774</v>
          </cell>
          <cell r="H66">
            <v>717</v>
          </cell>
        </row>
        <row r="67">
          <cell r="B67" t="str">
            <v>50951</v>
          </cell>
          <cell r="C67" t="str">
            <v xml:space="preserve">50951 </v>
          </cell>
          <cell r="D67" t="str">
            <v xml:space="preserve">HOMEWOOD RETIREMENT CENTER </v>
          </cell>
          <cell r="E67">
            <v>645</v>
          </cell>
          <cell r="F67">
            <v>630</v>
          </cell>
          <cell r="G67">
            <v>0</v>
          </cell>
          <cell r="H67">
            <v>0</v>
          </cell>
        </row>
        <row r="68">
          <cell r="B68" t="str">
            <v>65576</v>
          </cell>
          <cell r="C68" t="str">
            <v xml:space="preserve">65576 </v>
          </cell>
          <cell r="D68" t="str">
            <v xml:space="preserve">HORIZON LINES LLC </v>
          </cell>
          <cell r="E68">
            <v>402</v>
          </cell>
          <cell r="F68">
            <v>0</v>
          </cell>
          <cell r="G68">
            <v>0</v>
          </cell>
          <cell r="H68">
            <v>0</v>
          </cell>
        </row>
        <row r="69">
          <cell r="B69" t="str">
            <v>10989</v>
          </cell>
          <cell r="C69" t="str">
            <v xml:space="preserve">10989 </v>
          </cell>
          <cell r="D69" t="str">
            <v xml:space="preserve">HOWARD COUNTY MARYLAND </v>
          </cell>
          <cell r="E69">
            <v>907</v>
          </cell>
          <cell r="F69">
            <v>1984</v>
          </cell>
          <cell r="G69">
            <v>907</v>
          </cell>
          <cell r="H69">
            <v>907</v>
          </cell>
        </row>
        <row r="70">
          <cell r="B70" t="str">
            <v>54863</v>
          </cell>
          <cell r="C70" t="str">
            <v xml:space="preserve">54863 </v>
          </cell>
          <cell r="D70" t="str">
            <v xml:space="preserve">HYDRO ALUMINUM OF NORTH AMERICA </v>
          </cell>
          <cell r="E70">
            <v>2038</v>
          </cell>
          <cell r="F70">
            <v>0</v>
          </cell>
          <cell r="G70">
            <v>2038</v>
          </cell>
          <cell r="H70">
            <v>0</v>
          </cell>
        </row>
        <row r="71">
          <cell r="B71" t="str">
            <v>64778</v>
          </cell>
          <cell r="C71" t="str">
            <v xml:space="preserve">64778 </v>
          </cell>
          <cell r="D71" t="str">
            <v xml:space="preserve">INTERNATIONAL CODE COUNCIL </v>
          </cell>
          <cell r="E71">
            <v>342</v>
          </cell>
          <cell r="F71">
            <v>346</v>
          </cell>
          <cell r="G71">
            <v>342</v>
          </cell>
          <cell r="H71">
            <v>0</v>
          </cell>
        </row>
        <row r="72">
          <cell r="B72" t="str">
            <v>17865</v>
          </cell>
          <cell r="C72" t="str">
            <v xml:space="preserve">17865 </v>
          </cell>
          <cell r="D72" t="str">
            <v xml:space="preserve">INTER-PLAN TELEPROCESSING </v>
          </cell>
          <cell r="E72">
            <v>0</v>
          </cell>
          <cell r="F72">
            <v>0</v>
          </cell>
          <cell r="G72">
            <v>0</v>
          </cell>
          <cell r="H72">
            <v>0</v>
          </cell>
        </row>
        <row r="73">
          <cell r="B73" t="str">
            <v>58510</v>
          </cell>
          <cell r="C73" t="str">
            <v xml:space="preserve">58510 </v>
          </cell>
          <cell r="D73" t="str">
            <v xml:space="preserve">ISKY </v>
          </cell>
          <cell r="E73">
            <v>223</v>
          </cell>
          <cell r="F73">
            <v>0</v>
          </cell>
          <cell r="G73">
            <v>0</v>
          </cell>
          <cell r="H73">
            <v>0</v>
          </cell>
        </row>
        <row r="74">
          <cell r="B74" t="str">
            <v>65727</v>
          </cell>
          <cell r="C74" t="str">
            <v>65727</v>
          </cell>
          <cell r="D74" t="str">
            <v xml:space="preserve">JOHNS HOPKINS UNIVERSITY </v>
          </cell>
          <cell r="E74">
            <v>7794</v>
          </cell>
          <cell r="F74">
            <v>9995</v>
          </cell>
          <cell r="G74">
            <v>7794</v>
          </cell>
          <cell r="H74">
            <v>0</v>
          </cell>
        </row>
        <row r="75">
          <cell r="B75" t="str">
            <v>07249</v>
          </cell>
          <cell r="C75" t="str">
            <v>65727</v>
          </cell>
          <cell r="D75" t="str">
            <v>JOHNS HOPKINS DENTAL</v>
          </cell>
          <cell r="E75">
            <v>0</v>
          </cell>
          <cell r="F75">
            <v>2817</v>
          </cell>
          <cell r="G75">
            <v>0</v>
          </cell>
          <cell r="H75">
            <v>0</v>
          </cell>
        </row>
        <row r="76">
          <cell r="B76" t="str">
            <v>50349</v>
          </cell>
          <cell r="C76" t="str">
            <v xml:space="preserve">50349 </v>
          </cell>
          <cell r="D76" t="str">
            <v xml:space="preserve">JOSEPH A BANK CLOTHIERS </v>
          </cell>
          <cell r="E76">
            <v>1222</v>
          </cell>
          <cell r="F76">
            <v>0</v>
          </cell>
          <cell r="G76">
            <v>1222</v>
          </cell>
          <cell r="H76">
            <v>0</v>
          </cell>
        </row>
        <row r="77">
          <cell r="B77" t="str">
            <v>53345</v>
          </cell>
          <cell r="C77" t="str">
            <v xml:space="preserve">53345 </v>
          </cell>
          <cell r="D77" t="str">
            <v xml:space="preserve">KELLER FOUNDATIONS INC </v>
          </cell>
          <cell r="E77">
            <v>654</v>
          </cell>
          <cell r="F77">
            <v>643</v>
          </cell>
          <cell r="G77">
            <v>0</v>
          </cell>
          <cell r="H77">
            <v>696</v>
          </cell>
        </row>
        <row r="78">
          <cell r="B78" t="str">
            <v>10307</v>
          </cell>
          <cell r="C78" t="str">
            <v xml:space="preserve">10307 </v>
          </cell>
          <cell r="D78" t="str">
            <v xml:space="preserve">KENT COUNTY PUBLIC SCHOOL </v>
          </cell>
          <cell r="E78">
            <v>407</v>
          </cell>
          <cell r="F78">
            <v>407</v>
          </cell>
          <cell r="G78">
            <v>407</v>
          </cell>
          <cell r="H78">
            <v>407</v>
          </cell>
        </row>
        <row r="79">
          <cell r="B79" t="str">
            <v>53346</v>
          </cell>
          <cell r="C79" t="str">
            <v xml:space="preserve">53346 </v>
          </cell>
          <cell r="D79" t="str">
            <v xml:space="preserve">KETCHUM PUBLICATIONS </v>
          </cell>
          <cell r="E79">
            <v>520</v>
          </cell>
          <cell r="F79">
            <v>0</v>
          </cell>
          <cell r="G79">
            <v>0</v>
          </cell>
          <cell r="H79">
            <v>0</v>
          </cell>
        </row>
        <row r="80">
          <cell r="B80" t="str">
            <v>33512</v>
          </cell>
          <cell r="C80" t="str">
            <v xml:space="preserve">33512 </v>
          </cell>
          <cell r="D80" t="str">
            <v xml:space="preserve">KNORR BRAKE CORPORATION </v>
          </cell>
          <cell r="E80">
            <v>157</v>
          </cell>
          <cell r="F80">
            <v>0</v>
          </cell>
          <cell r="G80">
            <v>0</v>
          </cell>
          <cell r="H80">
            <v>0</v>
          </cell>
        </row>
        <row r="81">
          <cell r="B81" t="str">
            <v>27304</v>
          </cell>
          <cell r="C81" t="str">
            <v xml:space="preserve">27304 </v>
          </cell>
          <cell r="D81" t="str">
            <v xml:space="preserve">LAUREATE EDUCATION </v>
          </cell>
          <cell r="E81">
            <v>524</v>
          </cell>
          <cell r="F81">
            <v>0</v>
          </cell>
          <cell r="G81">
            <v>0</v>
          </cell>
          <cell r="H81">
            <v>0</v>
          </cell>
        </row>
        <row r="82">
          <cell r="B82" t="str">
            <v>56202</v>
          </cell>
          <cell r="C82" t="str">
            <v xml:space="preserve">56202 </v>
          </cell>
          <cell r="D82" t="str">
            <v xml:space="preserve">LEGG MASON WOOD WALKER </v>
          </cell>
          <cell r="E82">
            <v>2973</v>
          </cell>
          <cell r="F82">
            <v>0</v>
          </cell>
          <cell r="G82">
            <v>0</v>
          </cell>
          <cell r="H82">
            <v>0</v>
          </cell>
        </row>
        <row r="83">
          <cell r="B83" t="str">
            <v>27710</v>
          </cell>
          <cell r="C83" t="str">
            <v xml:space="preserve">27710 </v>
          </cell>
          <cell r="D83" t="str">
            <v xml:space="preserve">LIFEBRIDGE HEALTH </v>
          </cell>
          <cell r="E83">
            <v>3974</v>
          </cell>
          <cell r="F83">
            <v>3673</v>
          </cell>
          <cell r="G83">
            <v>0</v>
          </cell>
          <cell r="H83">
            <v>885</v>
          </cell>
        </row>
        <row r="84">
          <cell r="B84" t="str">
            <v>07844</v>
          </cell>
          <cell r="C84" t="str">
            <v xml:space="preserve">07844 </v>
          </cell>
          <cell r="D84" t="str">
            <v xml:space="preserve">LOCKE INSULATORS INC </v>
          </cell>
          <cell r="E84">
            <v>0</v>
          </cell>
          <cell r="F84">
            <v>165</v>
          </cell>
          <cell r="G84">
            <v>0</v>
          </cell>
          <cell r="H84">
            <v>0</v>
          </cell>
        </row>
        <row r="85">
          <cell r="B85" t="str">
            <v>46491</v>
          </cell>
          <cell r="C85" t="str">
            <v xml:space="preserve">46491 </v>
          </cell>
          <cell r="D85" t="str">
            <v xml:space="preserve">LOYOLA COLLEGE IN MARYLAN </v>
          </cell>
          <cell r="E85">
            <v>528</v>
          </cell>
          <cell r="F85">
            <v>0</v>
          </cell>
          <cell r="G85">
            <v>0</v>
          </cell>
          <cell r="H85">
            <v>0</v>
          </cell>
        </row>
        <row r="86">
          <cell r="B86" t="str">
            <v>63429</v>
          </cell>
          <cell r="C86" t="str">
            <v xml:space="preserve">63429 </v>
          </cell>
          <cell r="D86" t="str">
            <v xml:space="preserve">LYRIC HEALTHCARE LLC </v>
          </cell>
          <cell r="E86">
            <v>2141</v>
          </cell>
          <cell r="F86">
            <v>0</v>
          </cell>
          <cell r="G86">
            <v>0</v>
          </cell>
          <cell r="H86">
            <v>0</v>
          </cell>
        </row>
        <row r="87">
          <cell r="B87" t="str">
            <v>63679</v>
          </cell>
          <cell r="C87" t="str">
            <v xml:space="preserve">63679 </v>
          </cell>
          <cell r="D87" t="str">
            <v xml:space="preserve">M&amp;T BANK </v>
          </cell>
          <cell r="E87">
            <v>1139</v>
          </cell>
          <cell r="F87">
            <v>0</v>
          </cell>
          <cell r="G87">
            <v>0</v>
          </cell>
          <cell r="H87">
            <v>0</v>
          </cell>
        </row>
        <row r="88">
          <cell r="B88" t="str">
            <v>48995</v>
          </cell>
          <cell r="C88" t="str">
            <v xml:space="preserve">48995 </v>
          </cell>
          <cell r="D88" t="str">
            <v xml:space="preserve">MAGELLAN HEALTH SERVICES </v>
          </cell>
          <cell r="E88">
            <v>3041</v>
          </cell>
          <cell r="F88">
            <v>0</v>
          </cell>
          <cell r="G88">
            <v>0</v>
          </cell>
          <cell r="H88">
            <v>0</v>
          </cell>
        </row>
        <row r="89">
          <cell r="B89" t="str">
            <v>42402</v>
          </cell>
          <cell r="C89" t="str">
            <v xml:space="preserve">42402 </v>
          </cell>
          <cell r="D89" t="str">
            <v xml:space="preserve">MARYLAND MEDICINE PA </v>
          </cell>
          <cell r="E89">
            <v>0</v>
          </cell>
          <cell r="F89">
            <v>10</v>
          </cell>
          <cell r="G89">
            <v>0</v>
          </cell>
          <cell r="H89">
            <v>0</v>
          </cell>
        </row>
        <row r="90">
          <cell r="B90" t="str">
            <v>64784</v>
          </cell>
          <cell r="C90" t="str">
            <v xml:space="preserve">64784 </v>
          </cell>
          <cell r="D90" t="str">
            <v xml:space="preserve">MAXIM HEALTH SERVICES </v>
          </cell>
          <cell r="E90">
            <v>1384</v>
          </cell>
          <cell r="F90">
            <v>0</v>
          </cell>
          <cell r="G90">
            <v>1173</v>
          </cell>
          <cell r="H90">
            <v>0</v>
          </cell>
        </row>
        <row r="91">
          <cell r="B91" t="str">
            <v>61865</v>
          </cell>
          <cell r="C91" t="str">
            <v>61865</v>
          </cell>
          <cell r="D91" t="str">
            <v xml:space="preserve">MEDSTAR HEALTH </v>
          </cell>
          <cell r="E91">
            <v>6940</v>
          </cell>
          <cell r="F91">
            <v>1</v>
          </cell>
          <cell r="G91">
            <v>0</v>
          </cell>
          <cell r="H91">
            <v>0</v>
          </cell>
        </row>
        <row r="92">
          <cell r="B92" t="str">
            <v>07517</v>
          </cell>
          <cell r="C92" t="str">
            <v xml:space="preserve">07517 </v>
          </cell>
          <cell r="D92" t="str">
            <v xml:space="preserve">MERCANTILE BANK </v>
          </cell>
          <cell r="E92">
            <v>1485</v>
          </cell>
          <cell r="F92">
            <v>0</v>
          </cell>
          <cell r="G92">
            <v>1376</v>
          </cell>
          <cell r="H92">
            <v>2530</v>
          </cell>
        </row>
        <row r="93">
          <cell r="B93" t="str">
            <v>58359</v>
          </cell>
          <cell r="C93" t="str">
            <v xml:space="preserve">58359 </v>
          </cell>
          <cell r="D93" t="str">
            <v xml:space="preserve">MERCY HEALTH SERVICES </v>
          </cell>
          <cell r="E93">
            <v>161</v>
          </cell>
          <cell r="F93">
            <v>1775</v>
          </cell>
          <cell r="G93">
            <v>0</v>
          </cell>
          <cell r="H93">
            <v>161</v>
          </cell>
        </row>
        <row r="94">
          <cell r="B94" t="str">
            <v>60363</v>
          </cell>
          <cell r="C94" t="str">
            <v>60363</v>
          </cell>
          <cell r="D94" t="str">
            <v xml:space="preserve">MID-ATLANTIC REGIONAL JOI </v>
          </cell>
          <cell r="E94">
            <v>0</v>
          </cell>
          <cell r="F94">
            <v>0</v>
          </cell>
          <cell r="G94">
            <v>1273</v>
          </cell>
          <cell r="H94">
            <v>0</v>
          </cell>
        </row>
        <row r="95">
          <cell r="B95" t="str">
            <v>27117</v>
          </cell>
          <cell r="C95" t="str">
            <v xml:space="preserve">27117 </v>
          </cell>
          <cell r="D95" t="str">
            <v xml:space="preserve">MILES &amp; STOCKBRIDGE </v>
          </cell>
          <cell r="E95">
            <v>330</v>
          </cell>
          <cell r="F95">
            <v>270</v>
          </cell>
          <cell r="G95">
            <v>319</v>
          </cell>
          <cell r="H95">
            <v>170</v>
          </cell>
        </row>
        <row r="96">
          <cell r="B96" t="str">
            <v>10427</v>
          </cell>
          <cell r="C96" t="str">
            <v xml:space="preserve">10427 </v>
          </cell>
          <cell r="D96" t="str">
            <v xml:space="preserve">MILLENIUM INORGANIC CHEMICAL HOURL </v>
          </cell>
          <cell r="E96">
            <v>345</v>
          </cell>
          <cell r="F96">
            <v>0</v>
          </cell>
          <cell r="G96">
            <v>0</v>
          </cell>
          <cell r="H96">
            <v>144</v>
          </cell>
        </row>
        <row r="97">
          <cell r="B97" t="str">
            <v>64881</v>
          </cell>
          <cell r="C97" t="str">
            <v xml:space="preserve">64881 </v>
          </cell>
          <cell r="D97" t="str">
            <v xml:space="preserve">MOBILEX </v>
          </cell>
          <cell r="E97">
            <v>480</v>
          </cell>
          <cell r="F97">
            <v>0</v>
          </cell>
          <cell r="G97">
            <v>0</v>
          </cell>
          <cell r="H97">
            <v>0</v>
          </cell>
        </row>
        <row r="98">
          <cell r="B98" t="str">
            <v>55710</v>
          </cell>
          <cell r="C98" t="str">
            <v xml:space="preserve">55710 </v>
          </cell>
          <cell r="D98" t="str">
            <v xml:space="preserve">NEXTEL </v>
          </cell>
          <cell r="E98">
            <v>842</v>
          </cell>
          <cell r="F98">
            <v>0</v>
          </cell>
          <cell r="G98">
            <v>0</v>
          </cell>
          <cell r="H98">
            <v>0</v>
          </cell>
        </row>
        <row r="99">
          <cell r="B99" t="str">
            <v>59863</v>
          </cell>
          <cell r="C99" t="str">
            <v xml:space="preserve">59863 </v>
          </cell>
          <cell r="D99" t="str">
            <v xml:space="preserve">PACKAGING SERVICES OF MAR </v>
          </cell>
          <cell r="E99">
            <v>258</v>
          </cell>
          <cell r="F99">
            <v>0</v>
          </cell>
          <cell r="G99">
            <v>258</v>
          </cell>
          <cell r="H99">
            <v>0</v>
          </cell>
        </row>
        <row r="100">
          <cell r="B100" t="str">
            <v>56311</v>
          </cell>
          <cell r="C100" t="str">
            <v xml:space="preserve">56311 </v>
          </cell>
          <cell r="D100" t="str">
            <v xml:space="preserve">PIEDMONT HAWTHORNE </v>
          </cell>
          <cell r="E100">
            <v>1001</v>
          </cell>
          <cell r="F100">
            <v>0</v>
          </cell>
          <cell r="G100">
            <v>1001</v>
          </cell>
          <cell r="H100">
            <v>0</v>
          </cell>
        </row>
        <row r="101">
          <cell r="B101" t="str">
            <v>65304</v>
          </cell>
          <cell r="C101" t="str">
            <v xml:space="preserve">65304 </v>
          </cell>
          <cell r="D101" t="str">
            <v xml:space="preserve">PILOT AIR FREIGHT </v>
          </cell>
          <cell r="E101">
            <v>370</v>
          </cell>
          <cell r="F101">
            <v>0</v>
          </cell>
          <cell r="G101">
            <v>0</v>
          </cell>
          <cell r="H101">
            <v>0</v>
          </cell>
        </row>
        <row r="102">
          <cell r="B102" t="str">
            <v>44491</v>
          </cell>
          <cell r="C102" t="str">
            <v xml:space="preserve">44491 </v>
          </cell>
          <cell r="D102" t="str">
            <v xml:space="preserve">PIPER RUDNICK LLP </v>
          </cell>
          <cell r="E102">
            <v>359</v>
          </cell>
          <cell r="F102">
            <v>0</v>
          </cell>
          <cell r="G102">
            <v>346</v>
          </cell>
          <cell r="H102">
            <v>0</v>
          </cell>
        </row>
        <row r="103">
          <cell r="B103" t="str">
            <v>56806</v>
          </cell>
          <cell r="C103" t="str">
            <v xml:space="preserve">56806 </v>
          </cell>
          <cell r="D103" t="str">
            <v xml:space="preserve">PRIME RETAIL </v>
          </cell>
          <cell r="E103">
            <v>406</v>
          </cell>
          <cell r="F103">
            <v>0</v>
          </cell>
          <cell r="G103">
            <v>0</v>
          </cell>
          <cell r="H103">
            <v>0</v>
          </cell>
        </row>
        <row r="104">
          <cell r="B104" t="str">
            <v>27954</v>
          </cell>
          <cell r="C104" t="str">
            <v xml:space="preserve">27954 </v>
          </cell>
          <cell r="D104" t="str">
            <v xml:space="preserve">PROCTOR &amp; GAMBLE </v>
          </cell>
          <cell r="E104">
            <v>1083</v>
          </cell>
          <cell r="F104">
            <v>0</v>
          </cell>
          <cell r="G104">
            <v>228</v>
          </cell>
          <cell r="H104">
            <v>0</v>
          </cell>
        </row>
        <row r="105">
          <cell r="B105" t="str">
            <v>28964</v>
          </cell>
          <cell r="C105" t="str">
            <v xml:space="preserve">28964 </v>
          </cell>
          <cell r="D105" t="str">
            <v xml:space="preserve">PROVIDENT BANK </v>
          </cell>
          <cell r="E105">
            <v>1539</v>
          </cell>
          <cell r="F105">
            <v>0</v>
          </cell>
          <cell r="G105">
            <v>0</v>
          </cell>
          <cell r="H105">
            <v>0</v>
          </cell>
        </row>
        <row r="106">
          <cell r="B106" t="str">
            <v>59542</v>
          </cell>
          <cell r="C106" t="str">
            <v xml:space="preserve">59542 </v>
          </cell>
          <cell r="D106" t="str">
            <v xml:space="preserve">PUBLISHERS CIRCULATION FULLFILLMEN </v>
          </cell>
          <cell r="E106">
            <v>944</v>
          </cell>
          <cell r="F106">
            <v>0</v>
          </cell>
          <cell r="G106">
            <v>944</v>
          </cell>
          <cell r="H106">
            <v>944</v>
          </cell>
        </row>
        <row r="107">
          <cell r="B107" t="str">
            <v>08275</v>
          </cell>
          <cell r="C107" t="str">
            <v xml:space="preserve">08275 </v>
          </cell>
          <cell r="D107" t="str">
            <v xml:space="preserve">QUEEN ANNE'S COUNTY BOARD </v>
          </cell>
          <cell r="E107">
            <v>1501</v>
          </cell>
          <cell r="F107">
            <v>1486</v>
          </cell>
          <cell r="G107">
            <v>1501</v>
          </cell>
          <cell r="H107">
            <v>1501</v>
          </cell>
        </row>
        <row r="108">
          <cell r="B108" t="str">
            <v>55214</v>
          </cell>
          <cell r="C108" t="str">
            <v xml:space="preserve">55214 </v>
          </cell>
          <cell r="D108" t="str">
            <v xml:space="preserve">RELIANT ENERGY INC </v>
          </cell>
          <cell r="E108">
            <v>1213</v>
          </cell>
          <cell r="F108">
            <v>0</v>
          </cell>
          <cell r="G108">
            <v>0</v>
          </cell>
          <cell r="H108">
            <v>0</v>
          </cell>
        </row>
        <row r="109">
          <cell r="B109" t="str">
            <v>53344</v>
          </cell>
          <cell r="C109" t="str">
            <v xml:space="preserve">53344 </v>
          </cell>
          <cell r="D109" t="str">
            <v xml:space="preserve">ROTECH </v>
          </cell>
          <cell r="E109">
            <v>3302</v>
          </cell>
          <cell r="F109">
            <v>0</v>
          </cell>
          <cell r="G109">
            <v>0</v>
          </cell>
          <cell r="H109">
            <v>0</v>
          </cell>
        </row>
        <row r="110">
          <cell r="B110" t="str">
            <v>56808</v>
          </cell>
          <cell r="C110" t="str">
            <v xml:space="preserve">56808 </v>
          </cell>
          <cell r="D110" t="str">
            <v xml:space="preserve">RWD TECHNOLOGIES </v>
          </cell>
          <cell r="E110">
            <v>481</v>
          </cell>
          <cell r="F110">
            <v>0</v>
          </cell>
          <cell r="G110">
            <v>0</v>
          </cell>
          <cell r="H110">
            <v>0</v>
          </cell>
        </row>
        <row r="111">
          <cell r="B111" t="str">
            <v>66285</v>
          </cell>
          <cell r="C111" t="str">
            <v xml:space="preserve">66285 </v>
          </cell>
          <cell r="D111" t="str">
            <v xml:space="preserve">SAFENET INC </v>
          </cell>
          <cell r="E111">
            <v>246</v>
          </cell>
          <cell r="F111">
            <v>0</v>
          </cell>
          <cell r="G111">
            <v>0</v>
          </cell>
          <cell r="H111">
            <v>0</v>
          </cell>
        </row>
        <row r="112">
          <cell r="B112" t="str">
            <v>08055</v>
          </cell>
          <cell r="C112" t="str">
            <v xml:space="preserve">08055 </v>
          </cell>
          <cell r="D112" t="str">
            <v xml:space="preserve">SCHMIDT BAKING CO </v>
          </cell>
          <cell r="E112">
            <v>557</v>
          </cell>
          <cell r="F112">
            <v>547</v>
          </cell>
          <cell r="G112">
            <v>338</v>
          </cell>
          <cell r="H112">
            <v>5</v>
          </cell>
        </row>
        <row r="113">
          <cell r="B113" t="str">
            <v>31400</v>
          </cell>
          <cell r="C113" t="str">
            <v xml:space="preserve">31400 </v>
          </cell>
          <cell r="D113" t="str">
            <v xml:space="preserve">SFA INCORPORATED </v>
          </cell>
          <cell r="E113">
            <v>379</v>
          </cell>
          <cell r="F113">
            <v>0</v>
          </cell>
          <cell r="G113">
            <v>0</v>
          </cell>
          <cell r="H113">
            <v>0</v>
          </cell>
        </row>
        <row r="114">
          <cell r="B114" t="str">
            <v>56835</v>
          </cell>
          <cell r="C114" t="str">
            <v xml:space="preserve">56835 </v>
          </cell>
          <cell r="D114" t="str">
            <v xml:space="preserve">SIERRA MILITARY HEALTH SERVICES </v>
          </cell>
          <cell r="E114">
            <v>58</v>
          </cell>
          <cell r="F114">
            <v>58</v>
          </cell>
          <cell r="G114">
            <v>58</v>
          </cell>
          <cell r="H114">
            <v>0</v>
          </cell>
        </row>
        <row r="115">
          <cell r="B115" t="str">
            <v>11330</v>
          </cell>
          <cell r="C115" t="str">
            <v xml:space="preserve">11330 </v>
          </cell>
          <cell r="D115" t="str">
            <v xml:space="preserve">SOMERSET COUNTY BOARD OF </v>
          </cell>
          <cell r="E115">
            <v>562</v>
          </cell>
          <cell r="F115">
            <v>233</v>
          </cell>
          <cell r="G115">
            <v>562</v>
          </cell>
          <cell r="H115">
            <v>562</v>
          </cell>
        </row>
        <row r="116">
          <cell r="B116" t="str">
            <v>59749</v>
          </cell>
          <cell r="C116" t="str">
            <v xml:space="preserve">59749 </v>
          </cell>
          <cell r="D116" t="str">
            <v xml:space="preserve">SPACE TELESCOPE SCI INST </v>
          </cell>
          <cell r="E116">
            <v>256</v>
          </cell>
          <cell r="F116">
            <v>0</v>
          </cell>
          <cell r="G116">
            <v>256</v>
          </cell>
          <cell r="H116">
            <v>0</v>
          </cell>
        </row>
        <row r="117">
          <cell r="B117" t="str">
            <v>28558</v>
          </cell>
          <cell r="C117" t="str">
            <v xml:space="preserve">28558 </v>
          </cell>
          <cell r="D117" t="str">
            <v xml:space="preserve">SPECTERA </v>
          </cell>
          <cell r="E117">
            <v>211</v>
          </cell>
          <cell r="F117">
            <v>0</v>
          </cell>
          <cell r="G117">
            <v>0</v>
          </cell>
          <cell r="H117">
            <v>0</v>
          </cell>
        </row>
        <row r="118">
          <cell r="B118" t="str">
            <v>10721</v>
          </cell>
          <cell r="C118" t="str">
            <v xml:space="preserve">10721 </v>
          </cell>
          <cell r="D118" t="str">
            <v xml:space="preserve">ST MARYS COUNTY COMMISSIO </v>
          </cell>
          <cell r="E118">
            <v>704</v>
          </cell>
          <cell r="F118">
            <v>520</v>
          </cell>
          <cell r="G118">
            <v>704</v>
          </cell>
          <cell r="H118">
            <v>540</v>
          </cell>
        </row>
        <row r="119">
          <cell r="B119" t="str">
            <v>08346</v>
          </cell>
          <cell r="C119" t="str">
            <v xml:space="preserve">08346 </v>
          </cell>
          <cell r="D119" t="str">
            <v xml:space="preserve">ST MARY'S COUNTY PUBLIC S </v>
          </cell>
          <cell r="E119">
            <v>1835</v>
          </cell>
          <cell r="F119">
            <v>1952</v>
          </cell>
          <cell r="G119">
            <v>1835</v>
          </cell>
          <cell r="H119">
            <v>1953</v>
          </cell>
        </row>
        <row r="120">
          <cell r="B120" t="str">
            <v>51545</v>
          </cell>
          <cell r="C120" t="str">
            <v xml:space="preserve">51545 </v>
          </cell>
          <cell r="D120" t="str">
            <v xml:space="preserve">ST MARY'S HOSPITAL </v>
          </cell>
          <cell r="E120">
            <v>1</v>
          </cell>
          <cell r="F120">
            <v>0</v>
          </cell>
          <cell r="G120">
            <v>0</v>
          </cell>
          <cell r="H120">
            <v>0</v>
          </cell>
        </row>
        <row r="121">
          <cell r="B121" t="str">
            <v>08146</v>
          </cell>
          <cell r="C121" t="str">
            <v xml:space="preserve">08146 </v>
          </cell>
          <cell r="D121" t="str">
            <v xml:space="preserve">STA-ILA HEALTH BENEFITS </v>
          </cell>
          <cell r="E121">
            <v>0</v>
          </cell>
          <cell r="F121">
            <v>1503</v>
          </cell>
          <cell r="G121">
            <v>0</v>
          </cell>
          <cell r="H121">
            <v>0</v>
          </cell>
        </row>
        <row r="122">
          <cell r="B122" t="str">
            <v>07311</v>
          </cell>
          <cell r="C122" t="str">
            <v>07311</v>
          </cell>
          <cell r="D122" t="str">
            <v xml:space="preserve">STATE OF MARYLAND </v>
          </cell>
          <cell r="E122">
            <v>70371</v>
          </cell>
          <cell r="F122">
            <v>0</v>
          </cell>
          <cell r="G122">
            <v>0</v>
          </cell>
          <cell r="H122">
            <v>70371</v>
          </cell>
        </row>
        <row r="123">
          <cell r="B123" t="str">
            <v>64880</v>
          </cell>
          <cell r="C123" t="str">
            <v xml:space="preserve">64880 </v>
          </cell>
          <cell r="D123" t="str">
            <v xml:space="preserve">SYMPHONY HEALTH SERVICES </v>
          </cell>
          <cell r="E123">
            <v>2124</v>
          </cell>
          <cell r="F123">
            <v>0</v>
          </cell>
          <cell r="G123">
            <v>0</v>
          </cell>
          <cell r="H123">
            <v>0</v>
          </cell>
        </row>
        <row r="124">
          <cell r="B124" t="str">
            <v>08145</v>
          </cell>
          <cell r="C124" t="str">
            <v xml:space="preserve">08145 </v>
          </cell>
          <cell r="D124" t="str">
            <v xml:space="preserve">T ROWE PRICE INC </v>
          </cell>
          <cell r="E124">
            <v>1235</v>
          </cell>
          <cell r="F124">
            <v>0</v>
          </cell>
          <cell r="G124">
            <v>0</v>
          </cell>
          <cell r="H124">
            <v>0</v>
          </cell>
        </row>
        <row r="125">
          <cell r="B125" t="str">
            <v>10614</v>
          </cell>
          <cell r="C125" t="str">
            <v xml:space="preserve">10614 </v>
          </cell>
          <cell r="D125" t="str">
            <v xml:space="preserve">TALBOT COUNTY BOARD OF ED </v>
          </cell>
          <cell r="E125">
            <v>731</v>
          </cell>
          <cell r="F125">
            <v>559</v>
          </cell>
          <cell r="G125">
            <v>731</v>
          </cell>
          <cell r="H125">
            <v>0</v>
          </cell>
        </row>
        <row r="126">
          <cell r="B126" t="str">
            <v>46748</v>
          </cell>
          <cell r="C126" t="str">
            <v xml:space="preserve">46748 </v>
          </cell>
          <cell r="D126" t="str">
            <v xml:space="preserve">TESSCO TECHNOLOGIES INC </v>
          </cell>
          <cell r="E126">
            <v>529</v>
          </cell>
          <cell r="F126">
            <v>457</v>
          </cell>
          <cell r="G126">
            <v>0</v>
          </cell>
          <cell r="H126">
            <v>0</v>
          </cell>
        </row>
        <row r="127">
          <cell r="B127" t="str">
            <v>66267</v>
          </cell>
          <cell r="C127" t="str">
            <v xml:space="preserve">66267 </v>
          </cell>
          <cell r="D127" t="str">
            <v xml:space="preserve">THALES NORTH AMERICA INC </v>
          </cell>
          <cell r="E127">
            <v>1723</v>
          </cell>
          <cell r="F127">
            <v>0</v>
          </cell>
          <cell r="G127">
            <v>1723</v>
          </cell>
          <cell r="H127">
            <v>0</v>
          </cell>
        </row>
        <row r="128">
          <cell r="B128" t="str">
            <v>66264</v>
          </cell>
          <cell r="C128" t="str">
            <v xml:space="preserve">66264 </v>
          </cell>
          <cell r="D128" t="str">
            <v xml:space="preserve">THE ENTERPRISE GROUP </v>
          </cell>
          <cell r="E128">
            <v>387</v>
          </cell>
          <cell r="F128">
            <v>0</v>
          </cell>
          <cell r="G128">
            <v>0</v>
          </cell>
          <cell r="H128">
            <v>0</v>
          </cell>
        </row>
        <row r="129">
          <cell r="B129" t="str">
            <v>07538</v>
          </cell>
          <cell r="C129" t="str">
            <v xml:space="preserve">07538 </v>
          </cell>
          <cell r="D129" t="str">
            <v xml:space="preserve">THE GREAT ATLANTIC &amp; PACI </v>
          </cell>
          <cell r="E129">
            <v>23</v>
          </cell>
          <cell r="F129">
            <v>0</v>
          </cell>
          <cell r="G129">
            <v>0</v>
          </cell>
          <cell r="H129">
            <v>0</v>
          </cell>
        </row>
        <row r="130">
          <cell r="B130" t="str">
            <v>12598</v>
          </cell>
          <cell r="C130" t="str">
            <v xml:space="preserve">12598 </v>
          </cell>
          <cell r="D130" t="str">
            <v xml:space="preserve">THE MAYOR &amp; ALDERMAN OF T </v>
          </cell>
          <cell r="E130">
            <v>555</v>
          </cell>
          <cell r="F130">
            <v>447</v>
          </cell>
          <cell r="G130">
            <v>0</v>
          </cell>
          <cell r="H130">
            <v>0</v>
          </cell>
        </row>
        <row r="131">
          <cell r="B131" t="str">
            <v>48921</v>
          </cell>
          <cell r="C131" t="str">
            <v xml:space="preserve">48921 </v>
          </cell>
          <cell r="D131" t="str">
            <v xml:space="preserve">THE RYLAND GROUP </v>
          </cell>
          <cell r="E131">
            <v>2604</v>
          </cell>
          <cell r="F131">
            <v>0</v>
          </cell>
          <cell r="G131">
            <v>0</v>
          </cell>
          <cell r="H131">
            <v>0</v>
          </cell>
        </row>
        <row r="132">
          <cell r="B132" t="str">
            <v>53191</v>
          </cell>
          <cell r="C132" t="str">
            <v xml:space="preserve">53191 </v>
          </cell>
          <cell r="D132" t="str">
            <v xml:space="preserve">THI OF BALTIMORE </v>
          </cell>
          <cell r="E132">
            <v>6920</v>
          </cell>
          <cell r="F132">
            <v>0</v>
          </cell>
          <cell r="G132">
            <v>0</v>
          </cell>
          <cell r="H132">
            <v>0</v>
          </cell>
        </row>
        <row r="133">
          <cell r="B133" t="str">
            <v>61872</v>
          </cell>
          <cell r="C133" t="str">
            <v xml:space="preserve">61872 </v>
          </cell>
          <cell r="D133" t="str">
            <v xml:space="preserve">THYSSEN KRUPP ELEVATORS </v>
          </cell>
          <cell r="E133">
            <v>2723</v>
          </cell>
          <cell r="F133">
            <v>0</v>
          </cell>
          <cell r="G133">
            <v>0</v>
          </cell>
          <cell r="H133">
            <v>0</v>
          </cell>
        </row>
        <row r="134">
          <cell r="B134" t="str">
            <v>61840</v>
          </cell>
          <cell r="C134" t="str">
            <v xml:space="preserve">61840 </v>
          </cell>
          <cell r="D134" t="str">
            <v xml:space="preserve">TOWN &amp; COUNTRY TRUST </v>
          </cell>
          <cell r="E134">
            <v>365</v>
          </cell>
          <cell r="F134">
            <v>0</v>
          </cell>
          <cell r="G134">
            <v>365</v>
          </cell>
          <cell r="H134">
            <v>0</v>
          </cell>
        </row>
        <row r="135">
          <cell r="B135" t="str">
            <v>61448</v>
          </cell>
          <cell r="C135" t="str">
            <v xml:space="preserve">61448 </v>
          </cell>
          <cell r="D135" t="str">
            <v xml:space="preserve">TOWNE PARK </v>
          </cell>
          <cell r="E135">
            <v>491</v>
          </cell>
          <cell r="F135">
            <v>0</v>
          </cell>
          <cell r="G135">
            <v>0</v>
          </cell>
          <cell r="H135">
            <v>0</v>
          </cell>
        </row>
        <row r="136">
          <cell r="B136" t="str">
            <v>47447</v>
          </cell>
          <cell r="C136" t="str">
            <v xml:space="preserve">47447 </v>
          </cell>
          <cell r="D136" t="str">
            <v xml:space="preserve">TRUCK DRIVERS &amp; HELPERS L </v>
          </cell>
          <cell r="E136">
            <v>0</v>
          </cell>
          <cell r="F136">
            <v>2847</v>
          </cell>
          <cell r="G136">
            <v>0</v>
          </cell>
          <cell r="H136">
            <v>0</v>
          </cell>
        </row>
        <row r="137">
          <cell r="B137" t="str">
            <v>59317</v>
          </cell>
          <cell r="C137" t="str">
            <v xml:space="preserve">59317 </v>
          </cell>
          <cell r="D137" t="str">
            <v xml:space="preserve">U S FOOD SERVICES </v>
          </cell>
          <cell r="E137">
            <v>16144</v>
          </cell>
          <cell r="F137">
            <v>0</v>
          </cell>
          <cell r="G137">
            <v>0</v>
          </cell>
          <cell r="H137">
            <v>0</v>
          </cell>
        </row>
        <row r="138">
          <cell r="B138" t="str">
            <v>63978</v>
          </cell>
          <cell r="C138" t="str">
            <v xml:space="preserve">63978 </v>
          </cell>
          <cell r="D138" t="str">
            <v xml:space="preserve">UNION CITY BODY </v>
          </cell>
          <cell r="E138">
            <v>712</v>
          </cell>
          <cell r="F138">
            <v>0</v>
          </cell>
          <cell r="G138">
            <v>0</v>
          </cell>
          <cell r="H138">
            <v>0</v>
          </cell>
        </row>
        <row r="139">
          <cell r="B139" t="str">
            <v>19121</v>
          </cell>
          <cell r="C139" t="str">
            <v xml:space="preserve">19121 </v>
          </cell>
          <cell r="D139" t="str">
            <v xml:space="preserve">UNIVERSITY OF MARYLAND ME </v>
          </cell>
          <cell r="E139">
            <v>0</v>
          </cell>
          <cell r="F139">
            <v>5478</v>
          </cell>
          <cell r="G139">
            <v>0</v>
          </cell>
          <cell r="H139">
            <v>0</v>
          </cell>
        </row>
        <row r="140">
          <cell r="B140" t="str">
            <v>18278</v>
          </cell>
          <cell r="C140" t="str">
            <v xml:space="preserve">18278 </v>
          </cell>
          <cell r="D140" t="str">
            <v xml:space="preserve">UNIVERSITY PHYSICIANS </v>
          </cell>
          <cell r="E140">
            <v>0</v>
          </cell>
          <cell r="F140">
            <v>775</v>
          </cell>
          <cell r="G140">
            <v>0</v>
          </cell>
          <cell r="H140">
            <v>0</v>
          </cell>
        </row>
        <row r="141">
          <cell r="B141" t="str">
            <v>59505</v>
          </cell>
          <cell r="C141" t="str">
            <v xml:space="preserve">59505 </v>
          </cell>
          <cell r="D141" t="str">
            <v xml:space="preserve">US INTERNETWORKING </v>
          </cell>
          <cell r="E141">
            <v>346</v>
          </cell>
          <cell r="F141">
            <v>0</v>
          </cell>
          <cell r="G141">
            <v>0</v>
          </cell>
          <cell r="H141">
            <v>0</v>
          </cell>
        </row>
        <row r="142">
          <cell r="B142" t="str">
            <v>53194</v>
          </cell>
          <cell r="C142" t="str">
            <v xml:space="preserve">53194 </v>
          </cell>
          <cell r="D142" t="str">
            <v xml:space="preserve">VERTIS INC </v>
          </cell>
          <cell r="E142">
            <v>4804</v>
          </cell>
          <cell r="F142">
            <v>0</v>
          </cell>
          <cell r="G142">
            <v>0</v>
          </cell>
          <cell r="H142">
            <v>0</v>
          </cell>
        </row>
        <row r="143">
          <cell r="B143">
            <v>44648</v>
          </cell>
          <cell r="C143" t="str">
            <v xml:space="preserve">53194 </v>
          </cell>
          <cell r="D143" t="str">
            <v>VIPS</v>
          </cell>
          <cell r="E143">
            <v>0</v>
          </cell>
          <cell r="F143">
            <v>322</v>
          </cell>
          <cell r="G143">
            <v>0</v>
          </cell>
          <cell r="H143">
            <v>0</v>
          </cell>
        </row>
        <row r="144">
          <cell r="B144" t="str">
            <v>39219</v>
          </cell>
          <cell r="C144" t="str">
            <v xml:space="preserve">39219 </v>
          </cell>
          <cell r="D144" t="str">
            <v xml:space="preserve">WAREHOUSE EMPLOYEES LOCAL </v>
          </cell>
          <cell r="E144">
            <v>0</v>
          </cell>
          <cell r="F144">
            <v>0</v>
          </cell>
          <cell r="G144">
            <v>1062</v>
          </cell>
          <cell r="H144">
            <v>0</v>
          </cell>
        </row>
        <row r="145">
          <cell r="B145" t="str">
            <v>60930</v>
          </cell>
          <cell r="C145" t="str">
            <v xml:space="preserve">60930 </v>
          </cell>
          <cell r="D145" t="str">
            <v xml:space="preserve">WASHINGTON COUNTY COMMISS </v>
          </cell>
          <cell r="E145">
            <v>774</v>
          </cell>
          <cell r="F145">
            <v>0</v>
          </cell>
          <cell r="G145">
            <v>774</v>
          </cell>
          <cell r="H145">
            <v>0</v>
          </cell>
        </row>
        <row r="146">
          <cell r="B146" t="str">
            <v>28795</v>
          </cell>
          <cell r="C146" t="str">
            <v xml:space="preserve">28795 </v>
          </cell>
          <cell r="D146" t="str">
            <v xml:space="preserve">WASHINGTON COUNTY PUBLIC </v>
          </cell>
          <cell r="E146">
            <v>3199</v>
          </cell>
          <cell r="F146">
            <v>2611</v>
          </cell>
          <cell r="G146">
            <v>3199</v>
          </cell>
          <cell r="H146">
            <v>0</v>
          </cell>
        </row>
        <row r="147">
          <cell r="B147" t="str">
            <v>63839</v>
          </cell>
          <cell r="C147" t="str">
            <v xml:space="preserve">63839 </v>
          </cell>
          <cell r="D147" t="str">
            <v xml:space="preserve">WATSON WYATT </v>
          </cell>
          <cell r="E147">
            <v>2679</v>
          </cell>
          <cell r="F147">
            <v>0</v>
          </cell>
          <cell r="G147">
            <v>0</v>
          </cell>
          <cell r="H147">
            <v>0</v>
          </cell>
        </row>
        <row r="148">
          <cell r="B148" t="str">
            <v>11836</v>
          </cell>
          <cell r="C148" t="str">
            <v xml:space="preserve">11836 </v>
          </cell>
          <cell r="D148" t="str">
            <v xml:space="preserve">WHITING TURNER </v>
          </cell>
          <cell r="E148">
            <v>1350</v>
          </cell>
          <cell r="F148">
            <v>0</v>
          </cell>
          <cell r="G148">
            <v>1349</v>
          </cell>
          <cell r="H148">
            <v>0</v>
          </cell>
        </row>
        <row r="149">
          <cell r="B149" t="str">
            <v>08821</v>
          </cell>
          <cell r="C149" t="str">
            <v xml:space="preserve">08821 </v>
          </cell>
          <cell r="D149" t="str">
            <v xml:space="preserve">WICOMICO COUNTY BOARD OF </v>
          </cell>
          <cell r="E149">
            <v>2425</v>
          </cell>
          <cell r="F149">
            <v>2291</v>
          </cell>
          <cell r="G149">
            <v>2425</v>
          </cell>
          <cell r="H149">
            <v>2292</v>
          </cell>
        </row>
        <row r="150">
          <cell r="B150" t="str">
            <v>11693</v>
          </cell>
          <cell r="C150" t="str">
            <v xml:space="preserve">11693 </v>
          </cell>
          <cell r="D150" t="str">
            <v xml:space="preserve">WICOMICO COUNTY MARYLAND </v>
          </cell>
          <cell r="E150">
            <v>783</v>
          </cell>
          <cell r="F150">
            <v>781</v>
          </cell>
          <cell r="G150">
            <v>783</v>
          </cell>
          <cell r="H150">
            <v>783</v>
          </cell>
        </row>
        <row r="151">
          <cell r="B151" t="str">
            <v>27094</v>
          </cell>
          <cell r="C151" t="str">
            <v xml:space="preserve">27094 </v>
          </cell>
          <cell r="D151" t="str">
            <v xml:space="preserve">WILKINS-ROGERS INC </v>
          </cell>
          <cell r="E151">
            <v>113</v>
          </cell>
          <cell r="F151">
            <v>89</v>
          </cell>
          <cell r="G151">
            <v>113</v>
          </cell>
          <cell r="H151">
            <v>0</v>
          </cell>
        </row>
        <row r="152">
          <cell r="B152" t="str">
            <v>10412</v>
          </cell>
          <cell r="C152" t="str">
            <v xml:space="preserve">10412 </v>
          </cell>
          <cell r="D152" t="str">
            <v xml:space="preserve">WORCESTER COUNTY GOVERNME </v>
          </cell>
          <cell r="E152">
            <v>0</v>
          </cell>
          <cell r="F152">
            <v>0</v>
          </cell>
          <cell r="G152">
            <v>2068</v>
          </cell>
          <cell r="H152">
            <v>0</v>
          </cell>
        </row>
        <row r="153">
          <cell r="B153" t="str">
            <v>65997</v>
          </cell>
          <cell r="C153" t="str">
            <v xml:space="preserve">65997 </v>
          </cell>
          <cell r="D153" t="str">
            <v xml:space="preserve">YARA NORTH AMERICA INC </v>
          </cell>
          <cell r="E153">
            <v>109</v>
          </cell>
          <cell r="F153">
            <v>0</v>
          </cell>
          <cell r="G153">
            <v>109</v>
          </cell>
          <cell r="H153">
            <v>0</v>
          </cell>
        </row>
      </sheetData>
      <sheetData sheetId="10" refreshError="1">
        <row r="3">
          <cell r="A3" t="str">
            <v>ADVANCED PCS</v>
          </cell>
          <cell r="B3" t="str">
            <v>TERMED</v>
          </cell>
          <cell r="C3" t="str">
            <v>57913</v>
          </cell>
          <cell r="D3">
            <v>57913</v>
          </cell>
          <cell r="E3">
            <v>0</v>
          </cell>
          <cell r="F3">
            <v>0</v>
          </cell>
          <cell r="G3">
            <v>15</v>
          </cell>
          <cell r="H3">
            <v>0</v>
          </cell>
          <cell r="I3">
            <v>0</v>
          </cell>
          <cell r="J3">
            <v>0</v>
          </cell>
          <cell r="K3">
            <v>0</v>
          </cell>
          <cell r="L3">
            <v>0</v>
          </cell>
        </row>
        <row r="4">
          <cell r="A4" t="str">
            <v>AEGON</v>
          </cell>
          <cell r="B4" t="str">
            <v>JAN</v>
          </cell>
          <cell r="C4" t="str">
            <v>28020</v>
          </cell>
          <cell r="D4">
            <v>28020</v>
          </cell>
          <cell r="E4">
            <v>0</v>
          </cell>
          <cell r="F4">
            <v>0</v>
          </cell>
          <cell r="G4">
            <v>144550</v>
          </cell>
          <cell r="H4">
            <v>115574</v>
          </cell>
          <cell r="I4">
            <v>0</v>
          </cell>
          <cell r="J4">
            <v>0</v>
          </cell>
          <cell r="K4">
            <v>0</v>
          </cell>
          <cell r="L4">
            <v>0</v>
          </cell>
        </row>
        <row r="5">
          <cell r="A5" t="str">
            <v>AETHER SYSTEMS</v>
          </cell>
          <cell r="B5" t="str">
            <v>TERMED</v>
          </cell>
          <cell r="C5" t="str">
            <v>57692</v>
          </cell>
          <cell r="D5">
            <v>57692</v>
          </cell>
          <cell r="E5">
            <v>0</v>
          </cell>
          <cell r="F5">
            <v>0</v>
          </cell>
          <cell r="G5">
            <v>0</v>
          </cell>
          <cell r="H5">
            <v>0</v>
          </cell>
          <cell r="I5">
            <v>0</v>
          </cell>
          <cell r="J5">
            <v>0</v>
          </cell>
          <cell r="K5">
            <v>0</v>
          </cell>
          <cell r="L5">
            <v>0</v>
          </cell>
        </row>
        <row r="6">
          <cell r="A6" t="str">
            <v>AHOLD/GIANT</v>
          </cell>
          <cell r="B6" t="str">
            <v>JAN</v>
          </cell>
          <cell r="C6" t="str">
            <v>63697</v>
          </cell>
          <cell r="D6">
            <v>63697</v>
          </cell>
          <cell r="E6">
            <v>694156.89</v>
          </cell>
          <cell r="F6">
            <v>812080.55</v>
          </cell>
          <cell r="G6">
            <v>191367</v>
          </cell>
          <cell r="H6">
            <v>182950</v>
          </cell>
          <cell r="I6">
            <v>3.6273594193356216</v>
          </cell>
          <cell r="J6">
            <v>4.4388114238863077</v>
          </cell>
          <cell r="K6">
            <v>0.16988041421010758</v>
          </cell>
          <cell r="L6">
            <v>0.22370322616094929</v>
          </cell>
        </row>
        <row r="7">
          <cell r="A7" t="str">
            <v xml:space="preserve">ALLEGANY CO P S </v>
          </cell>
          <cell r="B7" t="str">
            <v>JUL</v>
          </cell>
          <cell r="C7" t="str">
            <v>60924</v>
          </cell>
          <cell r="D7">
            <v>60924</v>
          </cell>
          <cell r="E7">
            <v>0</v>
          </cell>
          <cell r="F7">
            <v>0</v>
          </cell>
          <cell r="G7">
            <v>39007</v>
          </cell>
          <cell r="H7">
            <v>39887.480000000003</v>
          </cell>
          <cell r="I7">
            <v>0</v>
          </cell>
          <cell r="J7">
            <v>0</v>
          </cell>
          <cell r="K7">
            <v>0</v>
          </cell>
          <cell r="L7">
            <v>0</v>
          </cell>
        </row>
        <row r="8">
          <cell r="A8" t="str">
            <v>ALLEGIS/MAXIM INTERNAL</v>
          </cell>
          <cell r="B8" t="str">
            <v>JAN</v>
          </cell>
          <cell r="C8" t="str">
            <v>40117</v>
          </cell>
          <cell r="D8">
            <v>40117</v>
          </cell>
          <cell r="E8">
            <v>717354.2</v>
          </cell>
          <cell r="F8">
            <v>1022426.16</v>
          </cell>
          <cell r="G8">
            <v>189473</v>
          </cell>
          <cell r="H8">
            <v>218364</v>
          </cell>
          <cell r="I8">
            <v>3.7860497274017937</v>
          </cell>
          <cell r="J8">
            <v>4.6822102544375452</v>
          </cell>
          <cell r="K8">
            <v>0.42527381870768988</v>
          </cell>
          <cell r="L8">
            <v>0.23670067525783622</v>
          </cell>
        </row>
        <row r="9">
          <cell r="A9" t="str">
            <v>AMERICAN BANKERS</v>
          </cell>
          <cell r="B9" t="str">
            <v>SEP</v>
          </cell>
          <cell r="C9" t="str">
            <v>61273</v>
          </cell>
          <cell r="D9">
            <v>61273</v>
          </cell>
          <cell r="E9">
            <v>0</v>
          </cell>
          <cell r="F9">
            <v>0</v>
          </cell>
          <cell r="G9">
            <v>8608</v>
          </cell>
          <cell r="H9">
            <v>8929.68</v>
          </cell>
          <cell r="I9">
            <v>0</v>
          </cell>
          <cell r="J9">
            <v>0</v>
          </cell>
          <cell r="K9">
            <v>0</v>
          </cell>
          <cell r="L9">
            <v>0</v>
          </cell>
        </row>
        <row r="10">
          <cell r="A10" t="str">
            <v>AMERICAN WOOD</v>
          </cell>
          <cell r="B10" t="str">
            <v>JAN</v>
          </cell>
          <cell r="C10" t="str">
            <v>63901</v>
          </cell>
          <cell r="D10">
            <v>63901</v>
          </cell>
          <cell r="E10">
            <v>0</v>
          </cell>
          <cell r="F10">
            <v>286220.52</v>
          </cell>
          <cell r="G10">
            <v>13288</v>
          </cell>
          <cell r="H10">
            <v>14650</v>
          </cell>
          <cell r="I10">
            <v>0</v>
          </cell>
          <cell r="J10">
            <v>19.537236860068258</v>
          </cell>
          <cell r="K10">
            <v>0</v>
          </cell>
          <cell r="L10">
            <v>0</v>
          </cell>
        </row>
        <row r="11">
          <cell r="A11" t="str">
            <v>ANNE ARUNDEL CO BD OF ED</v>
          </cell>
          <cell r="B11" t="str">
            <v>JAN</v>
          </cell>
          <cell r="C11" t="str">
            <v>07319</v>
          </cell>
          <cell r="D11" t="str">
            <v>07319</v>
          </cell>
          <cell r="E11">
            <v>744926.49</v>
          </cell>
          <cell r="F11">
            <v>753976.62</v>
          </cell>
          <cell r="G11">
            <v>190951</v>
          </cell>
          <cell r="H11">
            <v>192319</v>
          </cell>
          <cell r="I11">
            <v>3.9011395069939407</v>
          </cell>
          <cell r="J11">
            <v>3.920447901663382</v>
          </cell>
          <cell r="K11">
            <v>1.2149024261440822E-2</v>
          </cell>
          <cell r="L11">
            <v>4.9494242989325254E-3</v>
          </cell>
        </row>
        <row r="12">
          <cell r="A12" t="str">
            <v>ANNE ARUNDEL CO GOVT RETRO</v>
          </cell>
          <cell r="B12" t="str">
            <v>JUL</v>
          </cell>
          <cell r="C12" t="str">
            <v>08173</v>
          </cell>
          <cell r="D12" t="str">
            <v>08173</v>
          </cell>
          <cell r="E12">
            <v>0</v>
          </cell>
          <cell r="F12">
            <v>0</v>
          </cell>
          <cell r="G12">
            <v>138719</v>
          </cell>
          <cell r="H12">
            <v>134192.62</v>
          </cell>
          <cell r="I12">
            <v>0</v>
          </cell>
          <cell r="J12">
            <v>0</v>
          </cell>
          <cell r="K12">
            <v>0</v>
          </cell>
          <cell r="L12">
            <v>0</v>
          </cell>
        </row>
        <row r="13">
          <cell r="A13" t="str">
            <v>ANNE ARUNDEL MEDICAL CENTER DENTAL</v>
          </cell>
          <cell r="B13" t="str">
            <v>JAN</v>
          </cell>
          <cell r="C13" t="str">
            <v>7L25</v>
          </cell>
          <cell r="D13" t="str">
            <v>7L25</v>
          </cell>
          <cell r="E13">
            <v>0</v>
          </cell>
          <cell r="F13">
            <v>0</v>
          </cell>
          <cell r="G13">
            <v>0</v>
          </cell>
          <cell r="H13">
            <v>0</v>
          </cell>
          <cell r="I13">
            <v>0</v>
          </cell>
          <cell r="J13">
            <v>0</v>
          </cell>
          <cell r="K13">
            <v>0</v>
          </cell>
          <cell r="L13">
            <v>0</v>
          </cell>
        </row>
        <row r="14">
          <cell r="A14" t="str">
            <v>ARBITRON</v>
          </cell>
          <cell r="B14" t="str">
            <v>JAN</v>
          </cell>
          <cell r="C14" t="str">
            <v>63840</v>
          </cell>
          <cell r="D14">
            <v>63840</v>
          </cell>
          <cell r="E14">
            <v>335471.09999999998</v>
          </cell>
          <cell r="F14">
            <v>441432</v>
          </cell>
          <cell r="G14">
            <v>20882</v>
          </cell>
          <cell r="H14">
            <v>22086</v>
          </cell>
          <cell r="I14">
            <v>16.06508476199598</v>
          </cell>
          <cell r="J14">
            <v>19.986960065199675</v>
          </cell>
          <cell r="K14">
            <v>0.31585701421076195</v>
          </cell>
          <cell r="L14">
            <v>0.24412415877701399</v>
          </cell>
        </row>
        <row r="15">
          <cell r="A15" t="str">
            <v>ARCHDIOCESE OF BALT</v>
          </cell>
          <cell r="B15" t="str">
            <v>TERMED</v>
          </cell>
          <cell r="C15" t="str">
            <v>51204</v>
          </cell>
          <cell r="D15">
            <v>51204</v>
          </cell>
          <cell r="E15">
            <v>0</v>
          </cell>
          <cell r="F15">
            <v>0</v>
          </cell>
          <cell r="G15">
            <v>0</v>
          </cell>
          <cell r="H15">
            <v>0</v>
          </cell>
          <cell r="I15">
            <v>0</v>
          </cell>
          <cell r="J15">
            <v>0</v>
          </cell>
          <cell r="K15">
            <v>0</v>
          </cell>
          <cell r="L15">
            <v>0</v>
          </cell>
        </row>
        <row r="16">
          <cell r="A16" t="str">
            <v>ARGUSS HOLDINGS</v>
          </cell>
          <cell r="B16" t="str">
            <v>TERMED</v>
          </cell>
          <cell r="C16" t="str">
            <v>55231</v>
          </cell>
          <cell r="D16">
            <v>55231</v>
          </cell>
          <cell r="E16">
            <v>0</v>
          </cell>
          <cell r="F16">
            <v>0</v>
          </cell>
          <cell r="G16">
            <v>0</v>
          </cell>
          <cell r="H16">
            <v>0</v>
          </cell>
          <cell r="I16">
            <v>0</v>
          </cell>
          <cell r="J16">
            <v>0</v>
          </cell>
          <cell r="K16">
            <v>0</v>
          </cell>
          <cell r="L16">
            <v>0</v>
          </cell>
        </row>
        <row r="17">
          <cell r="A17" t="str">
            <v>ARINC</v>
          </cell>
          <cell r="B17" t="str">
            <v>JAN</v>
          </cell>
          <cell r="C17" t="str">
            <v>61841</v>
          </cell>
          <cell r="D17">
            <v>61841</v>
          </cell>
          <cell r="E17">
            <v>487124.7</v>
          </cell>
          <cell r="F17">
            <v>586572.80000000005</v>
          </cell>
          <cell r="G17">
            <v>48577</v>
          </cell>
          <cell r="H17">
            <v>50785</v>
          </cell>
          <cell r="I17">
            <v>10.027887683471601</v>
          </cell>
          <cell r="J17">
            <v>11.550119129664273</v>
          </cell>
          <cell r="K17">
            <v>0.20415326917317089</v>
          </cell>
          <cell r="L17">
            <v>0.15179981011371724</v>
          </cell>
        </row>
        <row r="18">
          <cell r="A18" t="str">
            <v>ASBURY SERVICES</v>
          </cell>
          <cell r="B18" t="str">
            <v>AUG</v>
          </cell>
          <cell r="C18" t="str">
            <v>60918</v>
          </cell>
          <cell r="D18">
            <v>60918</v>
          </cell>
          <cell r="E18">
            <v>0</v>
          </cell>
          <cell r="F18">
            <v>0</v>
          </cell>
          <cell r="G18">
            <v>21703</v>
          </cell>
          <cell r="H18">
            <v>22515.45</v>
          </cell>
          <cell r="I18">
            <v>0</v>
          </cell>
          <cell r="J18">
            <v>0</v>
          </cell>
          <cell r="K18">
            <v>0</v>
          </cell>
          <cell r="L18">
            <v>0</v>
          </cell>
        </row>
        <row r="19">
          <cell r="A19" t="str">
            <v>ASTRA ZENECA</v>
          </cell>
          <cell r="B19" t="str">
            <v>JAN</v>
          </cell>
          <cell r="C19" t="str">
            <v>59288</v>
          </cell>
          <cell r="D19">
            <v>59288</v>
          </cell>
          <cell r="E19">
            <v>0</v>
          </cell>
          <cell r="F19">
            <v>0</v>
          </cell>
          <cell r="G19">
            <v>138625</v>
          </cell>
          <cell r="H19">
            <v>146509</v>
          </cell>
          <cell r="I19">
            <v>0</v>
          </cell>
          <cell r="J19">
            <v>0</v>
          </cell>
          <cell r="K19">
            <v>0</v>
          </cell>
          <cell r="L19">
            <v>0</v>
          </cell>
        </row>
        <row r="20">
          <cell r="A20" t="str">
            <v>BALTIMORE CO ENTITES</v>
          </cell>
          <cell r="B20" t="str">
            <v>SEP</v>
          </cell>
          <cell r="C20" t="str">
            <v>07320</v>
          </cell>
          <cell r="D20" t="str">
            <v>07320</v>
          </cell>
          <cell r="E20">
            <v>0</v>
          </cell>
          <cell r="F20">
            <v>0</v>
          </cell>
          <cell r="G20">
            <v>590609</v>
          </cell>
          <cell r="H20">
            <v>583961.80000000005</v>
          </cell>
          <cell r="I20">
            <v>0</v>
          </cell>
          <cell r="J20">
            <v>0</v>
          </cell>
          <cell r="K20">
            <v>0</v>
          </cell>
          <cell r="L20">
            <v>0</v>
          </cell>
        </row>
        <row r="21">
          <cell r="A21" t="str">
            <v>BALTIMORE LIFE</v>
          </cell>
          <cell r="B21" t="str">
            <v>JAN</v>
          </cell>
          <cell r="C21" t="str">
            <v>28286</v>
          </cell>
          <cell r="D21">
            <v>28286</v>
          </cell>
          <cell r="E21">
            <v>78879.149999999994</v>
          </cell>
          <cell r="F21">
            <v>119085.66</v>
          </cell>
          <cell r="G21">
            <v>5647</v>
          </cell>
          <cell r="H21">
            <v>4940</v>
          </cell>
          <cell r="I21">
            <v>13.968328315919958</v>
          </cell>
          <cell r="J21">
            <v>24.106408906882589</v>
          </cell>
          <cell r="K21">
            <v>0.50972291156788541</v>
          </cell>
          <cell r="L21">
            <v>0.72579054283883604</v>
          </cell>
        </row>
        <row r="22">
          <cell r="A22" t="str">
            <v>BAY BUSINESS SOLUTIONS</v>
          </cell>
          <cell r="B22" t="str">
            <v>JAN</v>
          </cell>
          <cell r="C22" t="str">
            <v>49213</v>
          </cell>
          <cell r="D22">
            <v>49213</v>
          </cell>
          <cell r="E22">
            <v>79616.34</v>
          </cell>
          <cell r="F22">
            <v>110502.12</v>
          </cell>
          <cell r="G22">
            <v>9899</v>
          </cell>
          <cell r="H22">
            <v>11217</v>
          </cell>
          <cell r="I22">
            <v>8.0428669562582069</v>
          </cell>
          <cell r="J22">
            <v>9.8513078363198705</v>
          </cell>
          <cell r="K22">
            <v>0.38793267814119536</v>
          </cell>
          <cell r="L22">
            <v>0.22485027912273292</v>
          </cell>
        </row>
        <row r="23">
          <cell r="A23" t="str">
            <v>BESCHE OIL</v>
          </cell>
          <cell r="B23" t="str">
            <v>TERMED</v>
          </cell>
          <cell r="C23" t="str">
            <v>09392</v>
          </cell>
          <cell r="D23" t="str">
            <v>09392</v>
          </cell>
          <cell r="E23">
            <v>0</v>
          </cell>
          <cell r="F23">
            <v>0</v>
          </cell>
          <cell r="G23">
            <v>0</v>
          </cell>
          <cell r="H23">
            <v>0</v>
          </cell>
          <cell r="I23">
            <v>0</v>
          </cell>
          <cell r="J23">
            <v>0</v>
          </cell>
          <cell r="K23">
            <v>0</v>
          </cell>
          <cell r="L23">
            <v>0</v>
          </cell>
        </row>
        <row r="24">
          <cell r="A24" t="str">
            <v>BGE</v>
          </cell>
          <cell r="B24" t="str">
            <v>TERMED</v>
          </cell>
          <cell r="C24" t="str">
            <v>7528</v>
          </cell>
          <cell r="D24">
            <v>7528</v>
          </cell>
          <cell r="E24">
            <v>0</v>
          </cell>
          <cell r="F24">
            <v>0</v>
          </cell>
          <cell r="G24">
            <v>0</v>
          </cell>
          <cell r="H24">
            <v>0</v>
          </cell>
          <cell r="I24">
            <v>0</v>
          </cell>
          <cell r="J24">
            <v>0</v>
          </cell>
          <cell r="K24">
            <v>0</v>
          </cell>
          <cell r="L24">
            <v>0</v>
          </cell>
        </row>
        <row r="25">
          <cell r="A25" t="str">
            <v>BIEDERLACK OF AMERICA CORP</v>
          </cell>
          <cell r="B25" t="str">
            <v>JUN</v>
          </cell>
          <cell r="C25" t="str">
            <v>51149</v>
          </cell>
          <cell r="D25">
            <v>51149</v>
          </cell>
          <cell r="E25">
            <v>81430.679999999993</v>
          </cell>
          <cell r="F25">
            <v>179524.45863420001</v>
          </cell>
          <cell r="G25">
            <v>3247</v>
          </cell>
          <cell r="H25">
            <v>5611.55</v>
          </cell>
          <cell r="I25">
            <v>25.078743455497385</v>
          </cell>
          <cell r="J25">
            <v>31.991955633327695</v>
          </cell>
          <cell r="K25">
            <v>1.2046292458100556</v>
          </cell>
          <cell r="L25">
            <v>0.2756602295524857</v>
          </cell>
        </row>
        <row r="26">
          <cell r="A26" t="str">
            <v>BOARD OF CHILD CARE</v>
          </cell>
          <cell r="B26" t="str">
            <v>JUL</v>
          </cell>
          <cell r="C26" t="str">
            <v>46919</v>
          </cell>
          <cell r="D26">
            <v>46919</v>
          </cell>
          <cell r="E26">
            <v>56487.41</v>
          </cell>
          <cell r="F26">
            <v>66392.050360000008</v>
          </cell>
          <cell r="G26">
            <v>5357</v>
          </cell>
          <cell r="H26">
            <v>5154.62</v>
          </cell>
          <cell r="I26">
            <v>10.544597722605937</v>
          </cell>
          <cell r="J26">
            <v>12.880105683833143</v>
          </cell>
          <cell r="K26">
            <v>0.17534244108554464</v>
          </cell>
          <cell r="L26">
            <v>0.221488578575193</v>
          </cell>
        </row>
        <row r="27">
          <cell r="A27" t="str">
            <v>BP SOLAREX</v>
          </cell>
          <cell r="B27" t="str">
            <v>TERMED</v>
          </cell>
          <cell r="C27" t="str">
            <v>59766</v>
          </cell>
          <cell r="D27">
            <v>59766</v>
          </cell>
          <cell r="E27">
            <v>0</v>
          </cell>
          <cell r="F27">
            <v>0</v>
          </cell>
          <cell r="G27">
            <v>0</v>
          </cell>
          <cell r="H27">
            <v>0</v>
          </cell>
          <cell r="I27">
            <v>0</v>
          </cell>
          <cell r="J27">
            <v>0</v>
          </cell>
          <cell r="K27">
            <v>0</v>
          </cell>
          <cell r="L27">
            <v>0</v>
          </cell>
        </row>
        <row r="28">
          <cell r="A28" t="str">
            <v>CALVERT CO ENTITIES   RETRO</v>
          </cell>
          <cell r="B28" t="str">
            <v>JUL</v>
          </cell>
          <cell r="C28" t="str">
            <v>08262</v>
          </cell>
          <cell r="D28" t="str">
            <v>08262</v>
          </cell>
          <cell r="E28">
            <v>689738.17</v>
          </cell>
          <cell r="F28">
            <v>580714.66375000007</v>
          </cell>
          <cell r="G28">
            <v>55010</v>
          </cell>
          <cell r="H28">
            <v>54597.68</v>
          </cell>
          <cell r="I28">
            <v>12.53841428831122</v>
          </cell>
          <cell r="J28">
            <v>10.636251645674324</v>
          </cell>
          <cell r="K28">
            <v>-0.15806506148557797</v>
          </cell>
          <cell r="L28">
            <v>-0.15170679472683901</v>
          </cell>
        </row>
        <row r="29">
          <cell r="A29" t="str">
            <v>CAMBREX BIOWHITTAKER</v>
          </cell>
          <cell r="B29" t="str">
            <v>JAN</v>
          </cell>
          <cell r="C29" t="str">
            <v>56828</v>
          </cell>
          <cell r="D29">
            <v>56828</v>
          </cell>
          <cell r="E29">
            <v>458924.4</v>
          </cell>
          <cell r="F29">
            <v>582065</v>
          </cell>
          <cell r="G29">
            <v>18367</v>
          </cell>
          <cell r="H29">
            <v>18613</v>
          </cell>
          <cell r="I29">
            <v>24.986355964501548</v>
          </cell>
          <cell r="J29">
            <v>31.271960457744587</v>
          </cell>
          <cell r="K29">
            <v>0.26832436889387457</v>
          </cell>
          <cell r="L29">
            <v>0.25156147227603265</v>
          </cell>
        </row>
        <row r="30">
          <cell r="A30" t="str">
            <v>CAREFIRST</v>
          </cell>
          <cell r="B30" t="str">
            <v>APR</v>
          </cell>
          <cell r="C30" t="str">
            <v>07277</v>
          </cell>
          <cell r="D30" t="str">
            <v>07277</v>
          </cell>
          <cell r="E30">
            <v>0</v>
          </cell>
          <cell r="F30">
            <v>0</v>
          </cell>
          <cell r="G30">
            <v>87545</v>
          </cell>
          <cell r="H30">
            <v>89515.45</v>
          </cell>
          <cell r="I30">
            <v>0</v>
          </cell>
          <cell r="J30">
            <v>0</v>
          </cell>
          <cell r="K30">
            <v>0</v>
          </cell>
          <cell r="L30">
            <v>0</v>
          </cell>
        </row>
        <row r="31">
          <cell r="A31" t="str">
            <v>CARPENTERS</v>
          </cell>
          <cell r="B31" t="str">
            <v>TERMED</v>
          </cell>
          <cell r="C31" t="str">
            <v>59344</v>
          </cell>
          <cell r="D31">
            <v>59344</v>
          </cell>
          <cell r="E31">
            <v>0</v>
          </cell>
          <cell r="F31">
            <v>0</v>
          </cell>
          <cell r="G31">
            <v>0</v>
          </cell>
          <cell r="H31">
            <v>0</v>
          </cell>
          <cell r="I31">
            <v>0</v>
          </cell>
          <cell r="J31">
            <v>0</v>
          </cell>
          <cell r="K31">
            <v>0</v>
          </cell>
          <cell r="L31">
            <v>0</v>
          </cell>
        </row>
        <row r="32">
          <cell r="A32" t="str">
            <v>CARROLL CO GOVT</v>
          </cell>
          <cell r="B32" t="str">
            <v>JAN</v>
          </cell>
          <cell r="C32" t="str">
            <v>59765</v>
          </cell>
          <cell r="D32">
            <v>59765</v>
          </cell>
          <cell r="E32">
            <v>201753.76</v>
          </cell>
          <cell r="F32">
            <v>229854.3</v>
          </cell>
          <cell r="G32">
            <v>30257</v>
          </cell>
          <cell r="H32">
            <v>30436</v>
          </cell>
          <cell r="I32">
            <v>6.6680027762170733</v>
          </cell>
          <cell r="J32">
            <v>7.5520534892889994</v>
          </cell>
          <cell r="K32">
            <v>0.13928136952689263</v>
          </cell>
          <cell r="L32">
            <v>0.13258103554262024</v>
          </cell>
        </row>
        <row r="33">
          <cell r="A33" t="str">
            <v>CARROLL CO P S</v>
          </cell>
          <cell r="B33" t="str">
            <v>JAN</v>
          </cell>
          <cell r="C33" t="str">
            <v>25698</v>
          </cell>
          <cell r="D33">
            <v>25698</v>
          </cell>
          <cell r="E33">
            <v>0</v>
          </cell>
          <cell r="F33">
            <v>0</v>
          </cell>
          <cell r="G33">
            <v>0</v>
          </cell>
          <cell r="H33">
            <v>0</v>
          </cell>
          <cell r="I33">
            <v>0</v>
          </cell>
          <cell r="J33">
            <v>0</v>
          </cell>
          <cell r="K33">
            <v>0</v>
          </cell>
          <cell r="L33">
            <v>0</v>
          </cell>
        </row>
        <row r="34">
          <cell r="A34" t="str">
            <v>CECIL CO BD OF ED</v>
          </cell>
          <cell r="B34" t="str">
            <v>SEP</v>
          </cell>
          <cell r="C34" t="str">
            <v>28209</v>
          </cell>
          <cell r="D34">
            <v>28209</v>
          </cell>
          <cell r="E34">
            <v>226668.28</v>
          </cell>
          <cell r="F34">
            <v>284875.20726</v>
          </cell>
          <cell r="G34">
            <v>30162</v>
          </cell>
          <cell r="H34">
            <v>32363.56</v>
          </cell>
          <cell r="I34">
            <v>7.5150281811550945</v>
          </cell>
          <cell r="J34">
            <v>8.8023445894085821</v>
          </cell>
          <cell r="K34">
            <v>0.25679343955845968</v>
          </cell>
          <cell r="L34">
            <v>0.17129894622106678</v>
          </cell>
        </row>
        <row r="35">
          <cell r="A35" t="str">
            <v>CECIL CO GOVT</v>
          </cell>
          <cell r="B35" t="str">
            <v>JAN</v>
          </cell>
          <cell r="C35" t="str">
            <v>65766</v>
          </cell>
          <cell r="D35">
            <v>65766</v>
          </cell>
          <cell r="E35">
            <v>0</v>
          </cell>
          <cell r="F35">
            <v>0</v>
          </cell>
          <cell r="G35">
            <v>16367</v>
          </cell>
          <cell r="H35">
            <v>16726</v>
          </cell>
          <cell r="I35">
            <v>0</v>
          </cell>
          <cell r="J35">
            <v>0</v>
          </cell>
          <cell r="K35">
            <v>0</v>
          </cell>
          <cell r="L35">
            <v>0</v>
          </cell>
        </row>
        <row r="36">
          <cell r="A36" t="str">
            <v>CEDAR ENTERPRISE SOLUTIONS</v>
          </cell>
          <cell r="B36" t="str">
            <v>JAN</v>
          </cell>
          <cell r="C36" t="str">
            <v>64048</v>
          </cell>
          <cell r="D36">
            <v>64048</v>
          </cell>
          <cell r="E36">
            <v>0</v>
          </cell>
          <cell r="F36">
            <v>0</v>
          </cell>
          <cell r="G36">
            <v>5787</v>
          </cell>
          <cell r="H36">
            <v>5076</v>
          </cell>
          <cell r="I36">
            <v>0</v>
          </cell>
          <cell r="J36">
            <v>0</v>
          </cell>
          <cell r="K36">
            <v>0</v>
          </cell>
          <cell r="L36">
            <v>0</v>
          </cell>
        </row>
        <row r="37">
          <cell r="A37" t="str">
            <v>CHARLES CO COMM</v>
          </cell>
          <cell r="B37" t="str">
            <v>JUL</v>
          </cell>
          <cell r="C37" t="str">
            <v>08174</v>
          </cell>
          <cell r="D37" t="str">
            <v>08174</v>
          </cell>
          <cell r="E37">
            <v>142506.42000000001</v>
          </cell>
          <cell r="F37">
            <v>164881.96158000003</v>
          </cell>
          <cell r="G37">
            <v>18907</v>
          </cell>
          <cell r="H37">
            <v>19490.96</v>
          </cell>
          <cell r="I37">
            <v>7.5372306553128476</v>
          </cell>
          <cell r="J37">
            <v>8.4594069035080892</v>
          </cell>
          <cell r="K37">
            <v>0.15701427051497063</v>
          </cell>
          <cell r="L37">
            <v>0.12234947958574383</v>
          </cell>
        </row>
        <row r="38">
          <cell r="A38" t="str">
            <v>CHESAPEAKE PUBLISHING</v>
          </cell>
          <cell r="B38" t="str">
            <v>JAN</v>
          </cell>
          <cell r="C38" t="str">
            <v>17940</v>
          </cell>
          <cell r="D38">
            <v>17940</v>
          </cell>
          <cell r="E38">
            <v>136438.20000000001</v>
          </cell>
          <cell r="F38">
            <v>161962</v>
          </cell>
          <cell r="G38">
            <v>5350</v>
          </cell>
          <cell r="H38">
            <v>5415</v>
          </cell>
          <cell r="I38">
            <v>25.502467289719622</v>
          </cell>
          <cell r="J38">
            <v>29.90987996306556</v>
          </cell>
          <cell r="K38">
            <v>0.18707224223128138</v>
          </cell>
          <cell r="L38">
            <v>0.17282299093949338</v>
          </cell>
        </row>
        <row r="39">
          <cell r="A39" t="str">
            <v>CIENA</v>
          </cell>
          <cell r="B39" t="str">
            <v>JAN</v>
          </cell>
          <cell r="C39" t="str">
            <v>65740</v>
          </cell>
          <cell r="D39">
            <v>65740</v>
          </cell>
          <cell r="E39">
            <v>0</v>
          </cell>
          <cell r="F39">
            <v>155815.88</v>
          </cell>
          <cell r="G39">
            <v>11709</v>
          </cell>
          <cell r="H39">
            <v>14609</v>
          </cell>
          <cell r="I39">
            <v>0</v>
          </cell>
          <cell r="J39">
            <v>10.665745773153535</v>
          </cell>
          <cell r="K39">
            <v>0</v>
          </cell>
          <cell r="L39">
            <v>0</v>
          </cell>
        </row>
        <row r="40">
          <cell r="A40" t="str">
            <v>CITY OF ANNAPOLIS</v>
          </cell>
          <cell r="B40" t="str">
            <v>JUL</v>
          </cell>
          <cell r="C40" t="str">
            <v>12598</v>
          </cell>
          <cell r="D40">
            <v>12598</v>
          </cell>
          <cell r="E40">
            <v>0</v>
          </cell>
          <cell r="F40">
            <v>0</v>
          </cell>
          <cell r="G40">
            <v>14688</v>
          </cell>
          <cell r="H40">
            <v>15081</v>
          </cell>
          <cell r="I40">
            <v>0</v>
          </cell>
          <cell r="J40">
            <v>0</v>
          </cell>
          <cell r="K40">
            <v>0</v>
          </cell>
          <cell r="L40">
            <v>0</v>
          </cell>
        </row>
        <row r="41">
          <cell r="A41" t="str">
            <v>CITY OF BALT. BD OF ED RETRO</v>
          </cell>
          <cell r="B41" t="str">
            <v>JAN</v>
          </cell>
          <cell r="C41" t="str">
            <v>63584</v>
          </cell>
          <cell r="D41">
            <v>63584</v>
          </cell>
          <cell r="E41">
            <v>0</v>
          </cell>
          <cell r="F41">
            <v>0</v>
          </cell>
          <cell r="G41">
            <v>172883</v>
          </cell>
          <cell r="H41">
            <v>159736</v>
          </cell>
          <cell r="I41">
            <v>0</v>
          </cell>
          <cell r="J41">
            <v>0</v>
          </cell>
          <cell r="K41">
            <v>0</v>
          </cell>
          <cell r="L41">
            <v>0</v>
          </cell>
        </row>
        <row r="42">
          <cell r="A42" t="str">
            <v>CITY OF BALTIMORE RETRO</v>
          </cell>
          <cell r="B42" t="str">
            <v>JAN</v>
          </cell>
          <cell r="C42" t="str">
            <v>07495</v>
          </cell>
          <cell r="D42" t="str">
            <v>07495</v>
          </cell>
          <cell r="E42">
            <v>0</v>
          </cell>
          <cell r="F42">
            <v>0</v>
          </cell>
          <cell r="G42">
            <v>513730</v>
          </cell>
          <cell r="H42">
            <v>497930</v>
          </cell>
          <cell r="I42">
            <v>0</v>
          </cell>
          <cell r="J42">
            <v>0</v>
          </cell>
          <cell r="K42">
            <v>0</v>
          </cell>
          <cell r="L42">
            <v>0</v>
          </cell>
        </row>
        <row r="43">
          <cell r="A43" t="str">
            <v>CJ MILLER</v>
          </cell>
          <cell r="B43" t="str">
            <v>MAR</v>
          </cell>
          <cell r="C43" t="str">
            <v>62461</v>
          </cell>
          <cell r="D43">
            <v>62461</v>
          </cell>
          <cell r="E43">
            <v>0</v>
          </cell>
          <cell r="F43">
            <v>0</v>
          </cell>
          <cell r="G43">
            <v>4927</v>
          </cell>
          <cell r="H43">
            <v>4967</v>
          </cell>
          <cell r="I43">
            <v>0</v>
          </cell>
          <cell r="J43">
            <v>0</v>
          </cell>
          <cell r="K43">
            <v>0</v>
          </cell>
          <cell r="L43">
            <v>0</v>
          </cell>
        </row>
        <row r="44">
          <cell r="A44" t="str">
            <v>COLUMBIA NATIONAL</v>
          </cell>
          <cell r="B44" t="str">
            <v>TERMED</v>
          </cell>
          <cell r="C44" t="str">
            <v>27416</v>
          </cell>
          <cell r="D44">
            <v>27416</v>
          </cell>
          <cell r="E44">
            <v>55607.37</v>
          </cell>
          <cell r="F44">
            <v>0</v>
          </cell>
          <cell r="G44">
            <v>2782</v>
          </cell>
          <cell r="H44">
            <v>0</v>
          </cell>
          <cell r="I44">
            <v>19.988271028037381</v>
          </cell>
          <cell r="J44">
            <v>0</v>
          </cell>
          <cell r="K44">
            <v>-1</v>
          </cell>
          <cell r="L44">
            <v>-1</v>
          </cell>
        </row>
        <row r="45">
          <cell r="A45" t="str">
            <v>COMPUDYNE</v>
          </cell>
          <cell r="B45" t="str">
            <v>MAR</v>
          </cell>
          <cell r="C45" t="str">
            <v>60328</v>
          </cell>
          <cell r="D45">
            <v>60328</v>
          </cell>
          <cell r="E45">
            <v>0</v>
          </cell>
          <cell r="F45">
            <v>0</v>
          </cell>
          <cell r="G45">
            <v>18785</v>
          </cell>
          <cell r="H45">
            <v>18542.5</v>
          </cell>
          <cell r="I45">
            <v>0</v>
          </cell>
          <cell r="J45">
            <v>0</v>
          </cell>
          <cell r="K45">
            <v>0</v>
          </cell>
          <cell r="L45">
            <v>0</v>
          </cell>
        </row>
        <row r="46">
          <cell r="A46" t="str">
            <v>CONSTELLATION ENERGY GROUP</v>
          </cell>
          <cell r="B46" t="str">
            <v>JAN</v>
          </cell>
          <cell r="C46" t="str">
            <v>54748</v>
          </cell>
          <cell r="D46">
            <v>54748</v>
          </cell>
          <cell r="E46">
            <v>0</v>
          </cell>
          <cell r="F46">
            <v>0</v>
          </cell>
          <cell r="G46">
            <v>201139</v>
          </cell>
          <cell r="H46">
            <v>203357</v>
          </cell>
          <cell r="I46">
            <v>0</v>
          </cell>
          <cell r="J46">
            <v>0</v>
          </cell>
          <cell r="K46">
            <v>0</v>
          </cell>
          <cell r="L46">
            <v>0</v>
          </cell>
        </row>
        <row r="47">
          <cell r="A47" t="str">
            <v>CORVIS</v>
          </cell>
          <cell r="B47" t="str">
            <v>TERMED</v>
          </cell>
          <cell r="C47" t="str">
            <v>61500</v>
          </cell>
          <cell r="D47">
            <v>61500</v>
          </cell>
          <cell r="E47">
            <v>40896.57</v>
          </cell>
          <cell r="F47">
            <v>74.25</v>
          </cell>
          <cell r="G47">
            <v>4093</v>
          </cell>
          <cell r="H47">
            <v>0</v>
          </cell>
          <cell r="I47">
            <v>9.9918323967749814</v>
          </cell>
          <cell r="J47">
            <v>0</v>
          </cell>
          <cell r="K47">
            <v>-0.9981844443189245</v>
          </cell>
          <cell r="L47">
            <v>-1</v>
          </cell>
        </row>
        <row r="48">
          <cell r="A48" t="str">
            <v>DANIEL G SCHUSTER INC</v>
          </cell>
          <cell r="B48" t="str">
            <v>MAY</v>
          </cell>
          <cell r="C48" t="str">
            <v>55220</v>
          </cell>
          <cell r="D48">
            <v>55220</v>
          </cell>
          <cell r="E48">
            <v>142955.93</v>
          </cell>
          <cell r="F48">
            <v>299139.74379200005</v>
          </cell>
          <cell r="G48">
            <v>6439</v>
          </cell>
          <cell r="H48">
            <v>10590.08</v>
          </cell>
          <cell r="I48">
            <v>22.201573225656158</v>
          </cell>
          <cell r="J48">
            <v>28.247165629721401</v>
          </cell>
          <cell r="K48">
            <v>1.0925312002936853</v>
          </cell>
          <cell r="L48">
            <v>0.27230468501569738</v>
          </cell>
        </row>
        <row r="49">
          <cell r="A49" t="str">
            <v>DAVID EDWARD</v>
          </cell>
          <cell r="B49" t="str">
            <v>TERMED</v>
          </cell>
          <cell r="C49" t="str">
            <v>36554</v>
          </cell>
          <cell r="D49">
            <v>36554</v>
          </cell>
          <cell r="E49">
            <v>0</v>
          </cell>
          <cell r="F49">
            <v>0</v>
          </cell>
          <cell r="G49">
            <v>0</v>
          </cell>
          <cell r="H49">
            <v>0</v>
          </cell>
          <cell r="I49">
            <v>0</v>
          </cell>
          <cell r="J49">
            <v>0</v>
          </cell>
          <cell r="K49">
            <v>0</v>
          </cell>
          <cell r="L49">
            <v>0</v>
          </cell>
        </row>
        <row r="50">
          <cell r="A50" t="str">
            <v>DIAMOND COMICS</v>
          </cell>
          <cell r="B50" t="str">
            <v>JAN</v>
          </cell>
          <cell r="C50" t="str">
            <v>52326</v>
          </cell>
          <cell r="D50">
            <v>52326</v>
          </cell>
          <cell r="E50">
            <v>77749.440000000002</v>
          </cell>
          <cell r="F50">
            <v>69213</v>
          </cell>
          <cell r="G50">
            <v>6386</v>
          </cell>
          <cell r="H50">
            <v>6439</v>
          </cell>
          <cell r="I50">
            <v>12.174982774819918</v>
          </cell>
          <cell r="J50">
            <v>10.749029352383909</v>
          </cell>
          <cell r="K50">
            <v>-0.10979423131536403</v>
          </cell>
          <cell r="L50">
            <v>-0.11712159670444389</v>
          </cell>
        </row>
        <row r="51">
          <cell r="A51" t="str">
            <v>DIETRICH INDUSTRIES</v>
          </cell>
          <cell r="B51" t="str">
            <v>TERMED</v>
          </cell>
          <cell r="C51" t="str">
            <v>0</v>
          </cell>
          <cell r="D51">
            <v>0</v>
          </cell>
          <cell r="E51">
            <v>0</v>
          </cell>
          <cell r="F51">
            <v>0</v>
          </cell>
          <cell r="G51">
            <v>0</v>
          </cell>
          <cell r="H51">
            <v>0</v>
          </cell>
          <cell r="I51">
            <v>0</v>
          </cell>
          <cell r="J51">
            <v>0</v>
          </cell>
          <cell r="K51">
            <v>0</v>
          </cell>
          <cell r="L51">
            <v>0</v>
          </cell>
        </row>
        <row r="52">
          <cell r="A52" t="str">
            <v>DIGEX</v>
          </cell>
          <cell r="B52" t="str">
            <v>TERMED</v>
          </cell>
          <cell r="C52" t="str">
            <v>61863</v>
          </cell>
          <cell r="D52">
            <v>61863</v>
          </cell>
          <cell r="E52">
            <v>19581.060000000001</v>
          </cell>
          <cell r="F52">
            <v>0</v>
          </cell>
          <cell r="G52">
            <v>14377</v>
          </cell>
          <cell r="H52">
            <v>5</v>
          </cell>
          <cell r="I52">
            <v>1.3619712040063991</v>
          </cell>
          <cell r="J52">
            <v>0</v>
          </cell>
          <cell r="K52">
            <v>-1</v>
          </cell>
          <cell r="L52">
            <v>-1</v>
          </cell>
        </row>
        <row r="53">
          <cell r="A53" t="str">
            <v>DRAPER COMMUNICATIONS</v>
          </cell>
          <cell r="B53" t="str">
            <v>MAY</v>
          </cell>
          <cell r="C53" t="str">
            <v>29216</v>
          </cell>
          <cell r="D53">
            <v>29216</v>
          </cell>
          <cell r="E53">
            <v>50720.3</v>
          </cell>
          <cell r="F53">
            <v>64221.698560000019</v>
          </cell>
          <cell r="G53">
            <v>3664</v>
          </cell>
          <cell r="H53">
            <v>3699.48</v>
          </cell>
          <cell r="I53">
            <v>13.842876637554586</v>
          </cell>
          <cell r="J53">
            <v>17.359655562403372</v>
          </cell>
          <cell r="K53">
            <v>0.26619319207496828</v>
          </cell>
          <cell r="L53">
            <v>0.25404971935587817</v>
          </cell>
        </row>
        <row r="54">
          <cell r="A54" t="str">
            <v>DUNBAR ARMORED</v>
          </cell>
          <cell r="B54" t="str">
            <v>JAN</v>
          </cell>
          <cell r="C54" t="str">
            <v>29032</v>
          </cell>
          <cell r="D54">
            <v>29032</v>
          </cell>
          <cell r="E54">
            <v>569490.18000000005</v>
          </cell>
          <cell r="F54">
            <v>0</v>
          </cell>
          <cell r="G54">
            <v>32857</v>
          </cell>
          <cell r="H54">
            <v>34186</v>
          </cell>
          <cell r="I54">
            <v>17.33238518428341</v>
          </cell>
          <cell r="J54">
            <v>0</v>
          </cell>
          <cell r="K54">
            <v>-1</v>
          </cell>
          <cell r="L54">
            <v>-1</v>
          </cell>
        </row>
        <row r="55">
          <cell r="A55" t="str">
            <v>DURATEK</v>
          </cell>
          <cell r="B55" t="str">
            <v>JAN</v>
          </cell>
          <cell r="C55" t="str">
            <v>59327</v>
          </cell>
          <cell r="D55">
            <v>59327</v>
          </cell>
          <cell r="E55">
            <v>278791.84000000003</v>
          </cell>
          <cell r="F55">
            <v>30643.200000000001</v>
          </cell>
          <cell r="G55">
            <v>29972</v>
          </cell>
          <cell r="H55">
            <v>30388</v>
          </cell>
          <cell r="I55">
            <v>9.3017429600960906</v>
          </cell>
          <cell r="J55">
            <v>1.0083980518625772</v>
          </cell>
          <cell r="K55">
            <v>-0.89008573565137339</v>
          </cell>
          <cell r="L55">
            <v>-0.89159041953873119</v>
          </cell>
        </row>
        <row r="56">
          <cell r="A56" t="str">
            <v>DURON INC</v>
          </cell>
          <cell r="B56" t="str">
            <v>TERMED</v>
          </cell>
          <cell r="C56" t="str">
            <v>56824</v>
          </cell>
          <cell r="D56">
            <v>56824</v>
          </cell>
          <cell r="E56">
            <v>0</v>
          </cell>
          <cell r="F56">
            <v>0</v>
          </cell>
          <cell r="G56">
            <v>39869</v>
          </cell>
          <cell r="H56">
            <v>24</v>
          </cell>
          <cell r="I56">
            <v>0</v>
          </cell>
          <cell r="J56">
            <v>0</v>
          </cell>
          <cell r="K56">
            <v>0</v>
          </cell>
          <cell r="L56">
            <v>0</v>
          </cell>
        </row>
        <row r="57">
          <cell r="A57" t="str">
            <v>DUTY FREE AMERICAS</v>
          </cell>
          <cell r="B57" t="str">
            <v>TERMED</v>
          </cell>
          <cell r="C57" t="str">
            <v>59982</v>
          </cell>
          <cell r="D57">
            <v>59982</v>
          </cell>
          <cell r="E57">
            <v>22268.52</v>
          </cell>
          <cell r="F57">
            <v>0</v>
          </cell>
          <cell r="G57">
            <v>1512</v>
          </cell>
          <cell r="H57">
            <v>0</v>
          </cell>
          <cell r="I57">
            <v>14.727857142857141</v>
          </cell>
          <cell r="J57">
            <v>0</v>
          </cell>
          <cell r="K57">
            <v>-1</v>
          </cell>
          <cell r="L57">
            <v>-1</v>
          </cell>
        </row>
        <row r="58">
          <cell r="A58" t="str">
            <v>DVCC</v>
          </cell>
          <cell r="B58" t="str">
            <v>JAN</v>
          </cell>
          <cell r="C58" t="str">
            <v>48987</v>
          </cell>
          <cell r="D58">
            <v>48987</v>
          </cell>
          <cell r="E58">
            <v>0</v>
          </cell>
          <cell r="F58">
            <v>0</v>
          </cell>
          <cell r="G58">
            <v>22024</v>
          </cell>
          <cell r="H58">
            <v>20665</v>
          </cell>
          <cell r="I58">
            <v>0</v>
          </cell>
          <cell r="J58">
            <v>0</v>
          </cell>
          <cell r="K58">
            <v>0</v>
          </cell>
          <cell r="L58">
            <v>0</v>
          </cell>
        </row>
        <row r="59">
          <cell r="A59" t="str">
            <v>EA ENGINEERING</v>
          </cell>
          <cell r="B59" t="str">
            <v>JAN</v>
          </cell>
          <cell r="C59" t="str">
            <v>44713</v>
          </cell>
          <cell r="D59">
            <v>44713</v>
          </cell>
          <cell r="E59">
            <v>91874.19</v>
          </cell>
          <cell r="F59">
            <v>0</v>
          </cell>
          <cell r="G59">
            <v>8135</v>
          </cell>
          <cell r="H59">
            <v>8353</v>
          </cell>
          <cell r="I59">
            <v>11.293692685925016</v>
          </cell>
          <cell r="J59">
            <v>0</v>
          </cell>
          <cell r="K59">
            <v>-1</v>
          </cell>
          <cell r="L59">
            <v>-1</v>
          </cell>
        </row>
        <row r="60">
          <cell r="A60" t="str">
            <v>EAI CORPORATION</v>
          </cell>
          <cell r="B60" t="str">
            <v>JUL</v>
          </cell>
          <cell r="C60" t="str">
            <v>52612</v>
          </cell>
          <cell r="D60">
            <v>52612</v>
          </cell>
          <cell r="E60">
            <v>171800.82</v>
          </cell>
          <cell r="F60">
            <v>218064.39840000003</v>
          </cell>
          <cell r="G60">
            <v>9965</v>
          </cell>
          <cell r="H60">
            <v>12137.42</v>
          </cell>
          <cell r="I60">
            <v>17.240423482187659</v>
          </cell>
          <cell r="J60">
            <v>17.966289244336942</v>
          </cell>
          <cell r="K60">
            <v>0.26928613262730661</v>
          </cell>
          <cell r="L60">
            <v>4.2102548287124675E-2</v>
          </cell>
        </row>
        <row r="61">
          <cell r="A61" t="str">
            <v>EDUCATE</v>
          </cell>
          <cell r="B61" t="str">
            <v>JAN</v>
          </cell>
          <cell r="C61" t="str">
            <v>65575</v>
          </cell>
          <cell r="D61">
            <v>65575</v>
          </cell>
          <cell r="E61">
            <v>163966.32</v>
          </cell>
          <cell r="F61">
            <v>251877.96</v>
          </cell>
          <cell r="G61">
            <v>30874</v>
          </cell>
          <cell r="H61">
            <v>34499</v>
          </cell>
          <cell r="I61">
            <v>5.3108220509166291</v>
          </cell>
          <cell r="J61">
            <v>7.3010220586103962</v>
          </cell>
          <cell r="K61">
            <v>0.53615669364293872</v>
          </cell>
          <cell r="L61">
            <v>0.37474424648633553</v>
          </cell>
        </row>
        <row r="62">
          <cell r="A62" t="str">
            <v>ENTERPRISE FOUNDATION</v>
          </cell>
          <cell r="B62" t="str">
            <v>JAN</v>
          </cell>
          <cell r="C62" t="str">
            <v>27413</v>
          </cell>
          <cell r="D62">
            <v>27413</v>
          </cell>
          <cell r="E62">
            <v>181037.22</v>
          </cell>
          <cell r="F62">
            <v>285357.78000000003</v>
          </cell>
          <cell r="G62">
            <v>9699</v>
          </cell>
          <cell r="H62">
            <v>9939</v>
          </cell>
          <cell r="I62">
            <v>18.665555211877518</v>
          </cell>
          <cell r="J62">
            <v>28.710914578931479</v>
          </cell>
          <cell r="K62">
            <v>0.57623819013570765</v>
          </cell>
          <cell r="L62">
            <v>0.5381762960183345</v>
          </cell>
        </row>
        <row r="63">
          <cell r="A63" t="str">
            <v>EPISCOPAL DIOCESE</v>
          </cell>
          <cell r="B63" t="str">
            <v>TERMED</v>
          </cell>
          <cell r="C63" t="str">
            <v>10747</v>
          </cell>
          <cell r="D63">
            <v>10747</v>
          </cell>
          <cell r="E63">
            <v>0</v>
          </cell>
          <cell r="F63">
            <v>0</v>
          </cell>
          <cell r="G63">
            <v>0</v>
          </cell>
          <cell r="H63">
            <v>0</v>
          </cell>
          <cell r="I63">
            <v>0</v>
          </cell>
          <cell r="J63">
            <v>0</v>
          </cell>
          <cell r="K63">
            <v>0</v>
          </cell>
          <cell r="L63">
            <v>0</v>
          </cell>
        </row>
        <row r="64">
          <cell r="A64" t="str">
            <v>ESMEC DENTAL &amp; DRUG</v>
          </cell>
          <cell r="B64" t="str">
            <v>SEP</v>
          </cell>
          <cell r="C64" t="str">
            <v>08266</v>
          </cell>
          <cell r="D64" t="str">
            <v>08266</v>
          </cell>
          <cell r="E64">
            <v>0</v>
          </cell>
          <cell r="F64">
            <v>5664.47</v>
          </cell>
          <cell r="G64">
            <v>0</v>
          </cell>
          <cell r="H64">
            <v>0</v>
          </cell>
          <cell r="I64">
            <v>0</v>
          </cell>
          <cell r="J64">
            <v>0</v>
          </cell>
          <cell r="K64">
            <v>0</v>
          </cell>
          <cell r="L64">
            <v>0</v>
          </cell>
        </row>
        <row r="65">
          <cell r="A65" t="str">
            <v>ESMEC MEDICAL RETRO</v>
          </cell>
          <cell r="B65" t="str">
            <v>SEP</v>
          </cell>
          <cell r="C65" t="str">
            <v>08266</v>
          </cell>
          <cell r="D65" t="str">
            <v>08266</v>
          </cell>
          <cell r="E65">
            <v>599045.24</v>
          </cell>
          <cell r="F65">
            <v>658834.53098399984</v>
          </cell>
          <cell r="G65">
            <v>104737</v>
          </cell>
          <cell r="H65">
            <v>104752.04</v>
          </cell>
          <cell r="I65">
            <v>5.7195187946952846</v>
          </cell>
          <cell r="J65">
            <v>6.2894673075961061</v>
          </cell>
          <cell r="K65">
            <v>9.9807638875487603E-2</v>
          </cell>
          <cell r="L65">
            <v>9.9649731622428517E-2</v>
          </cell>
        </row>
        <row r="66">
          <cell r="A66" t="str">
            <v>EVAPCO</v>
          </cell>
          <cell r="B66" t="str">
            <v>JUN</v>
          </cell>
          <cell r="C66" t="str">
            <v>9136</v>
          </cell>
          <cell r="D66">
            <v>9136</v>
          </cell>
          <cell r="E66">
            <v>222421.91</v>
          </cell>
          <cell r="F66">
            <v>266625.847304</v>
          </cell>
          <cell r="G66">
            <v>23926</v>
          </cell>
          <cell r="H66">
            <v>25944.71</v>
          </cell>
          <cell r="I66">
            <v>9.2962429992476814</v>
          </cell>
          <cell r="J66">
            <v>10.276694066112132</v>
          </cell>
          <cell r="K66">
            <v>0.19873913187779024</v>
          </cell>
          <cell r="L66">
            <v>0.10546745249062406</v>
          </cell>
        </row>
        <row r="67">
          <cell r="A67" t="str">
            <v>F&amp;M BANKCORP</v>
          </cell>
          <cell r="B67" t="str">
            <v>TERMED</v>
          </cell>
          <cell r="C67" t="str">
            <v>12078</v>
          </cell>
          <cell r="D67">
            <v>12078</v>
          </cell>
          <cell r="E67">
            <v>0</v>
          </cell>
          <cell r="F67">
            <v>0</v>
          </cell>
          <cell r="G67">
            <v>0</v>
          </cell>
          <cell r="H67">
            <v>0</v>
          </cell>
          <cell r="I67">
            <v>0</v>
          </cell>
          <cell r="J67">
            <v>0</v>
          </cell>
          <cell r="K67">
            <v>0</v>
          </cell>
          <cell r="L67">
            <v>0</v>
          </cell>
        </row>
        <row r="68">
          <cell r="A68" t="str">
            <v>FIELDSTONE MORTGAGE COMPANY</v>
          </cell>
          <cell r="B68" t="str">
            <v>JUL</v>
          </cell>
          <cell r="C68" t="str">
            <v>62874</v>
          </cell>
          <cell r="D68">
            <v>62874</v>
          </cell>
          <cell r="E68">
            <v>173370.55</v>
          </cell>
          <cell r="F68">
            <v>372593.66267199995</v>
          </cell>
          <cell r="G68">
            <v>13552</v>
          </cell>
          <cell r="H68">
            <v>26088.42</v>
          </cell>
          <cell r="I68">
            <v>12.792986275088548</v>
          </cell>
          <cell r="J68">
            <v>14.281955851370071</v>
          </cell>
          <cell r="K68">
            <v>1.1491173828080945</v>
          </cell>
          <cell r="L68">
            <v>0.11638952346732023</v>
          </cell>
        </row>
        <row r="69">
          <cell r="A69" t="str">
            <v>FLOORS</v>
          </cell>
          <cell r="B69" t="str">
            <v>TERMED</v>
          </cell>
          <cell r="C69" t="str">
            <v>60908</v>
          </cell>
          <cell r="D69">
            <v>60908</v>
          </cell>
          <cell r="E69">
            <v>0</v>
          </cell>
          <cell r="F69">
            <v>0</v>
          </cell>
          <cell r="G69">
            <v>0</v>
          </cell>
          <cell r="H69">
            <v>0</v>
          </cell>
          <cell r="I69">
            <v>0</v>
          </cell>
          <cell r="J69">
            <v>0</v>
          </cell>
          <cell r="K69">
            <v>0</v>
          </cell>
          <cell r="L69">
            <v>0</v>
          </cell>
        </row>
        <row r="70">
          <cell r="A70" t="str">
            <v>FREDERICK CO P S</v>
          </cell>
          <cell r="B70" t="str">
            <v>JUL</v>
          </cell>
          <cell r="C70" t="str">
            <v>57887</v>
          </cell>
          <cell r="D70">
            <v>57887</v>
          </cell>
          <cell r="E70">
            <v>356789.57</v>
          </cell>
          <cell r="F70">
            <v>199910.1</v>
          </cell>
          <cell r="G70">
            <v>142570</v>
          </cell>
          <cell r="H70">
            <v>72489</v>
          </cell>
          <cell r="I70">
            <v>2.5025571298309601</v>
          </cell>
          <cell r="J70">
            <v>2.757799114348384</v>
          </cell>
          <cell r="K70">
            <v>-0.43969746649264441</v>
          </cell>
          <cell r="L70">
            <v>0.10199247061131622</v>
          </cell>
        </row>
        <row r="71">
          <cell r="A71" t="str">
            <v>FTI CONSULTING</v>
          </cell>
          <cell r="B71" t="str">
            <v>JAN</v>
          </cell>
          <cell r="C71" t="str">
            <v>63835</v>
          </cell>
          <cell r="D71">
            <v>63835</v>
          </cell>
          <cell r="E71">
            <v>476749.52</v>
          </cell>
          <cell r="F71">
            <v>611264.22</v>
          </cell>
          <cell r="G71">
            <v>24250</v>
          </cell>
          <cell r="H71">
            <v>25379</v>
          </cell>
          <cell r="I71">
            <v>19.659774020618556</v>
          </cell>
          <cell r="J71">
            <v>24.085433626226408</v>
          </cell>
          <cell r="K71">
            <v>0.28214962859322856</v>
          </cell>
          <cell r="L71">
            <v>0.22511243521753399</v>
          </cell>
        </row>
        <row r="72">
          <cell r="A72" t="str">
            <v>GAMES WORKSHOP</v>
          </cell>
          <cell r="B72" t="str">
            <v>JAN</v>
          </cell>
          <cell r="C72" t="str">
            <v>65730</v>
          </cell>
          <cell r="D72">
            <v>65730</v>
          </cell>
          <cell r="E72">
            <v>0</v>
          </cell>
          <cell r="F72">
            <v>149745.4</v>
          </cell>
          <cell r="G72">
            <v>6972</v>
          </cell>
          <cell r="H72">
            <v>6993</v>
          </cell>
          <cell r="I72">
            <v>0</v>
          </cell>
          <cell r="J72">
            <v>21.413613613613609</v>
          </cell>
          <cell r="K72">
            <v>0</v>
          </cell>
          <cell r="L72">
            <v>0</v>
          </cell>
        </row>
        <row r="73">
          <cell r="A73" t="str">
            <v>GBMC</v>
          </cell>
          <cell r="B73" t="str">
            <v>JAN</v>
          </cell>
          <cell r="C73" t="str">
            <v>61838</v>
          </cell>
          <cell r="D73">
            <v>61838</v>
          </cell>
          <cell r="E73">
            <v>462313.85</v>
          </cell>
          <cell r="F73">
            <v>0</v>
          </cell>
          <cell r="G73">
            <v>41956</v>
          </cell>
          <cell r="H73">
            <v>45012</v>
          </cell>
          <cell r="I73">
            <v>11.01901635046239</v>
          </cell>
          <cell r="J73">
            <v>0</v>
          </cell>
          <cell r="K73">
            <v>-1</v>
          </cell>
          <cell r="L73">
            <v>-1</v>
          </cell>
        </row>
        <row r="74">
          <cell r="A74" t="str">
            <v>GENE LOGIC</v>
          </cell>
          <cell r="B74" t="str">
            <v>SEP</v>
          </cell>
          <cell r="C74" t="str">
            <v>65160</v>
          </cell>
          <cell r="D74">
            <v>65160</v>
          </cell>
          <cell r="E74">
            <v>0</v>
          </cell>
          <cell r="F74">
            <v>0</v>
          </cell>
          <cell r="G74">
            <v>9682</v>
          </cell>
          <cell r="H74">
            <v>9867.7199999999993</v>
          </cell>
          <cell r="I74">
            <v>0</v>
          </cell>
          <cell r="J74">
            <v>0</v>
          </cell>
          <cell r="K74">
            <v>0</v>
          </cell>
          <cell r="L74">
            <v>0</v>
          </cell>
        </row>
        <row r="75">
          <cell r="A75" t="str">
            <v>GRAULS MARKET</v>
          </cell>
          <cell r="B75" t="str">
            <v>TERMED</v>
          </cell>
          <cell r="C75" t="str">
            <v>28563</v>
          </cell>
          <cell r="D75">
            <v>28563</v>
          </cell>
          <cell r="E75">
            <v>0</v>
          </cell>
          <cell r="F75">
            <v>0</v>
          </cell>
          <cell r="G75">
            <v>0</v>
          </cell>
          <cell r="H75">
            <v>0</v>
          </cell>
          <cell r="I75">
            <v>0</v>
          </cell>
          <cell r="J75">
            <v>0</v>
          </cell>
          <cell r="K75">
            <v>0</v>
          </cell>
          <cell r="L75">
            <v>0</v>
          </cell>
        </row>
        <row r="76">
          <cell r="A76" t="str">
            <v>H&amp;S BAKERY</v>
          </cell>
          <cell r="B76" t="str">
            <v>JAN</v>
          </cell>
          <cell r="C76" t="str">
            <v>10058</v>
          </cell>
          <cell r="D76">
            <v>10058</v>
          </cell>
          <cell r="E76">
            <v>718437.72</v>
          </cell>
          <cell r="F76">
            <v>818523.64</v>
          </cell>
          <cell r="G76">
            <v>51138</v>
          </cell>
          <cell r="H76">
            <v>50560</v>
          </cell>
          <cell r="I76">
            <v>14.04899917869295</v>
          </cell>
          <cell r="J76">
            <v>16.189154272151903</v>
          </cell>
          <cell r="K76">
            <v>0.13931050279487001</v>
          </cell>
          <cell r="L76">
            <v>0.15233505719786522</v>
          </cell>
        </row>
        <row r="77">
          <cell r="A77" t="str">
            <v>HANLEY WOOD</v>
          </cell>
          <cell r="B77" t="str">
            <v>JAN</v>
          </cell>
          <cell r="C77" t="str">
            <v>61846</v>
          </cell>
          <cell r="D77">
            <v>61846</v>
          </cell>
          <cell r="E77">
            <v>233427.16</v>
          </cell>
          <cell r="F77">
            <v>295673.14</v>
          </cell>
          <cell r="G77">
            <v>11583</v>
          </cell>
          <cell r="H77">
            <v>12453</v>
          </cell>
          <cell r="I77">
            <v>20.152564965898303</v>
          </cell>
          <cell r="J77">
            <v>23.743125351320959</v>
          </cell>
          <cell r="K77">
            <v>0.26666125741323277</v>
          </cell>
          <cell r="L77">
            <v>0.17816890264333685</v>
          </cell>
        </row>
        <row r="78">
          <cell r="A78" t="str">
            <v>HARFORD CO BD &amp; GOVT RETRO</v>
          </cell>
          <cell r="B78" t="str">
            <v>JUL</v>
          </cell>
          <cell r="C78" t="str">
            <v>10383</v>
          </cell>
          <cell r="D78">
            <v>10383</v>
          </cell>
          <cell r="E78">
            <v>890947.18</v>
          </cell>
          <cell r="F78">
            <v>997462.93658880005</v>
          </cell>
          <cell r="G78">
            <v>179754</v>
          </cell>
          <cell r="H78">
            <v>187005.48</v>
          </cell>
          <cell r="I78">
            <v>4.9564804121187844</v>
          </cell>
          <cell r="J78">
            <v>5.3338700908058971</v>
          </cell>
          <cell r="K78">
            <v>0.1195533910201052</v>
          </cell>
          <cell r="L78">
            <v>7.6140657746650353E-2</v>
          </cell>
        </row>
        <row r="79">
          <cell r="A79" t="str">
            <v>HOMEWOOD RETIREMENT</v>
          </cell>
          <cell r="B79" t="str">
            <v>JAN</v>
          </cell>
          <cell r="C79" t="str">
            <v>50951</v>
          </cell>
          <cell r="D79">
            <v>50951</v>
          </cell>
          <cell r="E79">
            <v>170826.76</v>
          </cell>
          <cell r="F79">
            <v>214191.6</v>
          </cell>
          <cell r="G79">
            <v>12573</v>
          </cell>
          <cell r="H79">
            <v>13008</v>
          </cell>
          <cell r="I79">
            <v>13.586793923486836</v>
          </cell>
          <cell r="J79">
            <v>16.466143911439111</v>
          </cell>
          <cell r="K79">
            <v>0.25385273361152527</v>
          </cell>
          <cell r="L79">
            <v>0.21192269524121388</v>
          </cell>
        </row>
        <row r="80">
          <cell r="A80" t="str">
            <v>HORIZON LINES</v>
          </cell>
          <cell r="B80" t="str">
            <v>JAN</v>
          </cell>
          <cell r="C80" t="str">
            <v>65576</v>
          </cell>
          <cell r="D80">
            <v>65576</v>
          </cell>
          <cell r="E80">
            <v>0</v>
          </cell>
          <cell r="F80">
            <v>0</v>
          </cell>
          <cell r="G80">
            <v>10771</v>
          </cell>
          <cell r="H80">
            <v>11383</v>
          </cell>
          <cell r="I80">
            <v>0</v>
          </cell>
          <cell r="J80">
            <v>0</v>
          </cell>
          <cell r="K80">
            <v>0</v>
          </cell>
          <cell r="L80">
            <v>0</v>
          </cell>
        </row>
        <row r="81">
          <cell r="A81" t="str">
            <v>HOWARD CO GOVT</v>
          </cell>
          <cell r="B81" t="str">
            <v>JUL</v>
          </cell>
          <cell r="C81" t="str">
            <v>10989</v>
          </cell>
          <cell r="D81">
            <v>10989</v>
          </cell>
          <cell r="E81">
            <v>233216.55</v>
          </cell>
          <cell r="F81">
            <v>261485.69312000004</v>
          </cell>
          <cell r="G81">
            <v>20113</v>
          </cell>
          <cell r="H81">
            <v>20184.38</v>
          </cell>
          <cell r="I81">
            <v>11.595313976035399</v>
          </cell>
          <cell r="J81">
            <v>12.954853858280515</v>
          </cell>
          <cell r="K81">
            <v>0.12121413819045035</v>
          </cell>
          <cell r="L81">
            <v>0.11724907881364355</v>
          </cell>
        </row>
        <row r="82">
          <cell r="A82" t="str">
            <v>INTERNATIONAL CODE COUNCIL</v>
          </cell>
          <cell r="B82" t="str">
            <v>JUL</v>
          </cell>
          <cell r="C82" t="str">
            <v>64778</v>
          </cell>
          <cell r="D82">
            <v>64778</v>
          </cell>
          <cell r="E82">
            <v>315696.96000000002</v>
          </cell>
          <cell r="F82">
            <v>366801.31007999997</v>
          </cell>
          <cell r="G82">
            <v>10574</v>
          </cell>
          <cell r="H82">
            <v>10579.68</v>
          </cell>
          <cell r="I82">
            <v>29.85596368450917</v>
          </cell>
          <cell r="J82">
            <v>34.670359602558861</v>
          </cell>
          <cell r="K82">
            <v>0.16187786565952367</v>
          </cell>
          <cell r="L82">
            <v>0.16125407871351505</v>
          </cell>
        </row>
        <row r="83">
          <cell r="A83" t="str">
            <v>IRONWORKERS</v>
          </cell>
          <cell r="B83" t="str">
            <v>TERMED</v>
          </cell>
          <cell r="C83" t="str">
            <v>52783</v>
          </cell>
          <cell r="D83">
            <v>52783</v>
          </cell>
          <cell r="E83">
            <v>0</v>
          </cell>
          <cell r="F83">
            <v>0</v>
          </cell>
          <cell r="G83">
            <v>0</v>
          </cell>
          <cell r="H83">
            <v>0</v>
          </cell>
          <cell r="I83">
            <v>0</v>
          </cell>
          <cell r="J83">
            <v>0</v>
          </cell>
          <cell r="K83">
            <v>0</v>
          </cell>
          <cell r="L83">
            <v>0</v>
          </cell>
        </row>
        <row r="84">
          <cell r="A84" t="str">
            <v>ISKY</v>
          </cell>
          <cell r="B84" t="str">
            <v>SEP</v>
          </cell>
          <cell r="C84" t="str">
            <v>58510</v>
          </cell>
          <cell r="D84">
            <v>58510</v>
          </cell>
          <cell r="E84">
            <v>90088.53</v>
          </cell>
          <cell r="F84">
            <v>85478.379000000001</v>
          </cell>
          <cell r="G84">
            <v>4924</v>
          </cell>
          <cell r="H84">
            <v>4702.68</v>
          </cell>
          <cell r="I84">
            <v>18.295802193338748</v>
          </cell>
          <cell r="J84">
            <v>18.176524662532852</v>
          </cell>
          <cell r="K84">
            <v>-5.1173562272577855E-2</v>
          </cell>
          <cell r="L84">
            <v>-6.5193933310736529E-3</v>
          </cell>
        </row>
        <row r="85">
          <cell r="A85" t="str">
            <v>JJ HAINES</v>
          </cell>
          <cell r="B85" t="str">
            <v>TERMED</v>
          </cell>
          <cell r="C85" t="str">
            <v>59776</v>
          </cell>
          <cell r="D85">
            <v>59776</v>
          </cell>
          <cell r="E85">
            <v>0</v>
          </cell>
          <cell r="F85">
            <v>0</v>
          </cell>
          <cell r="G85">
            <v>0</v>
          </cell>
          <cell r="H85">
            <v>0</v>
          </cell>
          <cell r="I85">
            <v>0</v>
          </cell>
          <cell r="J85">
            <v>0</v>
          </cell>
          <cell r="K85">
            <v>0</v>
          </cell>
          <cell r="L85">
            <v>0</v>
          </cell>
        </row>
        <row r="86">
          <cell r="A86" t="str">
            <v>JOHNS HOPKINS SCHOOL DENTAL</v>
          </cell>
          <cell r="B86" t="str">
            <v>JUL</v>
          </cell>
          <cell r="C86" t="str">
            <v>07249</v>
          </cell>
          <cell r="D86" t="str">
            <v>07249</v>
          </cell>
          <cell r="E86">
            <v>0</v>
          </cell>
          <cell r="F86">
            <v>0</v>
          </cell>
          <cell r="G86">
            <v>0</v>
          </cell>
          <cell r="H86">
            <v>0</v>
          </cell>
          <cell r="I86">
            <v>0</v>
          </cell>
          <cell r="J86">
            <v>0</v>
          </cell>
          <cell r="K86">
            <v>0</v>
          </cell>
          <cell r="L86">
            <v>0</v>
          </cell>
        </row>
        <row r="87">
          <cell r="A87" t="str">
            <v>JOHNS HOPKINS UNIVERSITY</v>
          </cell>
          <cell r="B87" t="str">
            <v>JAN</v>
          </cell>
          <cell r="C87" t="str">
            <v>07518</v>
          </cell>
          <cell r="D87" t="str">
            <v>07518</v>
          </cell>
          <cell r="E87">
            <v>125936.93</v>
          </cell>
          <cell r="F87">
            <v>263308.99</v>
          </cell>
          <cell r="G87">
            <v>183376</v>
          </cell>
          <cell r="H87">
            <v>178165</v>
          </cell>
          <cell r="I87">
            <v>0.68676887924264896</v>
          </cell>
          <cell r="J87">
            <v>1.4778940308141333</v>
          </cell>
          <cell r="K87">
            <v>1.0908004506700304</v>
          </cell>
          <cell r="L87">
            <v>1.1519525352457975</v>
          </cell>
        </row>
        <row r="88">
          <cell r="A88" t="str">
            <v>JOSEPH A BANKS</v>
          </cell>
          <cell r="B88" t="str">
            <v>APR</v>
          </cell>
          <cell r="C88" t="str">
            <v>50349</v>
          </cell>
          <cell r="D88">
            <v>50349</v>
          </cell>
          <cell r="E88">
            <v>344732.99</v>
          </cell>
          <cell r="F88">
            <v>149620.60312067863</v>
          </cell>
          <cell r="G88">
            <v>23816</v>
          </cell>
          <cell r="H88">
            <v>27652.01</v>
          </cell>
          <cell r="I88">
            <v>14.474848421229424</v>
          </cell>
          <cell r="J88">
            <v>5.4108400481801739</v>
          </cell>
          <cell r="K88">
            <v>-0.56598118700308131</v>
          </cell>
          <cell r="L88">
            <v>-0.62619021003049624</v>
          </cell>
        </row>
        <row r="89">
          <cell r="A89" t="str">
            <v>K&amp;L MICROWAVE</v>
          </cell>
          <cell r="B89" t="str">
            <v>TERMED</v>
          </cell>
          <cell r="C89" t="str">
            <v>26198</v>
          </cell>
          <cell r="D89">
            <v>26198</v>
          </cell>
          <cell r="E89">
            <v>0</v>
          </cell>
          <cell r="F89">
            <v>0</v>
          </cell>
          <cell r="G89">
            <v>0</v>
          </cell>
          <cell r="H89">
            <v>0</v>
          </cell>
          <cell r="I89">
            <v>0</v>
          </cell>
          <cell r="J89">
            <v>0</v>
          </cell>
          <cell r="K89">
            <v>0</v>
          </cell>
          <cell r="L89">
            <v>0</v>
          </cell>
        </row>
        <row r="90">
          <cell r="A90" t="str">
            <v>KELLER FOUNDATION</v>
          </cell>
          <cell r="B90" t="str">
            <v>JAN</v>
          </cell>
          <cell r="C90" t="str">
            <v>53345</v>
          </cell>
          <cell r="D90">
            <v>53345</v>
          </cell>
          <cell r="E90">
            <v>0</v>
          </cell>
          <cell r="F90">
            <v>0</v>
          </cell>
          <cell r="G90">
            <v>20235</v>
          </cell>
          <cell r="H90">
            <v>19634</v>
          </cell>
          <cell r="I90">
            <v>0</v>
          </cell>
          <cell r="J90">
            <v>0</v>
          </cell>
          <cell r="K90">
            <v>0</v>
          </cell>
          <cell r="L90">
            <v>0</v>
          </cell>
        </row>
        <row r="91">
          <cell r="A91" t="str">
            <v>KETCHUM PUBLICATIONS</v>
          </cell>
          <cell r="B91" t="str">
            <v>JAN</v>
          </cell>
          <cell r="C91" t="str">
            <v>53346</v>
          </cell>
          <cell r="D91">
            <v>53346</v>
          </cell>
          <cell r="E91">
            <v>0</v>
          </cell>
          <cell r="F91">
            <v>0</v>
          </cell>
          <cell r="G91">
            <v>10760</v>
          </cell>
          <cell r="H91">
            <v>10790</v>
          </cell>
          <cell r="I91">
            <v>0</v>
          </cell>
          <cell r="J91">
            <v>0</v>
          </cell>
          <cell r="K91">
            <v>0</v>
          </cell>
          <cell r="L91">
            <v>0</v>
          </cell>
        </row>
        <row r="92">
          <cell r="A92" t="str">
            <v>KNORR BRAKE</v>
          </cell>
          <cell r="B92" t="str">
            <v>APR</v>
          </cell>
          <cell r="C92" t="str">
            <v>33512</v>
          </cell>
          <cell r="D92">
            <v>33512</v>
          </cell>
          <cell r="E92">
            <v>97948.59</v>
          </cell>
          <cell r="F92">
            <v>117130.60644628941</v>
          </cell>
          <cell r="G92">
            <v>5001</v>
          </cell>
          <cell r="H92">
            <v>5007.26</v>
          </cell>
          <cell r="I92">
            <v>19.585800839832032</v>
          </cell>
          <cell r="J92">
            <v>23.392155878921688</v>
          </cell>
          <cell r="K92">
            <v>0.19583759650128107</v>
          </cell>
          <cell r="L92">
            <v>0.19434257859645943</v>
          </cell>
        </row>
        <row r="93">
          <cell r="A93" t="str">
            <v>LAUREATE</v>
          </cell>
          <cell r="B93" t="str">
            <v>JAN</v>
          </cell>
          <cell r="C93" t="str">
            <v>27304</v>
          </cell>
          <cell r="D93">
            <v>27304</v>
          </cell>
          <cell r="E93">
            <v>54564.44</v>
          </cell>
          <cell r="F93">
            <v>91254.42</v>
          </cell>
          <cell r="G93">
            <v>9768</v>
          </cell>
          <cell r="H93">
            <v>11778</v>
          </cell>
          <cell r="I93">
            <v>5.5860401310401304</v>
          </cell>
          <cell r="J93">
            <v>7.7478706062149767</v>
          </cell>
          <cell r="K93">
            <v>0.67241558788104494</v>
          </cell>
          <cell r="L93">
            <v>0.38700589764153914</v>
          </cell>
        </row>
        <row r="94">
          <cell r="A94" t="str">
            <v>LEGG MASON</v>
          </cell>
          <cell r="B94" t="str">
            <v>SEP</v>
          </cell>
          <cell r="C94" t="str">
            <v>56202</v>
          </cell>
          <cell r="D94">
            <v>56202</v>
          </cell>
          <cell r="E94">
            <v>478615.3</v>
          </cell>
          <cell r="F94">
            <v>405163.68112000008</v>
          </cell>
          <cell r="G94">
            <v>92889</v>
          </cell>
          <cell r="H94">
            <v>86450.2</v>
          </cell>
          <cell r="I94">
            <v>5.1525508940778781</v>
          </cell>
          <cell r="J94">
            <v>4.6866714145253567</v>
          </cell>
          <cell r="K94">
            <v>-0.15346692610954971</v>
          </cell>
          <cell r="L94">
            <v>-9.041724946142371E-2</v>
          </cell>
        </row>
        <row r="95">
          <cell r="A95" t="str">
            <v>LGIT TO NASCO 7/99</v>
          </cell>
          <cell r="B95" t="str">
            <v>TERMED</v>
          </cell>
          <cell r="C95" t="str">
            <v>45888</v>
          </cell>
          <cell r="D95">
            <v>45888</v>
          </cell>
          <cell r="E95">
            <v>0</v>
          </cell>
          <cell r="F95">
            <v>0</v>
          </cell>
          <cell r="G95">
            <v>0</v>
          </cell>
          <cell r="H95">
            <v>0</v>
          </cell>
          <cell r="I95">
            <v>0</v>
          </cell>
          <cell r="J95">
            <v>0</v>
          </cell>
          <cell r="K95">
            <v>0</v>
          </cell>
          <cell r="L95">
            <v>0</v>
          </cell>
        </row>
        <row r="96">
          <cell r="A96" t="str">
            <v>LIFEBRIDGE/NORTHWEST</v>
          </cell>
          <cell r="B96" t="str">
            <v>JAN</v>
          </cell>
          <cell r="C96" t="str">
            <v>27710</v>
          </cell>
          <cell r="D96">
            <v>27710</v>
          </cell>
          <cell r="E96">
            <v>596040.41</v>
          </cell>
          <cell r="F96">
            <v>320033.25</v>
          </cell>
          <cell r="G96">
            <v>93910</v>
          </cell>
          <cell r="H96">
            <v>97348</v>
          </cell>
          <cell r="I96">
            <v>6.3469322755830051</v>
          </cell>
          <cell r="J96">
            <v>3.2875174631219943</v>
          </cell>
          <cell r="K96">
            <v>-0.46306786481138107</v>
          </cell>
          <cell r="L96">
            <v>-0.4820304801787072</v>
          </cell>
        </row>
        <row r="97">
          <cell r="A97" t="str">
            <v>LOCKE INSULATORS</v>
          </cell>
          <cell r="B97" t="str">
            <v>JAN</v>
          </cell>
          <cell r="C97" t="str">
            <v>07844</v>
          </cell>
          <cell r="D97" t="str">
            <v>07844</v>
          </cell>
          <cell r="E97">
            <v>0</v>
          </cell>
          <cell r="F97">
            <v>0</v>
          </cell>
          <cell r="G97">
            <v>0</v>
          </cell>
          <cell r="H97">
            <v>0</v>
          </cell>
          <cell r="I97">
            <v>0</v>
          </cell>
          <cell r="J97">
            <v>0</v>
          </cell>
          <cell r="K97">
            <v>0</v>
          </cell>
          <cell r="L97">
            <v>0</v>
          </cell>
        </row>
        <row r="98">
          <cell r="A98" t="str">
            <v>LOYOLA COLLEGE RETRO</v>
          </cell>
          <cell r="B98" t="str">
            <v>JUL</v>
          </cell>
          <cell r="C98" t="str">
            <v>C1387</v>
          </cell>
          <cell r="D98" t="str">
            <v>C1387</v>
          </cell>
          <cell r="E98">
            <v>164562.32999999999</v>
          </cell>
          <cell r="F98">
            <v>205427.47050000002</v>
          </cell>
          <cell r="G98">
            <v>9744</v>
          </cell>
          <cell r="H98">
            <v>10343.48</v>
          </cell>
          <cell r="I98">
            <v>16.88858066502463</v>
          </cell>
          <cell r="J98">
            <v>19.860575986031783</v>
          </cell>
          <cell r="K98">
            <v>0.24832621475400862</v>
          </cell>
          <cell r="L98">
            <v>0.17597661875529891</v>
          </cell>
        </row>
        <row r="99">
          <cell r="A99" t="str">
            <v>LYRIC HEALTHCARE</v>
          </cell>
          <cell r="B99" t="str">
            <v>JAN</v>
          </cell>
          <cell r="C99" t="str">
            <v>63429</v>
          </cell>
          <cell r="D99">
            <v>63429</v>
          </cell>
          <cell r="E99">
            <v>0</v>
          </cell>
          <cell r="F99">
            <v>0</v>
          </cell>
          <cell r="G99">
            <v>46636</v>
          </cell>
          <cell r="H99">
            <v>43761</v>
          </cell>
          <cell r="I99">
            <v>0</v>
          </cell>
          <cell r="J99">
            <v>0</v>
          </cell>
          <cell r="K99">
            <v>0</v>
          </cell>
          <cell r="L99">
            <v>0</v>
          </cell>
        </row>
        <row r="100">
          <cell r="A100" t="str">
            <v>M&amp;T BANK</v>
          </cell>
          <cell r="B100" t="str">
            <v>JAN</v>
          </cell>
          <cell r="C100" t="str">
            <v>57096</v>
          </cell>
          <cell r="D100">
            <v>57096</v>
          </cell>
          <cell r="E100">
            <v>0</v>
          </cell>
          <cell r="F100">
            <v>0</v>
          </cell>
          <cell r="G100">
            <v>13958</v>
          </cell>
          <cell r="H100">
            <v>13717</v>
          </cell>
          <cell r="I100">
            <v>0</v>
          </cell>
          <cell r="J100">
            <v>0</v>
          </cell>
          <cell r="K100">
            <v>0</v>
          </cell>
          <cell r="L100">
            <v>0</v>
          </cell>
        </row>
        <row r="101">
          <cell r="A101" t="str">
            <v>MAGELLAN</v>
          </cell>
          <cell r="B101" t="str">
            <v>JAN</v>
          </cell>
          <cell r="C101" t="str">
            <v>48995</v>
          </cell>
          <cell r="D101">
            <v>48995</v>
          </cell>
          <cell r="E101">
            <v>0</v>
          </cell>
          <cell r="F101">
            <v>0</v>
          </cell>
          <cell r="G101">
            <v>75581</v>
          </cell>
          <cell r="H101">
            <v>72714</v>
          </cell>
          <cell r="I101">
            <v>0</v>
          </cell>
          <cell r="J101">
            <v>0</v>
          </cell>
          <cell r="K101">
            <v>0</v>
          </cell>
          <cell r="L101">
            <v>0</v>
          </cell>
        </row>
        <row r="102">
          <cell r="A102" t="str">
            <v>MARYLAND GENERAL HOSPITAL</v>
          </cell>
          <cell r="B102" t="str">
            <v>TERMED</v>
          </cell>
          <cell r="C102" t="str">
            <v>07847</v>
          </cell>
          <cell r="D102" t="str">
            <v>07847</v>
          </cell>
          <cell r="E102">
            <v>0</v>
          </cell>
          <cell r="F102">
            <v>0</v>
          </cell>
          <cell r="G102">
            <v>0</v>
          </cell>
          <cell r="H102">
            <v>0</v>
          </cell>
          <cell r="I102">
            <v>0</v>
          </cell>
          <cell r="J102">
            <v>0</v>
          </cell>
          <cell r="K102">
            <v>0</v>
          </cell>
          <cell r="L102">
            <v>0</v>
          </cell>
        </row>
        <row r="103">
          <cell r="A103" t="str">
            <v>MAXIM EXTERNAL</v>
          </cell>
          <cell r="B103" t="str">
            <v>JUN</v>
          </cell>
          <cell r="C103" t="str">
            <v>64784</v>
          </cell>
          <cell r="D103">
            <v>64784</v>
          </cell>
          <cell r="E103">
            <v>0</v>
          </cell>
          <cell r="F103">
            <v>0</v>
          </cell>
          <cell r="G103">
            <v>21954</v>
          </cell>
          <cell r="H103">
            <v>24757.57</v>
          </cell>
          <cell r="I103">
            <v>0</v>
          </cell>
          <cell r="J103">
            <v>0</v>
          </cell>
          <cell r="K103">
            <v>0</v>
          </cell>
          <cell r="L103">
            <v>0</v>
          </cell>
        </row>
        <row r="104">
          <cell r="A104" t="str">
            <v>MD MEDICINE</v>
          </cell>
          <cell r="B104" t="str">
            <v>JAN</v>
          </cell>
          <cell r="C104" t="str">
            <v>42402</v>
          </cell>
          <cell r="D104">
            <v>42402</v>
          </cell>
          <cell r="E104">
            <v>0</v>
          </cell>
          <cell r="F104">
            <v>0</v>
          </cell>
          <cell r="G104">
            <v>0</v>
          </cell>
          <cell r="H104">
            <v>0</v>
          </cell>
          <cell r="I104">
            <v>0</v>
          </cell>
          <cell r="J104">
            <v>0</v>
          </cell>
          <cell r="K104">
            <v>0</v>
          </cell>
          <cell r="L104">
            <v>0</v>
          </cell>
        </row>
        <row r="105">
          <cell r="A105" t="str">
            <v>MEDSTAR</v>
          </cell>
          <cell r="B105" t="str">
            <v>JAN</v>
          </cell>
          <cell r="C105" t="str">
            <v>61864</v>
          </cell>
          <cell r="D105">
            <v>61864</v>
          </cell>
          <cell r="E105">
            <v>386077.3</v>
          </cell>
          <cell r="F105">
            <v>518959.35999999999</v>
          </cell>
          <cell r="G105">
            <v>161794</v>
          </cell>
          <cell r="H105">
            <v>169004</v>
          </cell>
          <cell r="I105">
            <v>2.3862275486111963</v>
          </cell>
          <cell r="J105">
            <v>3.070692764668292</v>
          </cell>
          <cell r="K105">
            <v>0.34418511526059703</v>
          </cell>
          <cell r="L105">
            <v>0.28683987679861467</v>
          </cell>
        </row>
        <row r="106">
          <cell r="A106" t="str">
            <v>MERCANTILE BANK RETRO</v>
          </cell>
          <cell r="B106" t="str">
            <v>JAN</v>
          </cell>
          <cell r="C106" t="str">
            <v>7517</v>
          </cell>
          <cell r="D106">
            <v>7517</v>
          </cell>
          <cell r="E106">
            <v>583653.51</v>
          </cell>
          <cell r="F106">
            <v>568405.53</v>
          </cell>
          <cell r="G106">
            <v>32843</v>
          </cell>
          <cell r="H106">
            <v>31776</v>
          </cell>
          <cell r="I106">
            <v>17.771016959473862</v>
          </cell>
          <cell r="J106">
            <v>17.887888028700903</v>
          </cell>
          <cell r="K106">
            <v>-2.6125054914858836E-2</v>
          </cell>
          <cell r="L106">
            <v>6.5764986603502606E-3</v>
          </cell>
        </row>
        <row r="107">
          <cell r="A107" t="str">
            <v>MERCY MEDICAL</v>
          </cell>
          <cell r="B107" t="str">
            <v>JUL</v>
          </cell>
          <cell r="C107" t="str">
            <v>58359</v>
          </cell>
          <cell r="D107">
            <v>58359</v>
          </cell>
          <cell r="E107">
            <v>0</v>
          </cell>
          <cell r="F107">
            <v>0</v>
          </cell>
          <cell r="G107">
            <v>990</v>
          </cell>
          <cell r="H107">
            <v>1941.66</v>
          </cell>
          <cell r="I107">
            <v>0</v>
          </cell>
          <cell r="J107">
            <v>0</v>
          </cell>
          <cell r="K107">
            <v>0</v>
          </cell>
          <cell r="L107">
            <v>0</v>
          </cell>
        </row>
        <row r="108">
          <cell r="A108" t="str">
            <v>MID ATLANTIC REGIONAL JOINT BOARD</v>
          </cell>
          <cell r="B108" t="str">
            <v>JUN</v>
          </cell>
          <cell r="C108" t="str">
            <v>51600</v>
          </cell>
          <cell r="D108">
            <v>51600</v>
          </cell>
          <cell r="E108">
            <v>0</v>
          </cell>
          <cell r="F108">
            <v>0</v>
          </cell>
          <cell r="G108">
            <v>0</v>
          </cell>
          <cell r="H108">
            <v>0</v>
          </cell>
          <cell r="I108">
            <v>0</v>
          </cell>
          <cell r="J108">
            <v>0</v>
          </cell>
          <cell r="K108">
            <v>0</v>
          </cell>
          <cell r="L108">
            <v>0</v>
          </cell>
        </row>
        <row r="109">
          <cell r="A109" t="str">
            <v>MILES &amp; STOCKBRIDGE</v>
          </cell>
          <cell r="B109" t="str">
            <v>JAN</v>
          </cell>
          <cell r="C109" t="str">
            <v>27117</v>
          </cell>
          <cell r="D109">
            <v>27117</v>
          </cell>
          <cell r="E109">
            <v>158804.66</v>
          </cell>
          <cell r="F109">
            <v>178332.18</v>
          </cell>
          <cell r="G109">
            <v>6020</v>
          </cell>
          <cell r="H109">
            <v>8330</v>
          </cell>
          <cell r="I109">
            <v>26.379511627906979</v>
          </cell>
          <cell r="J109">
            <v>21.40842496998799</v>
          </cell>
          <cell r="K109">
            <v>0.12296566108324503</v>
          </cell>
          <cell r="L109">
            <v>-0.18844498442723479</v>
          </cell>
        </row>
        <row r="110">
          <cell r="A110" t="str">
            <v>MILLENNIUM AMERICA HOLDINGS INC</v>
          </cell>
          <cell r="B110" t="str">
            <v>JAN</v>
          </cell>
          <cell r="C110" t="str">
            <v>10427</v>
          </cell>
          <cell r="D110">
            <v>10427</v>
          </cell>
          <cell r="E110">
            <v>203913.74</v>
          </cell>
          <cell r="F110">
            <v>186964.24</v>
          </cell>
          <cell r="G110">
            <v>14927</v>
          </cell>
          <cell r="H110">
            <v>10808</v>
          </cell>
          <cell r="I110">
            <v>13.660731560259933</v>
          </cell>
          <cell r="J110">
            <v>17.298689859363439</v>
          </cell>
          <cell r="K110">
            <v>-8.3120931429142342E-2</v>
          </cell>
          <cell r="L110">
            <v>0.26630772173919248</v>
          </cell>
        </row>
        <row r="111">
          <cell r="A111" t="str">
            <v>MOBILEX</v>
          </cell>
          <cell r="B111" t="str">
            <v>JAN</v>
          </cell>
          <cell r="C111" t="str">
            <v>64881</v>
          </cell>
          <cell r="D111">
            <v>64881</v>
          </cell>
          <cell r="E111">
            <v>0</v>
          </cell>
          <cell r="F111">
            <v>0</v>
          </cell>
          <cell r="G111">
            <v>10326</v>
          </cell>
          <cell r="H111">
            <v>11281</v>
          </cell>
          <cell r="I111">
            <v>0</v>
          </cell>
          <cell r="J111">
            <v>0</v>
          </cell>
          <cell r="K111">
            <v>0</v>
          </cell>
          <cell r="L111">
            <v>0</v>
          </cell>
        </row>
        <row r="112">
          <cell r="A112" t="str">
            <v>NEXTEL</v>
          </cell>
          <cell r="B112" t="str">
            <v>JAN</v>
          </cell>
          <cell r="C112" t="str">
            <v>55710</v>
          </cell>
          <cell r="D112">
            <v>55710</v>
          </cell>
          <cell r="E112">
            <v>0</v>
          </cell>
          <cell r="F112">
            <v>0</v>
          </cell>
          <cell r="G112">
            <v>23190</v>
          </cell>
          <cell r="H112">
            <v>23713</v>
          </cell>
          <cell r="I112">
            <v>0</v>
          </cell>
          <cell r="J112">
            <v>0</v>
          </cell>
          <cell r="K112">
            <v>0</v>
          </cell>
          <cell r="L112">
            <v>0</v>
          </cell>
        </row>
        <row r="113">
          <cell r="A113" t="str">
            <v>NORSK HYDRO ALUMINUM</v>
          </cell>
          <cell r="B113" t="str">
            <v>JAN</v>
          </cell>
          <cell r="C113" t="str">
            <v>54863</v>
          </cell>
          <cell r="D113">
            <v>54863</v>
          </cell>
          <cell r="E113">
            <v>566500.71</v>
          </cell>
          <cell r="F113">
            <v>0</v>
          </cell>
          <cell r="G113">
            <v>75798</v>
          </cell>
          <cell r="H113">
            <v>62013</v>
          </cell>
          <cell r="I113">
            <v>7.4738213409324796</v>
          </cell>
          <cell r="J113">
            <v>0</v>
          </cell>
          <cell r="K113">
            <v>-1</v>
          </cell>
          <cell r="L113">
            <v>-1</v>
          </cell>
        </row>
        <row r="114">
          <cell r="A114" t="str">
            <v xml:space="preserve">ORION POWER </v>
          </cell>
          <cell r="B114" t="str">
            <v>TERMED</v>
          </cell>
          <cell r="C114" t="str">
            <v>55615</v>
          </cell>
          <cell r="D114">
            <v>55615</v>
          </cell>
          <cell r="E114">
            <v>0</v>
          </cell>
          <cell r="F114">
            <v>0</v>
          </cell>
          <cell r="G114">
            <v>0</v>
          </cell>
          <cell r="H114">
            <v>0</v>
          </cell>
          <cell r="I114">
            <v>0</v>
          </cell>
          <cell r="J114">
            <v>0</v>
          </cell>
          <cell r="K114">
            <v>0</v>
          </cell>
          <cell r="L114">
            <v>0</v>
          </cell>
        </row>
        <row r="115">
          <cell r="A115" t="str">
            <v>PACKAGING SERVICES</v>
          </cell>
          <cell r="B115" t="str">
            <v>JAN</v>
          </cell>
          <cell r="C115" t="str">
            <v>59863</v>
          </cell>
          <cell r="D115">
            <v>59863</v>
          </cell>
          <cell r="E115">
            <v>114337.11</v>
          </cell>
          <cell r="F115">
            <v>120085.68</v>
          </cell>
          <cell r="G115">
            <v>7170</v>
          </cell>
          <cell r="H115">
            <v>7309</v>
          </cell>
          <cell r="I115">
            <v>15.946598326359833</v>
          </cell>
          <cell r="J115">
            <v>16.429837187029687</v>
          </cell>
          <cell r="K115">
            <v>5.0277377135034884E-2</v>
          </cell>
          <cell r="L115">
            <v>3.030357012699425E-2</v>
          </cell>
        </row>
        <row r="116">
          <cell r="A116" t="str">
            <v>PIEDMONT AVIATION</v>
          </cell>
          <cell r="B116" t="str">
            <v>JAN</v>
          </cell>
          <cell r="C116" t="str">
            <v>56311</v>
          </cell>
          <cell r="D116">
            <v>56311</v>
          </cell>
          <cell r="E116">
            <v>0</v>
          </cell>
          <cell r="F116">
            <v>0</v>
          </cell>
          <cell r="G116">
            <v>26018</v>
          </cell>
          <cell r="H116">
            <v>26139</v>
          </cell>
          <cell r="I116">
            <v>0</v>
          </cell>
          <cell r="J116">
            <v>0</v>
          </cell>
          <cell r="K116">
            <v>0</v>
          </cell>
          <cell r="L116">
            <v>0</v>
          </cell>
        </row>
        <row r="117">
          <cell r="A117" t="str">
            <v>PILOT AIR FREIGHT</v>
          </cell>
          <cell r="B117" t="str">
            <v>JAN</v>
          </cell>
          <cell r="C117" t="str">
            <v>65304</v>
          </cell>
          <cell r="D117">
            <v>65304</v>
          </cell>
          <cell r="E117">
            <v>0</v>
          </cell>
          <cell r="F117">
            <v>0</v>
          </cell>
          <cell r="G117">
            <v>10440</v>
          </cell>
          <cell r="H117">
            <v>10993</v>
          </cell>
          <cell r="I117">
            <v>0</v>
          </cell>
          <cell r="J117">
            <v>0</v>
          </cell>
          <cell r="K117">
            <v>0</v>
          </cell>
          <cell r="L117">
            <v>0</v>
          </cell>
        </row>
        <row r="118">
          <cell r="A118" t="str">
            <v>PIPER MARBURY</v>
          </cell>
          <cell r="B118" t="str">
            <v>JAN</v>
          </cell>
          <cell r="C118" t="str">
            <v>44491</v>
          </cell>
          <cell r="D118">
            <v>44491</v>
          </cell>
          <cell r="E118">
            <v>224180.46</v>
          </cell>
          <cell r="F118">
            <v>248283.75</v>
          </cell>
          <cell r="G118">
            <v>10231</v>
          </cell>
          <cell r="H118">
            <v>10418</v>
          </cell>
          <cell r="I118">
            <v>21.911881536506698</v>
          </cell>
          <cell r="J118">
            <v>23.832189479746585</v>
          </cell>
          <cell r="K118">
            <v>0.10751735454552969</v>
          </cell>
          <cell r="L118">
            <v>8.7637747586418957E-2</v>
          </cell>
        </row>
        <row r="119">
          <cell r="A119" t="str">
            <v>POOLE &amp; KENT</v>
          </cell>
          <cell r="B119" t="str">
            <v>TERMED</v>
          </cell>
          <cell r="C119" t="str">
            <v>47982</v>
          </cell>
          <cell r="D119">
            <v>47982</v>
          </cell>
          <cell r="E119">
            <v>0</v>
          </cell>
          <cell r="F119">
            <v>0</v>
          </cell>
          <cell r="G119">
            <v>0</v>
          </cell>
          <cell r="H119">
            <v>0</v>
          </cell>
          <cell r="I119">
            <v>0</v>
          </cell>
          <cell r="J119">
            <v>0</v>
          </cell>
          <cell r="K119">
            <v>0</v>
          </cell>
          <cell r="L119">
            <v>0</v>
          </cell>
        </row>
        <row r="120">
          <cell r="A120" t="str">
            <v>PRICE BROTHERS</v>
          </cell>
          <cell r="B120" t="str">
            <v>TERMED</v>
          </cell>
          <cell r="C120" t="str">
            <v>59530</v>
          </cell>
          <cell r="D120">
            <v>59530</v>
          </cell>
          <cell r="E120">
            <v>0</v>
          </cell>
          <cell r="F120">
            <v>0</v>
          </cell>
          <cell r="G120">
            <v>0</v>
          </cell>
          <cell r="H120">
            <v>0</v>
          </cell>
          <cell r="I120">
            <v>0</v>
          </cell>
          <cell r="J120">
            <v>0</v>
          </cell>
          <cell r="K120">
            <v>0</v>
          </cell>
          <cell r="L120">
            <v>0</v>
          </cell>
        </row>
        <row r="121">
          <cell r="A121" t="str">
            <v>PRIME RETAIL</v>
          </cell>
          <cell r="B121" t="str">
            <v>JAN</v>
          </cell>
          <cell r="C121" t="str">
            <v>56806</v>
          </cell>
          <cell r="D121">
            <v>56806</v>
          </cell>
          <cell r="E121">
            <v>0</v>
          </cell>
          <cell r="F121">
            <v>451992.45</v>
          </cell>
          <cell r="G121">
            <v>8012</v>
          </cell>
          <cell r="H121">
            <v>8609</v>
          </cell>
          <cell r="I121">
            <v>0</v>
          </cell>
          <cell r="J121">
            <v>52.502317342316189</v>
          </cell>
          <cell r="K121">
            <v>0</v>
          </cell>
          <cell r="L121">
            <v>0</v>
          </cell>
        </row>
        <row r="122">
          <cell r="A122" t="str">
            <v>PROCTER GAMBLE</v>
          </cell>
          <cell r="B122" t="str">
            <v>JAN</v>
          </cell>
          <cell r="C122" t="str">
            <v>27954</v>
          </cell>
          <cell r="D122">
            <v>27954</v>
          </cell>
          <cell r="E122">
            <v>0</v>
          </cell>
          <cell r="F122">
            <v>0</v>
          </cell>
          <cell r="G122">
            <v>33069</v>
          </cell>
          <cell r="H122">
            <v>30729</v>
          </cell>
          <cell r="I122">
            <v>0</v>
          </cell>
          <cell r="J122">
            <v>0</v>
          </cell>
          <cell r="K122">
            <v>0</v>
          </cell>
          <cell r="L122">
            <v>0</v>
          </cell>
        </row>
        <row r="123">
          <cell r="A123" t="str">
            <v>PROVIDENT BANK</v>
          </cell>
          <cell r="B123" t="str">
            <v>JAN</v>
          </cell>
          <cell r="C123" t="str">
            <v>28964</v>
          </cell>
          <cell r="D123">
            <v>28964</v>
          </cell>
          <cell r="E123">
            <v>142248.34</v>
          </cell>
          <cell r="F123">
            <v>233942.39999999999</v>
          </cell>
          <cell r="G123">
            <v>26707</v>
          </cell>
          <cell r="H123">
            <v>34258</v>
          </cell>
          <cell r="I123">
            <v>5.3262567866102515</v>
          </cell>
          <cell r="J123">
            <v>6.8288399789830105</v>
          </cell>
          <cell r="K123">
            <v>0.64460548362110925</v>
          </cell>
          <cell r="L123">
            <v>0.28210866516051625</v>
          </cell>
        </row>
        <row r="124">
          <cell r="A124" t="str">
            <v>PUBLISHERS CIRCULATION</v>
          </cell>
          <cell r="B124" t="str">
            <v>DEC</v>
          </cell>
          <cell r="C124" t="str">
            <v>59542</v>
          </cell>
          <cell r="D124">
            <v>59542</v>
          </cell>
          <cell r="E124">
            <v>370223.14</v>
          </cell>
          <cell r="F124">
            <v>472715.85848500009</v>
          </cell>
          <cell r="G124">
            <v>22337</v>
          </cell>
          <cell r="H124">
            <v>23394.49</v>
          </cell>
          <cell r="I124">
            <v>16.574434346599812</v>
          </cell>
          <cell r="J124">
            <v>20.206290390814249</v>
          </cell>
          <cell r="K124">
            <v>0.27684039005503558</v>
          </cell>
          <cell r="L124">
            <v>0.21912398144431999</v>
          </cell>
        </row>
        <row r="125">
          <cell r="A125" t="str">
            <v>RAILWORKS</v>
          </cell>
          <cell r="B125" t="str">
            <v>TERMED</v>
          </cell>
          <cell r="C125" t="str">
            <v>59513</v>
          </cell>
          <cell r="D125">
            <v>59513</v>
          </cell>
          <cell r="E125">
            <v>0</v>
          </cell>
          <cell r="F125">
            <v>0</v>
          </cell>
          <cell r="G125">
            <v>0</v>
          </cell>
          <cell r="H125">
            <v>0</v>
          </cell>
          <cell r="I125">
            <v>0</v>
          </cell>
          <cell r="J125">
            <v>0</v>
          </cell>
          <cell r="K125">
            <v>0</v>
          </cell>
          <cell r="L125">
            <v>0</v>
          </cell>
        </row>
        <row r="126">
          <cell r="A126" t="str">
            <v>RELIANT</v>
          </cell>
          <cell r="B126" t="str">
            <v>JAN</v>
          </cell>
          <cell r="C126" t="str">
            <v>55214</v>
          </cell>
          <cell r="D126">
            <v>55214</v>
          </cell>
          <cell r="E126">
            <v>0</v>
          </cell>
          <cell r="F126">
            <v>0</v>
          </cell>
          <cell r="G126">
            <v>33862</v>
          </cell>
          <cell r="H126">
            <v>37577</v>
          </cell>
          <cell r="I126">
            <v>0</v>
          </cell>
          <cell r="J126">
            <v>0</v>
          </cell>
          <cell r="K126">
            <v>0</v>
          </cell>
          <cell r="L126">
            <v>0</v>
          </cell>
        </row>
        <row r="127">
          <cell r="A127" t="str">
            <v>ROTECH</v>
          </cell>
          <cell r="B127" t="str">
            <v>JAN</v>
          </cell>
          <cell r="C127" t="str">
            <v>53344</v>
          </cell>
          <cell r="D127">
            <v>53344</v>
          </cell>
          <cell r="E127">
            <v>0</v>
          </cell>
          <cell r="F127">
            <v>0</v>
          </cell>
          <cell r="G127">
            <v>82285</v>
          </cell>
          <cell r="H127">
            <v>82082</v>
          </cell>
          <cell r="I127">
            <v>0</v>
          </cell>
          <cell r="J127">
            <v>0</v>
          </cell>
          <cell r="K127">
            <v>0</v>
          </cell>
          <cell r="L127">
            <v>0</v>
          </cell>
        </row>
        <row r="128">
          <cell r="A128" t="str">
            <v>ROUSE</v>
          </cell>
          <cell r="B128" t="str">
            <v>TERMED</v>
          </cell>
          <cell r="C128" t="str">
            <v>39579</v>
          </cell>
          <cell r="D128">
            <v>39579</v>
          </cell>
          <cell r="E128">
            <v>359338.52</v>
          </cell>
          <cell r="F128">
            <v>0</v>
          </cell>
          <cell r="G128">
            <v>42221</v>
          </cell>
          <cell r="H128">
            <v>5</v>
          </cell>
          <cell r="I128">
            <v>8.510895525923118</v>
          </cell>
          <cell r="J128">
            <v>0</v>
          </cell>
          <cell r="K128">
            <v>-1</v>
          </cell>
          <cell r="L128">
            <v>-1</v>
          </cell>
        </row>
        <row r="129">
          <cell r="A129" t="str">
            <v>RWD TECHNOLOGIES</v>
          </cell>
          <cell r="B129" t="str">
            <v>JAN</v>
          </cell>
          <cell r="C129" t="str">
            <v>56808</v>
          </cell>
          <cell r="D129">
            <v>56808</v>
          </cell>
          <cell r="E129">
            <v>125949.95</v>
          </cell>
          <cell r="F129">
            <v>158811.88</v>
          </cell>
          <cell r="G129">
            <v>14845</v>
          </cell>
          <cell r="H129">
            <v>14578</v>
          </cell>
          <cell r="I129">
            <v>8.4843347928595509</v>
          </cell>
          <cell r="J129">
            <v>10.893941555768967</v>
          </cell>
          <cell r="K129">
            <v>0.26091260854013809</v>
          </cell>
          <cell r="L129">
            <v>0.28400656288779991</v>
          </cell>
        </row>
        <row r="130">
          <cell r="A130" t="str">
            <v>RYLAND</v>
          </cell>
          <cell r="B130" t="str">
            <v>JAN</v>
          </cell>
          <cell r="C130" t="str">
            <v>48921</v>
          </cell>
          <cell r="D130">
            <v>48921</v>
          </cell>
          <cell r="E130">
            <v>0</v>
          </cell>
          <cell r="F130">
            <v>0</v>
          </cell>
          <cell r="G130">
            <v>69561</v>
          </cell>
          <cell r="H130">
            <v>76170</v>
          </cell>
          <cell r="I130">
            <v>0</v>
          </cell>
          <cell r="J130">
            <v>0</v>
          </cell>
          <cell r="K130">
            <v>0</v>
          </cell>
          <cell r="L130">
            <v>0</v>
          </cell>
        </row>
        <row r="131">
          <cell r="A131" t="str">
            <v>SAFENET</v>
          </cell>
          <cell r="B131" t="str">
            <v>JAN</v>
          </cell>
          <cell r="C131" t="str">
            <v>66285</v>
          </cell>
          <cell r="D131">
            <v>66285</v>
          </cell>
          <cell r="E131">
            <v>0</v>
          </cell>
          <cell r="F131">
            <v>73493.94</v>
          </cell>
          <cell r="G131">
            <v>0</v>
          </cell>
          <cell r="H131">
            <v>7961</v>
          </cell>
          <cell r="I131">
            <v>0</v>
          </cell>
          <cell r="J131">
            <v>9.2317472679311674</v>
          </cell>
          <cell r="K131">
            <v>0</v>
          </cell>
          <cell r="L131">
            <v>0</v>
          </cell>
        </row>
        <row r="132">
          <cell r="A132" t="str">
            <v>SCHLUMBERGER</v>
          </cell>
          <cell r="B132" t="str">
            <v>TERMED</v>
          </cell>
          <cell r="C132" t="str">
            <v>29962</v>
          </cell>
          <cell r="D132">
            <v>29962</v>
          </cell>
          <cell r="E132">
            <v>9455.68</v>
          </cell>
          <cell r="F132">
            <v>5.12</v>
          </cell>
          <cell r="G132">
            <v>1604</v>
          </cell>
          <cell r="H132">
            <v>0</v>
          </cell>
          <cell r="I132">
            <v>5.8950623441396512</v>
          </cell>
          <cell r="J132">
            <v>0</v>
          </cell>
          <cell r="K132">
            <v>-0.99945852651527967</v>
          </cell>
          <cell r="L132">
            <v>-1</v>
          </cell>
        </row>
        <row r="133">
          <cell r="A133" t="str">
            <v>SCHMIDT BAKING</v>
          </cell>
          <cell r="B133" t="str">
            <v>JAN</v>
          </cell>
          <cell r="C133" t="str">
            <v>8055</v>
          </cell>
          <cell r="D133">
            <v>8055</v>
          </cell>
          <cell r="E133">
            <v>250363.62</v>
          </cell>
          <cell r="F133">
            <v>282910.76</v>
          </cell>
          <cell r="G133">
            <v>19188</v>
          </cell>
          <cell r="H133">
            <v>17107</v>
          </cell>
          <cell r="I133">
            <v>13.047926829268292</v>
          </cell>
          <cell r="J133">
            <v>16.53771906237213</v>
          </cell>
          <cell r="K133">
            <v>0.12999947835871684</v>
          </cell>
          <cell r="L133">
            <v>0.2674595189540574</v>
          </cell>
        </row>
        <row r="134">
          <cell r="A134" t="str">
            <v>SFA</v>
          </cell>
          <cell r="B134" t="str">
            <v>JAN</v>
          </cell>
          <cell r="C134" t="str">
            <v>31400</v>
          </cell>
          <cell r="D134">
            <v>31400</v>
          </cell>
          <cell r="E134">
            <v>207858.15</v>
          </cell>
          <cell r="F134">
            <v>272611.5</v>
          </cell>
          <cell r="G134">
            <v>9345</v>
          </cell>
          <cell r="H134">
            <v>9550</v>
          </cell>
          <cell r="I134">
            <v>22.242712680577849</v>
          </cell>
          <cell r="J134">
            <v>28.545706806282723</v>
          </cell>
          <cell r="K134">
            <v>0.31152663487094445</v>
          </cell>
          <cell r="L134">
            <v>0.28337344532659436</v>
          </cell>
        </row>
        <row r="135">
          <cell r="A135" t="str">
            <v>SIERRA MILITARY</v>
          </cell>
          <cell r="B135" t="str">
            <v>JAN</v>
          </cell>
          <cell r="C135" t="str">
            <v>56835</v>
          </cell>
          <cell r="D135">
            <v>56835</v>
          </cell>
          <cell r="E135">
            <v>63072.639999999999</v>
          </cell>
          <cell r="F135">
            <v>22696</v>
          </cell>
          <cell r="G135">
            <v>13725</v>
          </cell>
          <cell r="H135">
            <v>1778</v>
          </cell>
          <cell r="I135">
            <v>4.5954564663023687</v>
          </cell>
          <cell r="J135">
            <v>12.764904386951631</v>
          </cell>
          <cell r="K135">
            <v>-0.64016093190327861</v>
          </cell>
          <cell r="L135">
            <v>1.7777228400604623</v>
          </cell>
        </row>
        <row r="136">
          <cell r="A136" t="str">
            <v>SPACE TELESCOPE</v>
          </cell>
          <cell r="B136" t="str">
            <v>JAN</v>
          </cell>
          <cell r="C136" t="str">
            <v>59749</v>
          </cell>
          <cell r="D136">
            <v>59749</v>
          </cell>
          <cell r="E136">
            <v>0</v>
          </cell>
          <cell r="F136">
            <v>0</v>
          </cell>
          <cell r="G136">
            <v>6416</v>
          </cell>
          <cell r="H136">
            <v>6918</v>
          </cell>
          <cell r="I136">
            <v>0</v>
          </cell>
          <cell r="J136">
            <v>0</v>
          </cell>
          <cell r="K136">
            <v>0</v>
          </cell>
          <cell r="L136">
            <v>0</v>
          </cell>
        </row>
        <row r="137">
          <cell r="A137" t="str">
            <v>SPECTERA</v>
          </cell>
          <cell r="B137" t="str">
            <v>JUL</v>
          </cell>
          <cell r="C137" t="str">
            <v>28558</v>
          </cell>
          <cell r="D137">
            <v>28558</v>
          </cell>
          <cell r="E137">
            <v>126070.44</v>
          </cell>
          <cell r="F137">
            <v>169387.12548000002</v>
          </cell>
          <cell r="G137">
            <v>4415</v>
          </cell>
          <cell r="H137">
            <v>5015.96</v>
          </cell>
          <cell r="I137">
            <v>28.555026047565118</v>
          </cell>
          <cell r="J137">
            <v>33.769632429285728</v>
          </cell>
          <cell r="K137">
            <v>0.34359113428968779</v>
          </cell>
          <cell r="L137">
            <v>0.18261606111072903</v>
          </cell>
        </row>
        <row r="138">
          <cell r="A138" t="str">
            <v>ST MARYS CO RETRO</v>
          </cell>
          <cell r="B138" t="str">
            <v>JUL</v>
          </cell>
          <cell r="C138" t="str">
            <v>10721</v>
          </cell>
          <cell r="D138">
            <v>10721</v>
          </cell>
          <cell r="E138">
            <v>289425.5</v>
          </cell>
          <cell r="F138">
            <v>714572.13071999978</v>
          </cell>
          <cell r="G138">
            <v>66158</v>
          </cell>
          <cell r="H138">
            <v>67253.56</v>
          </cell>
          <cell r="I138">
            <v>4.3747619335530095</v>
          </cell>
          <cell r="J138">
            <v>10.625045435810382</v>
          </cell>
          <cell r="K138">
            <v>1.4689328712224725</v>
          </cell>
          <cell r="L138">
            <v>1.4287139728266625</v>
          </cell>
        </row>
        <row r="139">
          <cell r="A139" t="str">
            <v>ST MARYS HOSPITAL</v>
          </cell>
          <cell r="B139" t="str">
            <v>TERMED</v>
          </cell>
          <cell r="C139" t="str">
            <v>51545</v>
          </cell>
          <cell r="D139">
            <v>51545</v>
          </cell>
          <cell r="E139">
            <v>56988.25</v>
          </cell>
          <cell r="F139">
            <v>0</v>
          </cell>
          <cell r="G139">
            <v>4476</v>
          </cell>
          <cell r="H139">
            <v>0</v>
          </cell>
          <cell r="I139">
            <v>12.731959338695264</v>
          </cell>
          <cell r="J139">
            <v>0</v>
          </cell>
          <cell r="K139">
            <v>-1</v>
          </cell>
          <cell r="L139">
            <v>-1</v>
          </cell>
        </row>
        <row r="140">
          <cell r="A140" t="str">
            <v>STA-ILA DENTAL</v>
          </cell>
          <cell r="B140" t="str">
            <v>OCT</v>
          </cell>
          <cell r="C140" t="str">
            <v>8146</v>
          </cell>
          <cell r="D140">
            <v>8146</v>
          </cell>
          <cell r="E140">
            <v>0</v>
          </cell>
          <cell r="F140">
            <v>0</v>
          </cell>
          <cell r="G140">
            <v>0</v>
          </cell>
          <cell r="H140">
            <v>0</v>
          </cell>
          <cell r="I140">
            <v>0</v>
          </cell>
          <cell r="J140">
            <v>0</v>
          </cell>
          <cell r="K140">
            <v>0</v>
          </cell>
          <cell r="L140">
            <v>0</v>
          </cell>
        </row>
        <row r="141">
          <cell r="A141" t="str">
            <v>STATE OF MARYLAND</v>
          </cell>
          <cell r="B141" t="str">
            <v>JAN</v>
          </cell>
          <cell r="C141" t="str">
            <v>07311</v>
          </cell>
          <cell r="D141" t="str">
            <v>07311</v>
          </cell>
          <cell r="E141">
            <v>0</v>
          </cell>
          <cell r="F141">
            <v>0</v>
          </cell>
          <cell r="G141">
            <v>1444735</v>
          </cell>
          <cell r="H141">
            <v>1458814</v>
          </cell>
          <cell r="I141">
            <v>0</v>
          </cell>
          <cell r="J141">
            <v>0</v>
          </cell>
          <cell r="K141">
            <v>0</v>
          </cell>
          <cell r="L141">
            <v>0</v>
          </cell>
        </row>
        <row r="142">
          <cell r="A142" t="str">
            <v>SYMPHONY</v>
          </cell>
          <cell r="B142" t="str">
            <v>JAN</v>
          </cell>
          <cell r="C142" t="str">
            <v>64880</v>
          </cell>
          <cell r="D142">
            <v>64880</v>
          </cell>
          <cell r="E142">
            <v>0</v>
          </cell>
          <cell r="F142">
            <v>0</v>
          </cell>
          <cell r="G142">
            <v>51337</v>
          </cell>
          <cell r="H142">
            <v>52535</v>
          </cell>
          <cell r="I142">
            <v>0</v>
          </cell>
          <cell r="J142">
            <v>0</v>
          </cell>
          <cell r="K142">
            <v>0</v>
          </cell>
          <cell r="L142">
            <v>0</v>
          </cell>
        </row>
        <row r="143">
          <cell r="A143" t="str">
            <v>T ROWE PRICE</v>
          </cell>
          <cell r="B143" t="str">
            <v>JAN</v>
          </cell>
          <cell r="C143" t="str">
            <v>08145</v>
          </cell>
          <cell r="D143" t="str">
            <v>08145</v>
          </cell>
          <cell r="E143">
            <v>153416.12</v>
          </cell>
          <cell r="F143">
            <v>161719</v>
          </cell>
          <cell r="G143">
            <v>27000</v>
          </cell>
          <cell r="H143">
            <v>28411</v>
          </cell>
          <cell r="I143">
            <v>5.6820785185185194</v>
          </cell>
          <cell r="J143">
            <v>5.6921262891133715</v>
          </cell>
          <cell r="K143">
            <v>5.4119997298849531E-2</v>
          </cell>
          <cell r="L143">
            <v>1.7683266012789023E-3</v>
          </cell>
        </row>
        <row r="144">
          <cell r="A144" t="str">
            <v>TELETECH HOLDINGS</v>
          </cell>
          <cell r="B144" t="str">
            <v>TERMED</v>
          </cell>
          <cell r="C144" t="str">
            <v>62477</v>
          </cell>
          <cell r="D144">
            <v>62477</v>
          </cell>
          <cell r="E144">
            <v>0</v>
          </cell>
          <cell r="F144">
            <v>0</v>
          </cell>
          <cell r="G144">
            <v>0</v>
          </cell>
          <cell r="H144">
            <v>0</v>
          </cell>
          <cell r="I144">
            <v>0</v>
          </cell>
          <cell r="J144">
            <v>0</v>
          </cell>
          <cell r="K144">
            <v>0</v>
          </cell>
          <cell r="L144">
            <v>0</v>
          </cell>
        </row>
        <row r="145">
          <cell r="A145" t="str">
            <v>TESSCO</v>
          </cell>
          <cell r="B145" t="str">
            <v>JUL</v>
          </cell>
          <cell r="C145" t="str">
            <v>46748</v>
          </cell>
          <cell r="D145">
            <v>46748</v>
          </cell>
          <cell r="E145">
            <v>0</v>
          </cell>
          <cell r="F145">
            <v>0</v>
          </cell>
          <cell r="G145">
            <v>13833</v>
          </cell>
          <cell r="H145">
            <v>14358.52</v>
          </cell>
          <cell r="I145">
            <v>0</v>
          </cell>
          <cell r="J145">
            <v>0</v>
          </cell>
          <cell r="K145">
            <v>0</v>
          </cell>
          <cell r="L145">
            <v>0</v>
          </cell>
        </row>
        <row r="146">
          <cell r="A146" t="str">
            <v>THALES NORTH AMERICA INC</v>
          </cell>
          <cell r="B146" t="str">
            <v>JAN</v>
          </cell>
          <cell r="C146" t="str">
            <v>66267</v>
          </cell>
          <cell r="D146">
            <v>66267</v>
          </cell>
          <cell r="E146">
            <v>0</v>
          </cell>
          <cell r="F146">
            <v>0</v>
          </cell>
          <cell r="G146">
            <v>0</v>
          </cell>
          <cell r="H146">
            <v>49708</v>
          </cell>
          <cell r="I146">
            <v>0</v>
          </cell>
          <cell r="J146">
            <v>0</v>
          </cell>
          <cell r="K146">
            <v>0</v>
          </cell>
          <cell r="L146">
            <v>0</v>
          </cell>
        </row>
        <row r="147">
          <cell r="A147" t="str">
            <v>THI</v>
          </cell>
          <cell r="B147" t="str">
            <v>JAN</v>
          </cell>
          <cell r="C147" t="str">
            <v>53191</v>
          </cell>
          <cell r="D147">
            <v>53191</v>
          </cell>
          <cell r="E147">
            <v>0</v>
          </cell>
          <cell r="F147">
            <v>0</v>
          </cell>
          <cell r="G147">
            <v>124180</v>
          </cell>
          <cell r="H147">
            <v>142385</v>
          </cell>
          <cell r="I147">
            <v>0</v>
          </cell>
          <cell r="J147">
            <v>0</v>
          </cell>
          <cell r="K147">
            <v>0</v>
          </cell>
          <cell r="L147">
            <v>0</v>
          </cell>
        </row>
        <row r="148">
          <cell r="A148" t="str">
            <v>THYSSEN KRUPP</v>
          </cell>
          <cell r="B148" t="str">
            <v>JAN</v>
          </cell>
          <cell r="C148" t="str">
            <v>61872</v>
          </cell>
          <cell r="D148">
            <v>61872</v>
          </cell>
          <cell r="E148">
            <v>0</v>
          </cell>
          <cell r="F148">
            <v>47716.24</v>
          </cell>
          <cell r="G148">
            <v>76775</v>
          </cell>
          <cell r="H148">
            <v>80187</v>
          </cell>
          <cell r="I148">
            <v>0</v>
          </cell>
          <cell r="J148">
            <v>0.59506204247571304</v>
          </cell>
          <cell r="K148">
            <v>0</v>
          </cell>
          <cell r="L148">
            <v>0</v>
          </cell>
        </row>
        <row r="149">
          <cell r="A149" t="str">
            <v>TOWN &amp; COUNTRY</v>
          </cell>
          <cell r="B149" t="str">
            <v>JAN</v>
          </cell>
          <cell r="C149" t="str">
            <v>61840</v>
          </cell>
          <cell r="D149">
            <v>61840</v>
          </cell>
          <cell r="E149">
            <v>188705.16</v>
          </cell>
          <cell r="F149">
            <v>229820.38</v>
          </cell>
          <cell r="G149">
            <v>9112</v>
          </cell>
          <cell r="H149">
            <v>9262</v>
          </cell>
          <cell r="I149">
            <v>20.709521510096575</v>
          </cell>
          <cell r="J149">
            <v>24.813256316130424</v>
          </cell>
          <cell r="K149">
            <v>0.21788074051605144</v>
          </cell>
          <cell r="L149">
            <v>0.19815691077329545</v>
          </cell>
        </row>
        <row r="150">
          <cell r="A150" t="str">
            <v>TOWNE PARK</v>
          </cell>
          <cell r="B150" t="str">
            <v>OCT</v>
          </cell>
          <cell r="C150" t="str">
            <v>61448</v>
          </cell>
          <cell r="D150">
            <v>61448</v>
          </cell>
          <cell r="E150">
            <v>110036.05</v>
          </cell>
          <cell r="F150">
            <v>115263.19498</v>
          </cell>
          <cell r="G150">
            <v>8636</v>
          </cell>
          <cell r="H150">
            <v>9547.82</v>
          </cell>
          <cell r="I150">
            <v>12.741552802223252</v>
          </cell>
          <cell r="J150">
            <v>12.072200248852615</v>
          </cell>
          <cell r="K150">
            <v>4.7503931484272677E-2</v>
          </cell>
          <cell r="L150">
            <v>-5.253304395158509E-2</v>
          </cell>
        </row>
        <row r="151">
          <cell r="A151" t="str">
            <v>TRUCK DRIVERS</v>
          </cell>
          <cell r="B151" t="str">
            <v>AUG</v>
          </cell>
          <cell r="C151" t="str">
            <v>47447</v>
          </cell>
          <cell r="D151">
            <v>47447</v>
          </cell>
          <cell r="E151">
            <v>0</v>
          </cell>
          <cell r="F151">
            <v>0</v>
          </cell>
          <cell r="G151">
            <v>0</v>
          </cell>
          <cell r="H151">
            <v>0</v>
          </cell>
          <cell r="I151">
            <v>0</v>
          </cell>
          <cell r="J151">
            <v>0</v>
          </cell>
          <cell r="K151">
            <v>0</v>
          </cell>
          <cell r="L151">
            <v>0</v>
          </cell>
        </row>
        <row r="152">
          <cell r="A152" t="str">
            <v>UMAB</v>
          </cell>
          <cell r="B152" t="str">
            <v>TERMED</v>
          </cell>
          <cell r="C152" t="str">
            <v>57087</v>
          </cell>
          <cell r="D152">
            <v>57087</v>
          </cell>
          <cell r="E152">
            <v>0</v>
          </cell>
          <cell r="F152">
            <v>0</v>
          </cell>
          <cell r="G152">
            <v>0</v>
          </cell>
          <cell r="H152">
            <v>0</v>
          </cell>
          <cell r="I152">
            <v>0</v>
          </cell>
          <cell r="J152">
            <v>0</v>
          </cell>
          <cell r="K152">
            <v>0</v>
          </cell>
          <cell r="L152">
            <v>0</v>
          </cell>
        </row>
        <row r="153">
          <cell r="A153" t="str">
            <v>UMMS/DEATON</v>
          </cell>
          <cell r="B153" t="str">
            <v>JUL</v>
          </cell>
          <cell r="C153" t="str">
            <v>19121</v>
          </cell>
          <cell r="D153">
            <v>19121</v>
          </cell>
          <cell r="E153">
            <v>0</v>
          </cell>
          <cell r="F153">
            <v>0</v>
          </cell>
          <cell r="G153">
            <v>5630</v>
          </cell>
          <cell r="H153">
            <v>0</v>
          </cell>
          <cell r="I153">
            <v>0</v>
          </cell>
          <cell r="J153">
            <v>0</v>
          </cell>
          <cell r="K153">
            <v>0</v>
          </cell>
          <cell r="L153">
            <v>0</v>
          </cell>
        </row>
        <row r="154">
          <cell r="A154" t="str">
            <v>UNION CITY BODY</v>
          </cell>
          <cell r="B154" t="str">
            <v>JAN</v>
          </cell>
          <cell r="C154" t="str">
            <v>63978</v>
          </cell>
          <cell r="D154">
            <v>63978</v>
          </cell>
          <cell r="E154">
            <v>0</v>
          </cell>
          <cell r="F154">
            <v>0</v>
          </cell>
          <cell r="G154">
            <v>23721</v>
          </cell>
          <cell r="H154">
            <v>18479</v>
          </cell>
          <cell r="I154">
            <v>0</v>
          </cell>
          <cell r="J154">
            <v>0</v>
          </cell>
          <cell r="K154">
            <v>0</v>
          </cell>
          <cell r="L154">
            <v>0</v>
          </cell>
        </row>
        <row r="155">
          <cell r="A155" t="str">
            <v>UNITED CONTAINER</v>
          </cell>
          <cell r="B155" t="str">
            <v>TERMED</v>
          </cell>
          <cell r="C155" t="str">
            <v>23799</v>
          </cell>
          <cell r="D155">
            <v>23799</v>
          </cell>
          <cell r="E155">
            <v>0</v>
          </cell>
          <cell r="F155">
            <v>0</v>
          </cell>
          <cell r="G155">
            <v>0</v>
          </cell>
          <cell r="H155">
            <v>0</v>
          </cell>
          <cell r="I155">
            <v>0</v>
          </cell>
          <cell r="J155">
            <v>0</v>
          </cell>
          <cell r="K155">
            <v>0</v>
          </cell>
          <cell r="L155">
            <v>0</v>
          </cell>
        </row>
        <row r="156">
          <cell r="A156" t="str">
            <v>UNIVERSITY PHYSICIANS DENTAL</v>
          </cell>
          <cell r="B156" t="str">
            <v>JAN</v>
          </cell>
          <cell r="C156" t="str">
            <v>18278</v>
          </cell>
          <cell r="D156">
            <v>18278</v>
          </cell>
          <cell r="E156">
            <v>0</v>
          </cell>
          <cell r="F156">
            <v>0</v>
          </cell>
          <cell r="G156">
            <v>0</v>
          </cell>
          <cell r="H156">
            <v>0</v>
          </cell>
          <cell r="I156">
            <v>0</v>
          </cell>
          <cell r="J156">
            <v>0</v>
          </cell>
          <cell r="K156">
            <v>0</v>
          </cell>
          <cell r="L156">
            <v>0</v>
          </cell>
        </row>
        <row r="157">
          <cell r="A157" t="str">
            <v>US FOOD SERVICE</v>
          </cell>
          <cell r="B157" t="str">
            <v>JAN</v>
          </cell>
          <cell r="C157" t="str">
            <v>59317</v>
          </cell>
          <cell r="D157">
            <v>59317</v>
          </cell>
          <cell r="E157">
            <v>0</v>
          </cell>
          <cell r="F157">
            <v>0</v>
          </cell>
          <cell r="G157">
            <v>504223</v>
          </cell>
          <cell r="H157">
            <v>514763</v>
          </cell>
          <cell r="I157">
            <v>0</v>
          </cell>
          <cell r="J157">
            <v>0</v>
          </cell>
          <cell r="K157">
            <v>0</v>
          </cell>
          <cell r="L157">
            <v>0</v>
          </cell>
        </row>
        <row r="158">
          <cell r="A158" t="str">
            <v>US INTERNETWORKING</v>
          </cell>
          <cell r="B158" t="str">
            <v>JAN</v>
          </cell>
          <cell r="C158" t="str">
            <v>51099</v>
          </cell>
          <cell r="D158">
            <v>51099</v>
          </cell>
          <cell r="E158">
            <v>68108.52</v>
          </cell>
          <cell r="F158">
            <v>95150.25</v>
          </cell>
          <cell r="G158">
            <v>10171</v>
          </cell>
          <cell r="H158">
            <v>11377</v>
          </cell>
          <cell r="I158">
            <v>6.6963445088978473</v>
          </cell>
          <cell r="J158">
            <v>8.3633866572910254</v>
          </cell>
          <cell r="K158">
            <v>0.39703887266967475</v>
          </cell>
          <cell r="L158">
            <v>0.24894808595616258</v>
          </cell>
        </row>
        <row r="159">
          <cell r="A159" t="str">
            <v>VERTIS INC</v>
          </cell>
          <cell r="B159" t="str">
            <v>APR</v>
          </cell>
          <cell r="C159" t="str">
            <v>53194</v>
          </cell>
          <cell r="D159">
            <v>53194</v>
          </cell>
          <cell r="E159">
            <v>0</v>
          </cell>
          <cell r="F159">
            <v>0</v>
          </cell>
          <cell r="G159">
            <v>146132</v>
          </cell>
          <cell r="H159">
            <v>145452.98000000001</v>
          </cell>
          <cell r="I159">
            <v>0</v>
          </cell>
          <cell r="J159">
            <v>0</v>
          </cell>
          <cell r="K159">
            <v>0</v>
          </cell>
          <cell r="L159">
            <v>0</v>
          </cell>
        </row>
        <row r="160">
          <cell r="A160" t="str">
            <v>VIPS DENTAL</v>
          </cell>
          <cell r="B160" t="str">
            <v>TERMED</v>
          </cell>
          <cell r="C160" t="str">
            <v>44648</v>
          </cell>
          <cell r="D160">
            <v>44648</v>
          </cell>
          <cell r="E160">
            <v>0</v>
          </cell>
          <cell r="F160">
            <v>0</v>
          </cell>
          <cell r="G160">
            <v>0</v>
          </cell>
          <cell r="H160">
            <v>0</v>
          </cell>
          <cell r="I160">
            <v>0</v>
          </cell>
          <cell r="J160">
            <v>0</v>
          </cell>
          <cell r="K160">
            <v>0</v>
          </cell>
          <cell r="L160">
            <v>0</v>
          </cell>
        </row>
        <row r="161">
          <cell r="A161" t="str">
            <v>WAREHOUSE LOCAL 570</v>
          </cell>
          <cell r="B161" t="str">
            <v>JAN</v>
          </cell>
          <cell r="C161" t="str">
            <v>39219</v>
          </cell>
          <cell r="D161">
            <v>39219</v>
          </cell>
          <cell r="E161">
            <v>0</v>
          </cell>
          <cell r="F161">
            <v>0</v>
          </cell>
          <cell r="G161">
            <v>0</v>
          </cell>
          <cell r="H161">
            <v>0</v>
          </cell>
          <cell r="I161">
            <v>0</v>
          </cell>
          <cell r="J161">
            <v>0</v>
          </cell>
          <cell r="K161">
            <v>0</v>
          </cell>
          <cell r="L161">
            <v>0</v>
          </cell>
        </row>
        <row r="162">
          <cell r="A162" t="str">
            <v>WASHINGTON CO BD OF ED</v>
          </cell>
          <cell r="B162" t="str">
            <v>JUL</v>
          </cell>
          <cell r="C162" t="str">
            <v>28795</v>
          </cell>
          <cell r="D162">
            <v>28795</v>
          </cell>
          <cell r="E162">
            <v>533519.51</v>
          </cell>
          <cell r="F162">
            <v>682656.64079600014</v>
          </cell>
          <cell r="G162">
            <v>84908</v>
          </cell>
          <cell r="H162">
            <v>86618.86</v>
          </cell>
          <cell r="I162">
            <v>6.2835010835256986</v>
          </cell>
          <cell r="J162">
            <v>7.8811547600141614</v>
          </cell>
          <cell r="K162">
            <v>0.2795345399758673</v>
          </cell>
          <cell r="L162">
            <v>0.25426170143858928</v>
          </cell>
        </row>
        <row r="163">
          <cell r="A163" t="str">
            <v>WASHINGTON CO GOVT</v>
          </cell>
          <cell r="B163" t="str">
            <v>JUL</v>
          </cell>
          <cell r="C163" t="str">
            <v>60930</v>
          </cell>
          <cell r="D163">
            <v>60930</v>
          </cell>
          <cell r="E163">
            <v>109504.8</v>
          </cell>
          <cell r="F163">
            <v>261861.39880000008</v>
          </cell>
          <cell r="G163">
            <v>22816</v>
          </cell>
          <cell r="H163">
            <v>23303.040000000001</v>
          </cell>
          <cell r="I163">
            <v>4.799474053295933</v>
          </cell>
          <cell r="J163">
            <v>11.237220499986272</v>
          </cell>
          <cell r="K163">
            <v>1.3913234744047758</v>
          </cell>
          <cell r="L163">
            <v>1.3413441504636032</v>
          </cell>
        </row>
        <row r="164">
          <cell r="A164" t="str">
            <v>WATSON WYATT</v>
          </cell>
          <cell r="B164" t="str">
            <v>JAN</v>
          </cell>
          <cell r="C164" t="str">
            <v>63839</v>
          </cell>
          <cell r="D164">
            <v>63839</v>
          </cell>
          <cell r="E164">
            <v>0</v>
          </cell>
          <cell r="F164">
            <v>0</v>
          </cell>
          <cell r="G164">
            <v>67450</v>
          </cell>
          <cell r="H164">
            <v>67762</v>
          </cell>
          <cell r="I164">
            <v>0</v>
          </cell>
          <cell r="J164">
            <v>0</v>
          </cell>
          <cell r="K164">
            <v>0</v>
          </cell>
          <cell r="L164">
            <v>0</v>
          </cell>
        </row>
        <row r="165">
          <cell r="A165" t="str">
            <v xml:space="preserve">WESTVACO  </v>
          </cell>
          <cell r="B165" t="str">
            <v>TERMED</v>
          </cell>
          <cell r="C165" t="str">
            <v>31348</v>
          </cell>
          <cell r="D165">
            <v>31348</v>
          </cell>
          <cell r="E165">
            <v>0</v>
          </cell>
          <cell r="F165">
            <v>0</v>
          </cell>
          <cell r="G165">
            <v>0</v>
          </cell>
          <cell r="H165">
            <v>0</v>
          </cell>
          <cell r="I165">
            <v>0</v>
          </cell>
          <cell r="J165">
            <v>0</v>
          </cell>
          <cell r="K165">
            <v>0</v>
          </cell>
          <cell r="L165">
            <v>0</v>
          </cell>
        </row>
        <row r="166">
          <cell r="A166" t="str">
            <v>WHITING TURNER</v>
          </cell>
          <cell r="B166" t="str">
            <v>JAN</v>
          </cell>
          <cell r="C166" t="str">
            <v>11836</v>
          </cell>
          <cell r="D166">
            <v>11836</v>
          </cell>
          <cell r="E166">
            <v>0</v>
          </cell>
          <cell r="F166">
            <v>0</v>
          </cell>
          <cell r="G166">
            <v>29478</v>
          </cell>
          <cell r="H166">
            <v>30732</v>
          </cell>
          <cell r="I166">
            <v>0</v>
          </cell>
          <cell r="J166">
            <v>0</v>
          </cell>
          <cell r="K166">
            <v>0</v>
          </cell>
          <cell r="L166">
            <v>0</v>
          </cell>
        </row>
        <row r="167">
          <cell r="A167" t="str">
            <v>WICOMICO ENTITIES RETRO</v>
          </cell>
          <cell r="B167" t="str">
            <v>SEP</v>
          </cell>
          <cell r="C167" t="str">
            <v>58397</v>
          </cell>
          <cell r="D167">
            <v>58397</v>
          </cell>
          <cell r="E167">
            <v>451981.83</v>
          </cell>
          <cell r="F167">
            <v>526715.25575040013</v>
          </cell>
          <cell r="G167">
            <v>80722</v>
          </cell>
          <cell r="H167">
            <v>80583.759999999995</v>
          </cell>
          <cell r="I167">
            <v>5.5992397363791779</v>
          </cell>
          <cell r="J167">
            <v>6.5362457119201194</v>
          </cell>
          <cell r="K167">
            <v>0.16534608426714881</v>
          </cell>
          <cell r="L167">
            <v>0.16734521464638497</v>
          </cell>
        </row>
        <row r="168">
          <cell r="A168" t="str">
            <v>WILKINS ROGERS</v>
          </cell>
          <cell r="B168" t="str">
            <v>MAY</v>
          </cell>
          <cell r="C168" t="str">
            <v>27094</v>
          </cell>
          <cell r="D168">
            <v>27094</v>
          </cell>
          <cell r="E168">
            <v>135116.17000000001</v>
          </cell>
          <cell r="F168">
            <v>161619.66437759998</v>
          </cell>
          <cell r="G168">
            <v>3406</v>
          </cell>
          <cell r="H168">
            <v>3297.84</v>
          </cell>
          <cell r="I168">
            <v>39.670044039929543</v>
          </cell>
          <cell r="J168">
            <v>49.007733661305572</v>
          </cell>
          <cell r="K168">
            <v>0.19615338695287154</v>
          </cell>
          <cell r="L168">
            <v>0.23538389854009889</v>
          </cell>
        </row>
        <row r="169">
          <cell r="A169" t="str">
            <v>WORCESTER CO GOVT DRUG</v>
          </cell>
          <cell r="B169" t="str">
            <v>JUL</v>
          </cell>
          <cell r="C169" t="str">
            <v>10412</v>
          </cell>
          <cell r="D169">
            <v>10412</v>
          </cell>
          <cell r="E169">
            <v>0</v>
          </cell>
          <cell r="F169">
            <v>0</v>
          </cell>
          <cell r="G169">
            <v>0</v>
          </cell>
          <cell r="H169">
            <v>0</v>
          </cell>
          <cell r="I169">
            <v>0</v>
          </cell>
          <cell r="J169">
            <v>0</v>
          </cell>
          <cell r="K169">
            <v>0</v>
          </cell>
          <cell r="L169">
            <v>0</v>
          </cell>
        </row>
        <row r="170">
          <cell r="A170" t="str">
            <v>YARA NORTH AMERICA INC</v>
          </cell>
          <cell r="B170" t="str">
            <v>APR</v>
          </cell>
          <cell r="C170" t="str">
            <v>65997</v>
          </cell>
          <cell r="D170">
            <v>65997</v>
          </cell>
          <cell r="E170">
            <v>0</v>
          </cell>
          <cell r="F170">
            <v>0</v>
          </cell>
          <cell r="G170">
            <v>2696</v>
          </cell>
          <cell r="H170">
            <v>3430.47</v>
          </cell>
          <cell r="I170">
            <v>0</v>
          </cell>
          <cell r="J170">
            <v>0</v>
          </cell>
          <cell r="K170">
            <v>0</v>
          </cell>
          <cell r="L170">
            <v>0</v>
          </cell>
        </row>
        <row r="171">
          <cell r="A171" t="str">
            <v>YORKSHIRE GLOBAL</v>
          </cell>
          <cell r="B171" t="str">
            <v>TERMED</v>
          </cell>
          <cell r="C171" t="str">
            <v>65997</v>
          </cell>
          <cell r="D171">
            <v>65997</v>
          </cell>
          <cell r="E171">
            <v>0</v>
          </cell>
          <cell r="F171">
            <v>0</v>
          </cell>
          <cell r="G171">
            <v>0</v>
          </cell>
          <cell r="H171">
            <v>0</v>
          </cell>
          <cell r="I171">
            <v>0</v>
          </cell>
          <cell r="J171">
            <v>0</v>
          </cell>
          <cell r="K171">
            <v>0</v>
          </cell>
          <cell r="L171">
            <v>0</v>
          </cell>
        </row>
      </sheetData>
      <sheetData sheetId="11" refreshError="1">
        <row r="3">
          <cell r="A3" t="str">
            <v>ADVANCED PCS</v>
          </cell>
          <cell r="B3" t="str">
            <v>TERMED</v>
          </cell>
          <cell r="C3" t="str">
            <v>57913</v>
          </cell>
          <cell r="D3">
            <v>57913</v>
          </cell>
          <cell r="E3">
            <v>0</v>
          </cell>
          <cell r="F3">
            <v>0</v>
          </cell>
          <cell r="G3">
            <v>15</v>
          </cell>
          <cell r="H3">
            <v>0</v>
          </cell>
          <cell r="I3">
            <v>0</v>
          </cell>
          <cell r="J3">
            <v>0</v>
          </cell>
          <cell r="K3">
            <v>0</v>
          </cell>
          <cell r="L3">
            <v>0</v>
          </cell>
        </row>
        <row r="4">
          <cell r="A4" t="str">
            <v>AEGON</v>
          </cell>
          <cell r="B4" t="str">
            <v>JAN</v>
          </cell>
          <cell r="C4" t="str">
            <v>28020</v>
          </cell>
          <cell r="D4">
            <v>28020</v>
          </cell>
          <cell r="E4">
            <v>0</v>
          </cell>
          <cell r="F4">
            <v>0</v>
          </cell>
          <cell r="G4">
            <v>144550</v>
          </cell>
          <cell r="H4">
            <v>115574</v>
          </cell>
          <cell r="I4">
            <v>0</v>
          </cell>
          <cell r="J4">
            <v>0</v>
          </cell>
          <cell r="K4">
            <v>0</v>
          </cell>
          <cell r="L4">
            <v>0</v>
          </cell>
        </row>
        <row r="5">
          <cell r="A5" t="str">
            <v>AETHER SYSTEMS</v>
          </cell>
          <cell r="B5" t="str">
            <v>TERMED</v>
          </cell>
          <cell r="C5" t="str">
            <v>57692</v>
          </cell>
          <cell r="D5">
            <v>57692</v>
          </cell>
          <cell r="E5">
            <v>0</v>
          </cell>
          <cell r="F5">
            <v>0</v>
          </cell>
          <cell r="G5">
            <v>0</v>
          </cell>
          <cell r="H5">
            <v>0</v>
          </cell>
          <cell r="I5">
            <v>0</v>
          </cell>
          <cell r="J5">
            <v>0</v>
          </cell>
          <cell r="K5">
            <v>0</v>
          </cell>
          <cell r="L5">
            <v>0</v>
          </cell>
        </row>
        <row r="6">
          <cell r="A6" t="str">
            <v>AHOLD/GIANT</v>
          </cell>
          <cell r="B6" t="str">
            <v>JAN</v>
          </cell>
          <cell r="C6" t="str">
            <v>63697</v>
          </cell>
          <cell r="D6">
            <v>63697</v>
          </cell>
          <cell r="E6">
            <v>0</v>
          </cell>
          <cell r="F6">
            <v>0</v>
          </cell>
          <cell r="G6">
            <v>191367</v>
          </cell>
          <cell r="H6">
            <v>182950</v>
          </cell>
          <cell r="I6">
            <v>0</v>
          </cell>
          <cell r="J6">
            <v>0</v>
          </cell>
          <cell r="K6">
            <v>0</v>
          </cell>
          <cell r="L6">
            <v>0</v>
          </cell>
        </row>
        <row r="7">
          <cell r="A7" t="str">
            <v xml:space="preserve">ALLEGANY CO P S </v>
          </cell>
          <cell r="B7" t="str">
            <v>JUL</v>
          </cell>
          <cell r="C7" t="str">
            <v>60924</v>
          </cell>
          <cell r="D7">
            <v>60924</v>
          </cell>
          <cell r="E7">
            <v>0</v>
          </cell>
          <cell r="F7">
            <v>0</v>
          </cell>
          <cell r="G7">
            <v>39007</v>
          </cell>
          <cell r="H7">
            <v>39887.480000000003</v>
          </cell>
          <cell r="I7">
            <v>0</v>
          </cell>
          <cell r="J7">
            <v>0</v>
          </cell>
          <cell r="K7">
            <v>0</v>
          </cell>
          <cell r="L7">
            <v>0</v>
          </cell>
        </row>
        <row r="8">
          <cell r="A8" t="str">
            <v>ALLEGIS/MAXIM INTERNAL</v>
          </cell>
          <cell r="B8" t="str">
            <v>JAN</v>
          </cell>
          <cell r="C8" t="str">
            <v>40117</v>
          </cell>
          <cell r="D8">
            <v>40117</v>
          </cell>
          <cell r="E8">
            <v>0</v>
          </cell>
          <cell r="F8">
            <v>0</v>
          </cell>
          <cell r="G8">
            <v>189473</v>
          </cell>
          <cell r="H8">
            <v>218364</v>
          </cell>
          <cell r="I8">
            <v>0</v>
          </cell>
          <cell r="J8">
            <v>0</v>
          </cell>
          <cell r="K8">
            <v>0</v>
          </cell>
          <cell r="L8">
            <v>0</v>
          </cell>
        </row>
        <row r="9">
          <cell r="A9" t="str">
            <v>AMERICAN BANKERS</v>
          </cell>
          <cell r="B9" t="str">
            <v>SEP</v>
          </cell>
          <cell r="C9" t="str">
            <v>61273</v>
          </cell>
          <cell r="D9">
            <v>61273</v>
          </cell>
          <cell r="E9">
            <v>0</v>
          </cell>
          <cell r="F9">
            <v>0</v>
          </cell>
          <cell r="G9">
            <v>8608</v>
          </cell>
          <cell r="H9">
            <v>8929.68</v>
          </cell>
          <cell r="I9">
            <v>0</v>
          </cell>
          <cell r="J9">
            <v>0</v>
          </cell>
          <cell r="K9">
            <v>0</v>
          </cell>
          <cell r="L9">
            <v>0</v>
          </cell>
        </row>
        <row r="10">
          <cell r="A10" t="str">
            <v>AMERICAN WOOD</v>
          </cell>
          <cell r="B10" t="str">
            <v>JAN</v>
          </cell>
          <cell r="C10" t="str">
            <v>63901</v>
          </cell>
          <cell r="D10">
            <v>63901</v>
          </cell>
          <cell r="E10">
            <v>0</v>
          </cell>
          <cell r="F10">
            <v>23851.71</v>
          </cell>
          <cell r="G10">
            <v>13288</v>
          </cell>
          <cell r="H10">
            <v>14650</v>
          </cell>
          <cell r="I10">
            <v>0</v>
          </cell>
          <cell r="J10">
            <v>1.6281030716723546</v>
          </cell>
          <cell r="K10">
            <v>0</v>
          </cell>
          <cell r="L10">
            <v>0</v>
          </cell>
        </row>
        <row r="11">
          <cell r="A11" t="str">
            <v>ANNE ARUNDEL CO BD OF ED</v>
          </cell>
          <cell r="B11" t="str">
            <v>JAN</v>
          </cell>
          <cell r="C11" t="str">
            <v>07319</v>
          </cell>
          <cell r="D11" t="str">
            <v>07319</v>
          </cell>
          <cell r="E11">
            <v>135441.18</v>
          </cell>
          <cell r="F11">
            <v>125662.77</v>
          </cell>
          <cell r="G11">
            <v>190951</v>
          </cell>
          <cell r="H11">
            <v>192319</v>
          </cell>
          <cell r="I11">
            <v>0.70929809218071649</v>
          </cell>
          <cell r="J11">
            <v>0.65340798361056374</v>
          </cell>
          <cell r="K11">
            <v>-7.2196727760345802E-2</v>
          </cell>
          <cell r="L11">
            <v>-7.8796361059311759E-2</v>
          </cell>
        </row>
        <row r="12">
          <cell r="A12" t="str">
            <v>ANNE ARUNDEL CO GOVT RETRO</v>
          </cell>
          <cell r="B12" t="str">
            <v>JUL</v>
          </cell>
          <cell r="C12" t="str">
            <v>08173</v>
          </cell>
          <cell r="D12" t="str">
            <v>08173</v>
          </cell>
          <cell r="E12">
            <v>0</v>
          </cell>
          <cell r="F12">
            <v>0</v>
          </cell>
          <cell r="G12">
            <v>138719</v>
          </cell>
          <cell r="H12">
            <v>134192.62</v>
          </cell>
          <cell r="I12">
            <v>0</v>
          </cell>
          <cell r="J12">
            <v>0</v>
          </cell>
          <cell r="K12">
            <v>0</v>
          </cell>
          <cell r="L12">
            <v>0</v>
          </cell>
        </row>
        <row r="13">
          <cell r="A13" t="str">
            <v>ANNE ARUNDEL MEDICAL CENTER DENTAL</v>
          </cell>
          <cell r="B13" t="str">
            <v>JAN</v>
          </cell>
          <cell r="C13" t="str">
            <v>7L25</v>
          </cell>
          <cell r="D13" t="str">
            <v>7L25</v>
          </cell>
          <cell r="E13">
            <v>0</v>
          </cell>
          <cell r="F13">
            <v>0</v>
          </cell>
          <cell r="G13">
            <v>0</v>
          </cell>
          <cell r="H13">
            <v>0</v>
          </cell>
          <cell r="I13">
            <v>0</v>
          </cell>
          <cell r="J13">
            <v>0</v>
          </cell>
          <cell r="K13">
            <v>0</v>
          </cell>
          <cell r="L13">
            <v>0</v>
          </cell>
        </row>
        <row r="14">
          <cell r="A14" t="str">
            <v>ARBITRON</v>
          </cell>
          <cell r="B14" t="str">
            <v>JAN</v>
          </cell>
          <cell r="C14" t="str">
            <v>63840</v>
          </cell>
          <cell r="D14">
            <v>63840</v>
          </cell>
          <cell r="E14">
            <v>0</v>
          </cell>
          <cell r="F14">
            <v>0</v>
          </cell>
          <cell r="G14">
            <v>20882</v>
          </cell>
          <cell r="H14">
            <v>22086</v>
          </cell>
          <cell r="I14">
            <v>0</v>
          </cell>
          <cell r="J14">
            <v>0</v>
          </cell>
          <cell r="K14">
            <v>0</v>
          </cell>
          <cell r="L14">
            <v>0</v>
          </cell>
        </row>
        <row r="15">
          <cell r="A15" t="str">
            <v>ARCHDIOCESE OF BALT</v>
          </cell>
          <cell r="B15" t="str">
            <v>TERMED</v>
          </cell>
          <cell r="C15" t="str">
            <v>51204</v>
          </cell>
          <cell r="D15">
            <v>51204</v>
          </cell>
          <cell r="E15">
            <v>0</v>
          </cell>
          <cell r="F15">
            <v>0</v>
          </cell>
          <cell r="G15">
            <v>0</v>
          </cell>
          <cell r="H15">
            <v>0</v>
          </cell>
          <cell r="I15">
            <v>0</v>
          </cell>
          <cell r="J15">
            <v>0</v>
          </cell>
          <cell r="K15">
            <v>0</v>
          </cell>
          <cell r="L15">
            <v>0</v>
          </cell>
        </row>
        <row r="16">
          <cell r="A16" t="str">
            <v>ARGUSS HOLDINGS</v>
          </cell>
          <cell r="B16" t="str">
            <v>TERMED</v>
          </cell>
          <cell r="C16" t="str">
            <v>55231</v>
          </cell>
          <cell r="D16">
            <v>55231</v>
          </cell>
          <cell r="E16">
            <v>0</v>
          </cell>
          <cell r="F16">
            <v>0</v>
          </cell>
          <cell r="G16">
            <v>0</v>
          </cell>
          <cell r="H16">
            <v>0</v>
          </cell>
          <cell r="I16">
            <v>0</v>
          </cell>
          <cell r="J16">
            <v>0</v>
          </cell>
          <cell r="K16">
            <v>0</v>
          </cell>
          <cell r="L16">
            <v>0</v>
          </cell>
        </row>
        <row r="17">
          <cell r="A17" t="str">
            <v>ARINC</v>
          </cell>
          <cell r="B17" t="str">
            <v>JAN</v>
          </cell>
          <cell r="C17" t="str">
            <v>61841</v>
          </cell>
          <cell r="D17">
            <v>61841</v>
          </cell>
          <cell r="E17">
            <v>31427.4</v>
          </cell>
          <cell r="F17">
            <v>36660.800000000003</v>
          </cell>
          <cell r="G17">
            <v>48577</v>
          </cell>
          <cell r="H17">
            <v>50785</v>
          </cell>
          <cell r="I17">
            <v>0.64696049570784531</v>
          </cell>
          <cell r="J17">
            <v>0.72188244560401704</v>
          </cell>
          <cell r="K17">
            <v>0.16652347951150914</v>
          </cell>
          <cell r="L17">
            <v>0.11580606604766341</v>
          </cell>
        </row>
        <row r="18">
          <cell r="A18" t="str">
            <v>ASBURY SERVICES</v>
          </cell>
          <cell r="B18" t="str">
            <v>AUG</v>
          </cell>
          <cell r="C18" t="str">
            <v>60918</v>
          </cell>
          <cell r="D18">
            <v>60918</v>
          </cell>
          <cell r="E18">
            <v>0</v>
          </cell>
          <cell r="F18">
            <v>0</v>
          </cell>
          <cell r="G18">
            <v>21703</v>
          </cell>
          <cell r="H18">
            <v>22515.45</v>
          </cell>
          <cell r="I18">
            <v>0</v>
          </cell>
          <cell r="J18">
            <v>0</v>
          </cell>
          <cell r="K18">
            <v>0</v>
          </cell>
          <cell r="L18">
            <v>0</v>
          </cell>
        </row>
        <row r="19">
          <cell r="A19" t="str">
            <v>ASTRA ZENECA</v>
          </cell>
          <cell r="B19" t="str">
            <v>JAN</v>
          </cell>
          <cell r="C19" t="str">
            <v>59288</v>
          </cell>
          <cell r="D19">
            <v>59288</v>
          </cell>
          <cell r="E19">
            <v>0</v>
          </cell>
          <cell r="F19">
            <v>0</v>
          </cell>
          <cell r="G19">
            <v>138625</v>
          </cell>
          <cell r="H19">
            <v>146509</v>
          </cell>
          <cell r="I19">
            <v>0</v>
          </cell>
          <cell r="J19">
            <v>0</v>
          </cell>
          <cell r="K19">
            <v>0</v>
          </cell>
          <cell r="L19">
            <v>0</v>
          </cell>
        </row>
        <row r="20">
          <cell r="A20" t="str">
            <v>BALTIMORE CO ENTITES</v>
          </cell>
          <cell r="B20" t="str">
            <v>SEP</v>
          </cell>
          <cell r="C20" t="str">
            <v>07320</v>
          </cell>
          <cell r="D20" t="str">
            <v>07320</v>
          </cell>
          <cell r="E20">
            <v>408392.4</v>
          </cell>
          <cell r="F20">
            <v>426107.16852799995</v>
          </cell>
          <cell r="G20">
            <v>590609</v>
          </cell>
          <cell r="H20">
            <v>583961.80000000005</v>
          </cell>
          <cell r="I20">
            <v>0.69147676381497736</v>
          </cell>
          <cell r="J20">
            <v>0.72968329183176028</v>
          </cell>
          <cell r="K20">
            <v>4.3376832007647526E-2</v>
          </cell>
          <cell r="L20">
            <v>5.5253524075042026E-2</v>
          </cell>
        </row>
        <row r="21">
          <cell r="A21" t="str">
            <v>BALTIMORE LIFE</v>
          </cell>
          <cell r="B21" t="str">
            <v>JAN</v>
          </cell>
          <cell r="C21" t="str">
            <v>28286</v>
          </cell>
          <cell r="D21">
            <v>28286</v>
          </cell>
          <cell r="E21">
            <v>27044.28</v>
          </cell>
          <cell r="F21">
            <v>22052.9</v>
          </cell>
          <cell r="G21">
            <v>5647</v>
          </cell>
          <cell r="H21">
            <v>4940</v>
          </cell>
          <cell r="I21">
            <v>4.7891411368868422</v>
          </cell>
          <cell r="J21">
            <v>4.4641497975708493</v>
          </cell>
          <cell r="K21">
            <v>-0.18456324220870379</v>
          </cell>
          <cell r="L21">
            <v>-6.7860046306184252E-2</v>
          </cell>
        </row>
        <row r="22">
          <cell r="A22" t="str">
            <v>BAY BUSINESS SOLUTIONS</v>
          </cell>
          <cell r="B22" t="str">
            <v>JAN</v>
          </cell>
          <cell r="C22" t="str">
            <v>49213</v>
          </cell>
          <cell r="D22">
            <v>49213</v>
          </cell>
          <cell r="E22">
            <v>48462.12</v>
          </cell>
          <cell r="F22">
            <v>62457.72</v>
          </cell>
          <cell r="G22">
            <v>9899</v>
          </cell>
          <cell r="H22">
            <v>11217</v>
          </cell>
          <cell r="I22">
            <v>4.8956581472876044</v>
          </cell>
          <cell r="J22">
            <v>5.5681305161807977</v>
          </cell>
          <cell r="K22">
            <v>0.288794629702539</v>
          </cell>
          <cell r="L22">
            <v>0.13736097347110943</v>
          </cell>
        </row>
        <row r="23">
          <cell r="A23" t="str">
            <v>BESCHE OIL</v>
          </cell>
          <cell r="B23" t="str">
            <v>TERMED</v>
          </cell>
          <cell r="C23" t="str">
            <v>09392</v>
          </cell>
          <cell r="D23" t="str">
            <v>09392</v>
          </cell>
          <cell r="E23">
            <v>0</v>
          </cell>
          <cell r="F23">
            <v>0</v>
          </cell>
          <cell r="G23">
            <v>0</v>
          </cell>
          <cell r="H23">
            <v>0</v>
          </cell>
          <cell r="I23">
            <v>0</v>
          </cell>
          <cell r="J23">
            <v>0</v>
          </cell>
          <cell r="K23">
            <v>0</v>
          </cell>
          <cell r="L23">
            <v>0</v>
          </cell>
        </row>
        <row r="24">
          <cell r="A24" t="str">
            <v>BGE</v>
          </cell>
          <cell r="B24" t="str">
            <v>TERMED</v>
          </cell>
          <cell r="C24" t="str">
            <v>7528</v>
          </cell>
          <cell r="D24">
            <v>7528</v>
          </cell>
          <cell r="E24">
            <v>0</v>
          </cell>
          <cell r="F24">
            <v>0</v>
          </cell>
          <cell r="G24">
            <v>0</v>
          </cell>
          <cell r="H24">
            <v>0</v>
          </cell>
          <cell r="I24">
            <v>0</v>
          </cell>
          <cell r="J24">
            <v>0</v>
          </cell>
          <cell r="K24">
            <v>0</v>
          </cell>
          <cell r="L24">
            <v>0</v>
          </cell>
        </row>
        <row r="25">
          <cell r="A25" t="str">
            <v>BIEDERLACK OF AMERICA CORP</v>
          </cell>
          <cell r="B25" t="str">
            <v>JUN</v>
          </cell>
          <cell r="C25" t="str">
            <v>51149</v>
          </cell>
          <cell r="D25">
            <v>51149</v>
          </cell>
          <cell r="E25">
            <v>9580.08</v>
          </cell>
          <cell r="F25">
            <v>21120.524545200002</v>
          </cell>
          <cell r="G25">
            <v>3247</v>
          </cell>
          <cell r="H25">
            <v>5611.55</v>
          </cell>
          <cell r="I25">
            <v>2.9504404065291032</v>
          </cell>
          <cell r="J25">
            <v>3.7637594862738468</v>
          </cell>
          <cell r="K25">
            <v>1.2046292458100565</v>
          </cell>
          <cell r="L25">
            <v>0.27566022955248637</v>
          </cell>
        </row>
        <row r="26">
          <cell r="A26" t="str">
            <v>BOARD OF CHILD CARE</v>
          </cell>
          <cell r="B26" t="str">
            <v>JUL</v>
          </cell>
          <cell r="C26" t="str">
            <v>46919</v>
          </cell>
          <cell r="D26">
            <v>46919</v>
          </cell>
          <cell r="E26">
            <v>32129.01</v>
          </cell>
          <cell r="F26">
            <v>38437.502840000008</v>
          </cell>
          <cell r="G26">
            <v>5357</v>
          </cell>
          <cell r="H26">
            <v>5154.62</v>
          </cell>
          <cell r="I26">
            <v>5.997575135336942</v>
          </cell>
          <cell r="J26">
            <v>7.4569032906402413</v>
          </cell>
          <cell r="K26">
            <v>0.19634880875570127</v>
          </cell>
          <cell r="L26">
            <v>0.24331969543909926</v>
          </cell>
        </row>
        <row r="27">
          <cell r="A27" t="str">
            <v>BP SOLAREX</v>
          </cell>
          <cell r="B27" t="str">
            <v>TERMED</v>
          </cell>
          <cell r="C27" t="str">
            <v>59766</v>
          </cell>
          <cell r="D27">
            <v>59766</v>
          </cell>
          <cell r="E27">
            <v>0</v>
          </cell>
          <cell r="F27">
            <v>0</v>
          </cell>
          <cell r="G27">
            <v>0</v>
          </cell>
          <cell r="H27">
            <v>0</v>
          </cell>
          <cell r="I27">
            <v>0</v>
          </cell>
          <cell r="J27">
            <v>0</v>
          </cell>
          <cell r="K27">
            <v>0</v>
          </cell>
          <cell r="L27">
            <v>0</v>
          </cell>
        </row>
        <row r="28">
          <cell r="A28" t="str">
            <v>CALVERT CO ENTITIES   RETRO</v>
          </cell>
          <cell r="B28" t="str">
            <v>JUL</v>
          </cell>
          <cell r="C28" t="str">
            <v>08262</v>
          </cell>
          <cell r="D28" t="str">
            <v>08262</v>
          </cell>
          <cell r="E28">
            <v>101788.4</v>
          </cell>
          <cell r="F28">
            <v>92914.346200000015</v>
          </cell>
          <cell r="G28">
            <v>55010</v>
          </cell>
          <cell r="H28">
            <v>54597.68</v>
          </cell>
          <cell r="I28">
            <v>1.8503617524086529</v>
          </cell>
          <cell r="J28">
            <v>1.7018002633078919</v>
          </cell>
          <cell r="K28">
            <v>-8.7181386091145785E-2</v>
          </cell>
          <cell r="L28">
            <v>-8.0287807996125893E-2</v>
          </cell>
        </row>
        <row r="29">
          <cell r="A29" t="str">
            <v>CAMBREX BIOWHITTAKER</v>
          </cell>
          <cell r="B29" t="str">
            <v>JAN</v>
          </cell>
          <cell r="C29" t="str">
            <v>56828</v>
          </cell>
          <cell r="D29">
            <v>56828</v>
          </cell>
          <cell r="E29">
            <v>30594.959999999999</v>
          </cell>
          <cell r="F29">
            <v>34923.9</v>
          </cell>
          <cell r="G29">
            <v>18367</v>
          </cell>
          <cell r="H29">
            <v>18613</v>
          </cell>
          <cell r="I29">
            <v>1.6657570643001036</v>
          </cell>
          <cell r="J29">
            <v>1.8763176274646753</v>
          </cell>
          <cell r="K29">
            <v>0.14149193200448695</v>
          </cell>
          <cell r="L29">
            <v>0.12640532504842916</v>
          </cell>
        </row>
        <row r="30">
          <cell r="A30" t="str">
            <v>CAREFIRST</v>
          </cell>
          <cell r="B30" t="str">
            <v>APR</v>
          </cell>
          <cell r="C30" t="str">
            <v>07277</v>
          </cell>
          <cell r="D30" t="str">
            <v>07277</v>
          </cell>
          <cell r="E30">
            <v>0</v>
          </cell>
          <cell r="F30">
            <v>0</v>
          </cell>
          <cell r="G30">
            <v>87545</v>
          </cell>
          <cell r="H30">
            <v>89515.45</v>
          </cell>
          <cell r="I30">
            <v>0</v>
          </cell>
          <cell r="J30">
            <v>0</v>
          </cell>
          <cell r="K30">
            <v>0</v>
          </cell>
          <cell r="L30">
            <v>0</v>
          </cell>
        </row>
        <row r="31">
          <cell r="A31" t="str">
            <v>CARPENTERS</v>
          </cell>
          <cell r="B31" t="str">
            <v>TERMED</v>
          </cell>
          <cell r="C31" t="str">
            <v>59344</v>
          </cell>
          <cell r="D31">
            <v>59344</v>
          </cell>
          <cell r="E31">
            <v>0</v>
          </cell>
          <cell r="F31">
            <v>0</v>
          </cell>
          <cell r="G31">
            <v>0</v>
          </cell>
          <cell r="H31">
            <v>0</v>
          </cell>
          <cell r="I31">
            <v>0</v>
          </cell>
          <cell r="J31">
            <v>0</v>
          </cell>
          <cell r="K31">
            <v>0</v>
          </cell>
          <cell r="L31">
            <v>0</v>
          </cell>
        </row>
        <row r="32">
          <cell r="A32" t="str">
            <v>CARROLL CO GOVT</v>
          </cell>
          <cell r="B32" t="str">
            <v>JAN</v>
          </cell>
          <cell r="C32" t="str">
            <v>59765</v>
          </cell>
          <cell r="D32">
            <v>59765</v>
          </cell>
          <cell r="E32">
            <v>46558.559999999998</v>
          </cell>
          <cell r="F32">
            <v>53043.3</v>
          </cell>
          <cell r="G32">
            <v>30257</v>
          </cell>
          <cell r="H32">
            <v>30436</v>
          </cell>
          <cell r="I32">
            <v>1.5387698714347096</v>
          </cell>
          <cell r="J32">
            <v>1.7427815744513078</v>
          </cell>
          <cell r="K32">
            <v>0.13928136952689263</v>
          </cell>
          <cell r="L32">
            <v>0.13258103554262002</v>
          </cell>
        </row>
        <row r="33">
          <cell r="A33" t="str">
            <v>CARROLL CO P S</v>
          </cell>
          <cell r="B33" t="str">
            <v>JAN</v>
          </cell>
          <cell r="C33" t="str">
            <v>25698</v>
          </cell>
          <cell r="D33">
            <v>25698</v>
          </cell>
          <cell r="E33">
            <v>0</v>
          </cell>
          <cell r="F33">
            <v>0</v>
          </cell>
          <cell r="G33">
            <v>0</v>
          </cell>
          <cell r="H33">
            <v>0</v>
          </cell>
          <cell r="I33">
            <v>0</v>
          </cell>
          <cell r="J33">
            <v>0</v>
          </cell>
          <cell r="K33">
            <v>0</v>
          </cell>
          <cell r="L33">
            <v>0</v>
          </cell>
        </row>
        <row r="34">
          <cell r="A34" t="str">
            <v>CECIL CO BD OF ED</v>
          </cell>
          <cell r="B34" t="str">
            <v>SEP</v>
          </cell>
          <cell r="C34" t="str">
            <v>28209</v>
          </cell>
          <cell r="D34">
            <v>28209</v>
          </cell>
          <cell r="E34">
            <v>57389.599999999999</v>
          </cell>
          <cell r="F34">
            <v>67827.430300000007</v>
          </cell>
          <cell r="G34">
            <v>30162</v>
          </cell>
          <cell r="H34">
            <v>32363.56</v>
          </cell>
          <cell r="I34">
            <v>1.9027120217492208</v>
          </cell>
          <cell r="J34">
            <v>2.0957963308115675</v>
          </cell>
          <cell r="K34">
            <v>0.18187668671675716</v>
          </cell>
          <cell r="L34">
            <v>0.10147847223083106</v>
          </cell>
        </row>
        <row r="35">
          <cell r="A35" t="str">
            <v>CECIL CO GOVT</v>
          </cell>
          <cell r="B35" t="str">
            <v>JAN</v>
          </cell>
          <cell r="C35" t="str">
            <v>65766</v>
          </cell>
          <cell r="D35">
            <v>65766</v>
          </cell>
          <cell r="E35">
            <v>0</v>
          </cell>
          <cell r="F35">
            <v>0</v>
          </cell>
          <cell r="G35">
            <v>16367</v>
          </cell>
          <cell r="H35">
            <v>16726</v>
          </cell>
          <cell r="I35">
            <v>0</v>
          </cell>
          <cell r="J35">
            <v>0</v>
          </cell>
          <cell r="K35">
            <v>0</v>
          </cell>
          <cell r="L35">
            <v>0</v>
          </cell>
        </row>
        <row r="36">
          <cell r="A36" t="str">
            <v>CEDAR ENTERPRISE SOLUTIONS</v>
          </cell>
          <cell r="B36" t="str">
            <v>JAN</v>
          </cell>
          <cell r="C36" t="str">
            <v>64048</v>
          </cell>
          <cell r="D36">
            <v>64048</v>
          </cell>
          <cell r="E36">
            <v>0</v>
          </cell>
          <cell r="F36">
            <v>0</v>
          </cell>
          <cell r="G36">
            <v>5787</v>
          </cell>
          <cell r="H36">
            <v>5076</v>
          </cell>
          <cell r="I36">
            <v>0</v>
          </cell>
          <cell r="J36">
            <v>0</v>
          </cell>
          <cell r="K36">
            <v>0</v>
          </cell>
          <cell r="L36">
            <v>0</v>
          </cell>
        </row>
        <row r="37">
          <cell r="A37" t="str">
            <v>CHARLES CO COMM</v>
          </cell>
          <cell r="B37" t="str">
            <v>JUL</v>
          </cell>
          <cell r="C37" t="str">
            <v>08174</v>
          </cell>
          <cell r="D37" t="str">
            <v>08174</v>
          </cell>
          <cell r="E37">
            <v>54288.160000000003</v>
          </cell>
          <cell r="F37">
            <v>62812.175839999982</v>
          </cell>
          <cell r="G37">
            <v>18907</v>
          </cell>
          <cell r="H37">
            <v>19490.96</v>
          </cell>
          <cell r="I37">
            <v>2.8713259639287037</v>
          </cell>
          <cell r="J37">
            <v>3.2226312013364136</v>
          </cell>
          <cell r="K37">
            <v>0.15701427051496997</v>
          </cell>
          <cell r="L37">
            <v>0.12234947958574338</v>
          </cell>
        </row>
        <row r="38">
          <cell r="A38" t="str">
            <v>CHESAPEAKE PUBLISHING</v>
          </cell>
          <cell r="B38" t="str">
            <v>JAN</v>
          </cell>
          <cell r="C38" t="str">
            <v>17940</v>
          </cell>
          <cell r="D38">
            <v>17940</v>
          </cell>
          <cell r="E38">
            <v>0</v>
          </cell>
          <cell r="F38">
            <v>0</v>
          </cell>
          <cell r="G38">
            <v>5350</v>
          </cell>
          <cell r="H38">
            <v>5415</v>
          </cell>
          <cell r="I38">
            <v>0</v>
          </cell>
          <cell r="J38">
            <v>0</v>
          </cell>
          <cell r="K38">
            <v>0</v>
          </cell>
          <cell r="L38">
            <v>0</v>
          </cell>
        </row>
        <row r="39">
          <cell r="A39" t="str">
            <v>CIENA</v>
          </cell>
          <cell r="B39" t="str">
            <v>JAN</v>
          </cell>
          <cell r="C39" t="str">
            <v>65740</v>
          </cell>
          <cell r="D39">
            <v>65740</v>
          </cell>
          <cell r="E39">
            <v>0</v>
          </cell>
          <cell r="F39">
            <v>21056.2</v>
          </cell>
          <cell r="G39">
            <v>11709</v>
          </cell>
          <cell r="H39">
            <v>14609</v>
          </cell>
          <cell r="I39">
            <v>0</v>
          </cell>
          <cell r="J39">
            <v>1.4413169963720995</v>
          </cell>
          <cell r="K39">
            <v>0</v>
          </cell>
          <cell r="L39">
            <v>0</v>
          </cell>
        </row>
        <row r="40">
          <cell r="A40" t="str">
            <v>CITY OF ANNAPOLIS</v>
          </cell>
          <cell r="B40" t="str">
            <v>JUL</v>
          </cell>
          <cell r="C40" t="str">
            <v>12598</v>
          </cell>
          <cell r="D40">
            <v>12598</v>
          </cell>
          <cell r="E40">
            <v>0</v>
          </cell>
          <cell r="F40">
            <v>0</v>
          </cell>
          <cell r="G40">
            <v>14688</v>
          </cell>
          <cell r="H40">
            <v>15081</v>
          </cell>
          <cell r="I40">
            <v>0</v>
          </cell>
          <cell r="J40">
            <v>0</v>
          </cell>
          <cell r="K40">
            <v>0</v>
          </cell>
          <cell r="L40">
            <v>0</v>
          </cell>
        </row>
        <row r="41">
          <cell r="A41" t="str">
            <v>CITY OF BALT. BD OF ED RETRO</v>
          </cell>
          <cell r="B41" t="str">
            <v>JAN</v>
          </cell>
          <cell r="C41" t="str">
            <v>63584</v>
          </cell>
          <cell r="D41">
            <v>63584</v>
          </cell>
          <cell r="E41">
            <v>0</v>
          </cell>
          <cell r="F41">
            <v>0</v>
          </cell>
          <cell r="G41">
            <v>172883</v>
          </cell>
          <cell r="H41">
            <v>159736</v>
          </cell>
          <cell r="I41">
            <v>0</v>
          </cell>
          <cell r="J41">
            <v>0</v>
          </cell>
          <cell r="K41">
            <v>0</v>
          </cell>
          <cell r="L41">
            <v>0</v>
          </cell>
        </row>
        <row r="42">
          <cell r="A42" t="str">
            <v>CITY OF BALTIMORE RETRO</v>
          </cell>
          <cell r="B42" t="str">
            <v>JAN</v>
          </cell>
          <cell r="C42" t="str">
            <v>07495</v>
          </cell>
          <cell r="D42" t="str">
            <v>07495</v>
          </cell>
          <cell r="E42">
            <v>0</v>
          </cell>
          <cell r="F42">
            <v>0</v>
          </cell>
          <cell r="G42">
            <v>513730</v>
          </cell>
          <cell r="H42">
            <v>497930</v>
          </cell>
          <cell r="I42">
            <v>0</v>
          </cell>
          <cell r="J42">
            <v>0</v>
          </cell>
          <cell r="K42">
            <v>0</v>
          </cell>
          <cell r="L42">
            <v>0</v>
          </cell>
        </row>
        <row r="43">
          <cell r="A43" t="str">
            <v>CJ MILLER</v>
          </cell>
          <cell r="B43" t="str">
            <v>MAR</v>
          </cell>
          <cell r="C43" t="str">
            <v>62461</v>
          </cell>
          <cell r="D43">
            <v>62461</v>
          </cell>
          <cell r="E43">
            <v>0</v>
          </cell>
          <cell r="F43">
            <v>0</v>
          </cell>
          <cell r="G43">
            <v>4927</v>
          </cell>
          <cell r="H43">
            <v>4967</v>
          </cell>
          <cell r="I43">
            <v>0</v>
          </cell>
          <cell r="J43">
            <v>0</v>
          </cell>
          <cell r="K43">
            <v>0</v>
          </cell>
          <cell r="L43">
            <v>0</v>
          </cell>
        </row>
        <row r="44">
          <cell r="A44" t="str">
            <v>COLUMBIA NATIONAL</v>
          </cell>
          <cell r="B44" t="str">
            <v>TERMED</v>
          </cell>
          <cell r="C44" t="str">
            <v>27416</v>
          </cell>
          <cell r="D44">
            <v>27416</v>
          </cell>
          <cell r="E44">
            <v>11406.64</v>
          </cell>
          <cell r="F44">
            <v>0</v>
          </cell>
          <cell r="G44">
            <v>2782</v>
          </cell>
          <cell r="H44">
            <v>0</v>
          </cell>
          <cell r="I44">
            <v>4.1001581595974121</v>
          </cell>
          <cell r="J44">
            <v>0</v>
          </cell>
          <cell r="K44">
            <v>-1</v>
          </cell>
          <cell r="L44">
            <v>-1</v>
          </cell>
        </row>
        <row r="45">
          <cell r="A45" t="str">
            <v>COMPUDYNE</v>
          </cell>
          <cell r="B45" t="str">
            <v>MAR</v>
          </cell>
          <cell r="C45" t="str">
            <v>60328</v>
          </cell>
          <cell r="D45">
            <v>60328</v>
          </cell>
          <cell r="E45">
            <v>0</v>
          </cell>
          <cell r="F45">
            <v>0</v>
          </cell>
          <cell r="G45">
            <v>18785</v>
          </cell>
          <cell r="H45">
            <v>18542.5</v>
          </cell>
          <cell r="I45">
            <v>0</v>
          </cell>
          <cell r="J45">
            <v>0</v>
          </cell>
          <cell r="K45">
            <v>0</v>
          </cell>
          <cell r="L45">
            <v>0</v>
          </cell>
        </row>
        <row r="46">
          <cell r="A46" t="str">
            <v>CONSTELLATION ENERGY GROUP</v>
          </cell>
          <cell r="B46" t="str">
            <v>JAN</v>
          </cell>
          <cell r="C46" t="str">
            <v>54748</v>
          </cell>
          <cell r="D46">
            <v>54748</v>
          </cell>
          <cell r="E46">
            <v>0</v>
          </cell>
          <cell r="F46">
            <v>0</v>
          </cell>
          <cell r="G46">
            <v>201139</v>
          </cell>
          <cell r="H46">
            <v>203357</v>
          </cell>
          <cell r="I46">
            <v>0</v>
          </cell>
          <cell r="J46">
            <v>0</v>
          </cell>
          <cell r="K46">
            <v>0</v>
          </cell>
          <cell r="L46">
            <v>0</v>
          </cell>
        </row>
        <row r="47">
          <cell r="A47" t="str">
            <v>CORVIS</v>
          </cell>
          <cell r="B47" t="str">
            <v>TERMED</v>
          </cell>
          <cell r="C47" t="str">
            <v>61500</v>
          </cell>
          <cell r="D47">
            <v>61500</v>
          </cell>
          <cell r="E47">
            <v>6196.45</v>
          </cell>
          <cell r="F47">
            <v>11.25</v>
          </cell>
          <cell r="G47">
            <v>4093</v>
          </cell>
          <cell r="H47">
            <v>0</v>
          </cell>
          <cell r="I47">
            <v>1.5139139995113611</v>
          </cell>
          <cell r="J47">
            <v>0</v>
          </cell>
          <cell r="K47">
            <v>-0.9981844443189245</v>
          </cell>
          <cell r="L47">
            <v>-1</v>
          </cell>
        </row>
        <row r="48">
          <cell r="A48" t="str">
            <v>DANIEL G SCHUSTER INC</v>
          </cell>
          <cell r="B48" t="str">
            <v>MAY</v>
          </cell>
          <cell r="C48" t="str">
            <v>55220</v>
          </cell>
          <cell r="D48">
            <v>55220</v>
          </cell>
          <cell r="E48">
            <v>10460.19</v>
          </cell>
          <cell r="F48">
            <v>21888.273936000005</v>
          </cell>
          <cell r="G48">
            <v>6439</v>
          </cell>
          <cell r="H48">
            <v>10590.08</v>
          </cell>
          <cell r="I48">
            <v>1.6245053579748405</v>
          </cell>
          <cell r="J48">
            <v>2.0668657777844928</v>
          </cell>
          <cell r="K48">
            <v>1.0925312002936858</v>
          </cell>
          <cell r="L48">
            <v>0.27230468501569782</v>
          </cell>
        </row>
        <row r="49">
          <cell r="A49" t="str">
            <v>DAVID EDWARD</v>
          </cell>
          <cell r="B49" t="str">
            <v>TERMED</v>
          </cell>
          <cell r="C49" t="str">
            <v>36554</v>
          </cell>
          <cell r="D49">
            <v>36554</v>
          </cell>
          <cell r="E49">
            <v>0</v>
          </cell>
          <cell r="F49">
            <v>0</v>
          </cell>
          <cell r="G49">
            <v>0</v>
          </cell>
          <cell r="H49">
            <v>0</v>
          </cell>
          <cell r="I49">
            <v>0</v>
          </cell>
          <cell r="J49">
            <v>0</v>
          </cell>
          <cell r="K49">
            <v>0</v>
          </cell>
          <cell r="L49">
            <v>0</v>
          </cell>
        </row>
        <row r="50">
          <cell r="A50" t="str">
            <v>DIAMOND COMICS</v>
          </cell>
          <cell r="B50" t="str">
            <v>JAN</v>
          </cell>
          <cell r="C50" t="str">
            <v>52326</v>
          </cell>
          <cell r="D50">
            <v>52326</v>
          </cell>
          <cell r="E50">
            <v>16197.8</v>
          </cell>
          <cell r="F50">
            <v>24224.55</v>
          </cell>
          <cell r="G50">
            <v>6386</v>
          </cell>
          <cell r="H50">
            <v>6439</v>
          </cell>
          <cell r="I50">
            <v>2.5364547447541499</v>
          </cell>
          <cell r="J50">
            <v>3.7621602733343691</v>
          </cell>
          <cell r="K50">
            <v>0.49554569139018878</v>
          </cell>
          <cell r="L50">
            <v>0.48323571753653449</v>
          </cell>
        </row>
        <row r="51">
          <cell r="A51" t="str">
            <v>DIETRICH INDUSTRIES</v>
          </cell>
          <cell r="B51" t="str">
            <v>TERMED</v>
          </cell>
          <cell r="C51" t="str">
            <v>0</v>
          </cell>
          <cell r="D51">
            <v>0</v>
          </cell>
          <cell r="E51">
            <v>0</v>
          </cell>
          <cell r="F51">
            <v>0</v>
          </cell>
          <cell r="G51">
            <v>0</v>
          </cell>
          <cell r="H51">
            <v>0</v>
          </cell>
          <cell r="I51">
            <v>0</v>
          </cell>
          <cell r="J51">
            <v>0</v>
          </cell>
          <cell r="K51">
            <v>0</v>
          </cell>
          <cell r="L51">
            <v>0</v>
          </cell>
        </row>
        <row r="52">
          <cell r="A52" t="str">
            <v>DIGEX</v>
          </cell>
          <cell r="B52" t="str">
            <v>TERMED</v>
          </cell>
          <cell r="C52" t="str">
            <v>61863</v>
          </cell>
          <cell r="D52">
            <v>61863</v>
          </cell>
          <cell r="E52">
            <v>13054.04</v>
          </cell>
          <cell r="F52">
            <v>0</v>
          </cell>
          <cell r="G52">
            <v>14377</v>
          </cell>
          <cell r="H52">
            <v>5</v>
          </cell>
          <cell r="I52">
            <v>0.90798080267093284</v>
          </cell>
          <cell r="J52">
            <v>0</v>
          </cell>
          <cell r="K52">
            <v>-1</v>
          </cell>
          <cell r="L52">
            <v>-1</v>
          </cell>
        </row>
        <row r="53">
          <cell r="A53" t="str">
            <v>DRAPER COMMUNICATIONS</v>
          </cell>
          <cell r="B53" t="str">
            <v>MAY</v>
          </cell>
          <cell r="C53" t="str">
            <v>29216</v>
          </cell>
          <cell r="D53">
            <v>29216</v>
          </cell>
          <cell r="E53">
            <v>10925.26</v>
          </cell>
          <cell r="F53">
            <v>14048.49656</v>
          </cell>
          <cell r="G53">
            <v>3664</v>
          </cell>
          <cell r="H53">
            <v>3699.48</v>
          </cell>
          <cell r="I53">
            <v>2.9817849344978167</v>
          </cell>
          <cell r="J53">
            <v>3.7974246542757362</v>
          </cell>
          <cell r="K53">
            <v>0.28587297327477779</v>
          </cell>
          <cell r="L53">
            <v>0.27354076088498558</v>
          </cell>
        </row>
        <row r="54">
          <cell r="A54" t="str">
            <v>DUNBAR ARMORED</v>
          </cell>
          <cell r="B54" t="str">
            <v>JAN</v>
          </cell>
          <cell r="C54" t="str">
            <v>29032</v>
          </cell>
          <cell r="D54">
            <v>29032</v>
          </cell>
          <cell r="E54">
            <v>13559.29</v>
          </cell>
          <cell r="F54">
            <v>0</v>
          </cell>
          <cell r="G54">
            <v>32857</v>
          </cell>
          <cell r="H54">
            <v>34186</v>
          </cell>
          <cell r="I54">
            <v>0.41267583772103356</v>
          </cell>
          <cell r="J54">
            <v>0</v>
          </cell>
          <cell r="K54">
            <v>-1</v>
          </cell>
          <cell r="L54">
            <v>-1</v>
          </cell>
        </row>
        <row r="55">
          <cell r="A55" t="str">
            <v>DURATEK</v>
          </cell>
          <cell r="B55" t="str">
            <v>JAN</v>
          </cell>
          <cell r="C55" t="str">
            <v>59327</v>
          </cell>
          <cell r="D55">
            <v>59327</v>
          </cell>
          <cell r="E55">
            <v>16399.52</v>
          </cell>
          <cell r="F55">
            <v>2553.6</v>
          </cell>
          <cell r="G55">
            <v>29972</v>
          </cell>
          <cell r="H55">
            <v>30388</v>
          </cell>
          <cell r="I55">
            <v>0.5471613505938876</v>
          </cell>
          <cell r="J55">
            <v>8.4033170988548109E-2</v>
          </cell>
          <cell r="K55">
            <v>-0.84428812550611232</v>
          </cell>
          <cell r="L55">
            <v>-0.8464197610132026</v>
          </cell>
        </row>
        <row r="56">
          <cell r="A56" t="str">
            <v>DURON INC</v>
          </cell>
          <cell r="B56" t="str">
            <v>TERMED</v>
          </cell>
          <cell r="C56" t="str">
            <v>56824</v>
          </cell>
          <cell r="D56">
            <v>56824</v>
          </cell>
          <cell r="E56">
            <v>56344.98</v>
          </cell>
          <cell r="F56">
            <v>0</v>
          </cell>
          <cell r="G56">
            <v>39869</v>
          </cell>
          <cell r="H56">
            <v>24</v>
          </cell>
          <cell r="I56">
            <v>1.4132529032581704</v>
          </cell>
          <cell r="J56">
            <v>0</v>
          </cell>
          <cell r="K56">
            <v>-1</v>
          </cell>
          <cell r="L56">
            <v>-1</v>
          </cell>
        </row>
        <row r="57">
          <cell r="A57" t="str">
            <v>DUTY FREE AMERICAS</v>
          </cell>
          <cell r="B57" t="str">
            <v>TERMED</v>
          </cell>
          <cell r="C57" t="str">
            <v>59982</v>
          </cell>
          <cell r="D57">
            <v>59982</v>
          </cell>
          <cell r="E57">
            <v>4123.8</v>
          </cell>
          <cell r="F57">
            <v>0</v>
          </cell>
          <cell r="G57">
            <v>1512</v>
          </cell>
          <cell r="H57">
            <v>0</v>
          </cell>
          <cell r="I57">
            <v>2.727380952380952</v>
          </cell>
          <cell r="J57">
            <v>0</v>
          </cell>
          <cell r="K57">
            <v>-1</v>
          </cell>
          <cell r="L57">
            <v>-1</v>
          </cell>
        </row>
        <row r="58">
          <cell r="A58" t="str">
            <v>DVCC</v>
          </cell>
          <cell r="B58" t="str">
            <v>JAN</v>
          </cell>
          <cell r="C58" t="str">
            <v>48987</v>
          </cell>
          <cell r="D58">
            <v>48987</v>
          </cell>
          <cell r="E58">
            <v>0</v>
          </cell>
          <cell r="F58">
            <v>0</v>
          </cell>
          <cell r="G58">
            <v>22024</v>
          </cell>
          <cell r="H58">
            <v>20665</v>
          </cell>
          <cell r="I58">
            <v>0</v>
          </cell>
          <cell r="J58">
            <v>0</v>
          </cell>
          <cell r="K58">
            <v>0</v>
          </cell>
          <cell r="L58">
            <v>0</v>
          </cell>
        </row>
        <row r="59">
          <cell r="A59" t="str">
            <v>EA ENGINEERING</v>
          </cell>
          <cell r="B59" t="str">
            <v>JAN</v>
          </cell>
          <cell r="C59" t="str">
            <v>44713</v>
          </cell>
          <cell r="D59">
            <v>44713</v>
          </cell>
          <cell r="E59">
            <v>19972.650000000001</v>
          </cell>
          <cell r="F59">
            <v>0</v>
          </cell>
          <cell r="G59">
            <v>8135</v>
          </cell>
          <cell r="H59">
            <v>8353</v>
          </cell>
          <cell r="I59">
            <v>2.4551505838967422</v>
          </cell>
          <cell r="J59">
            <v>0</v>
          </cell>
          <cell r="K59">
            <v>-1</v>
          </cell>
          <cell r="L59">
            <v>-1</v>
          </cell>
        </row>
        <row r="60">
          <cell r="A60" t="str">
            <v>EAI CORPORATION</v>
          </cell>
          <cell r="B60" t="str">
            <v>JUL</v>
          </cell>
          <cell r="C60" t="str">
            <v>52612</v>
          </cell>
          <cell r="D60">
            <v>52612</v>
          </cell>
          <cell r="E60">
            <v>30042.81</v>
          </cell>
          <cell r="F60">
            <v>42401.410799999998</v>
          </cell>
          <cell r="G60">
            <v>9965</v>
          </cell>
          <cell r="H60">
            <v>12137.42</v>
          </cell>
          <cell r="I60">
            <v>3.0148329152032112</v>
          </cell>
          <cell r="J60">
            <v>3.493445130843293</v>
          </cell>
          <cell r="K60">
            <v>0.41136634023248808</v>
          </cell>
          <cell r="L60">
            <v>0.15875248449973278</v>
          </cell>
        </row>
        <row r="61">
          <cell r="A61" t="str">
            <v>EDUCATE</v>
          </cell>
          <cell r="B61" t="str">
            <v>JAN</v>
          </cell>
          <cell r="C61" t="str">
            <v>65575</v>
          </cell>
          <cell r="D61">
            <v>65575</v>
          </cell>
          <cell r="E61">
            <v>35135.64</v>
          </cell>
          <cell r="F61">
            <v>55972.88</v>
          </cell>
          <cell r="G61">
            <v>30874</v>
          </cell>
          <cell r="H61">
            <v>34499</v>
          </cell>
          <cell r="I61">
            <v>1.1380332966249922</v>
          </cell>
          <cell r="J61">
            <v>1.6224493463578651</v>
          </cell>
          <cell r="K61">
            <v>0.59305138600008367</v>
          </cell>
          <cell r="L61">
            <v>0.42566070005990242</v>
          </cell>
        </row>
        <row r="62">
          <cell r="A62" t="str">
            <v>ENTERPRISE FOUNDATION</v>
          </cell>
          <cell r="B62" t="str">
            <v>JAN</v>
          </cell>
          <cell r="C62" t="str">
            <v>27413</v>
          </cell>
          <cell r="D62">
            <v>27413</v>
          </cell>
          <cell r="E62">
            <v>4641.9799999999996</v>
          </cell>
          <cell r="F62">
            <v>6203.43</v>
          </cell>
          <cell r="G62">
            <v>9699</v>
          </cell>
          <cell r="H62">
            <v>9939</v>
          </cell>
          <cell r="I62">
            <v>0.47860397979173108</v>
          </cell>
          <cell r="J62">
            <v>0.62415031693329326</v>
          </cell>
          <cell r="K62">
            <v>0.33637585685418769</v>
          </cell>
          <cell r="L62">
            <v>0.30410599010250183</v>
          </cell>
        </row>
        <row r="63">
          <cell r="A63" t="str">
            <v>EPISCOPAL DIOCESE</v>
          </cell>
          <cell r="B63" t="str">
            <v>TERMED</v>
          </cell>
          <cell r="C63" t="str">
            <v>10747</v>
          </cell>
          <cell r="D63">
            <v>10747</v>
          </cell>
          <cell r="E63">
            <v>0</v>
          </cell>
          <cell r="F63">
            <v>0</v>
          </cell>
          <cell r="G63">
            <v>0</v>
          </cell>
          <cell r="H63">
            <v>0</v>
          </cell>
          <cell r="I63">
            <v>0</v>
          </cell>
          <cell r="J63">
            <v>0</v>
          </cell>
          <cell r="K63">
            <v>0</v>
          </cell>
          <cell r="L63">
            <v>0</v>
          </cell>
        </row>
        <row r="64">
          <cell r="A64" t="str">
            <v>ESMEC DENTAL &amp; DRUG</v>
          </cell>
          <cell r="B64" t="str">
            <v>SEP</v>
          </cell>
          <cell r="C64" t="str">
            <v>08266</v>
          </cell>
          <cell r="D64" t="str">
            <v>08266</v>
          </cell>
          <cell r="E64">
            <v>0</v>
          </cell>
          <cell r="F64">
            <v>1788.78</v>
          </cell>
          <cell r="G64">
            <v>0</v>
          </cell>
          <cell r="H64">
            <v>0</v>
          </cell>
          <cell r="I64">
            <v>0</v>
          </cell>
          <cell r="J64">
            <v>0</v>
          </cell>
          <cell r="K64">
            <v>0</v>
          </cell>
          <cell r="L64">
            <v>0</v>
          </cell>
        </row>
        <row r="65">
          <cell r="A65" t="str">
            <v>ESMEC MEDICAL RETRO</v>
          </cell>
          <cell r="B65" t="str">
            <v>SEP</v>
          </cell>
          <cell r="C65" t="str">
            <v>08266</v>
          </cell>
          <cell r="D65" t="str">
            <v>08266</v>
          </cell>
          <cell r="E65">
            <v>195744.18</v>
          </cell>
          <cell r="F65">
            <v>219611.51032800006</v>
          </cell>
          <cell r="G65">
            <v>104737</v>
          </cell>
          <cell r="H65">
            <v>104752.04</v>
          </cell>
          <cell r="I65">
            <v>1.868911463952567</v>
          </cell>
          <cell r="J65">
            <v>2.0964891025320362</v>
          </cell>
          <cell r="K65">
            <v>0.12193123866058264</v>
          </cell>
          <cell r="L65">
            <v>0.12177015496398336</v>
          </cell>
        </row>
        <row r="66">
          <cell r="A66" t="str">
            <v>EVAPCO</v>
          </cell>
          <cell r="B66" t="str">
            <v>JUN</v>
          </cell>
          <cell r="C66" t="str">
            <v>9136</v>
          </cell>
          <cell r="D66">
            <v>9136</v>
          </cell>
          <cell r="E66">
            <v>79469.119999999995</v>
          </cell>
          <cell r="F66">
            <v>103210.005408</v>
          </cell>
          <cell r="G66">
            <v>23926</v>
          </cell>
          <cell r="H66">
            <v>25944.71</v>
          </cell>
          <cell r="I66">
            <v>3.3214544846610385</v>
          </cell>
          <cell r="J66">
            <v>3.9780751223659863</v>
          </cell>
          <cell r="K66">
            <v>0.29874352966284246</v>
          </cell>
          <cell r="L66">
            <v>0.19769069265808636</v>
          </cell>
        </row>
        <row r="67">
          <cell r="A67" t="str">
            <v>F&amp;M BANKCORP</v>
          </cell>
          <cell r="B67" t="str">
            <v>TERMED</v>
          </cell>
          <cell r="C67" t="str">
            <v>12078</v>
          </cell>
          <cell r="D67">
            <v>12078</v>
          </cell>
          <cell r="E67">
            <v>0</v>
          </cell>
          <cell r="F67">
            <v>0</v>
          </cell>
          <cell r="G67">
            <v>0</v>
          </cell>
          <cell r="H67">
            <v>0</v>
          </cell>
          <cell r="I67">
            <v>0</v>
          </cell>
          <cell r="J67">
            <v>0</v>
          </cell>
          <cell r="K67">
            <v>0</v>
          </cell>
          <cell r="L67">
            <v>0</v>
          </cell>
        </row>
        <row r="68">
          <cell r="A68" t="str">
            <v>FIELDSTONE MORTGAGE COMPANY</v>
          </cell>
          <cell r="B68" t="str">
            <v>JUL</v>
          </cell>
          <cell r="C68" t="str">
            <v>62874</v>
          </cell>
          <cell r="D68">
            <v>62874</v>
          </cell>
          <cell r="E68">
            <v>7537.85</v>
          </cell>
          <cell r="F68">
            <v>16199.724463999997</v>
          </cell>
          <cell r="G68">
            <v>13552</v>
          </cell>
          <cell r="H68">
            <v>26088.42</v>
          </cell>
          <cell r="I68">
            <v>0.55621679456906736</v>
          </cell>
          <cell r="J68">
            <v>0.62095460223348131</v>
          </cell>
          <cell r="K68">
            <v>1.1491173828080945</v>
          </cell>
          <cell r="L68">
            <v>0.11638952346732001</v>
          </cell>
        </row>
        <row r="69">
          <cell r="A69" t="str">
            <v>FLOORS</v>
          </cell>
          <cell r="B69" t="str">
            <v>TERMED</v>
          </cell>
          <cell r="C69" t="str">
            <v>60908</v>
          </cell>
          <cell r="D69">
            <v>60908</v>
          </cell>
          <cell r="E69">
            <v>0</v>
          </cell>
          <cell r="F69">
            <v>0</v>
          </cell>
          <cell r="G69">
            <v>0</v>
          </cell>
          <cell r="H69">
            <v>0</v>
          </cell>
          <cell r="I69">
            <v>0</v>
          </cell>
          <cell r="J69">
            <v>0</v>
          </cell>
          <cell r="K69">
            <v>0</v>
          </cell>
          <cell r="L69">
            <v>0</v>
          </cell>
        </row>
        <row r="70">
          <cell r="A70" t="str">
            <v>FREDERICK CO P S</v>
          </cell>
          <cell r="B70" t="str">
            <v>JUL</v>
          </cell>
          <cell r="C70" t="str">
            <v>57887</v>
          </cell>
          <cell r="D70">
            <v>57887</v>
          </cell>
          <cell r="E70">
            <v>0</v>
          </cell>
          <cell r="F70">
            <v>0</v>
          </cell>
          <cell r="G70">
            <v>142570</v>
          </cell>
          <cell r="H70">
            <v>72489</v>
          </cell>
          <cell r="I70">
            <v>0</v>
          </cell>
          <cell r="J70">
            <v>0</v>
          </cell>
          <cell r="K70">
            <v>0</v>
          </cell>
          <cell r="L70">
            <v>0</v>
          </cell>
        </row>
        <row r="71">
          <cell r="A71" t="str">
            <v>FTI CONSULTING</v>
          </cell>
          <cell r="B71" t="str">
            <v>JAN</v>
          </cell>
          <cell r="C71" t="str">
            <v>63835</v>
          </cell>
          <cell r="D71">
            <v>63835</v>
          </cell>
          <cell r="E71">
            <v>51820.6</v>
          </cell>
          <cell r="F71">
            <v>62373.9</v>
          </cell>
          <cell r="G71">
            <v>24250</v>
          </cell>
          <cell r="H71">
            <v>25379</v>
          </cell>
          <cell r="I71">
            <v>2.1369319587628866</v>
          </cell>
          <cell r="J71">
            <v>2.4576973087986138</v>
          </cell>
          <cell r="K71">
            <v>0.20365067174058238</v>
          </cell>
          <cell r="L71">
            <v>0.15010555142870574</v>
          </cell>
        </row>
        <row r="72">
          <cell r="A72" t="str">
            <v>GAMES WORKSHOP</v>
          </cell>
          <cell r="B72" t="str">
            <v>JAN</v>
          </cell>
          <cell r="C72" t="str">
            <v>65730</v>
          </cell>
          <cell r="D72">
            <v>65730</v>
          </cell>
          <cell r="E72">
            <v>0</v>
          </cell>
          <cell r="F72">
            <v>17113.759999999998</v>
          </cell>
          <cell r="G72">
            <v>6972</v>
          </cell>
          <cell r="H72">
            <v>6993</v>
          </cell>
          <cell r="I72">
            <v>0</v>
          </cell>
          <cell r="J72">
            <v>2.4472701272701265</v>
          </cell>
          <cell r="K72">
            <v>0</v>
          </cell>
          <cell r="L72">
            <v>0</v>
          </cell>
        </row>
        <row r="73">
          <cell r="A73" t="str">
            <v>GBMC</v>
          </cell>
          <cell r="B73" t="str">
            <v>JAN</v>
          </cell>
          <cell r="C73" t="str">
            <v>61838</v>
          </cell>
          <cell r="D73">
            <v>61838</v>
          </cell>
          <cell r="E73">
            <v>0</v>
          </cell>
          <cell r="F73">
            <v>0</v>
          </cell>
          <cell r="G73">
            <v>41956</v>
          </cell>
          <cell r="H73">
            <v>45012</v>
          </cell>
          <cell r="I73">
            <v>0</v>
          </cell>
          <cell r="J73">
            <v>0</v>
          </cell>
          <cell r="K73">
            <v>0</v>
          </cell>
          <cell r="L73">
            <v>0</v>
          </cell>
        </row>
        <row r="74">
          <cell r="A74" t="str">
            <v>GENE LOGIC</v>
          </cell>
          <cell r="B74" t="str">
            <v>SEP</v>
          </cell>
          <cell r="C74" t="str">
            <v>65160</v>
          </cell>
          <cell r="D74">
            <v>65160</v>
          </cell>
          <cell r="E74">
            <v>0</v>
          </cell>
          <cell r="F74">
            <v>0</v>
          </cell>
          <cell r="G74">
            <v>9682</v>
          </cell>
          <cell r="H74">
            <v>9867.7199999999993</v>
          </cell>
          <cell r="I74">
            <v>0</v>
          </cell>
          <cell r="J74">
            <v>0</v>
          </cell>
          <cell r="K74">
            <v>0</v>
          </cell>
          <cell r="L74">
            <v>0</v>
          </cell>
        </row>
        <row r="75">
          <cell r="A75" t="str">
            <v>GRAULS MARKET</v>
          </cell>
          <cell r="B75" t="str">
            <v>TERMED</v>
          </cell>
          <cell r="C75" t="str">
            <v>28563</v>
          </cell>
          <cell r="D75">
            <v>28563</v>
          </cell>
          <cell r="E75">
            <v>0</v>
          </cell>
          <cell r="F75">
            <v>0</v>
          </cell>
          <cell r="G75">
            <v>0</v>
          </cell>
          <cell r="H75">
            <v>0</v>
          </cell>
          <cell r="I75">
            <v>0</v>
          </cell>
          <cell r="J75">
            <v>0</v>
          </cell>
          <cell r="K75">
            <v>0</v>
          </cell>
          <cell r="L75">
            <v>0</v>
          </cell>
        </row>
        <row r="76">
          <cell r="A76" t="str">
            <v>H&amp;S BAKERY</v>
          </cell>
          <cell r="B76" t="str">
            <v>JAN</v>
          </cell>
          <cell r="C76" t="str">
            <v>10058</v>
          </cell>
          <cell r="D76">
            <v>10058</v>
          </cell>
          <cell r="E76">
            <v>17105.66</v>
          </cell>
          <cell r="F76">
            <v>18602.810000000001</v>
          </cell>
          <cell r="G76">
            <v>51138</v>
          </cell>
          <cell r="H76">
            <v>50560</v>
          </cell>
          <cell r="I76">
            <v>0.33449998044507018</v>
          </cell>
          <cell r="J76">
            <v>0.36793532436708865</v>
          </cell>
          <cell r="K76">
            <v>8.7523661758739602E-2</v>
          </cell>
          <cell r="L76">
            <v>9.995619096159869E-2</v>
          </cell>
        </row>
        <row r="77">
          <cell r="A77" t="str">
            <v>HANLEY WOOD</v>
          </cell>
          <cell r="B77" t="str">
            <v>JAN</v>
          </cell>
          <cell r="C77" t="str">
            <v>61846</v>
          </cell>
          <cell r="D77">
            <v>61846</v>
          </cell>
          <cell r="E77">
            <v>61428.2</v>
          </cell>
          <cell r="F77">
            <v>64903.86</v>
          </cell>
          <cell r="G77">
            <v>11583</v>
          </cell>
          <cell r="H77">
            <v>12453</v>
          </cell>
          <cell r="I77">
            <v>5.3033065699732367</v>
          </cell>
          <cell r="J77">
            <v>5.2119055649241144</v>
          </cell>
          <cell r="K77">
            <v>5.6580853744697013E-2</v>
          </cell>
          <cell r="L77">
            <v>-1.7234720234094225E-2</v>
          </cell>
        </row>
        <row r="78">
          <cell r="A78" t="str">
            <v>HARFORD CO BD &amp; GOVT RETRO</v>
          </cell>
          <cell r="B78" t="str">
            <v>JUL</v>
          </cell>
          <cell r="C78" t="str">
            <v>10383</v>
          </cell>
          <cell r="D78">
            <v>10383</v>
          </cell>
          <cell r="E78">
            <v>469671.3</v>
          </cell>
          <cell r="F78">
            <v>311707.16768399999</v>
          </cell>
          <cell r="G78">
            <v>179754</v>
          </cell>
          <cell r="H78">
            <v>187005.48</v>
          </cell>
          <cell r="I78">
            <v>2.6128559030675254</v>
          </cell>
          <cell r="J78">
            <v>1.6668344033768425</v>
          </cell>
          <cell r="K78">
            <v>-0.33632911424649536</v>
          </cell>
          <cell r="L78">
            <v>-0.36206416839904632</v>
          </cell>
        </row>
        <row r="79">
          <cell r="A79" t="str">
            <v>HOMEWOOD RETIREMENT</v>
          </cell>
          <cell r="B79" t="str">
            <v>JAN</v>
          </cell>
          <cell r="C79" t="str">
            <v>50951</v>
          </cell>
          <cell r="D79">
            <v>50951</v>
          </cell>
          <cell r="E79">
            <v>26281.040000000001</v>
          </cell>
          <cell r="F79">
            <v>38248.5</v>
          </cell>
          <cell r="G79">
            <v>12573</v>
          </cell>
          <cell r="H79">
            <v>13008</v>
          </cell>
          <cell r="I79">
            <v>2.0902759882287443</v>
          </cell>
          <cell r="J79">
            <v>2.9403828413284132</v>
          </cell>
          <cell r="K79">
            <v>0.45536478008480641</v>
          </cell>
          <cell r="L79">
            <v>0.40669598554783737</v>
          </cell>
        </row>
        <row r="80">
          <cell r="A80" t="str">
            <v>HORIZON LINES</v>
          </cell>
          <cell r="B80" t="str">
            <v>JAN</v>
          </cell>
          <cell r="C80" t="str">
            <v>65576</v>
          </cell>
          <cell r="D80">
            <v>65576</v>
          </cell>
          <cell r="E80">
            <v>0</v>
          </cell>
          <cell r="F80">
            <v>0</v>
          </cell>
          <cell r="G80">
            <v>10771</v>
          </cell>
          <cell r="H80">
            <v>11383</v>
          </cell>
          <cell r="I80">
            <v>0</v>
          </cell>
          <cell r="J80">
            <v>0</v>
          </cell>
          <cell r="K80">
            <v>0</v>
          </cell>
          <cell r="L80">
            <v>0</v>
          </cell>
        </row>
        <row r="81">
          <cell r="A81" t="str">
            <v>HOWARD CO GOVT</v>
          </cell>
          <cell r="B81" t="str">
            <v>JUL</v>
          </cell>
          <cell r="C81" t="str">
            <v>10989</v>
          </cell>
          <cell r="D81">
            <v>10989</v>
          </cell>
          <cell r="E81">
            <v>50288.7</v>
          </cell>
          <cell r="F81">
            <v>53835.289760000014</v>
          </cell>
          <cell r="G81">
            <v>20113</v>
          </cell>
          <cell r="H81">
            <v>20184.38</v>
          </cell>
          <cell r="I81">
            <v>2.5003082583403766</v>
          </cell>
          <cell r="J81">
            <v>2.6671757943518712</v>
          </cell>
          <cell r="K81">
            <v>7.0524586239055997E-2</v>
          </cell>
          <cell r="L81">
            <v>6.6738785289720992E-2</v>
          </cell>
        </row>
        <row r="82">
          <cell r="A82" t="str">
            <v>INTERNATIONAL CODE COUNCIL</v>
          </cell>
          <cell r="B82" t="str">
            <v>JUL</v>
          </cell>
          <cell r="C82" t="str">
            <v>64778</v>
          </cell>
          <cell r="D82">
            <v>64778</v>
          </cell>
          <cell r="E82">
            <v>52616.160000000003</v>
          </cell>
          <cell r="F82">
            <v>61133.551680000004</v>
          </cell>
          <cell r="G82">
            <v>10574</v>
          </cell>
          <cell r="H82">
            <v>10579.68</v>
          </cell>
          <cell r="I82">
            <v>4.9759939474181953</v>
          </cell>
          <cell r="J82">
            <v>5.7783932670931453</v>
          </cell>
          <cell r="K82">
            <v>0.16187786565952367</v>
          </cell>
          <cell r="L82">
            <v>0.16125407871351549</v>
          </cell>
        </row>
        <row r="83">
          <cell r="A83" t="str">
            <v>IRONWORKERS</v>
          </cell>
          <cell r="B83" t="str">
            <v>TERMED</v>
          </cell>
          <cell r="C83" t="str">
            <v>52783</v>
          </cell>
          <cell r="D83">
            <v>52783</v>
          </cell>
          <cell r="E83">
            <v>0</v>
          </cell>
          <cell r="F83">
            <v>0</v>
          </cell>
          <cell r="G83">
            <v>0</v>
          </cell>
          <cell r="H83">
            <v>0</v>
          </cell>
          <cell r="I83">
            <v>0</v>
          </cell>
          <cell r="J83">
            <v>0</v>
          </cell>
          <cell r="K83">
            <v>0</v>
          </cell>
          <cell r="L83">
            <v>0</v>
          </cell>
        </row>
        <row r="84">
          <cell r="A84" t="str">
            <v>ISKY</v>
          </cell>
          <cell r="B84" t="str">
            <v>SEP</v>
          </cell>
          <cell r="C84" t="str">
            <v>58510</v>
          </cell>
          <cell r="D84">
            <v>58510</v>
          </cell>
          <cell r="E84">
            <v>27860.79</v>
          </cell>
          <cell r="F84">
            <v>27353.081279999991</v>
          </cell>
          <cell r="G84">
            <v>4924</v>
          </cell>
          <cell r="H84">
            <v>4702.68</v>
          </cell>
          <cell r="I84">
            <v>5.65816206336312</v>
          </cell>
          <cell r="J84">
            <v>5.8164878920105112</v>
          </cell>
          <cell r="K84">
            <v>-1.8223055412284084E-2</v>
          </cell>
          <cell r="L84">
            <v>2.7981847616659561E-2</v>
          </cell>
        </row>
        <row r="85">
          <cell r="A85" t="str">
            <v>JJ HAINES</v>
          </cell>
          <cell r="B85" t="str">
            <v>TERMED</v>
          </cell>
          <cell r="C85" t="str">
            <v>59776</v>
          </cell>
          <cell r="D85">
            <v>59776</v>
          </cell>
          <cell r="E85">
            <v>0</v>
          </cell>
          <cell r="F85">
            <v>0</v>
          </cell>
          <cell r="G85">
            <v>0</v>
          </cell>
          <cell r="H85">
            <v>0</v>
          </cell>
          <cell r="I85">
            <v>0</v>
          </cell>
          <cell r="J85">
            <v>0</v>
          </cell>
          <cell r="K85">
            <v>0</v>
          </cell>
          <cell r="L85">
            <v>0</v>
          </cell>
        </row>
        <row r="86">
          <cell r="A86" t="str">
            <v>JOHNS HOPKINS SCHOOL DENTAL</v>
          </cell>
          <cell r="B86" t="str">
            <v>JUL</v>
          </cell>
          <cell r="C86" t="str">
            <v>07249</v>
          </cell>
          <cell r="D86" t="str">
            <v>07249</v>
          </cell>
          <cell r="E86">
            <v>0</v>
          </cell>
          <cell r="F86">
            <v>0</v>
          </cell>
          <cell r="G86">
            <v>0</v>
          </cell>
          <cell r="H86">
            <v>0</v>
          </cell>
          <cell r="I86">
            <v>0</v>
          </cell>
          <cell r="J86">
            <v>0</v>
          </cell>
          <cell r="K86">
            <v>0</v>
          </cell>
          <cell r="L86">
            <v>0</v>
          </cell>
        </row>
        <row r="87">
          <cell r="A87" t="str">
            <v>JOHNS HOPKINS UNIVERSITY</v>
          </cell>
          <cell r="B87" t="str">
            <v>JAN</v>
          </cell>
          <cell r="C87" t="str">
            <v>07518</v>
          </cell>
          <cell r="D87" t="str">
            <v>07518</v>
          </cell>
          <cell r="E87">
            <v>0</v>
          </cell>
          <cell r="F87">
            <v>0</v>
          </cell>
          <cell r="G87">
            <v>183376</v>
          </cell>
          <cell r="H87">
            <v>178165</v>
          </cell>
          <cell r="I87">
            <v>0</v>
          </cell>
          <cell r="J87">
            <v>0</v>
          </cell>
          <cell r="K87">
            <v>0</v>
          </cell>
          <cell r="L87">
            <v>0</v>
          </cell>
        </row>
        <row r="88">
          <cell r="A88" t="str">
            <v>JOSEPH A BANKS</v>
          </cell>
          <cell r="B88" t="str">
            <v>APR</v>
          </cell>
          <cell r="C88" t="str">
            <v>50349</v>
          </cell>
          <cell r="D88">
            <v>50349</v>
          </cell>
          <cell r="E88">
            <v>49918.31</v>
          </cell>
          <cell r="F88">
            <v>22669.788351617975</v>
          </cell>
          <cell r="G88">
            <v>23816</v>
          </cell>
          <cell r="H88">
            <v>27652.01</v>
          </cell>
          <cell r="I88">
            <v>2.0959989082969432</v>
          </cell>
          <cell r="J88">
            <v>0.81982424972426882</v>
          </cell>
          <cell r="K88">
            <v>-0.54586226273249294</v>
          </cell>
          <cell r="L88">
            <v>-0.60886227255223213</v>
          </cell>
        </row>
        <row r="89">
          <cell r="A89" t="str">
            <v>K&amp;L MICROWAVE</v>
          </cell>
          <cell r="B89" t="str">
            <v>TERMED</v>
          </cell>
          <cell r="C89" t="str">
            <v>26198</v>
          </cell>
          <cell r="D89">
            <v>26198</v>
          </cell>
          <cell r="E89">
            <v>0</v>
          </cell>
          <cell r="F89">
            <v>0</v>
          </cell>
          <cell r="G89">
            <v>0</v>
          </cell>
          <cell r="H89">
            <v>0</v>
          </cell>
          <cell r="I89">
            <v>0</v>
          </cell>
          <cell r="J89">
            <v>0</v>
          </cell>
          <cell r="K89">
            <v>0</v>
          </cell>
          <cell r="L89">
            <v>0</v>
          </cell>
        </row>
        <row r="90">
          <cell r="A90" t="str">
            <v>KELLER FOUNDATION</v>
          </cell>
          <cell r="B90" t="str">
            <v>JAN</v>
          </cell>
          <cell r="C90" t="str">
            <v>53345</v>
          </cell>
          <cell r="D90">
            <v>53345</v>
          </cell>
          <cell r="E90">
            <v>0</v>
          </cell>
          <cell r="F90">
            <v>0</v>
          </cell>
          <cell r="G90">
            <v>20235</v>
          </cell>
          <cell r="H90">
            <v>19634</v>
          </cell>
          <cell r="I90">
            <v>0</v>
          </cell>
          <cell r="J90">
            <v>0</v>
          </cell>
          <cell r="K90">
            <v>0</v>
          </cell>
          <cell r="L90">
            <v>0</v>
          </cell>
        </row>
        <row r="91">
          <cell r="A91" t="str">
            <v>KETCHUM PUBLICATIONS</v>
          </cell>
          <cell r="B91" t="str">
            <v>JAN</v>
          </cell>
          <cell r="C91" t="str">
            <v>53346</v>
          </cell>
          <cell r="D91">
            <v>53346</v>
          </cell>
          <cell r="E91">
            <v>0</v>
          </cell>
          <cell r="F91">
            <v>0</v>
          </cell>
          <cell r="G91">
            <v>10760</v>
          </cell>
          <cell r="H91">
            <v>10790</v>
          </cell>
          <cell r="I91">
            <v>0</v>
          </cell>
          <cell r="J91">
            <v>0</v>
          </cell>
          <cell r="K91">
            <v>0</v>
          </cell>
          <cell r="L91">
            <v>0</v>
          </cell>
        </row>
        <row r="92">
          <cell r="A92" t="str">
            <v>KNORR BRAKE</v>
          </cell>
          <cell r="B92" t="str">
            <v>APR</v>
          </cell>
          <cell r="C92" t="str">
            <v>33512</v>
          </cell>
          <cell r="D92">
            <v>33512</v>
          </cell>
          <cell r="E92">
            <v>13765.99</v>
          </cell>
          <cell r="F92">
            <v>17141.064357993571</v>
          </cell>
          <cell r="G92">
            <v>5001</v>
          </cell>
          <cell r="H92">
            <v>5007.26</v>
          </cell>
          <cell r="I92">
            <v>2.7526474705058992</v>
          </cell>
          <cell r="J92">
            <v>3.423242323744637</v>
          </cell>
          <cell r="K92">
            <v>0.24517483726150968</v>
          </cell>
          <cell r="L92">
            <v>0.24361813869158166</v>
          </cell>
        </row>
        <row r="93">
          <cell r="A93" t="str">
            <v>LAUREATE</v>
          </cell>
          <cell r="B93" t="str">
            <v>JAN</v>
          </cell>
          <cell r="C93" t="str">
            <v>27304</v>
          </cell>
          <cell r="D93">
            <v>27304</v>
          </cell>
          <cell r="E93">
            <v>11692.38</v>
          </cell>
          <cell r="F93">
            <v>20278.759999999998</v>
          </cell>
          <cell r="G93">
            <v>9768</v>
          </cell>
          <cell r="H93">
            <v>11778</v>
          </cell>
          <cell r="I93">
            <v>1.1970085995085995</v>
          </cell>
          <cell r="J93">
            <v>1.7217490236033284</v>
          </cell>
          <cell r="K93">
            <v>0.73435690595071312</v>
          </cell>
          <cell r="L93">
            <v>0.4383764864430777</v>
          </cell>
        </row>
        <row r="94">
          <cell r="A94" t="str">
            <v>LEGG MASON</v>
          </cell>
          <cell r="B94" t="str">
            <v>SEP</v>
          </cell>
          <cell r="C94" t="str">
            <v>56202</v>
          </cell>
          <cell r="D94">
            <v>56202</v>
          </cell>
          <cell r="E94">
            <v>0</v>
          </cell>
          <cell r="F94">
            <v>0</v>
          </cell>
          <cell r="G94">
            <v>92889</v>
          </cell>
          <cell r="H94">
            <v>86450.2</v>
          </cell>
          <cell r="I94">
            <v>0</v>
          </cell>
          <cell r="J94">
            <v>0</v>
          </cell>
          <cell r="K94">
            <v>0</v>
          </cell>
          <cell r="L94">
            <v>0</v>
          </cell>
        </row>
        <row r="95">
          <cell r="A95" t="str">
            <v>LGIT TO NASCO 7/99</v>
          </cell>
          <cell r="B95" t="str">
            <v>TERMED</v>
          </cell>
          <cell r="C95" t="str">
            <v>45888</v>
          </cell>
          <cell r="D95">
            <v>45888</v>
          </cell>
          <cell r="E95">
            <v>0</v>
          </cell>
          <cell r="F95">
            <v>0</v>
          </cell>
          <cell r="G95">
            <v>0</v>
          </cell>
          <cell r="H95">
            <v>0</v>
          </cell>
          <cell r="I95">
            <v>0</v>
          </cell>
          <cell r="J95">
            <v>0</v>
          </cell>
          <cell r="K95">
            <v>0</v>
          </cell>
          <cell r="L95">
            <v>0</v>
          </cell>
        </row>
        <row r="96">
          <cell r="A96" t="str">
            <v>LIFEBRIDGE/NORTHWEST</v>
          </cell>
          <cell r="B96" t="str">
            <v>JAN</v>
          </cell>
          <cell r="C96" t="str">
            <v>27710</v>
          </cell>
          <cell r="D96">
            <v>27710</v>
          </cell>
          <cell r="E96">
            <v>0</v>
          </cell>
          <cell r="F96">
            <v>0</v>
          </cell>
          <cell r="G96">
            <v>93910</v>
          </cell>
          <cell r="H96">
            <v>97348</v>
          </cell>
          <cell r="I96">
            <v>0</v>
          </cell>
          <cell r="J96">
            <v>0</v>
          </cell>
          <cell r="K96">
            <v>0</v>
          </cell>
          <cell r="L96">
            <v>0</v>
          </cell>
        </row>
        <row r="97">
          <cell r="A97" t="str">
            <v>LOCKE INSULATORS</v>
          </cell>
          <cell r="B97" t="str">
            <v>JAN</v>
          </cell>
          <cell r="C97" t="str">
            <v>07844</v>
          </cell>
          <cell r="D97" t="str">
            <v>07844</v>
          </cell>
          <cell r="E97">
            <v>0</v>
          </cell>
          <cell r="F97">
            <v>0</v>
          </cell>
          <cell r="G97">
            <v>0</v>
          </cell>
          <cell r="H97">
            <v>0</v>
          </cell>
          <cell r="I97">
            <v>0</v>
          </cell>
          <cell r="J97">
            <v>0</v>
          </cell>
          <cell r="K97">
            <v>0</v>
          </cell>
          <cell r="L97">
            <v>0</v>
          </cell>
        </row>
        <row r="98">
          <cell r="A98" t="str">
            <v>LOYOLA COLLEGE RETRO</v>
          </cell>
          <cell r="B98" t="str">
            <v>JUL</v>
          </cell>
          <cell r="C98" t="str">
            <v>C1387</v>
          </cell>
          <cell r="D98" t="str">
            <v>C1387</v>
          </cell>
          <cell r="E98">
            <v>798.97500000000002</v>
          </cell>
          <cell r="F98">
            <v>0</v>
          </cell>
          <cell r="G98">
            <v>9744</v>
          </cell>
          <cell r="H98">
            <v>10343.48</v>
          </cell>
          <cell r="I98">
            <v>8.1996613300492627E-2</v>
          </cell>
          <cell r="J98">
            <v>0</v>
          </cell>
          <cell r="K98">
            <v>-1</v>
          </cell>
          <cell r="L98">
            <v>-1</v>
          </cell>
        </row>
        <row r="99">
          <cell r="A99" t="str">
            <v>LYRIC HEALTHCARE</v>
          </cell>
          <cell r="B99" t="str">
            <v>JAN</v>
          </cell>
          <cell r="C99" t="str">
            <v>63429</v>
          </cell>
          <cell r="D99">
            <v>63429</v>
          </cell>
          <cell r="E99">
            <v>0</v>
          </cell>
          <cell r="F99">
            <v>0</v>
          </cell>
          <cell r="G99">
            <v>46636</v>
          </cell>
          <cell r="H99">
            <v>43761</v>
          </cell>
          <cell r="I99">
            <v>0</v>
          </cell>
          <cell r="J99">
            <v>0</v>
          </cell>
          <cell r="K99">
            <v>0</v>
          </cell>
          <cell r="L99">
            <v>0</v>
          </cell>
        </row>
        <row r="100">
          <cell r="A100" t="str">
            <v>M&amp;T BANK</v>
          </cell>
          <cell r="B100" t="str">
            <v>JAN</v>
          </cell>
          <cell r="C100" t="str">
            <v>57096</v>
          </cell>
          <cell r="D100">
            <v>57096</v>
          </cell>
          <cell r="E100">
            <v>0</v>
          </cell>
          <cell r="F100">
            <v>0</v>
          </cell>
          <cell r="G100">
            <v>13958</v>
          </cell>
          <cell r="H100">
            <v>13717</v>
          </cell>
          <cell r="I100">
            <v>0</v>
          </cell>
          <cell r="J100">
            <v>0</v>
          </cell>
          <cell r="K100">
            <v>0</v>
          </cell>
          <cell r="L100">
            <v>0</v>
          </cell>
        </row>
        <row r="101">
          <cell r="A101" t="str">
            <v>MAGELLAN</v>
          </cell>
          <cell r="B101" t="str">
            <v>JAN</v>
          </cell>
          <cell r="C101" t="str">
            <v>48995</v>
          </cell>
          <cell r="D101">
            <v>48995</v>
          </cell>
          <cell r="E101">
            <v>0</v>
          </cell>
          <cell r="F101">
            <v>0</v>
          </cell>
          <cell r="G101">
            <v>75581</v>
          </cell>
          <cell r="H101">
            <v>72714</v>
          </cell>
          <cell r="I101">
            <v>0</v>
          </cell>
          <cell r="J101">
            <v>0</v>
          </cell>
          <cell r="K101">
            <v>0</v>
          </cell>
          <cell r="L101">
            <v>0</v>
          </cell>
        </row>
        <row r="102">
          <cell r="A102" t="str">
            <v>MARYLAND GENERAL HOSPITAL</v>
          </cell>
          <cell r="B102" t="str">
            <v>TERMED</v>
          </cell>
          <cell r="C102" t="str">
            <v>07847</v>
          </cell>
          <cell r="D102" t="str">
            <v>07847</v>
          </cell>
          <cell r="E102">
            <v>0</v>
          </cell>
          <cell r="F102">
            <v>0</v>
          </cell>
          <cell r="G102">
            <v>0</v>
          </cell>
          <cell r="H102">
            <v>0</v>
          </cell>
          <cell r="I102">
            <v>0</v>
          </cell>
          <cell r="J102">
            <v>0</v>
          </cell>
          <cell r="K102">
            <v>0</v>
          </cell>
          <cell r="L102">
            <v>0</v>
          </cell>
        </row>
        <row r="103">
          <cell r="A103" t="str">
            <v>MAXIM EXTERNAL</v>
          </cell>
          <cell r="B103" t="str">
            <v>JUN</v>
          </cell>
          <cell r="C103" t="str">
            <v>64784</v>
          </cell>
          <cell r="D103">
            <v>64784</v>
          </cell>
          <cell r="E103">
            <v>0</v>
          </cell>
          <cell r="F103">
            <v>0</v>
          </cell>
          <cell r="G103">
            <v>21954</v>
          </cell>
          <cell r="H103">
            <v>24757.57</v>
          </cell>
          <cell r="I103">
            <v>0</v>
          </cell>
          <cell r="J103">
            <v>0</v>
          </cell>
          <cell r="K103">
            <v>0</v>
          </cell>
          <cell r="L103">
            <v>0</v>
          </cell>
        </row>
        <row r="104">
          <cell r="A104" t="str">
            <v>MD MEDICINE</v>
          </cell>
          <cell r="B104" t="str">
            <v>JAN</v>
          </cell>
          <cell r="C104" t="str">
            <v>42402</v>
          </cell>
          <cell r="D104">
            <v>42402</v>
          </cell>
          <cell r="E104">
            <v>0</v>
          </cell>
          <cell r="F104">
            <v>0</v>
          </cell>
          <cell r="G104">
            <v>0</v>
          </cell>
          <cell r="H104">
            <v>0</v>
          </cell>
          <cell r="I104">
            <v>0</v>
          </cell>
          <cell r="J104">
            <v>0</v>
          </cell>
          <cell r="K104">
            <v>0</v>
          </cell>
          <cell r="L104">
            <v>0</v>
          </cell>
        </row>
        <row r="105">
          <cell r="A105" t="str">
            <v>MEDSTAR</v>
          </cell>
          <cell r="B105" t="str">
            <v>JAN</v>
          </cell>
          <cell r="C105" t="str">
            <v>61864</v>
          </cell>
          <cell r="D105">
            <v>61864</v>
          </cell>
          <cell r="E105">
            <v>55153.9</v>
          </cell>
          <cell r="F105">
            <v>0</v>
          </cell>
          <cell r="G105">
            <v>161794</v>
          </cell>
          <cell r="H105">
            <v>169004</v>
          </cell>
          <cell r="I105">
            <v>0.34088964980159964</v>
          </cell>
          <cell r="J105">
            <v>0</v>
          </cell>
          <cell r="K105">
            <v>-1</v>
          </cell>
          <cell r="L105">
            <v>-1</v>
          </cell>
        </row>
        <row r="106">
          <cell r="A106" t="str">
            <v>MERCANTILE BANK RETRO</v>
          </cell>
          <cell r="B106" t="str">
            <v>JAN</v>
          </cell>
          <cell r="C106" t="str">
            <v>7517</v>
          </cell>
          <cell r="D106">
            <v>7517</v>
          </cell>
          <cell r="E106">
            <v>35372.94</v>
          </cell>
          <cell r="F106">
            <v>34448.82</v>
          </cell>
          <cell r="G106">
            <v>32843</v>
          </cell>
          <cell r="H106">
            <v>31776</v>
          </cell>
          <cell r="I106">
            <v>1.0770313308772037</v>
          </cell>
          <cell r="J106">
            <v>1.0841144259818736</v>
          </cell>
          <cell r="K106">
            <v>-2.6125054914858281E-2</v>
          </cell>
          <cell r="L106">
            <v>6.5764986603509268E-3</v>
          </cell>
        </row>
        <row r="107">
          <cell r="A107" t="str">
            <v>MERCY MEDICAL</v>
          </cell>
          <cell r="B107" t="str">
            <v>JUL</v>
          </cell>
          <cell r="C107" t="str">
            <v>58359</v>
          </cell>
          <cell r="D107">
            <v>58359</v>
          </cell>
          <cell r="E107">
            <v>0</v>
          </cell>
          <cell r="F107">
            <v>0</v>
          </cell>
          <cell r="G107">
            <v>990</v>
          </cell>
          <cell r="H107">
            <v>1941.66</v>
          </cell>
          <cell r="I107">
            <v>0</v>
          </cell>
          <cell r="J107">
            <v>0</v>
          </cell>
          <cell r="K107">
            <v>0</v>
          </cell>
          <cell r="L107">
            <v>0</v>
          </cell>
        </row>
        <row r="108">
          <cell r="A108" t="str">
            <v>MID ATLANTIC REGIONAL JOINT BOARD</v>
          </cell>
          <cell r="B108" t="str">
            <v>JUN</v>
          </cell>
          <cell r="C108" t="str">
            <v>51600</v>
          </cell>
          <cell r="D108">
            <v>51600</v>
          </cell>
          <cell r="E108">
            <v>0</v>
          </cell>
          <cell r="F108">
            <v>0</v>
          </cell>
          <cell r="G108">
            <v>0</v>
          </cell>
          <cell r="H108">
            <v>0</v>
          </cell>
          <cell r="I108">
            <v>0</v>
          </cell>
          <cell r="J108">
            <v>0</v>
          </cell>
          <cell r="K108">
            <v>0</v>
          </cell>
          <cell r="L108">
            <v>0</v>
          </cell>
        </row>
        <row r="109">
          <cell r="A109" t="str">
            <v>MILES &amp; STOCKBRIDGE</v>
          </cell>
          <cell r="B109" t="str">
            <v>JAN</v>
          </cell>
          <cell r="C109" t="str">
            <v>27117</v>
          </cell>
          <cell r="D109">
            <v>27117</v>
          </cell>
          <cell r="E109">
            <v>29253.49</v>
          </cell>
          <cell r="F109">
            <v>32008.34</v>
          </cell>
          <cell r="G109">
            <v>6020</v>
          </cell>
          <cell r="H109">
            <v>8330</v>
          </cell>
          <cell r="I109">
            <v>4.8593837209302331</v>
          </cell>
          <cell r="J109">
            <v>3.8425378151260507</v>
          </cell>
          <cell r="K109">
            <v>9.4171669773418509E-2</v>
          </cell>
          <cell r="L109">
            <v>-0.20925408739063878</v>
          </cell>
        </row>
        <row r="110">
          <cell r="A110" t="str">
            <v>MILLENNIUM AMERICA HOLDINGS INC</v>
          </cell>
          <cell r="B110" t="str">
            <v>JAN</v>
          </cell>
          <cell r="C110" t="str">
            <v>10427</v>
          </cell>
          <cell r="D110">
            <v>10427</v>
          </cell>
          <cell r="E110">
            <v>0</v>
          </cell>
          <cell r="F110">
            <v>0</v>
          </cell>
          <cell r="G110">
            <v>14927</v>
          </cell>
          <cell r="H110">
            <v>10808</v>
          </cell>
          <cell r="I110">
            <v>0</v>
          </cell>
          <cell r="J110">
            <v>0</v>
          </cell>
          <cell r="K110">
            <v>0</v>
          </cell>
          <cell r="L110">
            <v>0</v>
          </cell>
        </row>
        <row r="111">
          <cell r="A111" t="str">
            <v>MOBILEX</v>
          </cell>
          <cell r="B111" t="str">
            <v>JAN</v>
          </cell>
          <cell r="C111" t="str">
            <v>64881</v>
          </cell>
          <cell r="D111">
            <v>64881</v>
          </cell>
          <cell r="E111">
            <v>0</v>
          </cell>
          <cell r="F111">
            <v>0</v>
          </cell>
          <cell r="G111">
            <v>10326</v>
          </cell>
          <cell r="H111">
            <v>11281</v>
          </cell>
          <cell r="I111">
            <v>0</v>
          </cell>
          <cell r="J111">
            <v>0</v>
          </cell>
          <cell r="K111">
            <v>0</v>
          </cell>
          <cell r="L111">
            <v>0</v>
          </cell>
        </row>
        <row r="112">
          <cell r="A112" t="str">
            <v>NEXTEL</v>
          </cell>
          <cell r="B112" t="str">
            <v>JAN</v>
          </cell>
          <cell r="C112" t="str">
            <v>55710</v>
          </cell>
          <cell r="D112">
            <v>55710</v>
          </cell>
          <cell r="E112">
            <v>0</v>
          </cell>
          <cell r="F112">
            <v>0</v>
          </cell>
          <cell r="G112">
            <v>23190</v>
          </cell>
          <cell r="H112">
            <v>23713</v>
          </cell>
          <cell r="I112">
            <v>0</v>
          </cell>
          <cell r="J112">
            <v>0</v>
          </cell>
          <cell r="K112">
            <v>0</v>
          </cell>
          <cell r="L112">
            <v>0</v>
          </cell>
        </row>
        <row r="113">
          <cell r="A113" t="str">
            <v>NORSK HYDRO ALUMINUM</v>
          </cell>
          <cell r="B113" t="str">
            <v>JAN</v>
          </cell>
          <cell r="C113" t="str">
            <v>54863</v>
          </cell>
          <cell r="D113">
            <v>54863</v>
          </cell>
          <cell r="E113">
            <v>0</v>
          </cell>
          <cell r="F113">
            <v>0</v>
          </cell>
          <cell r="G113">
            <v>75798</v>
          </cell>
          <cell r="H113">
            <v>62013</v>
          </cell>
          <cell r="I113">
            <v>0</v>
          </cell>
          <cell r="J113">
            <v>0</v>
          </cell>
          <cell r="K113">
            <v>0</v>
          </cell>
          <cell r="L113">
            <v>0</v>
          </cell>
        </row>
        <row r="114">
          <cell r="A114" t="str">
            <v xml:space="preserve">ORION POWER </v>
          </cell>
          <cell r="B114" t="str">
            <v>TERMED</v>
          </cell>
          <cell r="C114" t="str">
            <v>55615</v>
          </cell>
          <cell r="D114">
            <v>55615</v>
          </cell>
          <cell r="E114">
            <v>0</v>
          </cell>
          <cell r="F114">
            <v>0</v>
          </cell>
          <cell r="G114">
            <v>0</v>
          </cell>
          <cell r="H114">
            <v>0</v>
          </cell>
          <cell r="I114">
            <v>0</v>
          </cell>
          <cell r="J114">
            <v>0</v>
          </cell>
          <cell r="K114">
            <v>0</v>
          </cell>
          <cell r="L114">
            <v>0</v>
          </cell>
        </row>
        <row r="115">
          <cell r="A115" t="str">
            <v>PACKAGING SERVICES</v>
          </cell>
          <cell r="B115" t="str">
            <v>JAN</v>
          </cell>
          <cell r="C115" t="str">
            <v>59863</v>
          </cell>
          <cell r="D115">
            <v>59863</v>
          </cell>
          <cell r="E115">
            <v>16732.259999999998</v>
          </cell>
          <cell r="F115">
            <v>21553.84</v>
          </cell>
          <cell r="G115">
            <v>7170</v>
          </cell>
          <cell r="H115">
            <v>7309</v>
          </cell>
          <cell r="I115">
            <v>2.333648535564854</v>
          </cell>
          <cell r="J115">
            <v>2.9489451361335344</v>
          </cell>
          <cell r="K115">
            <v>0.28816071469126103</v>
          </cell>
          <cell r="L115">
            <v>0.26366292575404859</v>
          </cell>
        </row>
        <row r="116">
          <cell r="A116" t="str">
            <v>PIEDMONT AVIATION</v>
          </cell>
          <cell r="B116" t="str">
            <v>JAN</v>
          </cell>
          <cell r="C116" t="str">
            <v>56311</v>
          </cell>
          <cell r="D116">
            <v>56311</v>
          </cell>
          <cell r="E116">
            <v>0</v>
          </cell>
          <cell r="F116">
            <v>0</v>
          </cell>
          <cell r="G116">
            <v>26018</v>
          </cell>
          <cell r="H116">
            <v>26139</v>
          </cell>
          <cell r="I116">
            <v>0</v>
          </cell>
          <cell r="J116">
            <v>0</v>
          </cell>
          <cell r="K116">
            <v>0</v>
          </cell>
          <cell r="L116">
            <v>0</v>
          </cell>
        </row>
        <row r="117">
          <cell r="A117" t="str">
            <v>PILOT AIR FREIGHT</v>
          </cell>
          <cell r="B117" t="str">
            <v>JAN</v>
          </cell>
          <cell r="C117" t="str">
            <v>65304</v>
          </cell>
          <cell r="D117">
            <v>65304</v>
          </cell>
          <cell r="E117">
            <v>0</v>
          </cell>
          <cell r="F117">
            <v>0</v>
          </cell>
          <cell r="G117">
            <v>10440</v>
          </cell>
          <cell r="H117">
            <v>10993</v>
          </cell>
          <cell r="I117">
            <v>0</v>
          </cell>
          <cell r="J117">
            <v>0</v>
          </cell>
          <cell r="K117">
            <v>0</v>
          </cell>
          <cell r="L117">
            <v>0</v>
          </cell>
        </row>
        <row r="118">
          <cell r="A118" t="str">
            <v>PIPER MARBURY</v>
          </cell>
          <cell r="B118" t="str">
            <v>JAN</v>
          </cell>
          <cell r="C118" t="str">
            <v>44491</v>
          </cell>
          <cell r="D118">
            <v>44491</v>
          </cell>
          <cell r="E118">
            <v>16605.96</v>
          </cell>
          <cell r="F118">
            <v>27085.5</v>
          </cell>
          <cell r="G118">
            <v>10231</v>
          </cell>
          <cell r="H118">
            <v>10418</v>
          </cell>
          <cell r="I118">
            <v>1.623102336037533</v>
          </cell>
          <cell r="J118">
            <v>2.5998752159723559</v>
          </cell>
          <cell r="K118">
            <v>0.63107101305796265</v>
          </cell>
          <cell r="L118">
            <v>0.60179377371818155</v>
          </cell>
        </row>
        <row r="119">
          <cell r="A119" t="str">
            <v>POOLE &amp; KENT</v>
          </cell>
          <cell r="B119" t="str">
            <v>TERMED</v>
          </cell>
          <cell r="C119" t="str">
            <v>47982</v>
          </cell>
          <cell r="D119">
            <v>47982</v>
          </cell>
          <cell r="E119">
            <v>0</v>
          </cell>
          <cell r="F119">
            <v>0</v>
          </cell>
          <cell r="G119">
            <v>0</v>
          </cell>
          <cell r="H119">
            <v>0</v>
          </cell>
          <cell r="I119">
            <v>0</v>
          </cell>
          <cell r="J119">
            <v>0</v>
          </cell>
          <cell r="K119">
            <v>0</v>
          </cell>
          <cell r="L119">
            <v>0</v>
          </cell>
        </row>
        <row r="120">
          <cell r="A120" t="str">
            <v>PRICE BROTHERS</v>
          </cell>
          <cell r="B120" t="str">
            <v>TERMED</v>
          </cell>
          <cell r="C120" t="str">
            <v>59530</v>
          </cell>
          <cell r="D120">
            <v>59530</v>
          </cell>
          <cell r="E120">
            <v>0</v>
          </cell>
          <cell r="F120">
            <v>0</v>
          </cell>
          <cell r="G120">
            <v>0</v>
          </cell>
          <cell r="H120">
            <v>0</v>
          </cell>
          <cell r="I120">
            <v>0</v>
          </cell>
          <cell r="J120">
            <v>0</v>
          </cell>
          <cell r="K120">
            <v>0</v>
          </cell>
          <cell r="L120">
            <v>0</v>
          </cell>
        </row>
        <row r="121">
          <cell r="A121" t="str">
            <v>PRIME RETAIL</v>
          </cell>
          <cell r="B121" t="str">
            <v>JAN</v>
          </cell>
          <cell r="C121" t="str">
            <v>56806</v>
          </cell>
          <cell r="D121">
            <v>56806</v>
          </cell>
          <cell r="E121">
            <v>0</v>
          </cell>
          <cell r="F121">
            <v>41722.379999999997</v>
          </cell>
          <cell r="G121">
            <v>8012</v>
          </cell>
          <cell r="H121">
            <v>8609</v>
          </cell>
          <cell r="I121">
            <v>0</v>
          </cell>
          <cell r="J121">
            <v>4.8463677546753399</v>
          </cell>
          <cell r="K121">
            <v>0</v>
          </cell>
          <cell r="L121">
            <v>0</v>
          </cell>
        </row>
        <row r="122">
          <cell r="A122" t="str">
            <v>PROCTER GAMBLE</v>
          </cell>
          <cell r="B122" t="str">
            <v>JAN</v>
          </cell>
          <cell r="C122" t="str">
            <v>27954</v>
          </cell>
          <cell r="D122">
            <v>27954</v>
          </cell>
          <cell r="E122">
            <v>0</v>
          </cell>
          <cell r="F122">
            <v>0</v>
          </cell>
          <cell r="G122">
            <v>33069</v>
          </cell>
          <cell r="H122">
            <v>30729</v>
          </cell>
          <cell r="I122">
            <v>0</v>
          </cell>
          <cell r="J122">
            <v>0</v>
          </cell>
          <cell r="K122">
            <v>0</v>
          </cell>
          <cell r="L122">
            <v>0</v>
          </cell>
        </row>
        <row r="123">
          <cell r="A123" t="str">
            <v>PROVIDENT BANK</v>
          </cell>
          <cell r="B123" t="str">
            <v>JAN</v>
          </cell>
          <cell r="C123" t="str">
            <v>28964</v>
          </cell>
          <cell r="D123">
            <v>28964</v>
          </cell>
          <cell r="E123">
            <v>10942.18</v>
          </cell>
          <cell r="F123">
            <v>29242.799999999999</v>
          </cell>
          <cell r="G123">
            <v>26707</v>
          </cell>
          <cell r="H123">
            <v>34258</v>
          </cell>
          <cell r="I123">
            <v>0.40971206050848091</v>
          </cell>
          <cell r="J123">
            <v>0.85360499737287632</v>
          </cell>
          <cell r="K123">
            <v>1.6724839108843024</v>
          </cell>
          <cell r="L123">
            <v>1.0834265808858388</v>
          </cell>
        </row>
        <row r="124">
          <cell r="A124" t="str">
            <v>PUBLISHERS CIRCULATION</v>
          </cell>
          <cell r="B124" t="str">
            <v>DEC</v>
          </cell>
          <cell r="C124" t="str">
            <v>59542</v>
          </cell>
          <cell r="D124">
            <v>59542</v>
          </cell>
          <cell r="E124">
            <v>38671.519999999997</v>
          </cell>
          <cell r="F124">
            <v>46118.620340000009</v>
          </cell>
          <cell r="G124">
            <v>22337</v>
          </cell>
          <cell r="H124">
            <v>23394.49</v>
          </cell>
          <cell r="I124">
            <v>1.7312763576129293</v>
          </cell>
          <cell r="J124">
            <v>1.9713454039818781</v>
          </cell>
          <cell r="K124">
            <v>0.19257325132293746</v>
          </cell>
          <cell r="L124">
            <v>0.13866593008868566</v>
          </cell>
        </row>
        <row r="125">
          <cell r="A125" t="str">
            <v>RAILWORKS</v>
          </cell>
          <cell r="B125" t="str">
            <v>TERMED</v>
          </cell>
          <cell r="C125" t="str">
            <v>59513</v>
          </cell>
          <cell r="D125">
            <v>59513</v>
          </cell>
          <cell r="E125">
            <v>0</v>
          </cell>
          <cell r="F125">
            <v>0</v>
          </cell>
          <cell r="G125">
            <v>0</v>
          </cell>
          <cell r="H125">
            <v>0</v>
          </cell>
          <cell r="I125">
            <v>0</v>
          </cell>
          <cell r="J125">
            <v>0</v>
          </cell>
          <cell r="K125">
            <v>0</v>
          </cell>
          <cell r="L125">
            <v>0</v>
          </cell>
        </row>
        <row r="126">
          <cell r="A126" t="str">
            <v>RELIANT</v>
          </cell>
          <cell r="B126" t="str">
            <v>JAN</v>
          </cell>
          <cell r="C126" t="str">
            <v>55214</v>
          </cell>
          <cell r="D126">
            <v>55214</v>
          </cell>
          <cell r="E126">
            <v>0</v>
          </cell>
          <cell r="F126">
            <v>0</v>
          </cell>
          <cell r="G126">
            <v>33862</v>
          </cell>
          <cell r="H126">
            <v>37577</v>
          </cell>
          <cell r="I126">
            <v>0</v>
          </cell>
          <cell r="J126">
            <v>0</v>
          </cell>
          <cell r="K126">
            <v>0</v>
          </cell>
          <cell r="L126">
            <v>0</v>
          </cell>
        </row>
        <row r="127">
          <cell r="A127" t="str">
            <v>ROTECH</v>
          </cell>
          <cell r="B127" t="str">
            <v>JAN</v>
          </cell>
          <cell r="C127" t="str">
            <v>53344</v>
          </cell>
          <cell r="D127">
            <v>53344</v>
          </cell>
          <cell r="E127">
            <v>0</v>
          </cell>
          <cell r="F127">
            <v>0</v>
          </cell>
          <cell r="G127">
            <v>82285</v>
          </cell>
          <cell r="H127">
            <v>82082</v>
          </cell>
          <cell r="I127">
            <v>0</v>
          </cell>
          <cell r="J127">
            <v>0</v>
          </cell>
          <cell r="K127">
            <v>0</v>
          </cell>
          <cell r="L127">
            <v>0</v>
          </cell>
        </row>
        <row r="128">
          <cell r="A128" t="str">
            <v>ROUSE</v>
          </cell>
          <cell r="B128" t="str">
            <v>TERMED</v>
          </cell>
          <cell r="C128" t="str">
            <v>39579</v>
          </cell>
          <cell r="D128">
            <v>39579</v>
          </cell>
          <cell r="E128">
            <v>21137.56</v>
          </cell>
          <cell r="F128">
            <v>0</v>
          </cell>
          <cell r="G128">
            <v>42221</v>
          </cell>
          <cell r="H128">
            <v>5</v>
          </cell>
          <cell r="I128">
            <v>0.50064091328959515</v>
          </cell>
          <cell r="J128">
            <v>0</v>
          </cell>
          <cell r="K128">
            <v>-1</v>
          </cell>
          <cell r="L128">
            <v>-1</v>
          </cell>
        </row>
        <row r="129">
          <cell r="A129" t="str">
            <v>RWD TECHNOLOGIES</v>
          </cell>
          <cell r="B129" t="str">
            <v>JAN</v>
          </cell>
          <cell r="C129" t="str">
            <v>56808</v>
          </cell>
          <cell r="D129">
            <v>56808</v>
          </cell>
          <cell r="E129">
            <v>7197.14</v>
          </cell>
          <cell r="F129">
            <v>8358.52</v>
          </cell>
          <cell r="G129">
            <v>14845</v>
          </cell>
          <cell r="H129">
            <v>14578</v>
          </cell>
          <cell r="I129">
            <v>0.48481913102054564</v>
          </cell>
          <cell r="J129">
            <v>0.57336534504047199</v>
          </cell>
          <cell r="K129">
            <v>0.16136687628696955</v>
          </cell>
          <cell r="L129">
            <v>0.18263762371244785</v>
          </cell>
        </row>
        <row r="130">
          <cell r="A130" t="str">
            <v>RYLAND</v>
          </cell>
          <cell r="B130" t="str">
            <v>JAN</v>
          </cell>
          <cell r="C130" t="str">
            <v>48921</v>
          </cell>
          <cell r="D130">
            <v>48921</v>
          </cell>
          <cell r="E130">
            <v>0</v>
          </cell>
          <cell r="F130">
            <v>0</v>
          </cell>
          <cell r="G130">
            <v>69561</v>
          </cell>
          <cell r="H130">
            <v>76170</v>
          </cell>
          <cell r="I130">
            <v>0</v>
          </cell>
          <cell r="J130">
            <v>0</v>
          </cell>
          <cell r="K130">
            <v>0</v>
          </cell>
          <cell r="L130">
            <v>0</v>
          </cell>
        </row>
        <row r="131">
          <cell r="A131" t="str">
            <v>SAFENET</v>
          </cell>
          <cell r="B131" t="str">
            <v>JAN</v>
          </cell>
          <cell r="C131" t="str">
            <v>66285</v>
          </cell>
          <cell r="D131">
            <v>66285</v>
          </cell>
          <cell r="E131">
            <v>0</v>
          </cell>
          <cell r="F131">
            <v>19786.830000000002</v>
          </cell>
          <cell r="G131">
            <v>0</v>
          </cell>
          <cell r="H131">
            <v>7961</v>
          </cell>
          <cell r="I131">
            <v>0</v>
          </cell>
          <cell r="J131">
            <v>2.4854704182891592</v>
          </cell>
          <cell r="K131">
            <v>0</v>
          </cell>
          <cell r="L131">
            <v>0</v>
          </cell>
        </row>
        <row r="132">
          <cell r="A132" t="str">
            <v>SCHLUMBERGER</v>
          </cell>
          <cell r="B132" t="str">
            <v>TERMED</v>
          </cell>
          <cell r="C132" t="str">
            <v>29962</v>
          </cell>
          <cell r="D132">
            <v>29962</v>
          </cell>
          <cell r="E132">
            <v>0</v>
          </cell>
          <cell r="F132">
            <v>0</v>
          </cell>
          <cell r="G132">
            <v>1604</v>
          </cell>
          <cell r="H132">
            <v>0</v>
          </cell>
          <cell r="I132">
            <v>0</v>
          </cell>
          <cell r="J132">
            <v>0</v>
          </cell>
          <cell r="K132">
            <v>0</v>
          </cell>
          <cell r="L132">
            <v>0</v>
          </cell>
        </row>
        <row r="133">
          <cell r="A133" t="str">
            <v>SCHMIDT BAKING</v>
          </cell>
          <cell r="B133" t="str">
            <v>JAN</v>
          </cell>
          <cell r="C133" t="str">
            <v>8055</v>
          </cell>
          <cell r="D133">
            <v>8055</v>
          </cell>
          <cell r="E133">
            <v>6419.58</v>
          </cell>
          <cell r="F133">
            <v>6429.79</v>
          </cell>
          <cell r="G133">
            <v>19188</v>
          </cell>
          <cell r="H133">
            <v>17107</v>
          </cell>
          <cell r="I133">
            <v>0.33456222639149474</v>
          </cell>
          <cell r="J133">
            <v>0.37585725141754844</v>
          </cell>
          <cell r="K133">
            <v>1.5904467270444478E-3</v>
          </cell>
          <cell r="L133">
            <v>0.12343002816382342</v>
          </cell>
        </row>
        <row r="134">
          <cell r="A134" t="str">
            <v>SFA</v>
          </cell>
          <cell r="B134" t="str">
            <v>JAN</v>
          </cell>
          <cell r="C134" t="str">
            <v>31400</v>
          </cell>
          <cell r="D134">
            <v>31400</v>
          </cell>
          <cell r="E134">
            <v>36952.559999999998</v>
          </cell>
          <cell r="F134">
            <v>43617.84</v>
          </cell>
          <cell r="G134">
            <v>9345</v>
          </cell>
          <cell r="H134">
            <v>9550</v>
          </cell>
          <cell r="I134">
            <v>3.9542600321027286</v>
          </cell>
          <cell r="J134">
            <v>4.5673130890052356</v>
          </cell>
          <cell r="K134">
            <v>0.18037397138384992</v>
          </cell>
          <cell r="L134">
            <v>0.15503610079393493</v>
          </cell>
        </row>
        <row r="135">
          <cell r="A135" t="str">
            <v>SIERRA MILITARY</v>
          </cell>
          <cell r="B135" t="str">
            <v>JAN</v>
          </cell>
          <cell r="C135" t="str">
            <v>56835</v>
          </cell>
          <cell r="D135">
            <v>56835</v>
          </cell>
          <cell r="E135">
            <v>0</v>
          </cell>
          <cell r="F135">
            <v>0</v>
          </cell>
          <cell r="G135">
            <v>13725</v>
          </cell>
          <cell r="H135">
            <v>1778</v>
          </cell>
          <cell r="I135">
            <v>0</v>
          </cell>
          <cell r="J135">
            <v>0</v>
          </cell>
          <cell r="K135">
            <v>0</v>
          </cell>
          <cell r="L135">
            <v>0</v>
          </cell>
        </row>
        <row r="136">
          <cell r="A136" t="str">
            <v>SPACE TELESCOPE</v>
          </cell>
          <cell r="B136" t="str">
            <v>JAN</v>
          </cell>
          <cell r="C136" t="str">
            <v>59749</v>
          </cell>
          <cell r="D136">
            <v>59749</v>
          </cell>
          <cell r="E136">
            <v>0</v>
          </cell>
          <cell r="F136">
            <v>0</v>
          </cell>
          <cell r="G136">
            <v>6416</v>
          </cell>
          <cell r="H136">
            <v>6918</v>
          </cell>
          <cell r="I136">
            <v>0</v>
          </cell>
          <cell r="J136">
            <v>0</v>
          </cell>
          <cell r="K136">
            <v>0</v>
          </cell>
          <cell r="L136">
            <v>0</v>
          </cell>
        </row>
        <row r="137">
          <cell r="A137" t="str">
            <v>SPECTERA</v>
          </cell>
          <cell r="B137" t="str">
            <v>JUL</v>
          </cell>
          <cell r="C137" t="str">
            <v>28558</v>
          </cell>
          <cell r="D137">
            <v>28558</v>
          </cell>
          <cell r="E137">
            <v>34754.36</v>
          </cell>
          <cell r="F137">
            <v>47051.979299999999</v>
          </cell>
          <cell r="G137">
            <v>4415</v>
          </cell>
          <cell r="H137">
            <v>5015.96</v>
          </cell>
          <cell r="I137">
            <v>7.8718822197055491</v>
          </cell>
          <cell r="J137">
            <v>9.3804534525793688</v>
          </cell>
          <cell r="K137">
            <v>0.3538439292221176</v>
          </cell>
          <cell r="L137">
            <v>0.19164047311295374</v>
          </cell>
        </row>
        <row r="138">
          <cell r="A138" t="str">
            <v>ST MARYS CO RETRO</v>
          </cell>
          <cell r="B138" t="str">
            <v>JUL</v>
          </cell>
          <cell r="C138" t="str">
            <v>10721</v>
          </cell>
          <cell r="D138">
            <v>10721</v>
          </cell>
          <cell r="E138">
            <v>289425.5</v>
          </cell>
          <cell r="F138">
            <v>204163.46592000005</v>
          </cell>
          <cell r="G138">
            <v>66158</v>
          </cell>
          <cell r="H138">
            <v>67253.56</v>
          </cell>
          <cell r="I138">
            <v>4.3747619335530095</v>
          </cell>
          <cell r="J138">
            <v>3.0357272673743965</v>
          </cell>
          <cell r="K138">
            <v>-0.29459060822215022</v>
          </cell>
          <cell r="L138">
            <v>-0.30608172204952455</v>
          </cell>
        </row>
        <row r="139">
          <cell r="A139" t="str">
            <v>ST MARYS HOSPITAL</v>
          </cell>
          <cell r="B139" t="str">
            <v>TERMED</v>
          </cell>
          <cell r="C139" t="str">
            <v>51545</v>
          </cell>
          <cell r="D139">
            <v>51545</v>
          </cell>
          <cell r="E139">
            <v>31913.42</v>
          </cell>
          <cell r="F139">
            <v>0</v>
          </cell>
          <cell r="G139">
            <v>4476</v>
          </cell>
          <cell r="H139">
            <v>0</v>
          </cell>
          <cell r="I139">
            <v>7.1298972296693481</v>
          </cell>
          <cell r="J139">
            <v>0</v>
          </cell>
          <cell r="K139">
            <v>-1</v>
          </cell>
          <cell r="L139">
            <v>-1</v>
          </cell>
        </row>
        <row r="140">
          <cell r="A140" t="str">
            <v>STA-ILA DENTAL</v>
          </cell>
          <cell r="B140" t="str">
            <v>OCT</v>
          </cell>
          <cell r="C140" t="str">
            <v>8146</v>
          </cell>
          <cell r="D140">
            <v>8146</v>
          </cell>
          <cell r="E140">
            <v>0</v>
          </cell>
          <cell r="F140">
            <v>0</v>
          </cell>
          <cell r="G140">
            <v>0</v>
          </cell>
          <cell r="H140">
            <v>0</v>
          </cell>
          <cell r="I140">
            <v>0</v>
          </cell>
          <cell r="J140">
            <v>0</v>
          </cell>
          <cell r="K140">
            <v>0</v>
          </cell>
          <cell r="L140">
            <v>0</v>
          </cell>
        </row>
        <row r="141">
          <cell r="A141" t="str">
            <v>STATE OF MARYLAND</v>
          </cell>
          <cell r="B141" t="str">
            <v>JAN</v>
          </cell>
          <cell r="C141" t="str">
            <v>07311</v>
          </cell>
          <cell r="D141" t="str">
            <v>07311</v>
          </cell>
          <cell r="E141">
            <v>0</v>
          </cell>
          <cell r="F141">
            <v>0</v>
          </cell>
          <cell r="G141">
            <v>1444735</v>
          </cell>
          <cell r="H141">
            <v>1458814</v>
          </cell>
          <cell r="I141">
            <v>0</v>
          </cell>
          <cell r="J141">
            <v>0</v>
          </cell>
          <cell r="K141">
            <v>0</v>
          </cell>
          <cell r="L141">
            <v>0</v>
          </cell>
        </row>
        <row r="142">
          <cell r="A142" t="str">
            <v>SYMPHONY</v>
          </cell>
          <cell r="B142" t="str">
            <v>JAN</v>
          </cell>
          <cell r="C142" t="str">
            <v>64880</v>
          </cell>
          <cell r="D142">
            <v>64880</v>
          </cell>
          <cell r="E142">
            <v>0</v>
          </cell>
          <cell r="F142">
            <v>0</v>
          </cell>
          <cell r="G142">
            <v>51337</v>
          </cell>
          <cell r="H142">
            <v>52535</v>
          </cell>
          <cell r="I142">
            <v>0</v>
          </cell>
          <cell r="J142">
            <v>0</v>
          </cell>
          <cell r="K142">
            <v>0</v>
          </cell>
          <cell r="L142">
            <v>0</v>
          </cell>
        </row>
        <row r="143">
          <cell r="A143" t="str">
            <v>T ROWE PRICE</v>
          </cell>
          <cell r="B143" t="str">
            <v>JAN</v>
          </cell>
          <cell r="C143" t="str">
            <v>08145</v>
          </cell>
          <cell r="D143" t="str">
            <v>08145</v>
          </cell>
          <cell r="E143">
            <v>0</v>
          </cell>
          <cell r="F143">
            <v>0</v>
          </cell>
          <cell r="G143">
            <v>27000</v>
          </cell>
          <cell r="H143">
            <v>28411</v>
          </cell>
          <cell r="I143">
            <v>0</v>
          </cell>
          <cell r="J143">
            <v>0</v>
          </cell>
          <cell r="K143">
            <v>0</v>
          </cell>
          <cell r="L143">
            <v>0</v>
          </cell>
        </row>
        <row r="144">
          <cell r="A144" t="str">
            <v>TELETECH HOLDINGS</v>
          </cell>
          <cell r="B144" t="str">
            <v>TERMED</v>
          </cell>
          <cell r="C144" t="str">
            <v>62477</v>
          </cell>
          <cell r="D144">
            <v>62477</v>
          </cell>
          <cell r="E144">
            <v>0</v>
          </cell>
          <cell r="F144">
            <v>0</v>
          </cell>
          <cell r="G144">
            <v>0</v>
          </cell>
          <cell r="H144">
            <v>0</v>
          </cell>
          <cell r="I144">
            <v>0</v>
          </cell>
          <cell r="J144">
            <v>0</v>
          </cell>
          <cell r="K144">
            <v>0</v>
          </cell>
          <cell r="L144">
            <v>0</v>
          </cell>
        </row>
        <row r="145">
          <cell r="A145" t="str">
            <v>TESSCO</v>
          </cell>
          <cell r="B145" t="str">
            <v>JUL</v>
          </cell>
          <cell r="C145" t="str">
            <v>46748</v>
          </cell>
          <cell r="D145">
            <v>46748</v>
          </cell>
          <cell r="E145">
            <v>0</v>
          </cell>
          <cell r="F145">
            <v>0</v>
          </cell>
          <cell r="G145">
            <v>13833</v>
          </cell>
          <cell r="H145">
            <v>14358.52</v>
          </cell>
          <cell r="I145">
            <v>0</v>
          </cell>
          <cell r="J145">
            <v>0</v>
          </cell>
          <cell r="K145">
            <v>0</v>
          </cell>
          <cell r="L145">
            <v>0</v>
          </cell>
        </row>
        <row r="146">
          <cell r="A146" t="str">
            <v>THALES NORTH AMERICA INC</v>
          </cell>
          <cell r="B146" t="str">
            <v>JAN</v>
          </cell>
          <cell r="C146" t="str">
            <v>66267</v>
          </cell>
          <cell r="D146">
            <v>66267</v>
          </cell>
          <cell r="E146">
            <v>0</v>
          </cell>
          <cell r="F146">
            <v>0</v>
          </cell>
          <cell r="G146">
            <v>0</v>
          </cell>
          <cell r="H146">
            <v>49708</v>
          </cell>
          <cell r="I146">
            <v>0</v>
          </cell>
          <cell r="J146">
            <v>0</v>
          </cell>
          <cell r="K146">
            <v>0</v>
          </cell>
          <cell r="L146">
            <v>0</v>
          </cell>
        </row>
        <row r="147">
          <cell r="A147" t="str">
            <v>THI</v>
          </cell>
          <cell r="B147" t="str">
            <v>JAN</v>
          </cell>
          <cell r="C147" t="str">
            <v>53191</v>
          </cell>
          <cell r="D147">
            <v>53191</v>
          </cell>
          <cell r="E147">
            <v>0</v>
          </cell>
          <cell r="F147">
            <v>0</v>
          </cell>
          <cell r="G147">
            <v>124180</v>
          </cell>
          <cell r="H147">
            <v>142385</v>
          </cell>
          <cell r="I147">
            <v>0</v>
          </cell>
          <cell r="J147">
            <v>0</v>
          </cell>
          <cell r="K147">
            <v>0</v>
          </cell>
          <cell r="L147">
            <v>0</v>
          </cell>
        </row>
        <row r="148">
          <cell r="A148" t="str">
            <v>THYSSEN KRUPP</v>
          </cell>
          <cell r="B148" t="str">
            <v>JAN</v>
          </cell>
          <cell r="C148" t="str">
            <v>61872</v>
          </cell>
          <cell r="D148">
            <v>61872</v>
          </cell>
          <cell r="E148">
            <v>0</v>
          </cell>
          <cell r="F148">
            <v>0</v>
          </cell>
          <cell r="G148">
            <v>76775</v>
          </cell>
          <cell r="H148">
            <v>80187</v>
          </cell>
          <cell r="I148">
            <v>0</v>
          </cell>
          <cell r="J148">
            <v>0</v>
          </cell>
          <cell r="K148">
            <v>0</v>
          </cell>
          <cell r="L148">
            <v>0</v>
          </cell>
        </row>
        <row r="149">
          <cell r="A149" t="str">
            <v>TOWN &amp; COUNTRY</v>
          </cell>
          <cell r="B149" t="str">
            <v>JAN</v>
          </cell>
          <cell r="C149" t="str">
            <v>61840</v>
          </cell>
          <cell r="D149">
            <v>61840</v>
          </cell>
          <cell r="E149">
            <v>26957.88</v>
          </cell>
          <cell r="F149">
            <v>32067.96</v>
          </cell>
          <cell r="G149">
            <v>9112</v>
          </cell>
          <cell r="H149">
            <v>9262</v>
          </cell>
          <cell r="I149">
            <v>2.9585030728709394</v>
          </cell>
          <cell r="J149">
            <v>3.4623148348088959</v>
          </cell>
          <cell r="K149">
            <v>0.18955793259707354</v>
          </cell>
          <cell r="L149">
            <v>0.1702927965692651</v>
          </cell>
        </row>
        <row r="150">
          <cell r="A150" t="str">
            <v>TOWNE PARK</v>
          </cell>
          <cell r="B150" t="str">
            <v>OCT</v>
          </cell>
          <cell r="C150" t="str">
            <v>61448</v>
          </cell>
          <cell r="D150">
            <v>61448</v>
          </cell>
          <cell r="E150">
            <v>30612.26</v>
          </cell>
          <cell r="F150">
            <v>35080.102820000007</v>
          </cell>
          <cell r="G150">
            <v>8636</v>
          </cell>
          <cell r="H150">
            <v>9547.82</v>
          </cell>
          <cell r="I150">
            <v>3.5447267253358028</v>
          </cell>
          <cell r="J150">
            <v>3.6741479018247101</v>
          </cell>
          <cell r="K150">
            <v>0.14594946011826671</v>
          </cell>
          <cell r="L150">
            <v>3.6510903806455497E-2</v>
          </cell>
        </row>
        <row r="151">
          <cell r="A151" t="str">
            <v>TRUCK DRIVERS</v>
          </cell>
          <cell r="B151" t="str">
            <v>AUG</v>
          </cell>
          <cell r="C151" t="str">
            <v>47447</v>
          </cell>
          <cell r="D151">
            <v>47447</v>
          </cell>
          <cell r="E151">
            <v>0</v>
          </cell>
          <cell r="F151">
            <v>0</v>
          </cell>
          <cell r="G151">
            <v>0</v>
          </cell>
          <cell r="H151">
            <v>0</v>
          </cell>
          <cell r="I151">
            <v>0</v>
          </cell>
          <cell r="J151">
            <v>0</v>
          </cell>
          <cell r="K151">
            <v>0</v>
          </cell>
          <cell r="L151">
            <v>0</v>
          </cell>
        </row>
        <row r="152">
          <cell r="A152" t="str">
            <v>UMAB</v>
          </cell>
          <cell r="B152" t="str">
            <v>TERMED</v>
          </cell>
          <cell r="C152" t="str">
            <v>57087</v>
          </cell>
          <cell r="D152">
            <v>57087</v>
          </cell>
          <cell r="E152">
            <v>0</v>
          </cell>
          <cell r="F152">
            <v>0</v>
          </cell>
          <cell r="G152">
            <v>0</v>
          </cell>
          <cell r="H152">
            <v>0</v>
          </cell>
          <cell r="I152">
            <v>0</v>
          </cell>
          <cell r="J152">
            <v>0</v>
          </cell>
          <cell r="K152">
            <v>0</v>
          </cell>
          <cell r="L152">
            <v>0</v>
          </cell>
        </row>
        <row r="153">
          <cell r="A153" t="str">
            <v>UMMS/DEATON</v>
          </cell>
          <cell r="B153" t="str">
            <v>JUL</v>
          </cell>
          <cell r="C153" t="str">
            <v>19121</v>
          </cell>
          <cell r="D153">
            <v>19121</v>
          </cell>
          <cell r="E153">
            <v>0</v>
          </cell>
          <cell r="F153">
            <v>0</v>
          </cell>
          <cell r="G153">
            <v>5630</v>
          </cell>
          <cell r="H153">
            <v>0</v>
          </cell>
          <cell r="I153">
            <v>0</v>
          </cell>
          <cell r="J153">
            <v>0</v>
          </cell>
          <cell r="K153">
            <v>0</v>
          </cell>
          <cell r="L153">
            <v>0</v>
          </cell>
        </row>
        <row r="154">
          <cell r="A154" t="str">
            <v>UNION CITY BODY</v>
          </cell>
          <cell r="B154" t="str">
            <v>JAN</v>
          </cell>
          <cell r="C154" t="str">
            <v>63978</v>
          </cell>
          <cell r="D154">
            <v>63978</v>
          </cell>
          <cell r="E154">
            <v>0</v>
          </cell>
          <cell r="F154">
            <v>0</v>
          </cell>
          <cell r="G154">
            <v>23721</v>
          </cell>
          <cell r="H154">
            <v>18479</v>
          </cell>
          <cell r="I154">
            <v>0</v>
          </cell>
          <cell r="J154">
            <v>0</v>
          </cell>
          <cell r="K154">
            <v>0</v>
          </cell>
          <cell r="L154">
            <v>0</v>
          </cell>
        </row>
        <row r="155">
          <cell r="A155" t="str">
            <v>UNITED CONTAINER</v>
          </cell>
          <cell r="B155" t="str">
            <v>TERMED</v>
          </cell>
          <cell r="C155" t="str">
            <v>23799</v>
          </cell>
          <cell r="D155">
            <v>23799</v>
          </cell>
          <cell r="E155">
            <v>0</v>
          </cell>
          <cell r="F155">
            <v>0</v>
          </cell>
          <cell r="G155">
            <v>0</v>
          </cell>
          <cell r="H155">
            <v>0</v>
          </cell>
          <cell r="I155">
            <v>0</v>
          </cell>
          <cell r="J155">
            <v>0</v>
          </cell>
          <cell r="K155">
            <v>0</v>
          </cell>
          <cell r="L155">
            <v>0</v>
          </cell>
        </row>
        <row r="156">
          <cell r="A156" t="str">
            <v>UNIVERSITY PHYSICIANS DENTAL</v>
          </cell>
          <cell r="B156" t="str">
            <v>JAN</v>
          </cell>
          <cell r="C156" t="str">
            <v>18278</v>
          </cell>
          <cell r="D156">
            <v>18278</v>
          </cell>
          <cell r="E156">
            <v>0</v>
          </cell>
          <cell r="F156">
            <v>0</v>
          </cell>
          <cell r="G156">
            <v>0</v>
          </cell>
          <cell r="H156">
            <v>0</v>
          </cell>
          <cell r="I156">
            <v>0</v>
          </cell>
          <cell r="J156">
            <v>0</v>
          </cell>
          <cell r="K156">
            <v>0</v>
          </cell>
          <cell r="L156">
            <v>0</v>
          </cell>
        </row>
        <row r="157">
          <cell r="A157" t="str">
            <v>US FOOD SERVICE</v>
          </cell>
          <cell r="B157" t="str">
            <v>JAN</v>
          </cell>
          <cell r="C157" t="str">
            <v>59317</v>
          </cell>
          <cell r="D157">
            <v>59317</v>
          </cell>
          <cell r="E157">
            <v>0</v>
          </cell>
          <cell r="F157">
            <v>0</v>
          </cell>
          <cell r="G157">
            <v>504223</v>
          </cell>
          <cell r="H157">
            <v>514763</v>
          </cell>
          <cell r="I157">
            <v>0</v>
          </cell>
          <cell r="J157">
            <v>0</v>
          </cell>
          <cell r="K157">
            <v>0</v>
          </cell>
          <cell r="L157">
            <v>0</v>
          </cell>
        </row>
        <row r="158">
          <cell r="A158" t="str">
            <v>US INTERNETWORKING</v>
          </cell>
          <cell r="B158" t="str">
            <v>JAN</v>
          </cell>
          <cell r="C158" t="str">
            <v>51099</v>
          </cell>
          <cell r="D158">
            <v>51099</v>
          </cell>
          <cell r="E158">
            <v>26651.16</v>
          </cell>
          <cell r="F158">
            <v>38060.1</v>
          </cell>
          <cell r="G158">
            <v>10171</v>
          </cell>
          <cell r="H158">
            <v>11377</v>
          </cell>
          <cell r="I158">
            <v>2.6203087208730707</v>
          </cell>
          <cell r="J158">
            <v>3.3453546629164097</v>
          </cell>
          <cell r="K158">
            <v>0.4280841809512228</v>
          </cell>
          <cell r="L158">
            <v>0.27670248786629936</v>
          </cell>
        </row>
        <row r="159">
          <cell r="A159" t="str">
            <v>VERTIS INC</v>
          </cell>
          <cell r="B159" t="str">
            <v>APR</v>
          </cell>
          <cell r="C159" t="str">
            <v>53194</v>
          </cell>
          <cell r="D159">
            <v>53194</v>
          </cell>
          <cell r="E159">
            <v>0</v>
          </cell>
          <cell r="F159">
            <v>0</v>
          </cell>
          <cell r="G159">
            <v>146132</v>
          </cell>
          <cell r="H159">
            <v>145452.98000000001</v>
          </cell>
          <cell r="I159">
            <v>0</v>
          </cell>
          <cell r="J159">
            <v>0</v>
          </cell>
          <cell r="K159">
            <v>0</v>
          </cell>
          <cell r="L159">
            <v>0</v>
          </cell>
        </row>
        <row r="160">
          <cell r="A160" t="str">
            <v>VIPS DENTAL</v>
          </cell>
          <cell r="B160" t="str">
            <v>TERMED</v>
          </cell>
          <cell r="C160" t="str">
            <v>44648</v>
          </cell>
          <cell r="D160">
            <v>44648</v>
          </cell>
          <cell r="E160">
            <v>0</v>
          </cell>
          <cell r="F160">
            <v>0</v>
          </cell>
          <cell r="G160">
            <v>0</v>
          </cell>
          <cell r="H160">
            <v>0</v>
          </cell>
          <cell r="I160">
            <v>0</v>
          </cell>
          <cell r="J160">
            <v>0</v>
          </cell>
          <cell r="K160">
            <v>0</v>
          </cell>
          <cell r="L160">
            <v>0</v>
          </cell>
        </row>
        <row r="161">
          <cell r="A161" t="str">
            <v>WAREHOUSE LOCAL 570</v>
          </cell>
          <cell r="B161" t="str">
            <v>JAN</v>
          </cell>
          <cell r="C161" t="str">
            <v>39219</v>
          </cell>
          <cell r="D161">
            <v>39219</v>
          </cell>
          <cell r="E161">
            <v>0</v>
          </cell>
          <cell r="F161">
            <v>0</v>
          </cell>
          <cell r="G161">
            <v>0</v>
          </cell>
          <cell r="H161">
            <v>0</v>
          </cell>
          <cell r="I161">
            <v>0</v>
          </cell>
          <cell r="J161">
            <v>0</v>
          </cell>
          <cell r="K161">
            <v>0</v>
          </cell>
          <cell r="L161">
            <v>0</v>
          </cell>
        </row>
        <row r="162">
          <cell r="A162" t="str">
            <v>WASHINGTON CO BD OF ED</v>
          </cell>
          <cell r="B162" t="str">
            <v>JUL</v>
          </cell>
          <cell r="C162" t="str">
            <v>28795</v>
          </cell>
          <cell r="D162">
            <v>28795</v>
          </cell>
          <cell r="E162">
            <v>0</v>
          </cell>
          <cell r="F162">
            <v>0</v>
          </cell>
          <cell r="G162">
            <v>84908</v>
          </cell>
          <cell r="H162">
            <v>86618.86</v>
          </cell>
          <cell r="I162">
            <v>0</v>
          </cell>
          <cell r="J162">
            <v>0</v>
          </cell>
          <cell r="K162">
            <v>0</v>
          </cell>
          <cell r="L162">
            <v>0</v>
          </cell>
        </row>
        <row r="163">
          <cell r="A163" t="str">
            <v>WASHINGTON CO GOVT</v>
          </cell>
          <cell r="B163" t="str">
            <v>JUL</v>
          </cell>
          <cell r="C163" t="str">
            <v>60930</v>
          </cell>
          <cell r="D163">
            <v>60930</v>
          </cell>
          <cell r="E163">
            <v>21900.959999999999</v>
          </cell>
          <cell r="F163">
            <v>52372.279760000005</v>
          </cell>
          <cell r="G163">
            <v>22816</v>
          </cell>
          <cell r="H163">
            <v>23303.040000000001</v>
          </cell>
          <cell r="I163">
            <v>0.95989481065918669</v>
          </cell>
          <cell r="J163">
            <v>2.2474440999972538</v>
          </cell>
          <cell r="K163">
            <v>1.3913234744047749</v>
          </cell>
          <cell r="L163">
            <v>1.3413441504636023</v>
          </cell>
        </row>
        <row r="164">
          <cell r="A164" t="str">
            <v>WATSON WYATT</v>
          </cell>
          <cell r="B164" t="str">
            <v>JAN</v>
          </cell>
          <cell r="C164" t="str">
            <v>63839</v>
          </cell>
          <cell r="D164">
            <v>63839</v>
          </cell>
          <cell r="E164">
            <v>0</v>
          </cell>
          <cell r="F164">
            <v>0</v>
          </cell>
          <cell r="G164">
            <v>67450</v>
          </cell>
          <cell r="H164">
            <v>67762</v>
          </cell>
          <cell r="I164">
            <v>0</v>
          </cell>
          <cell r="J164">
            <v>0</v>
          </cell>
          <cell r="K164">
            <v>0</v>
          </cell>
          <cell r="L164">
            <v>0</v>
          </cell>
        </row>
        <row r="165">
          <cell r="A165" t="str">
            <v xml:space="preserve">WESTVACO  </v>
          </cell>
          <cell r="B165" t="str">
            <v>TERMED</v>
          </cell>
          <cell r="C165" t="str">
            <v>31348</v>
          </cell>
          <cell r="D165">
            <v>31348</v>
          </cell>
          <cell r="E165">
            <v>0</v>
          </cell>
          <cell r="F165">
            <v>0</v>
          </cell>
          <cell r="G165">
            <v>0</v>
          </cell>
          <cell r="H165">
            <v>0</v>
          </cell>
          <cell r="I165">
            <v>0</v>
          </cell>
          <cell r="J165">
            <v>0</v>
          </cell>
          <cell r="K165">
            <v>0</v>
          </cell>
          <cell r="L165">
            <v>0</v>
          </cell>
        </row>
        <row r="166">
          <cell r="A166" t="str">
            <v>WHITING TURNER</v>
          </cell>
          <cell r="B166" t="str">
            <v>JAN</v>
          </cell>
          <cell r="C166" t="str">
            <v>11836</v>
          </cell>
          <cell r="D166">
            <v>11836</v>
          </cell>
          <cell r="E166">
            <v>0</v>
          </cell>
          <cell r="F166">
            <v>0</v>
          </cell>
          <cell r="G166">
            <v>29478</v>
          </cell>
          <cell r="H166">
            <v>30732</v>
          </cell>
          <cell r="I166">
            <v>0</v>
          </cell>
          <cell r="J166">
            <v>0</v>
          </cell>
          <cell r="K166">
            <v>0</v>
          </cell>
          <cell r="L166">
            <v>0</v>
          </cell>
        </row>
        <row r="167">
          <cell r="A167" t="str">
            <v>WICOMICO ENTITIES RETRO</v>
          </cell>
          <cell r="B167" t="str">
            <v>SEP</v>
          </cell>
          <cell r="C167" t="str">
            <v>58397</v>
          </cell>
          <cell r="D167">
            <v>58397</v>
          </cell>
          <cell r="E167">
            <v>216490.55</v>
          </cell>
          <cell r="F167">
            <v>263357.62787520007</v>
          </cell>
          <cell r="G167">
            <v>80722</v>
          </cell>
          <cell r="H167">
            <v>80583.759999999995</v>
          </cell>
          <cell r="I167">
            <v>2.6819274794975341</v>
          </cell>
          <cell r="J167">
            <v>3.2681228559600597</v>
          </cell>
          <cell r="K167">
            <v>0.21648555964775418</v>
          </cell>
          <cell r="L167">
            <v>0.21857241888298584</v>
          </cell>
        </row>
        <row r="168">
          <cell r="A168" t="str">
            <v>WILKINS ROGERS</v>
          </cell>
          <cell r="B168" t="str">
            <v>MAY</v>
          </cell>
          <cell r="C168" t="str">
            <v>27094</v>
          </cell>
          <cell r="D168">
            <v>27094</v>
          </cell>
          <cell r="E168">
            <v>30351.42</v>
          </cell>
          <cell r="F168">
            <v>35477.48730239999</v>
          </cell>
          <cell r="G168">
            <v>3406</v>
          </cell>
          <cell r="H168">
            <v>3297.84</v>
          </cell>
          <cell r="I168">
            <v>8.9111626541397531</v>
          </cell>
          <cell r="J168">
            <v>10.757795193945125</v>
          </cell>
          <cell r="K168">
            <v>0.16889052645312774</v>
          </cell>
          <cell r="L168">
            <v>0.20722689187448551</v>
          </cell>
        </row>
        <row r="169">
          <cell r="A169" t="str">
            <v>WORCESTER CO GOVT DRUG</v>
          </cell>
          <cell r="B169" t="str">
            <v>JUL</v>
          </cell>
          <cell r="C169" t="str">
            <v>10412</v>
          </cell>
          <cell r="D169">
            <v>10412</v>
          </cell>
          <cell r="E169">
            <v>0</v>
          </cell>
          <cell r="F169">
            <v>0</v>
          </cell>
          <cell r="G169">
            <v>0</v>
          </cell>
          <cell r="H169">
            <v>0</v>
          </cell>
          <cell r="I169">
            <v>0</v>
          </cell>
          <cell r="J169">
            <v>0</v>
          </cell>
          <cell r="K169">
            <v>0</v>
          </cell>
          <cell r="L169">
            <v>0</v>
          </cell>
        </row>
        <row r="170">
          <cell r="A170" t="str">
            <v>YARA NORTH AMERICA INC</v>
          </cell>
          <cell r="B170" t="str">
            <v>APR</v>
          </cell>
          <cell r="C170" t="str">
            <v>65997</v>
          </cell>
          <cell r="D170">
            <v>65997</v>
          </cell>
          <cell r="E170">
            <v>0</v>
          </cell>
          <cell r="F170">
            <v>0</v>
          </cell>
          <cell r="G170">
            <v>2696</v>
          </cell>
          <cell r="H170">
            <v>3430.47</v>
          </cell>
          <cell r="I170">
            <v>0</v>
          </cell>
          <cell r="J170">
            <v>0</v>
          </cell>
          <cell r="K170">
            <v>0</v>
          </cell>
          <cell r="L170">
            <v>0</v>
          </cell>
        </row>
        <row r="171">
          <cell r="A171" t="str">
            <v>YORKSHIRE GLOBAL</v>
          </cell>
          <cell r="B171" t="str">
            <v>TERMED</v>
          </cell>
          <cell r="C171" t="str">
            <v>65997</v>
          </cell>
          <cell r="D171">
            <v>65997</v>
          </cell>
          <cell r="E171">
            <v>0</v>
          </cell>
          <cell r="F171">
            <v>0</v>
          </cell>
          <cell r="G171">
            <v>0</v>
          </cell>
          <cell r="H171">
            <v>0</v>
          </cell>
          <cell r="I171">
            <v>0</v>
          </cell>
          <cell r="J171">
            <v>0</v>
          </cell>
          <cell r="K171">
            <v>0</v>
          </cell>
          <cell r="L171">
            <v>0</v>
          </cell>
        </row>
      </sheetData>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ploss Feebased recon"/>
      <sheetName val="Stoploss Feebased recon (2)"/>
      <sheetName val="stoploss excluded accts"/>
      <sheetName val="upload v Wan reconciliation"/>
      <sheetName val="christine_upload"/>
      <sheetName val="Admin"/>
      <sheetName val="Agg"/>
      <sheetName val="Spec"/>
      <sheetName val="Fee-Based Gain_Loss"/>
      <sheetName val="Stoploss Gain_Loss"/>
      <sheetName val="Juris"/>
      <sheetName val="2005_Rates"/>
      <sheetName val="02_2005_Contracts"/>
    </sheetNames>
    <sheetDataSet>
      <sheetData sheetId="0" refreshError="1"/>
      <sheetData sheetId="1" refreshError="1"/>
      <sheetData sheetId="2" refreshError="1"/>
      <sheetData sheetId="3" refreshError="1"/>
      <sheetData sheetId="4" refreshError="1">
        <row r="2">
          <cell r="A2" t="str">
            <v>ADVANCED ENGINEERING &amp; PLANNING CORP</v>
          </cell>
          <cell r="B2" t="str">
            <v>P</v>
          </cell>
          <cell r="C2" t="str">
            <v>C+R</v>
          </cell>
          <cell r="D2" t="str">
            <v>Agg.STP with Sp</v>
          </cell>
          <cell r="E2" t="str">
            <v>WE54</v>
          </cell>
          <cell r="F2">
            <v>1357004.16</v>
          </cell>
          <cell r="G2">
            <v>414646.23</v>
          </cell>
          <cell r="H2">
            <v>66437.58</v>
          </cell>
          <cell r="I2">
            <v>1161.06</v>
          </cell>
          <cell r="J2">
            <v>3190.48</v>
          </cell>
          <cell r="K2">
            <v>1013147.05</v>
          </cell>
          <cell r="L2">
            <v>147926.48000000001</v>
          </cell>
          <cell r="M2">
            <v>20590.36</v>
          </cell>
          <cell r="N2">
            <v>168516.84</v>
          </cell>
          <cell r="O2">
            <v>140722.68</v>
          </cell>
          <cell r="P2">
            <v>13370.45</v>
          </cell>
          <cell r="Q2">
            <v>0</v>
          </cell>
          <cell r="R2">
            <v>68089.16</v>
          </cell>
          <cell r="S2">
            <v>222182.29</v>
          </cell>
          <cell r="T2">
            <v>0</v>
          </cell>
          <cell r="U2">
            <v>0</v>
          </cell>
          <cell r="V2">
            <v>222182.29</v>
          </cell>
          <cell r="W2">
            <v>390699.13</v>
          </cell>
          <cell r="X2" t="str">
            <v/>
          </cell>
          <cell r="Y2" t="str">
            <v/>
          </cell>
          <cell r="Z2">
            <v>1403846.18</v>
          </cell>
          <cell r="AA2">
            <v>-10468.57</v>
          </cell>
          <cell r="AB2">
            <v>0</v>
          </cell>
          <cell r="AC2">
            <v>-221.15</v>
          </cell>
          <cell r="AD2">
            <v>0</v>
          </cell>
          <cell r="AE2">
            <v>-3190.48</v>
          </cell>
          <cell r="AF2">
            <v>-13880.2</v>
          </cell>
          <cell r="AG2">
            <v>0</v>
          </cell>
          <cell r="AH2">
            <v>0</v>
          </cell>
          <cell r="AI2">
            <v>0</v>
          </cell>
          <cell r="AJ2">
            <v>0</v>
          </cell>
          <cell r="AK2">
            <v>0</v>
          </cell>
          <cell r="AL2">
            <v>0</v>
          </cell>
          <cell r="AM2">
            <v>0</v>
          </cell>
          <cell r="AN2">
            <v>0</v>
          </cell>
          <cell r="AO2">
            <v>0</v>
          </cell>
          <cell r="AP2">
            <v>-42000</v>
          </cell>
          <cell r="AQ2">
            <v>-55880.2</v>
          </cell>
        </row>
        <row r="3">
          <cell r="A3" t="str">
            <v>ALLFIRST</v>
          </cell>
          <cell r="B3" t="str">
            <v>P</v>
          </cell>
          <cell r="C3" t="str">
            <v>C+R</v>
          </cell>
          <cell r="D3" t="str">
            <v>ASO w/o  Spec</v>
          </cell>
          <cell r="E3" t="str">
            <v>QU09</v>
          </cell>
          <cell r="F3">
            <v>12.19</v>
          </cell>
          <cell r="G3">
            <v>0</v>
          </cell>
          <cell r="H3">
            <v>0</v>
          </cell>
          <cell r="I3">
            <v>0</v>
          </cell>
          <cell r="J3">
            <v>0</v>
          </cell>
          <cell r="K3">
            <v>12.19</v>
          </cell>
          <cell r="L3">
            <v>0</v>
          </cell>
          <cell r="M3">
            <v>0</v>
          </cell>
          <cell r="N3">
            <v>0</v>
          </cell>
          <cell r="O3">
            <v>1.29</v>
          </cell>
          <cell r="P3">
            <v>0.04</v>
          </cell>
          <cell r="Q3">
            <v>0</v>
          </cell>
          <cell r="R3">
            <v>0</v>
          </cell>
          <cell r="S3">
            <v>1.33</v>
          </cell>
          <cell r="T3">
            <v>0</v>
          </cell>
          <cell r="U3">
            <v>0</v>
          </cell>
          <cell r="V3">
            <v>1.33</v>
          </cell>
          <cell r="W3">
            <v>1.33</v>
          </cell>
          <cell r="X3" t="str">
            <v/>
          </cell>
          <cell r="Y3" t="str">
            <v/>
          </cell>
          <cell r="Z3">
            <v>13.52</v>
          </cell>
          <cell r="AA3">
            <v>0</v>
          </cell>
          <cell r="AB3">
            <v>0</v>
          </cell>
          <cell r="AC3">
            <v>0</v>
          </cell>
          <cell r="AD3">
            <v>0</v>
          </cell>
          <cell r="AE3">
            <v>0</v>
          </cell>
          <cell r="AF3">
            <v>0</v>
          </cell>
          <cell r="AG3">
            <v>0</v>
          </cell>
          <cell r="AH3">
            <v>0</v>
          </cell>
          <cell r="AI3">
            <v>0</v>
          </cell>
          <cell r="AJ3">
            <v>0</v>
          </cell>
          <cell r="AK3">
            <v>0</v>
          </cell>
          <cell r="AL3">
            <v>0</v>
          </cell>
          <cell r="AM3">
            <v>0</v>
          </cell>
          <cell r="AN3">
            <v>0</v>
          </cell>
          <cell r="AO3" t="str">
            <v/>
          </cell>
          <cell r="AP3" t="str">
            <v/>
          </cell>
          <cell r="AQ3">
            <v>0</v>
          </cell>
        </row>
        <row r="4">
          <cell r="A4" t="str">
            <v>American Federation of Teachers</v>
          </cell>
          <cell r="B4" t="str">
            <v>P</v>
          </cell>
          <cell r="C4" t="str">
            <v>C+R</v>
          </cell>
          <cell r="D4" t="str">
            <v>ASO with Spec</v>
          </cell>
          <cell r="E4" t="str">
            <v>3499</v>
          </cell>
          <cell r="F4">
            <v>2628424.7799999998</v>
          </cell>
          <cell r="G4">
            <v>12972.38</v>
          </cell>
          <cell r="H4">
            <v>28742.05</v>
          </cell>
          <cell r="I4">
            <v>0</v>
          </cell>
          <cell r="J4">
            <v>0</v>
          </cell>
          <cell r="K4">
            <v>2644194.4500000002</v>
          </cell>
          <cell r="L4">
            <v>137008.67000000001</v>
          </cell>
          <cell r="M4">
            <v>0</v>
          </cell>
          <cell r="N4">
            <v>137008.67000000001</v>
          </cell>
          <cell r="O4">
            <v>222583.24</v>
          </cell>
          <cell r="P4">
            <v>22063.919999999998</v>
          </cell>
          <cell r="Q4">
            <v>0</v>
          </cell>
          <cell r="R4">
            <v>37045.800000000003</v>
          </cell>
          <cell r="S4">
            <v>281692.96000000002</v>
          </cell>
          <cell r="T4">
            <v>0</v>
          </cell>
          <cell r="U4">
            <v>0</v>
          </cell>
          <cell r="V4">
            <v>281692.96000000002</v>
          </cell>
          <cell r="W4">
            <v>418701.63</v>
          </cell>
          <cell r="X4" t="str">
            <v/>
          </cell>
          <cell r="Y4" t="str">
            <v/>
          </cell>
          <cell r="Z4">
            <v>3062896.08</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t="str">
            <v/>
          </cell>
          <cell r="AP4" t="str">
            <v/>
          </cell>
          <cell r="AQ4">
            <v>0</v>
          </cell>
        </row>
        <row r="5">
          <cell r="A5" t="str">
            <v>American Nurses Association</v>
          </cell>
          <cell r="B5" t="str">
            <v>P</v>
          </cell>
          <cell r="C5" t="str">
            <v>C+R</v>
          </cell>
          <cell r="D5" t="str">
            <v>Agg.STP with Sp</v>
          </cell>
          <cell r="E5" t="str">
            <v>0F19</v>
          </cell>
          <cell r="F5">
            <v>989659.14</v>
          </cell>
          <cell r="G5">
            <v>21166.89</v>
          </cell>
          <cell r="H5">
            <v>1764.98</v>
          </cell>
          <cell r="I5">
            <v>3753.08</v>
          </cell>
          <cell r="J5">
            <v>0</v>
          </cell>
          <cell r="K5">
            <v>974010.31</v>
          </cell>
          <cell r="L5">
            <v>91536.59</v>
          </cell>
          <cell r="M5">
            <v>17913.919999999998</v>
          </cell>
          <cell r="N5">
            <v>109450.51</v>
          </cell>
          <cell r="O5">
            <v>115884.42</v>
          </cell>
          <cell r="P5">
            <v>3490.68</v>
          </cell>
          <cell r="Q5">
            <v>0</v>
          </cell>
          <cell r="R5">
            <v>39725.300000000003</v>
          </cell>
          <cell r="S5">
            <v>159100.4</v>
          </cell>
          <cell r="T5">
            <v>0</v>
          </cell>
          <cell r="U5">
            <v>0</v>
          </cell>
          <cell r="V5">
            <v>159100.4</v>
          </cell>
          <cell r="W5">
            <v>268550.90999999997</v>
          </cell>
          <cell r="X5" t="str">
            <v/>
          </cell>
          <cell r="Y5" t="str">
            <v/>
          </cell>
          <cell r="Z5">
            <v>1242561.22</v>
          </cell>
          <cell r="AA5">
            <v>0</v>
          </cell>
          <cell r="AB5">
            <v>-15000</v>
          </cell>
          <cell r="AC5">
            <v>0</v>
          </cell>
          <cell r="AD5">
            <v>0</v>
          </cell>
          <cell r="AE5">
            <v>0</v>
          </cell>
          <cell r="AF5">
            <v>15000</v>
          </cell>
          <cell r="AG5">
            <v>0</v>
          </cell>
          <cell r="AH5">
            <v>0</v>
          </cell>
          <cell r="AI5">
            <v>0</v>
          </cell>
          <cell r="AJ5">
            <v>0</v>
          </cell>
          <cell r="AK5">
            <v>0</v>
          </cell>
          <cell r="AL5">
            <v>0</v>
          </cell>
          <cell r="AM5">
            <v>0</v>
          </cell>
          <cell r="AN5">
            <v>0</v>
          </cell>
          <cell r="AO5">
            <v>227.54</v>
          </cell>
          <cell r="AP5">
            <v>0</v>
          </cell>
          <cell r="AQ5">
            <v>15227.54</v>
          </cell>
        </row>
        <row r="6">
          <cell r="A6" t="str">
            <v>ANNE ARUNDEL COUNTY PUBLIC SCHOOLS</v>
          </cell>
          <cell r="B6" t="str">
            <v>P</v>
          </cell>
          <cell r="C6" t="str">
            <v>C+R</v>
          </cell>
          <cell r="D6" t="str">
            <v>Agg.STP with Sp</v>
          </cell>
          <cell r="E6" t="str">
            <v>3V86</v>
          </cell>
          <cell r="F6">
            <v>5415668.8700000001</v>
          </cell>
          <cell r="G6">
            <v>0</v>
          </cell>
          <cell r="H6">
            <v>2495.73</v>
          </cell>
          <cell r="I6">
            <v>64319.97</v>
          </cell>
          <cell r="J6">
            <v>0</v>
          </cell>
          <cell r="K6">
            <v>5482484.5699999994</v>
          </cell>
          <cell r="L6">
            <v>124607.34</v>
          </cell>
          <cell r="M6">
            <v>21977.67</v>
          </cell>
          <cell r="N6">
            <v>146585.01</v>
          </cell>
          <cell r="O6">
            <v>896990.42</v>
          </cell>
          <cell r="P6">
            <v>100069.93</v>
          </cell>
          <cell r="Q6">
            <v>0</v>
          </cell>
          <cell r="R6">
            <v>0</v>
          </cell>
          <cell r="S6">
            <v>997060.35</v>
          </cell>
          <cell r="T6">
            <v>0</v>
          </cell>
          <cell r="U6">
            <v>0</v>
          </cell>
          <cell r="V6">
            <v>997060.35</v>
          </cell>
          <cell r="W6">
            <v>1143645.3600000001</v>
          </cell>
          <cell r="X6" t="str">
            <v/>
          </cell>
          <cell r="Y6" t="str">
            <v/>
          </cell>
          <cell r="Z6">
            <v>6626129.9299999997</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t="str">
            <v/>
          </cell>
          <cell r="AP6" t="str">
            <v/>
          </cell>
          <cell r="AQ6">
            <v>0</v>
          </cell>
        </row>
        <row r="7">
          <cell r="A7" t="str">
            <v>Arlington County Government</v>
          </cell>
          <cell r="B7" t="str">
            <v>P</v>
          </cell>
          <cell r="C7" t="str">
            <v>C+R</v>
          </cell>
          <cell r="D7" t="str">
            <v>ASO w/o  Spec</v>
          </cell>
          <cell r="E7" t="str">
            <v>R12A</v>
          </cell>
          <cell r="F7">
            <v>21610931.68</v>
          </cell>
          <cell r="G7">
            <v>0</v>
          </cell>
          <cell r="H7">
            <v>171533.69</v>
          </cell>
          <cell r="I7">
            <v>21843.96</v>
          </cell>
          <cell r="J7">
            <v>0</v>
          </cell>
          <cell r="K7">
            <v>21804309.329999998</v>
          </cell>
          <cell r="L7">
            <v>0</v>
          </cell>
          <cell r="M7">
            <v>0</v>
          </cell>
          <cell r="N7">
            <v>0</v>
          </cell>
          <cell r="O7">
            <v>1388389.23</v>
          </cell>
          <cell r="P7">
            <v>163483.44</v>
          </cell>
          <cell r="Q7">
            <v>0</v>
          </cell>
          <cell r="R7">
            <v>0</v>
          </cell>
          <cell r="S7">
            <v>1551872.67</v>
          </cell>
          <cell r="T7">
            <v>0</v>
          </cell>
          <cell r="U7">
            <v>0</v>
          </cell>
          <cell r="V7">
            <v>1551872.67</v>
          </cell>
          <cell r="W7">
            <v>1551872.67</v>
          </cell>
          <cell r="X7" t="str">
            <v/>
          </cell>
          <cell r="Y7" t="str">
            <v/>
          </cell>
          <cell r="Z7">
            <v>23356182</v>
          </cell>
          <cell r="AA7">
            <v>0</v>
          </cell>
          <cell r="AB7">
            <v>0</v>
          </cell>
          <cell r="AC7">
            <v>0</v>
          </cell>
          <cell r="AD7">
            <v>0</v>
          </cell>
          <cell r="AE7">
            <v>0</v>
          </cell>
          <cell r="AF7">
            <v>0</v>
          </cell>
          <cell r="AG7">
            <v>0</v>
          </cell>
          <cell r="AH7">
            <v>0</v>
          </cell>
          <cell r="AI7">
            <v>0</v>
          </cell>
          <cell r="AJ7">
            <v>5147.3999999999996</v>
          </cell>
          <cell r="AK7">
            <v>0</v>
          </cell>
          <cell r="AL7">
            <v>0</v>
          </cell>
          <cell r="AM7">
            <v>5147.3999999999996</v>
          </cell>
          <cell r="AN7">
            <v>5147.3999999999996</v>
          </cell>
          <cell r="AO7" t="str">
            <v/>
          </cell>
          <cell r="AP7" t="str">
            <v/>
          </cell>
          <cell r="AQ7">
            <v>5147.3999999999996</v>
          </cell>
        </row>
        <row r="8">
          <cell r="A8" t="str">
            <v>Arlington County School Board</v>
          </cell>
          <cell r="B8" t="str">
            <v>P</v>
          </cell>
          <cell r="C8" t="str">
            <v>C+R</v>
          </cell>
          <cell r="D8" t="str">
            <v>ASO w/o  Spec</v>
          </cell>
          <cell r="E8" t="str">
            <v>R12B</v>
          </cell>
          <cell r="F8">
            <v>15778594.850000001</v>
          </cell>
          <cell r="G8">
            <v>0</v>
          </cell>
          <cell r="H8">
            <v>62862.53</v>
          </cell>
          <cell r="I8">
            <v>14730.8</v>
          </cell>
          <cell r="J8">
            <v>0</v>
          </cell>
          <cell r="K8">
            <v>15856188.18</v>
          </cell>
          <cell r="L8">
            <v>0</v>
          </cell>
          <cell r="M8">
            <v>0</v>
          </cell>
          <cell r="N8">
            <v>0</v>
          </cell>
          <cell r="O8">
            <v>1137491.6599999999</v>
          </cell>
          <cell r="P8">
            <v>137174.31</v>
          </cell>
          <cell r="Q8">
            <v>0</v>
          </cell>
          <cell r="R8">
            <v>0</v>
          </cell>
          <cell r="S8">
            <v>1274665.97</v>
          </cell>
          <cell r="T8">
            <v>0</v>
          </cell>
          <cell r="U8">
            <v>0</v>
          </cell>
          <cell r="V8">
            <v>1274665.97</v>
          </cell>
          <cell r="W8">
            <v>1274665.97</v>
          </cell>
          <cell r="X8" t="str">
            <v/>
          </cell>
          <cell r="Y8" t="str">
            <v/>
          </cell>
          <cell r="Z8">
            <v>17130854.149999999</v>
          </cell>
          <cell r="AA8">
            <v>0</v>
          </cell>
          <cell r="AB8">
            <v>0</v>
          </cell>
          <cell r="AC8">
            <v>0</v>
          </cell>
          <cell r="AD8">
            <v>284</v>
          </cell>
          <cell r="AE8">
            <v>0</v>
          </cell>
          <cell r="AF8">
            <v>284</v>
          </cell>
          <cell r="AG8">
            <v>0</v>
          </cell>
          <cell r="AH8">
            <v>0</v>
          </cell>
          <cell r="AI8">
            <v>0</v>
          </cell>
          <cell r="AJ8">
            <v>5231.3</v>
          </cell>
          <cell r="AK8">
            <v>0</v>
          </cell>
          <cell r="AL8">
            <v>0</v>
          </cell>
          <cell r="AM8">
            <v>5231.3</v>
          </cell>
          <cell r="AN8">
            <v>5231.3</v>
          </cell>
          <cell r="AO8" t="str">
            <v/>
          </cell>
          <cell r="AP8" t="str">
            <v/>
          </cell>
          <cell r="AQ8">
            <v>5515.3</v>
          </cell>
        </row>
        <row r="9">
          <cell r="A9" t="str">
            <v>AVALON BAY COMMUNITIES, INC.</v>
          </cell>
          <cell r="B9" t="str">
            <v>P</v>
          </cell>
          <cell r="C9" t="str">
            <v>C+R</v>
          </cell>
          <cell r="D9" t="str">
            <v>ASO with Spec</v>
          </cell>
          <cell r="E9" t="str">
            <v>TD96</v>
          </cell>
          <cell r="F9">
            <v>6629214.75</v>
          </cell>
          <cell r="G9">
            <v>314608.61</v>
          </cell>
          <cell r="H9">
            <v>152757.85</v>
          </cell>
          <cell r="I9">
            <v>0</v>
          </cell>
          <cell r="J9">
            <v>0</v>
          </cell>
          <cell r="K9">
            <v>6467363.9899999993</v>
          </cell>
          <cell r="L9">
            <v>295837.8</v>
          </cell>
          <cell r="M9">
            <v>0</v>
          </cell>
          <cell r="N9">
            <v>295837.8</v>
          </cell>
          <cell r="O9">
            <v>605392.24</v>
          </cell>
          <cell r="P9">
            <v>67011.98</v>
          </cell>
          <cell r="Q9">
            <v>0</v>
          </cell>
          <cell r="R9">
            <v>0</v>
          </cell>
          <cell r="S9">
            <v>672404.22</v>
          </cell>
          <cell r="T9">
            <v>0</v>
          </cell>
          <cell r="U9">
            <v>0</v>
          </cell>
          <cell r="V9">
            <v>672404.22</v>
          </cell>
          <cell r="W9">
            <v>968242.02</v>
          </cell>
          <cell r="X9" t="str">
            <v/>
          </cell>
          <cell r="Y9" t="str">
            <v/>
          </cell>
          <cell r="Z9">
            <v>7435606.0099999998</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t="str">
            <v/>
          </cell>
          <cell r="AP9" t="str">
            <v/>
          </cell>
          <cell r="AQ9">
            <v>0</v>
          </cell>
        </row>
        <row r="10">
          <cell r="A10" t="str">
            <v>BOARD OF CHILD CARE</v>
          </cell>
          <cell r="B10" t="str">
            <v>P</v>
          </cell>
          <cell r="C10" t="str">
            <v>C+R</v>
          </cell>
          <cell r="D10" t="str">
            <v>Agg.STP with Sp</v>
          </cell>
          <cell r="E10" t="str">
            <v>7J62</v>
          </cell>
          <cell r="F10">
            <v>78326.350000000006</v>
          </cell>
          <cell r="G10">
            <v>0</v>
          </cell>
          <cell r="H10">
            <v>0</v>
          </cell>
          <cell r="I10">
            <v>2758.72</v>
          </cell>
          <cell r="J10">
            <v>36722.35</v>
          </cell>
          <cell r="K10">
            <v>117807.42</v>
          </cell>
          <cell r="L10">
            <v>7315.9</v>
          </cell>
          <cell r="M10">
            <v>3020.56</v>
          </cell>
          <cell r="N10">
            <v>10336.459999999999</v>
          </cell>
          <cell r="O10">
            <v>23061.91</v>
          </cell>
          <cell r="P10">
            <v>3191.65</v>
          </cell>
          <cell r="Q10">
            <v>0</v>
          </cell>
          <cell r="R10">
            <v>0</v>
          </cell>
          <cell r="S10">
            <v>26253.56</v>
          </cell>
          <cell r="T10">
            <v>573.67999999999995</v>
          </cell>
          <cell r="U10">
            <v>0</v>
          </cell>
          <cell r="V10">
            <v>26827.24</v>
          </cell>
          <cell r="W10">
            <v>37163.699999999997</v>
          </cell>
          <cell r="X10" t="str">
            <v/>
          </cell>
          <cell r="Y10" t="str">
            <v/>
          </cell>
          <cell r="Z10">
            <v>154971.12</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t="str">
            <v/>
          </cell>
          <cell r="AP10" t="str">
            <v/>
          </cell>
          <cell r="AQ10">
            <v>0</v>
          </cell>
        </row>
        <row r="11">
          <cell r="A11" t="str">
            <v>CALVERT COUNTY COMMISSIONERS</v>
          </cell>
          <cell r="B11" t="str">
            <v>P</v>
          </cell>
          <cell r="C11" t="str">
            <v>Rate</v>
          </cell>
          <cell r="D11" t="str">
            <v>Agg.STP with Sp</v>
          </cell>
          <cell r="E11" t="str">
            <v>4N01</v>
          </cell>
          <cell r="F11">
            <v>1101526.75</v>
          </cell>
          <cell r="G11">
            <v>0</v>
          </cell>
          <cell r="H11">
            <v>266.33999999999997</v>
          </cell>
          <cell r="I11">
            <v>20596.060000000001</v>
          </cell>
          <cell r="J11">
            <v>0</v>
          </cell>
          <cell r="K11">
            <v>1122389.1499999999</v>
          </cell>
          <cell r="L11">
            <v>45894.7</v>
          </cell>
          <cell r="M11">
            <v>5326.51</v>
          </cell>
          <cell r="N11">
            <v>51221.21</v>
          </cell>
          <cell r="O11">
            <v>180045.84</v>
          </cell>
          <cell r="P11">
            <v>20046.22</v>
          </cell>
          <cell r="Q11">
            <v>0</v>
          </cell>
          <cell r="R11">
            <v>0</v>
          </cell>
          <cell r="S11">
            <v>200092.06</v>
          </cell>
          <cell r="T11">
            <v>0</v>
          </cell>
          <cell r="U11">
            <v>0</v>
          </cell>
          <cell r="V11">
            <v>200092.06</v>
          </cell>
          <cell r="W11">
            <v>251313.27</v>
          </cell>
          <cell r="X11" t="str">
            <v/>
          </cell>
          <cell r="Y11" t="str">
            <v/>
          </cell>
          <cell r="Z11">
            <v>1373702.42</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t="str">
            <v/>
          </cell>
          <cell r="AP11" t="str">
            <v/>
          </cell>
          <cell r="AQ11">
            <v>0</v>
          </cell>
        </row>
        <row r="12">
          <cell r="A12" t="str">
            <v>CALVERT COUNTY PUBLIC SCHOOLS</v>
          </cell>
          <cell r="B12" t="str">
            <v>P</v>
          </cell>
          <cell r="C12" t="str">
            <v>Rate</v>
          </cell>
          <cell r="D12" t="str">
            <v>Agg.STP with Sp</v>
          </cell>
          <cell r="E12" t="str">
            <v>7J67</v>
          </cell>
          <cell r="F12">
            <v>43055.98</v>
          </cell>
          <cell r="G12">
            <v>0</v>
          </cell>
          <cell r="H12">
            <v>0</v>
          </cell>
          <cell r="I12">
            <v>1162.1600000000001</v>
          </cell>
          <cell r="J12">
            <v>0</v>
          </cell>
          <cell r="K12">
            <v>44218.14</v>
          </cell>
          <cell r="L12">
            <v>2964.44</v>
          </cell>
          <cell r="M12">
            <v>480.62</v>
          </cell>
          <cell r="N12">
            <v>3445.06</v>
          </cell>
          <cell r="O12">
            <v>8530.7800000000007</v>
          </cell>
          <cell r="P12">
            <v>897.06</v>
          </cell>
          <cell r="Q12">
            <v>-431.28</v>
          </cell>
          <cell r="R12">
            <v>0</v>
          </cell>
          <cell r="S12">
            <v>8996.56</v>
          </cell>
          <cell r="T12">
            <v>0</v>
          </cell>
          <cell r="U12">
            <v>0</v>
          </cell>
          <cell r="V12">
            <v>8996.56</v>
          </cell>
          <cell r="W12">
            <v>12441.62</v>
          </cell>
          <cell r="X12" t="str">
            <v/>
          </cell>
          <cell r="Y12" t="str">
            <v/>
          </cell>
          <cell r="Z12">
            <v>56659.76</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t="str">
            <v/>
          </cell>
          <cell r="AP12" t="str">
            <v/>
          </cell>
          <cell r="AQ12">
            <v>0</v>
          </cell>
        </row>
        <row r="13">
          <cell r="A13" t="str">
            <v>CAREFIRST, INC.</v>
          </cell>
          <cell r="B13" t="str">
            <v>P</v>
          </cell>
          <cell r="C13" t="str">
            <v>Rate</v>
          </cell>
          <cell r="D13" t="str">
            <v>ASO w/o  Spec</v>
          </cell>
          <cell r="E13" t="str">
            <v>7J53</v>
          </cell>
          <cell r="F13">
            <v>9614653.8899999987</v>
          </cell>
          <cell r="G13">
            <v>0</v>
          </cell>
          <cell r="H13">
            <v>10045.959999999999</v>
          </cell>
          <cell r="I13">
            <v>131534.68</v>
          </cell>
          <cell r="J13">
            <v>0</v>
          </cell>
          <cell r="K13">
            <v>9756234.5299999993</v>
          </cell>
          <cell r="L13">
            <v>0</v>
          </cell>
          <cell r="M13">
            <v>0</v>
          </cell>
          <cell r="N13">
            <v>0</v>
          </cell>
          <cell r="O13">
            <v>1075122.47</v>
          </cell>
          <cell r="P13">
            <v>116814.64</v>
          </cell>
          <cell r="Q13">
            <v>0</v>
          </cell>
          <cell r="R13">
            <v>0</v>
          </cell>
          <cell r="S13">
            <v>1191937.1100000001</v>
          </cell>
          <cell r="T13">
            <v>0</v>
          </cell>
          <cell r="U13">
            <v>0</v>
          </cell>
          <cell r="V13">
            <v>1191937.1100000001</v>
          </cell>
          <cell r="W13">
            <v>1191937.1100000001</v>
          </cell>
          <cell r="X13" t="str">
            <v/>
          </cell>
          <cell r="Y13" t="str">
            <v/>
          </cell>
          <cell r="Z13">
            <v>10948171.640000001</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t="str">
            <v/>
          </cell>
          <cell r="AP13" t="str">
            <v/>
          </cell>
          <cell r="AQ13">
            <v>0</v>
          </cell>
        </row>
        <row r="14">
          <cell r="A14" t="str">
            <v>Centre Group</v>
          </cell>
          <cell r="B14" t="str">
            <v>P</v>
          </cell>
          <cell r="C14" t="str">
            <v>C+R</v>
          </cell>
          <cell r="D14" t="str">
            <v>Agg.STP with Sp</v>
          </cell>
          <cell r="E14" t="str">
            <v>U926</v>
          </cell>
          <cell r="F14">
            <v>1859177.44</v>
          </cell>
          <cell r="G14">
            <v>569956.52</v>
          </cell>
          <cell r="H14">
            <v>18677.04</v>
          </cell>
          <cell r="I14">
            <v>5668.6</v>
          </cell>
          <cell r="J14">
            <v>9023.7099999999991</v>
          </cell>
          <cell r="K14">
            <v>1322590.27</v>
          </cell>
          <cell r="L14">
            <v>143002.22</v>
          </cell>
          <cell r="M14">
            <v>45289.07</v>
          </cell>
          <cell r="N14">
            <v>188291.29</v>
          </cell>
          <cell r="O14">
            <v>199193.66</v>
          </cell>
          <cell r="P14">
            <v>22132.62</v>
          </cell>
          <cell r="Q14">
            <v>0</v>
          </cell>
          <cell r="R14">
            <v>42892.7</v>
          </cell>
          <cell r="S14">
            <v>264218.98</v>
          </cell>
          <cell r="T14">
            <v>0</v>
          </cell>
          <cell r="U14">
            <v>-414.91</v>
          </cell>
          <cell r="V14">
            <v>263804.07</v>
          </cell>
          <cell r="W14">
            <v>452095.36</v>
          </cell>
          <cell r="X14" t="str">
            <v/>
          </cell>
          <cell r="Y14" t="str">
            <v/>
          </cell>
          <cell r="Z14">
            <v>1774685.63</v>
          </cell>
          <cell r="AA14">
            <v>0</v>
          </cell>
          <cell r="AB14">
            <v>5056</v>
          </cell>
          <cell r="AC14">
            <v>0</v>
          </cell>
          <cell r="AD14">
            <v>0</v>
          </cell>
          <cell r="AE14">
            <v>59537.71</v>
          </cell>
          <cell r="AF14">
            <v>54481.71</v>
          </cell>
          <cell r="AG14">
            <v>0</v>
          </cell>
          <cell r="AH14">
            <v>0</v>
          </cell>
          <cell r="AI14">
            <v>0</v>
          </cell>
          <cell r="AJ14">
            <v>368.72</v>
          </cell>
          <cell r="AK14">
            <v>0</v>
          </cell>
          <cell r="AL14">
            <v>-755.39</v>
          </cell>
          <cell r="AM14">
            <v>-386.67</v>
          </cell>
          <cell r="AN14">
            <v>-386.67</v>
          </cell>
          <cell r="AO14">
            <v>0</v>
          </cell>
          <cell r="AP14">
            <v>68000</v>
          </cell>
          <cell r="AQ14">
            <v>122095.03999999999</v>
          </cell>
        </row>
        <row r="15">
          <cell r="A15" t="str">
            <v>CHARLES COUNTY GOVERNMENT</v>
          </cell>
          <cell r="B15" t="str">
            <v>P</v>
          </cell>
          <cell r="C15" t="str">
            <v>C+R</v>
          </cell>
          <cell r="D15" t="str">
            <v>Agg.STP with Sp</v>
          </cell>
          <cell r="E15" t="str">
            <v>4N00</v>
          </cell>
          <cell r="F15">
            <v>1129174.6499999999</v>
          </cell>
          <cell r="G15">
            <v>0</v>
          </cell>
          <cell r="H15">
            <v>86.28</v>
          </cell>
          <cell r="I15">
            <v>21819.79</v>
          </cell>
          <cell r="J15">
            <v>-69352.009999999995</v>
          </cell>
          <cell r="K15">
            <v>1081728.71</v>
          </cell>
          <cell r="L15">
            <v>44941.98</v>
          </cell>
          <cell r="M15">
            <v>15277.86</v>
          </cell>
          <cell r="N15">
            <v>60219.839999999997</v>
          </cell>
          <cell r="O15">
            <v>155305.35999999999</v>
          </cell>
          <cell r="P15">
            <v>17312.71</v>
          </cell>
          <cell r="Q15">
            <v>0</v>
          </cell>
          <cell r="R15">
            <v>0</v>
          </cell>
          <cell r="S15">
            <v>172618.07</v>
          </cell>
          <cell r="T15">
            <v>0</v>
          </cell>
          <cell r="U15">
            <v>0</v>
          </cell>
          <cell r="V15">
            <v>172618.07</v>
          </cell>
          <cell r="W15">
            <v>232837.91</v>
          </cell>
          <cell r="X15" t="str">
            <v/>
          </cell>
          <cell r="Y15" t="str">
            <v/>
          </cell>
          <cell r="Z15">
            <v>1314566.6200000001</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t="str">
            <v/>
          </cell>
          <cell r="AP15" t="str">
            <v/>
          </cell>
          <cell r="AQ15">
            <v>0</v>
          </cell>
        </row>
        <row r="16">
          <cell r="A16" t="str">
            <v>CHARLES COUNTY PUBLIC SCHOOLS 1</v>
          </cell>
          <cell r="B16" t="str">
            <v>P</v>
          </cell>
          <cell r="C16" t="str">
            <v>C+R</v>
          </cell>
          <cell r="D16" t="str">
            <v>Agg.STP with Sp</v>
          </cell>
          <cell r="E16" t="str">
            <v>4N02</v>
          </cell>
          <cell r="F16">
            <v>3329984.08</v>
          </cell>
          <cell r="G16">
            <v>16675.75</v>
          </cell>
          <cell r="H16">
            <v>4204.82</v>
          </cell>
          <cell r="I16">
            <v>39794.32</v>
          </cell>
          <cell r="J16">
            <v>0</v>
          </cell>
          <cell r="K16">
            <v>3357307.47</v>
          </cell>
          <cell r="L16">
            <v>63590.04</v>
          </cell>
          <cell r="M16">
            <v>39417.82</v>
          </cell>
          <cell r="N16">
            <v>103007.86</v>
          </cell>
          <cell r="O16">
            <v>474251.6</v>
          </cell>
          <cell r="P16">
            <v>52625.4</v>
          </cell>
          <cell r="Q16">
            <v>0</v>
          </cell>
          <cell r="R16">
            <v>0</v>
          </cell>
          <cell r="S16">
            <v>526877</v>
          </cell>
          <cell r="T16">
            <v>0</v>
          </cell>
          <cell r="U16">
            <v>0</v>
          </cell>
          <cell r="V16">
            <v>526877</v>
          </cell>
          <cell r="W16">
            <v>629884.86</v>
          </cell>
          <cell r="X16" t="str">
            <v/>
          </cell>
          <cell r="Y16" t="str">
            <v/>
          </cell>
          <cell r="Z16">
            <v>3987192.33</v>
          </cell>
          <cell r="AA16">
            <v>0</v>
          </cell>
          <cell r="AB16">
            <v>0</v>
          </cell>
          <cell r="AC16">
            <v>0</v>
          </cell>
          <cell r="AD16">
            <v>0</v>
          </cell>
          <cell r="AE16">
            <v>0</v>
          </cell>
          <cell r="AF16">
            <v>0</v>
          </cell>
          <cell r="AG16">
            <v>2104.38</v>
          </cell>
          <cell r="AH16">
            <v>-2104.38</v>
          </cell>
          <cell r="AI16">
            <v>0</v>
          </cell>
          <cell r="AJ16">
            <v>0</v>
          </cell>
          <cell r="AK16">
            <v>0</v>
          </cell>
          <cell r="AL16">
            <v>0</v>
          </cell>
          <cell r="AM16">
            <v>0</v>
          </cell>
          <cell r="AN16">
            <v>0</v>
          </cell>
          <cell r="AO16" t="str">
            <v/>
          </cell>
          <cell r="AP16" t="str">
            <v/>
          </cell>
          <cell r="AQ16">
            <v>0</v>
          </cell>
        </row>
        <row r="17">
          <cell r="A17" t="str">
            <v>CHARLES COUNTY PUBLIC SCHOOLS 2</v>
          </cell>
          <cell r="B17" t="str">
            <v>P</v>
          </cell>
          <cell r="C17" t="str">
            <v>C+R</v>
          </cell>
          <cell r="D17" t="str">
            <v>ASO w/o  Spec</v>
          </cell>
          <cell r="E17" t="str">
            <v>TM30</v>
          </cell>
          <cell r="F17">
            <v>33330.33</v>
          </cell>
          <cell r="G17">
            <v>0</v>
          </cell>
          <cell r="H17">
            <v>0</v>
          </cell>
          <cell r="I17">
            <v>0</v>
          </cell>
          <cell r="J17">
            <v>0</v>
          </cell>
          <cell r="K17">
            <v>33330.33</v>
          </cell>
          <cell r="L17">
            <v>0</v>
          </cell>
          <cell r="M17">
            <v>0</v>
          </cell>
          <cell r="N17">
            <v>0</v>
          </cell>
          <cell r="O17">
            <v>4748.2700000000004</v>
          </cell>
          <cell r="P17">
            <v>526.82000000000005</v>
          </cell>
          <cell r="Q17">
            <v>0</v>
          </cell>
          <cell r="R17">
            <v>0</v>
          </cell>
          <cell r="S17">
            <v>5275.09</v>
          </cell>
          <cell r="T17">
            <v>0</v>
          </cell>
          <cell r="U17">
            <v>0</v>
          </cell>
          <cell r="V17">
            <v>5275.09</v>
          </cell>
          <cell r="W17">
            <v>5275.09</v>
          </cell>
          <cell r="X17" t="str">
            <v/>
          </cell>
          <cell r="Y17" t="str">
            <v/>
          </cell>
          <cell r="Z17">
            <v>38605.42</v>
          </cell>
          <cell r="AA17">
            <v>0</v>
          </cell>
          <cell r="AB17">
            <v>0</v>
          </cell>
          <cell r="AC17">
            <v>0</v>
          </cell>
          <cell r="AD17">
            <v>0</v>
          </cell>
          <cell r="AE17">
            <v>0</v>
          </cell>
          <cell r="AF17">
            <v>0</v>
          </cell>
          <cell r="AG17">
            <v>0</v>
          </cell>
          <cell r="AH17">
            <v>0</v>
          </cell>
          <cell r="AI17">
            <v>0</v>
          </cell>
          <cell r="AJ17">
            <v>24.14</v>
          </cell>
          <cell r="AK17">
            <v>0</v>
          </cell>
          <cell r="AL17">
            <v>0</v>
          </cell>
          <cell r="AM17">
            <v>24.14</v>
          </cell>
          <cell r="AN17">
            <v>24.14</v>
          </cell>
          <cell r="AO17" t="str">
            <v/>
          </cell>
          <cell r="AP17" t="str">
            <v/>
          </cell>
          <cell r="AQ17">
            <v>24.14</v>
          </cell>
        </row>
        <row r="18">
          <cell r="A18" t="str">
            <v>Chevy Chase Bank, F.S.B.</v>
          </cell>
          <cell r="B18" t="str">
            <v>P</v>
          </cell>
          <cell r="C18" t="str">
            <v>C+R</v>
          </cell>
          <cell r="D18" t="str">
            <v>ASO w/o  Spec</v>
          </cell>
          <cell r="E18" t="str">
            <v>1A20</v>
          </cell>
          <cell r="F18">
            <v>14160566.289999999</v>
          </cell>
          <cell r="G18">
            <v>0</v>
          </cell>
          <cell r="H18">
            <v>87621.57</v>
          </cell>
          <cell r="I18">
            <v>94104.13</v>
          </cell>
          <cell r="J18">
            <v>0</v>
          </cell>
          <cell r="K18">
            <v>14342291.989999998</v>
          </cell>
          <cell r="L18">
            <v>0</v>
          </cell>
          <cell r="M18">
            <v>0</v>
          </cell>
          <cell r="N18">
            <v>0</v>
          </cell>
          <cell r="O18">
            <v>1145313.68</v>
          </cell>
          <cell r="P18">
            <v>140472.10999999999</v>
          </cell>
          <cell r="Q18">
            <v>0</v>
          </cell>
          <cell r="R18">
            <v>0</v>
          </cell>
          <cell r="S18">
            <v>1285785.79</v>
          </cell>
          <cell r="T18">
            <v>0</v>
          </cell>
          <cell r="U18">
            <v>0</v>
          </cell>
          <cell r="V18">
            <v>1285785.79</v>
          </cell>
          <cell r="W18">
            <v>1285785.79</v>
          </cell>
          <cell r="X18" t="str">
            <v/>
          </cell>
          <cell r="Y18" t="str">
            <v/>
          </cell>
          <cell r="Z18">
            <v>15628077.779999999</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t="str">
            <v/>
          </cell>
          <cell r="AP18" t="str">
            <v/>
          </cell>
          <cell r="AQ18">
            <v>0</v>
          </cell>
        </row>
        <row r="19">
          <cell r="A19" t="str">
            <v>CHOICE HOTELS INTERNATIONAL, INC. 1</v>
          </cell>
          <cell r="B19" t="str">
            <v>P</v>
          </cell>
          <cell r="C19" t="str">
            <v>C+R</v>
          </cell>
          <cell r="D19" t="str">
            <v>Agg.STP w/o  Sp</v>
          </cell>
          <cell r="E19" t="str">
            <v>NJ52</v>
          </cell>
          <cell r="F19">
            <v>441755.06</v>
          </cell>
          <cell r="G19">
            <v>0</v>
          </cell>
          <cell r="H19">
            <v>22895.83</v>
          </cell>
          <cell r="I19">
            <v>0</v>
          </cell>
          <cell r="J19">
            <v>0</v>
          </cell>
          <cell r="K19">
            <v>464650.89</v>
          </cell>
          <cell r="L19">
            <v>0</v>
          </cell>
          <cell r="M19">
            <v>0</v>
          </cell>
          <cell r="N19">
            <v>0</v>
          </cell>
          <cell r="O19">
            <v>0</v>
          </cell>
          <cell r="P19">
            <v>0</v>
          </cell>
          <cell r="Q19">
            <v>0</v>
          </cell>
          <cell r="R19">
            <v>0</v>
          </cell>
          <cell r="S19">
            <v>0</v>
          </cell>
          <cell r="T19">
            <v>0</v>
          </cell>
          <cell r="U19">
            <v>0</v>
          </cell>
          <cell r="V19">
            <v>0</v>
          </cell>
          <cell r="W19">
            <v>0</v>
          </cell>
          <cell r="X19" t="str">
            <v/>
          </cell>
          <cell r="Y19" t="str">
            <v/>
          </cell>
          <cell r="Z19">
            <v>464650.89</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t="str">
            <v/>
          </cell>
          <cell r="AP19" t="str">
            <v/>
          </cell>
          <cell r="AQ19">
            <v>0</v>
          </cell>
        </row>
        <row r="20">
          <cell r="A20" t="str">
            <v>CHOICE HOTELS INTERNATIONAL, INC. 2</v>
          </cell>
          <cell r="B20" t="str">
            <v>P</v>
          </cell>
          <cell r="C20" t="str">
            <v>C+R</v>
          </cell>
          <cell r="D20" t="str">
            <v>Agg.STP with Sp</v>
          </cell>
          <cell r="E20" t="str">
            <v>NJ52</v>
          </cell>
          <cell r="F20">
            <v>5302085.3600000003</v>
          </cell>
          <cell r="G20">
            <v>37281.26</v>
          </cell>
          <cell r="H20">
            <v>291171.18</v>
          </cell>
          <cell r="I20">
            <v>0</v>
          </cell>
          <cell r="J20">
            <v>0</v>
          </cell>
          <cell r="K20">
            <v>5555975.2800000003</v>
          </cell>
          <cell r="L20">
            <v>121445.6</v>
          </cell>
          <cell r="M20">
            <v>73027.94</v>
          </cell>
          <cell r="N20">
            <v>194473.54</v>
          </cell>
          <cell r="O20">
            <v>374745.22</v>
          </cell>
          <cell r="P20">
            <v>41355.58</v>
          </cell>
          <cell r="Q20">
            <v>0</v>
          </cell>
          <cell r="R20">
            <v>0</v>
          </cell>
          <cell r="S20">
            <v>416100.8</v>
          </cell>
          <cell r="T20">
            <v>3171.5</v>
          </cell>
          <cell r="U20">
            <v>0</v>
          </cell>
          <cell r="V20">
            <v>419272.3</v>
          </cell>
          <cell r="W20">
            <v>613745.84</v>
          </cell>
          <cell r="X20">
            <v>-1000</v>
          </cell>
          <cell r="Y20">
            <v>0</v>
          </cell>
          <cell r="Z20">
            <v>6168721.1199999992</v>
          </cell>
          <cell r="AA20">
            <v>0</v>
          </cell>
          <cell r="AB20">
            <v>-37281.26</v>
          </cell>
          <cell r="AC20">
            <v>0</v>
          </cell>
          <cell r="AD20">
            <v>0</v>
          </cell>
          <cell r="AE20">
            <v>0</v>
          </cell>
          <cell r="AF20">
            <v>37281.26</v>
          </cell>
          <cell r="AG20">
            <v>11284</v>
          </cell>
          <cell r="AH20">
            <v>6756.52</v>
          </cell>
          <cell r="AI20">
            <v>18040.52</v>
          </cell>
          <cell r="AJ20">
            <v>38277.599999999999</v>
          </cell>
          <cell r="AK20">
            <v>291.75</v>
          </cell>
          <cell r="AL20">
            <v>0</v>
          </cell>
          <cell r="AM20">
            <v>38569.35</v>
          </cell>
          <cell r="AN20">
            <v>56609.87</v>
          </cell>
          <cell r="AO20">
            <v>0</v>
          </cell>
          <cell r="AP20">
            <v>0</v>
          </cell>
          <cell r="AQ20">
            <v>93891.13</v>
          </cell>
        </row>
        <row r="21">
          <cell r="A21" t="str">
            <v>CITY OF ANNAPOLIS</v>
          </cell>
          <cell r="B21" t="str">
            <v>P</v>
          </cell>
          <cell r="C21" t="str">
            <v>C+R</v>
          </cell>
          <cell r="D21" t="str">
            <v>ASO w/o  Spec</v>
          </cell>
          <cell r="E21" t="str">
            <v>7S72</v>
          </cell>
          <cell r="F21">
            <v>114257.66</v>
          </cell>
          <cell r="G21">
            <v>0</v>
          </cell>
          <cell r="H21">
            <v>62.11</v>
          </cell>
          <cell r="I21">
            <v>3217.72</v>
          </cell>
          <cell r="J21">
            <v>0</v>
          </cell>
          <cell r="K21">
            <v>117537.49</v>
          </cell>
          <cell r="L21">
            <v>0</v>
          </cell>
          <cell r="M21">
            <v>0</v>
          </cell>
          <cell r="N21">
            <v>0</v>
          </cell>
          <cell r="O21">
            <v>25682.49</v>
          </cell>
          <cell r="P21">
            <v>4815.47</v>
          </cell>
          <cell r="Q21">
            <v>0</v>
          </cell>
          <cell r="R21">
            <v>3723.98</v>
          </cell>
          <cell r="S21">
            <v>34221.94</v>
          </cell>
          <cell r="T21">
            <v>0</v>
          </cell>
          <cell r="U21">
            <v>0</v>
          </cell>
          <cell r="V21">
            <v>34221.94</v>
          </cell>
          <cell r="W21">
            <v>34221.94</v>
          </cell>
          <cell r="X21" t="str">
            <v/>
          </cell>
          <cell r="Y21" t="str">
            <v/>
          </cell>
          <cell r="Z21">
            <v>151759.43</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t="str">
            <v/>
          </cell>
          <cell r="AP21" t="str">
            <v/>
          </cell>
          <cell r="AQ21">
            <v>0</v>
          </cell>
        </row>
        <row r="22">
          <cell r="A22" t="str">
            <v>Communication Workers of America</v>
          </cell>
          <cell r="B22" t="str">
            <v>P</v>
          </cell>
          <cell r="C22" t="str">
            <v>C+R</v>
          </cell>
          <cell r="D22" t="str">
            <v>Agg.STP with Sp</v>
          </cell>
          <cell r="E22" t="str">
            <v>R189</v>
          </cell>
          <cell r="F22">
            <v>6201404.0099999998</v>
          </cell>
          <cell r="G22">
            <v>99512.78</v>
          </cell>
          <cell r="H22">
            <v>220271.39</v>
          </cell>
          <cell r="I22">
            <v>0</v>
          </cell>
          <cell r="J22">
            <v>0</v>
          </cell>
          <cell r="K22">
            <v>6322162.6200000001</v>
          </cell>
          <cell r="L22">
            <v>152389.09</v>
          </cell>
          <cell r="M22">
            <v>59208.75</v>
          </cell>
          <cell r="N22">
            <v>211597.84</v>
          </cell>
          <cell r="O22">
            <v>568996.59</v>
          </cell>
          <cell r="P22">
            <v>63113.81</v>
          </cell>
          <cell r="Q22">
            <v>0</v>
          </cell>
          <cell r="R22">
            <v>97490.5</v>
          </cell>
          <cell r="S22">
            <v>729600.9</v>
          </cell>
          <cell r="T22">
            <v>0</v>
          </cell>
          <cell r="U22">
            <v>-2955.97</v>
          </cell>
          <cell r="V22">
            <v>726644.93</v>
          </cell>
          <cell r="W22">
            <v>938242.77</v>
          </cell>
          <cell r="X22" t="str">
            <v/>
          </cell>
          <cell r="Y22" t="str">
            <v/>
          </cell>
          <cell r="Z22">
            <v>7260405.3900000006</v>
          </cell>
          <cell r="AA22">
            <v>0</v>
          </cell>
          <cell r="AB22">
            <v>0</v>
          </cell>
          <cell r="AC22">
            <v>0</v>
          </cell>
          <cell r="AD22">
            <v>0</v>
          </cell>
          <cell r="AE22">
            <v>0</v>
          </cell>
          <cell r="AF22">
            <v>0</v>
          </cell>
          <cell r="AG22">
            <v>0</v>
          </cell>
          <cell r="AH22">
            <v>0</v>
          </cell>
          <cell r="AI22">
            <v>0</v>
          </cell>
          <cell r="AJ22">
            <v>0</v>
          </cell>
          <cell r="AK22">
            <v>0</v>
          </cell>
          <cell r="AL22">
            <v>2841.36</v>
          </cell>
          <cell r="AM22">
            <v>2841.36</v>
          </cell>
          <cell r="AN22">
            <v>2841.36</v>
          </cell>
          <cell r="AO22">
            <v>0</v>
          </cell>
          <cell r="AP22">
            <v>-179000</v>
          </cell>
          <cell r="AQ22">
            <v>-176158.64</v>
          </cell>
        </row>
        <row r="23">
          <cell r="A23" t="str">
            <v>CONSTELLATION ENERGY GROUP (BGE)</v>
          </cell>
          <cell r="B23" t="str">
            <v>P</v>
          </cell>
          <cell r="C23" t="str">
            <v>C+R</v>
          </cell>
          <cell r="D23" t="str">
            <v>ASO w/o  Spec</v>
          </cell>
          <cell r="E23" t="str">
            <v>7J01</v>
          </cell>
          <cell r="F23">
            <v>7241.79</v>
          </cell>
          <cell r="G23">
            <v>0</v>
          </cell>
          <cell r="H23">
            <v>14.19</v>
          </cell>
          <cell r="I23">
            <v>0</v>
          </cell>
          <cell r="J23">
            <v>0</v>
          </cell>
          <cell r="K23">
            <v>7255.98</v>
          </cell>
          <cell r="L23">
            <v>0</v>
          </cell>
          <cell r="M23">
            <v>0</v>
          </cell>
          <cell r="N23">
            <v>0</v>
          </cell>
          <cell r="O23">
            <v>638.52</v>
          </cell>
          <cell r="P23">
            <v>0</v>
          </cell>
          <cell r="Q23">
            <v>0</v>
          </cell>
          <cell r="R23">
            <v>0</v>
          </cell>
          <cell r="S23">
            <v>638.52</v>
          </cell>
          <cell r="T23">
            <v>0</v>
          </cell>
          <cell r="U23">
            <v>0</v>
          </cell>
          <cell r="V23">
            <v>638.52</v>
          </cell>
          <cell r="W23">
            <v>638.52</v>
          </cell>
          <cell r="X23" t="str">
            <v/>
          </cell>
          <cell r="Y23" t="str">
            <v/>
          </cell>
          <cell r="Z23">
            <v>7894.5</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t="str">
            <v/>
          </cell>
          <cell r="AP23" t="str">
            <v/>
          </cell>
          <cell r="AQ23">
            <v>0</v>
          </cell>
        </row>
        <row r="24">
          <cell r="A24" t="str">
            <v>CRESTLINE HOTELS AND RESORTS 1</v>
          </cell>
          <cell r="B24" t="str">
            <v>P</v>
          </cell>
          <cell r="C24" t="str">
            <v>C+R</v>
          </cell>
          <cell r="D24" t="str">
            <v>Agg.STP w/o  Sp</v>
          </cell>
          <cell r="E24" t="str">
            <v>XM70</v>
          </cell>
          <cell r="F24">
            <v>954391.7</v>
          </cell>
          <cell r="G24">
            <v>0</v>
          </cell>
          <cell r="H24">
            <v>77188.929999999993</v>
          </cell>
          <cell r="I24">
            <v>0</v>
          </cell>
          <cell r="J24">
            <v>0</v>
          </cell>
          <cell r="K24">
            <v>1031580.63</v>
          </cell>
          <cell r="L24">
            <v>0</v>
          </cell>
          <cell r="M24">
            <v>0</v>
          </cell>
          <cell r="N24">
            <v>0</v>
          </cell>
          <cell r="O24">
            <v>0</v>
          </cell>
          <cell r="P24">
            <v>0</v>
          </cell>
          <cell r="Q24">
            <v>0</v>
          </cell>
          <cell r="R24">
            <v>0</v>
          </cell>
          <cell r="S24">
            <v>0</v>
          </cell>
          <cell r="T24">
            <v>0</v>
          </cell>
          <cell r="U24">
            <v>0</v>
          </cell>
          <cell r="V24">
            <v>0</v>
          </cell>
          <cell r="W24">
            <v>0</v>
          </cell>
          <cell r="X24" t="str">
            <v/>
          </cell>
          <cell r="Y24" t="str">
            <v/>
          </cell>
          <cell r="Z24">
            <v>1031580.63</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t="str">
            <v/>
          </cell>
          <cell r="AP24" t="str">
            <v/>
          </cell>
          <cell r="AQ24">
            <v>0</v>
          </cell>
        </row>
        <row r="25">
          <cell r="A25" t="str">
            <v>CRESTLINE HOTELS AND RESORTS 2</v>
          </cell>
          <cell r="B25" t="str">
            <v>P</v>
          </cell>
          <cell r="C25" t="str">
            <v>C+R</v>
          </cell>
          <cell r="D25" t="str">
            <v>Agg.STP with Sp</v>
          </cell>
          <cell r="E25" t="str">
            <v>XM70</v>
          </cell>
          <cell r="F25">
            <v>3509076.98</v>
          </cell>
          <cell r="G25">
            <v>0</v>
          </cell>
          <cell r="H25">
            <v>300975.14</v>
          </cell>
          <cell r="I25">
            <v>0</v>
          </cell>
          <cell r="J25">
            <v>0</v>
          </cell>
          <cell r="K25">
            <v>3810052.12</v>
          </cell>
          <cell r="L25">
            <v>176333.52</v>
          </cell>
          <cell r="M25">
            <v>38031.06</v>
          </cell>
          <cell r="N25">
            <v>214364.58</v>
          </cell>
          <cell r="O25">
            <v>381665.52</v>
          </cell>
          <cell r="P25">
            <v>42160.73</v>
          </cell>
          <cell r="Q25">
            <v>0</v>
          </cell>
          <cell r="R25">
            <v>129810.65</v>
          </cell>
          <cell r="S25">
            <v>553636.9</v>
          </cell>
          <cell r="T25">
            <v>0</v>
          </cell>
          <cell r="U25">
            <v>0</v>
          </cell>
          <cell r="V25">
            <v>553636.9</v>
          </cell>
          <cell r="W25">
            <v>768001.48</v>
          </cell>
          <cell r="X25" t="str">
            <v/>
          </cell>
          <cell r="Y25" t="str">
            <v/>
          </cell>
          <cell r="Z25">
            <v>4578053.5999999996</v>
          </cell>
          <cell r="AA25">
            <v>0</v>
          </cell>
          <cell r="AB25">
            <v>0</v>
          </cell>
          <cell r="AC25">
            <v>0</v>
          </cell>
          <cell r="AD25">
            <v>0</v>
          </cell>
          <cell r="AE25">
            <v>0</v>
          </cell>
          <cell r="AF25">
            <v>0</v>
          </cell>
          <cell r="AG25">
            <v>21608.01</v>
          </cell>
          <cell r="AH25">
            <v>4660.5600000000004</v>
          </cell>
          <cell r="AI25">
            <v>26268.57</v>
          </cell>
          <cell r="AJ25">
            <v>67843.77</v>
          </cell>
          <cell r="AK25">
            <v>0</v>
          </cell>
          <cell r="AL25">
            <v>0</v>
          </cell>
          <cell r="AM25">
            <v>67843.77</v>
          </cell>
          <cell r="AN25">
            <v>94112.34</v>
          </cell>
          <cell r="AO25" t="str">
            <v/>
          </cell>
          <cell r="AP25" t="str">
            <v/>
          </cell>
          <cell r="AQ25">
            <v>94112.34</v>
          </cell>
        </row>
        <row r="26">
          <cell r="A26" t="str">
            <v>CVS PHARMACY</v>
          </cell>
          <cell r="B26" t="str">
            <v>P</v>
          </cell>
          <cell r="C26" t="str">
            <v>C+R</v>
          </cell>
          <cell r="D26" t="str">
            <v>ASO w/o  Spec</v>
          </cell>
          <cell r="E26" t="str">
            <v>MR63</v>
          </cell>
          <cell r="F26">
            <v>10635.02</v>
          </cell>
          <cell r="G26">
            <v>0</v>
          </cell>
          <cell r="H26">
            <v>-4953.1099999999997</v>
          </cell>
          <cell r="I26">
            <v>19.84</v>
          </cell>
          <cell r="J26">
            <v>0</v>
          </cell>
          <cell r="K26">
            <v>5701.75</v>
          </cell>
          <cell r="L26">
            <v>0</v>
          </cell>
          <cell r="M26">
            <v>0</v>
          </cell>
          <cell r="N26">
            <v>0</v>
          </cell>
          <cell r="O26">
            <v>328.1</v>
          </cell>
          <cell r="P26">
            <v>36.46</v>
          </cell>
          <cell r="Q26">
            <v>0</v>
          </cell>
          <cell r="R26">
            <v>0</v>
          </cell>
          <cell r="S26">
            <v>364.56</v>
          </cell>
          <cell r="T26">
            <v>16.399999999999999</v>
          </cell>
          <cell r="U26">
            <v>0</v>
          </cell>
          <cell r="V26">
            <v>380.96</v>
          </cell>
          <cell r="W26">
            <v>380.96</v>
          </cell>
          <cell r="X26" t="str">
            <v/>
          </cell>
          <cell r="Y26" t="str">
            <v/>
          </cell>
          <cell r="Z26">
            <v>6082.71</v>
          </cell>
          <cell r="AA26">
            <v>-3.75</v>
          </cell>
          <cell r="AB26">
            <v>0</v>
          </cell>
          <cell r="AC26">
            <v>0</v>
          </cell>
          <cell r="AD26">
            <v>-19.84</v>
          </cell>
          <cell r="AE26">
            <v>0</v>
          </cell>
          <cell r="AF26">
            <v>-23.59</v>
          </cell>
          <cell r="AG26">
            <v>0</v>
          </cell>
          <cell r="AH26">
            <v>0</v>
          </cell>
          <cell r="AI26">
            <v>0</v>
          </cell>
          <cell r="AJ26">
            <v>-364.56</v>
          </cell>
          <cell r="AK26">
            <v>-16.399999999999999</v>
          </cell>
          <cell r="AL26">
            <v>0</v>
          </cell>
          <cell r="AM26">
            <v>-380.96</v>
          </cell>
          <cell r="AN26">
            <v>-380.96</v>
          </cell>
          <cell r="AO26" t="str">
            <v/>
          </cell>
          <cell r="AP26" t="str">
            <v/>
          </cell>
          <cell r="AQ26">
            <v>-404.55</v>
          </cell>
        </row>
        <row r="27">
          <cell r="A27" t="str">
            <v>DIAMOND COMICS</v>
          </cell>
          <cell r="B27" t="str">
            <v>P</v>
          </cell>
          <cell r="C27" t="str">
            <v>C+R</v>
          </cell>
          <cell r="D27" t="str">
            <v>Agg.STP with Sp</v>
          </cell>
          <cell r="E27" t="str">
            <v>7B75</v>
          </cell>
          <cell r="F27">
            <v>447632.05</v>
          </cell>
          <cell r="G27">
            <v>272473.38</v>
          </cell>
          <cell r="H27">
            <v>389.7</v>
          </cell>
          <cell r="I27">
            <v>3478.98</v>
          </cell>
          <cell r="J27">
            <v>-26599.279999999999</v>
          </cell>
          <cell r="K27">
            <v>152428.07</v>
          </cell>
          <cell r="L27">
            <v>14219.36</v>
          </cell>
          <cell r="M27">
            <v>2897.16</v>
          </cell>
          <cell r="N27">
            <v>17116.52</v>
          </cell>
          <cell r="O27">
            <v>28465.29</v>
          </cell>
          <cell r="P27">
            <v>4365.88</v>
          </cell>
          <cell r="Q27">
            <v>0</v>
          </cell>
          <cell r="R27">
            <v>4213.08</v>
          </cell>
          <cell r="S27">
            <v>37044.25</v>
          </cell>
          <cell r="T27">
            <v>0</v>
          </cell>
          <cell r="U27">
            <v>0</v>
          </cell>
          <cell r="V27">
            <v>37044.25</v>
          </cell>
          <cell r="W27">
            <v>54160.77</v>
          </cell>
          <cell r="X27" t="str">
            <v/>
          </cell>
          <cell r="Y27" t="str">
            <v/>
          </cell>
          <cell r="Z27">
            <v>206588.84</v>
          </cell>
          <cell r="AA27">
            <v>0</v>
          </cell>
          <cell r="AB27">
            <v>0</v>
          </cell>
          <cell r="AC27">
            <v>0</v>
          </cell>
          <cell r="AD27">
            <v>312.14</v>
          </cell>
          <cell r="AE27">
            <v>-3483.3</v>
          </cell>
          <cell r="AF27">
            <v>-3171.16</v>
          </cell>
          <cell r="AG27">
            <v>-168.5</v>
          </cell>
          <cell r="AH27">
            <v>0</v>
          </cell>
          <cell r="AI27">
            <v>-168.5</v>
          </cell>
          <cell r="AJ27">
            <v>254.32</v>
          </cell>
          <cell r="AK27">
            <v>0</v>
          </cell>
          <cell r="AL27">
            <v>0</v>
          </cell>
          <cell r="AM27">
            <v>254.32</v>
          </cell>
          <cell r="AN27">
            <v>85.82</v>
          </cell>
          <cell r="AO27" t="str">
            <v/>
          </cell>
          <cell r="AP27" t="str">
            <v/>
          </cell>
          <cell r="AQ27">
            <v>-3085.34</v>
          </cell>
        </row>
        <row r="28">
          <cell r="A28" t="str">
            <v>Dimensions Health Corporation</v>
          </cell>
          <cell r="B28" t="str">
            <v>P</v>
          </cell>
          <cell r="C28" t="str">
            <v>C+R</v>
          </cell>
          <cell r="D28" t="str">
            <v>Agg.STP with Sp</v>
          </cell>
          <cell r="E28" t="str">
            <v>R802</v>
          </cell>
          <cell r="F28">
            <v>2552031.7599999998</v>
          </cell>
          <cell r="G28">
            <v>73436.12</v>
          </cell>
          <cell r="H28">
            <v>14392.8</v>
          </cell>
          <cell r="I28">
            <v>0</v>
          </cell>
          <cell r="J28">
            <v>0</v>
          </cell>
          <cell r="K28">
            <v>2492988.44</v>
          </cell>
          <cell r="L28">
            <v>125923.67</v>
          </cell>
          <cell r="M28">
            <v>24133.81</v>
          </cell>
          <cell r="N28">
            <v>150057.48000000001</v>
          </cell>
          <cell r="O28">
            <v>207163.68</v>
          </cell>
          <cell r="P28">
            <v>46486.58</v>
          </cell>
          <cell r="Q28">
            <v>0</v>
          </cell>
          <cell r="R28">
            <v>0</v>
          </cell>
          <cell r="S28">
            <v>253650.26</v>
          </cell>
          <cell r="T28">
            <v>0</v>
          </cell>
          <cell r="U28">
            <v>0</v>
          </cell>
          <cell r="V28">
            <v>253650.26</v>
          </cell>
          <cell r="W28">
            <v>403707.74</v>
          </cell>
          <cell r="X28" t="str">
            <v/>
          </cell>
          <cell r="Y28" t="str">
            <v/>
          </cell>
          <cell r="Z28">
            <v>2896696.18</v>
          </cell>
          <cell r="AA28">
            <v>0</v>
          </cell>
          <cell r="AB28">
            <v>0</v>
          </cell>
          <cell r="AC28">
            <v>0</v>
          </cell>
          <cell r="AD28">
            <v>0</v>
          </cell>
          <cell r="AE28">
            <v>0</v>
          </cell>
          <cell r="AF28">
            <v>0</v>
          </cell>
          <cell r="AG28">
            <v>13539.64</v>
          </cell>
          <cell r="AH28">
            <v>2216.0700000000002</v>
          </cell>
          <cell r="AI28">
            <v>15755.71</v>
          </cell>
          <cell r="AJ28">
            <v>6101.27</v>
          </cell>
          <cell r="AK28">
            <v>0</v>
          </cell>
          <cell r="AL28">
            <v>0</v>
          </cell>
          <cell r="AM28">
            <v>6101.27</v>
          </cell>
          <cell r="AN28">
            <v>21856.98</v>
          </cell>
          <cell r="AO28" t="str">
            <v/>
          </cell>
          <cell r="AP28" t="str">
            <v/>
          </cell>
          <cell r="AQ28">
            <v>21856.98</v>
          </cell>
        </row>
        <row r="29">
          <cell r="A29" t="str">
            <v>Embassy of the State of Kuwait</v>
          </cell>
          <cell r="B29" t="str">
            <v>P</v>
          </cell>
          <cell r="C29" t="str">
            <v>C+R</v>
          </cell>
          <cell r="D29" t="str">
            <v>ASO w/o  Spec</v>
          </cell>
          <cell r="E29" t="str">
            <v>R427</v>
          </cell>
          <cell r="F29" t="str">
            <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t="str">
            <v/>
          </cell>
          <cell r="Y29" t="str">
            <v/>
          </cell>
          <cell r="Z29">
            <v>0</v>
          </cell>
          <cell r="AA29" t="str">
            <v/>
          </cell>
          <cell r="AB29">
            <v>0</v>
          </cell>
          <cell r="AC29">
            <v>0</v>
          </cell>
          <cell r="AD29">
            <v>0</v>
          </cell>
          <cell r="AE29">
            <v>0</v>
          </cell>
          <cell r="AF29">
            <v>0</v>
          </cell>
          <cell r="AG29">
            <v>0</v>
          </cell>
          <cell r="AH29">
            <v>0</v>
          </cell>
          <cell r="AI29">
            <v>0</v>
          </cell>
          <cell r="AJ29">
            <v>0</v>
          </cell>
          <cell r="AK29">
            <v>0</v>
          </cell>
          <cell r="AL29">
            <v>0</v>
          </cell>
          <cell r="AM29">
            <v>0</v>
          </cell>
          <cell r="AN29">
            <v>0</v>
          </cell>
          <cell r="AO29" t="str">
            <v/>
          </cell>
          <cell r="AP29" t="str">
            <v/>
          </cell>
          <cell r="AQ29">
            <v>0</v>
          </cell>
        </row>
        <row r="30">
          <cell r="A30" t="str">
            <v>Episcopal Diocese of Washington</v>
          </cell>
          <cell r="B30" t="str">
            <v>P</v>
          </cell>
          <cell r="C30" t="str">
            <v>C+R</v>
          </cell>
          <cell r="D30" t="str">
            <v>ASO with Spec</v>
          </cell>
          <cell r="E30" t="str">
            <v>R446</v>
          </cell>
          <cell r="F30">
            <v>1863253.12</v>
          </cell>
          <cell r="G30">
            <v>101958.54</v>
          </cell>
          <cell r="H30">
            <v>10950.65</v>
          </cell>
          <cell r="I30">
            <v>7175.44</v>
          </cell>
          <cell r="J30">
            <v>0</v>
          </cell>
          <cell r="K30">
            <v>1779420.67</v>
          </cell>
          <cell r="L30">
            <v>39968.65</v>
          </cell>
          <cell r="M30">
            <v>0</v>
          </cell>
          <cell r="N30">
            <v>39968.65</v>
          </cell>
          <cell r="O30">
            <v>236602.98</v>
          </cell>
          <cell r="P30">
            <v>2633.43</v>
          </cell>
          <cell r="Q30">
            <v>0</v>
          </cell>
          <cell r="R30">
            <v>0</v>
          </cell>
          <cell r="S30">
            <v>239236.41</v>
          </cell>
          <cell r="T30">
            <v>0</v>
          </cell>
          <cell r="U30">
            <v>0</v>
          </cell>
          <cell r="V30">
            <v>239236.41</v>
          </cell>
          <cell r="W30">
            <v>279205.06</v>
          </cell>
          <cell r="X30" t="str">
            <v/>
          </cell>
          <cell r="Y30" t="str">
            <v/>
          </cell>
          <cell r="Z30">
            <v>2058625.73</v>
          </cell>
          <cell r="AA30">
            <v>0</v>
          </cell>
          <cell r="AB30">
            <v>0</v>
          </cell>
          <cell r="AC30">
            <v>0</v>
          </cell>
          <cell r="AD30">
            <v>0</v>
          </cell>
          <cell r="AE30">
            <v>0</v>
          </cell>
          <cell r="AF30">
            <v>0</v>
          </cell>
          <cell r="AG30">
            <v>0</v>
          </cell>
          <cell r="AH30">
            <v>0</v>
          </cell>
          <cell r="AI30">
            <v>0</v>
          </cell>
          <cell r="AJ30">
            <v>8.19</v>
          </cell>
          <cell r="AK30">
            <v>0</v>
          </cell>
          <cell r="AL30">
            <v>0</v>
          </cell>
          <cell r="AM30">
            <v>8.19</v>
          </cell>
          <cell r="AN30">
            <v>8.19</v>
          </cell>
          <cell r="AO30" t="str">
            <v/>
          </cell>
          <cell r="AP30" t="str">
            <v/>
          </cell>
          <cell r="AQ30">
            <v>8.19</v>
          </cell>
        </row>
        <row r="31">
          <cell r="A31" t="str">
            <v>FAES</v>
          </cell>
          <cell r="B31" t="str">
            <v>P</v>
          </cell>
          <cell r="C31" t="str">
            <v>Rate</v>
          </cell>
          <cell r="D31" t="str">
            <v>Insured with Sp</v>
          </cell>
          <cell r="E31" t="str">
            <v>R304</v>
          </cell>
          <cell r="F31">
            <v>12134412.1</v>
          </cell>
          <cell r="G31">
            <v>38923.24</v>
          </cell>
          <cell r="H31">
            <v>145343.12</v>
          </cell>
          <cell r="I31">
            <v>0</v>
          </cell>
          <cell r="J31">
            <v>0</v>
          </cell>
          <cell r="K31">
            <v>12240831.98</v>
          </cell>
          <cell r="L31">
            <v>175091.4</v>
          </cell>
          <cell r="M31">
            <v>263583.53999999998</v>
          </cell>
          <cell r="N31">
            <v>438674.94</v>
          </cell>
          <cell r="O31">
            <v>1651886.3</v>
          </cell>
          <cell r="P31">
            <v>184192.62</v>
          </cell>
          <cell r="Q31">
            <v>0</v>
          </cell>
          <cell r="R31">
            <v>49702.78</v>
          </cell>
          <cell r="S31">
            <v>1885781.7</v>
          </cell>
          <cell r="T31">
            <v>0</v>
          </cell>
          <cell r="U31">
            <v>0</v>
          </cell>
          <cell r="V31">
            <v>1885781.7</v>
          </cell>
          <cell r="W31">
            <v>2324456.64</v>
          </cell>
          <cell r="X31" t="str">
            <v/>
          </cell>
          <cell r="Y31" t="str">
            <v/>
          </cell>
          <cell r="Z31">
            <v>14565288.619999997</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t="str">
            <v/>
          </cell>
          <cell r="AP31" t="str">
            <v/>
          </cell>
          <cell r="AQ31">
            <v>0</v>
          </cell>
        </row>
        <row r="32">
          <cell r="A32" t="str">
            <v>FAIRFAX COUNTY GOVERNMENT</v>
          </cell>
          <cell r="B32" t="str">
            <v>P</v>
          </cell>
          <cell r="C32" t="str">
            <v>C+R</v>
          </cell>
          <cell r="D32" t="str">
            <v>ASO w/o  Spec</v>
          </cell>
          <cell r="E32" t="str">
            <v>F49N</v>
          </cell>
          <cell r="F32">
            <v>52875869.590000004</v>
          </cell>
          <cell r="G32">
            <v>0</v>
          </cell>
          <cell r="H32">
            <v>0</v>
          </cell>
          <cell r="I32">
            <v>41726.699999999997</v>
          </cell>
          <cell r="J32">
            <v>0</v>
          </cell>
          <cell r="K32">
            <v>52917596.290000007</v>
          </cell>
          <cell r="L32">
            <v>0</v>
          </cell>
          <cell r="M32">
            <v>0</v>
          </cell>
          <cell r="N32">
            <v>0</v>
          </cell>
          <cell r="O32">
            <v>2587645.2599999998</v>
          </cell>
          <cell r="P32">
            <v>286133.84999999998</v>
          </cell>
          <cell r="Q32">
            <v>0</v>
          </cell>
          <cell r="R32">
            <v>0</v>
          </cell>
          <cell r="S32">
            <v>2873779.11</v>
          </cell>
          <cell r="T32">
            <v>0</v>
          </cell>
          <cell r="U32">
            <v>0</v>
          </cell>
          <cell r="V32">
            <v>2873779.11</v>
          </cell>
          <cell r="W32">
            <v>2873779.11</v>
          </cell>
          <cell r="X32">
            <v>3415.63</v>
          </cell>
          <cell r="Y32">
            <v>0</v>
          </cell>
          <cell r="Z32">
            <v>55794791.030000001</v>
          </cell>
          <cell r="AA32">
            <v>0</v>
          </cell>
          <cell r="AB32">
            <v>0</v>
          </cell>
          <cell r="AC32">
            <v>0</v>
          </cell>
          <cell r="AD32">
            <v>-7.74</v>
          </cell>
          <cell r="AE32">
            <v>0</v>
          </cell>
          <cell r="AF32">
            <v>-7.74</v>
          </cell>
          <cell r="AG32">
            <v>0</v>
          </cell>
          <cell r="AH32">
            <v>0</v>
          </cell>
          <cell r="AI32">
            <v>0</v>
          </cell>
          <cell r="AJ32">
            <v>-18.559999999999999</v>
          </cell>
          <cell r="AK32">
            <v>0</v>
          </cell>
          <cell r="AL32">
            <v>0</v>
          </cell>
          <cell r="AM32">
            <v>-18.559999999999999</v>
          </cell>
          <cell r="AN32">
            <v>-18.559999999999999</v>
          </cell>
          <cell r="AO32">
            <v>-39592.870000000003</v>
          </cell>
          <cell r="AP32">
            <v>0</v>
          </cell>
          <cell r="AQ32">
            <v>-39619.17</v>
          </cell>
        </row>
        <row r="33">
          <cell r="A33" t="str">
            <v>FAIRFAX COUNTY PUBLIC SCHOOLS</v>
          </cell>
          <cell r="B33" t="str">
            <v>P</v>
          </cell>
          <cell r="C33" t="str">
            <v>C+R</v>
          </cell>
          <cell r="D33" t="str">
            <v>ASO w/o  Spec</v>
          </cell>
          <cell r="E33" t="str">
            <v>F70N</v>
          </cell>
          <cell r="F33">
            <v>48005931.010000005</v>
          </cell>
          <cell r="G33">
            <v>0</v>
          </cell>
          <cell r="H33">
            <v>0</v>
          </cell>
          <cell r="I33">
            <v>16243.58</v>
          </cell>
          <cell r="J33">
            <v>0</v>
          </cell>
          <cell r="K33">
            <v>48022174.589999989</v>
          </cell>
          <cell r="L33">
            <v>0</v>
          </cell>
          <cell r="M33">
            <v>0</v>
          </cell>
          <cell r="N33">
            <v>0</v>
          </cell>
          <cell r="O33">
            <v>2998455.22</v>
          </cell>
          <cell r="P33">
            <v>335690.43</v>
          </cell>
          <cell r="Q33">
            <v>0</v>
          </cell>
          <cell r="R33">
            <v>0</v>
          </cell>
          <cell r="S33">
            <v>3334145.65</v>
          </cell>
          <cell r="T33">
            <v>0</v>
          </cell>
          <cell r="U33">
            <v>0</v>
          </cell>
          <cell r="V33">
            <v>3334145.65</v>
          </cell>
          <cell r="W33">
            <v>3334145.65</v>
          </cell>
          <cell r="X33" t="str">
            <v/>
          </cell>
          <cell r="Y33" t="str">
            <v/>
          </cell>
          <cell r="Z33">
            <v>51356320.24000001</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-108141.91</v>
          </cell>
          <cell r="AP33">
            <v>0</v>
          </cell>
          <cell r="AQ33">
            <v>-108141.91</v>
          </cell>
        </row>
        <row r="34">
          <cell r="A34" t="str">
            <v>Fairfax Hospital Retiree</v>
          </cell>
          <cell r="B34" t="str">
            <v>P</v>
          </cell>
          <cell r="C34" t="str">
            <v>Rate</v>
          </cell>
          <cell r="D34" t="str">
            <v>ASO w/o  Spec</v>
          </cell>
          <cell r="E34" t="str">
            <v>R131</v>
          </cell>
          <cell r="F34">
            <v>65134.02</v>
          </cell>
          <cell r="G34">
            <v>0</v>
          </cell>
          <cell r="H34">
            <v>18.98</v>
          </cell>
          <cell r="I34">
            <v>0</v>
          </cell>
          <cell r="J34">
            <v>0</v>
          </cell>
          <cell r="K34">
            <v>65153</v>
          </cell>
          <cell r="L34">
            <v>0</v>
          </cell>
          <cell r="M34">
            <v>0</v>
          </cell>
          <cell r="N34">
            <v>0</v>
          </cell>
          <cell r="O34">
            <v>0</v>
          </cell>
          <cell r="P34">
            <v>0</v>
          </cell>
          <cell r="Q34">
            <v>0</v>
          </cell>
          <cell r="R34">
            <v>0</v>
          </cell>
          <cell r="S34">
            <v>0</v>
          </cell>
          <cell r="T34">
            <v>0</v>
          </cell>
          <cell r="U34">
            <v>0</v>
          </cell>
          <cell r="V34">
            <v>0</v>
          </cell>
          <cell r="W34">
            <v>0</v>
          </cell>
          <cell r="X34" t="str">
            <v/>
          </cell>
          <cell r="Y34" t="str">
            <v/>
          </cell>
          <cell r="Z34">
            <v>65153</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t="str">
            <v/>
          </cell>
          <cell r="AP34" t="str">
            <v/>
          </cell>
          <cell r="AQ34">
            <v>0</v>
          </cell>
        </row>
        <row r="35">
          <cell r="A35" t="str">
            <v>FEDERAL RESERVE BANK</v>
          </cell>
          <cell r="B35" t="str">
            <v>P</v>
          </cell>
          <cell r="C35" t="str">
            <v>C+R</v>
          </cell>
          <cell r="D35" t="str">
            <v>ASO w/o  Spec</v>
          </cell>
          <cell r="E35" t="str">
            <v>7J09</v>
          </cell>
          <cell r="F35">
            <v>41205.43</v>
          </cell>
          <cell r="G35">
            <v>0</v>
          </cell>
          <cell r="H35">
            <v>34.31</v>
          </cell>
          <cell r="I35">
            <v>0</v>
          </cell>
          <cell r="J35">
            <v>0</v>
          </cell>
          <cell r="K35">
            <v>41239.74</v>
          </cell>
          <cell r="L35">
            <v>0</v>
          </cell>
          <cell r="M35">
            <v>0</v>
          </cell>
          <cell r="N35">
            <v>0</v>
          </cell>
          <cell r="O35">
            <v>6880.09</v>
          </cell>
          <cell r="P35">
            <v>732.75</v>
          </cell>
          <cell r="Q35">
            <v>0</v>
          </cell>
          <cell r="R35">
            <v>0</v>
          </cell>
          <cell r="S35">
            <v>7612.84</v>
          </cell>
          <cell r="T35">
            <v>0</v>
          </cell>
          <cell r="U35">
            <v>0</v>
          </cell>
          <cell r="V35">
            <v>7612.84</v>
          </cell>
          <cell r="W35">
            <v>7612.84</v>
          </cell>
          <cell r="X35" t="str">
            <v/>
          </cell>
          <cell r="Y35" t="str">
            <v/>
          </cell>
          <cell r="Z35">
            <v>48852.58</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t="str">
            <v/>
          </cell>
          <cell r="AP35" t="str">
            <v/>
          </cell>
          <cell r="AQ35">
            <v>0</v>
          </cell>
        </row>
        <row r="36">
          <cell r="A36" t="str">
            <v>FOREST CITY ENTERPRISES, INC.</v>
          </cell>
          <cell r="B36" t="str">
            <v>P</v>
          </cell>
          <cell r="C36" t="str">
            <v>C+R</v>
          </cell>
          <cell r="D36" t="str">
            <v>ASO with Spec</v>
          </cell>
          <cell r="E36" t="str">
            <v>NJ54</v>
          </cell>
          <cell r="F36">
            <v>4080790</v>
          </cell>
          <cell r="G36">
            <v>714328.35</v>
          </cell>
          <cell r="H36">
            <v>369729.42</v>
          </cell>
          <cell r="I36">
            <v>0</v>
          </cell>
          <cell r="J36">
            <v>0</v>
          </cell>
          <cell r="K36">
            <v>3736191.07</v>
          </cell>
          <cell r="L36">
            <v>249054.26</v>
          </cell>
          <cell r="M36">
            <v>0</v>
          </cell>
          <cell r="N36">
            <v>249054.26</v>
          </cell>
          <cell r="O36">
            <v>462718.62</v>
          </cell>
          <cell r="P36">
            <v>439.43</v>
          </cell>
          <cell r="Q36">
            <v>0</v>
          </cell>
          <cell r="R36">
            <v>10106.85</v>
          </cell>
          <cell r="S36">
            <v>473264.9</v>
          </cell>
          <cell r="T36">
            <v>1217.04</v>
          </cell>
          <cell r="U36">
            <v>0</v>
          </cell>
          <cell r="V36">
            <v>474481.94</v>
          </cell>
          <cell r="W36">
            <v>723536.2</v>
          </cell>
          <cell r="X36" t="str">
            <v/>
          </cell>
          <cell r="Y36" t="str">
            <v/>
          </cell>
          <cell r="Z36">
            <v>4459727.2699999996</v>
          </cell>
          <cell r="AA36">
            <v>0</v>
          </cell>
          <cell r="AB36">
            <v>-243941.61</v>
          </cell>
          <cell r="AC36">
            <v>0</v>
          </cell>
          <cell r="AD36">
            <v>0</v>
          </cell>
          <cell r="AE36">
            <v>0</v>
          </cell>
          <cell r="AF36">
            <v>243941.61</v>
          </cell>
          <cell r="AG36">
            <v>0</v>
          </cell>
          <cell r="AH36">
            <v>0</v>
          </cell>
          <cell r="AI36">
            <v>0</v>
          </cell>
          <cell r="AJ36">
            <v>0</v>
          </cell>
          <cell r="AK36">
            <v>0</v>
          </cell>
          <cell r="AL36">
            <v>0</v>
          </cell>
          <cell r="AM36">
            <v>0</v>
          </cell>
          <cell r="AN36">
            <v>0</v>
          </cell>
          <cell r="AO36" t="str">
            <v/>
          </cell>
          <cell r="AP36" t="str">
            <v/>
          </cell>
          <cell r="AQ36">
            <v>243941.61</v>
          </cell>
        </row>
        <row r="37">
          <cell r="A37" t="str">
            <v>GEICO DIRECT</v>
          </cell>
          <cell r="B37" t="str">
            <v>P</v>
          </cell>
          <cell r="C37" t="str">
            <v>C+R</v>
          </cell>
          <cell r="D37" t="str">
            <v>ASO w/o  Spec</v>
          </cell>
          <cell r="E37" t="str">
            <v>UV60</v>
          </cell>
          <cell r="F37">
            <v>85470047.569999993</v>
          </cell>
          <cell r="G37">
            <v>0</v>
          </cell>
          <cell r="H37">
            <v>2475842.63</v>
          </cell>
          <cell r="I37">
            <v>0</v>
          </cell>
          <cell r="J37">
            <v>0</v>
          </cell>
          <cell r="K37">
            <v>87945890.200000003</v>
          </cell>
          <cell r="L37">
            <v>0</v>
          </cell>
          <cell r="M37">
            <v>0</v>
          </cell>
          <cell r="N37">
            <v>0</v>
          </cell>
          <cell r="O37">
            <v>4981235.9400000004</v>
          </cell>
          <cell r="P37">
            <v>555892.86</v>
          </cell>
          <cell r="Q37">
            <v>0</v>
          </cell>
          <cell r="R37">
            <v>0</v>
          </cell>
          <cell r="S37">
            <v>5537128.8000000007</v>
          </cell>
          <cell r="T37">
            <v>0</v>
          </cell>
          <cell r="U37">
            <v>0</v>
          </cell>
          <cell r="V37">
            <v>5537128.8000000007</v>
          </cell>
          <cell r="W37">
            <v>5537128.8000000007</v>
          </cell>
          <cell r="X37" t="str">
            <v/>
          </cell>
          <cell r="Y37" t="str">
            <v/>
          </cell>
          <cell r="Z37">
            <v>93483019</v>
          </cell>
          <cell r="AA37">
            <v>0</v>
          </cell>
          <cell r="AB37">
            <v>0</v>
          </cell>
          <cell r="AC37">
            <v>0</v>
          </cell>
          <cell r="AD37">
            <v>0</v>
          </cell>
          <cell r="AE37">
            <v>0</v>
          </cell>
          <cell r="AF37">
            <v>0</v>
          </cell>
          <cell r="AG37">
            <v>0</v>
          </cell>
          <cell r="AH37">
            <v>0</v>
          </cell>
          <cell r="AI37">
            <v>0</v>
          </cell>
          <cell r="AJ37">
            <v>23095.52</v>
          </cell>
          <cell r="AK37">
            <v>0</v>
          </cell>
          <cell r="AL37">
            <v>0</v>
          </cell>
          <cell r="AM37">
            <v>23095.52</v>
          </cell>
          <cell r="AN37">
            <v>23095.52</v>
          </cell>
          <cell r="AO37" t="str">
            <v/>
          </cell>
          <cell r="AP37" t="str">
            <v/>
          </cell>
          <cell r="AQ37">
            <v>23095.52</v>
          </cell>
        </row>
        <row r="38">
          <cell r="A38" t="str">
            <v>George Washington University</v>
          </cell>
          <cell r="B38" t="str">
            <v>P</v>
          </cell>
          <cell r="C38" t="str">
            <v>C+R</v>
          </cell>
          <cell r="D38" t="str">
            <v>Agg.STP with Sp</v>
          </cell>
          <cell r="E38" t="str">
            <v>R182</v>
          </cell>
          <cell r="F38">
            <v>5865921.9499999993</v>
          </cell>
          <cell r="G38">
            <v>51084.65</v>
          </cell>
          <cell r="H38">
            <v>84058.880000000005</v>
          </cell>
          <cell r="I38">
            <v>7685.48</v>
          </cell>
          <cell r="J38">
            <v>0</v>
          </cell>
          <cell r="K38">
            <v>5906581.6600000001</v>
          </cell>
          <cell r="L38">
            <v>217746.54</v>
          </cell>
          <cell r="M38">
            <v>36485.160000000003</v>
          </cell>
          <cell r="N38">
            <v>254231.7</v>
          </cell>
          <cell r="O38">
            <v>1386502.67</v>
          </cell>
          <cell r="P38">
            <v>154529.5</v>
          </cell>
          <cell r="Q38">
            <v>0</v>
          </cell>
          <cell r="R38">
            <v>159858.12</v>
          </cell>
          <cell r="S38">
            <v>1700890.29</v>
          </cell>
          <cell r="T38">
            <v>0</v>
          </cell>
          <cell r="U38">
            <v>1050.6600000000001</v>
          </cell>
          <cell r="V38">
            <v>1701940.95</v>
          </cell>
          <cell r="W38">
            <v>1956172.65</v>
          </cell>
          <cell r="X38" t="str">
            <v/>
          </cell>
          <cell r="Y38" t="str">
            <v/>
          </cell>
          <cell r="Z38">
            <v>7862754.3099999987</v>
          </cell>
          <cell r="AA38">
            <v>0</v>
          </cell>
          <cell r="AB38">
            <v>0</v>
          </cell>
          <cell r="AC38">
            <v>0</v>
          </cell>
          <cell r="AD38">
            <v>0</v>
          </cell>
          <cell r="AE38">
            <v>0</v>
          </cell>
          <cell r="AF38">
            <v>0</v>
          </cell>
          <cell r="AG38">
            <v>0</v>
          </cell>
          <cell r="AH38">
            <v>0</v>
          </cell>
          <cell r="AI38">
            <v>0</v>
          </cell>
          <cell r="AJ38">
            <v>0</v>
          </cell>
          <cell r="AK38">
            <v>0</v>
          </cell>
          <cell r="AL38">
            <v>-1367.89</v>
          </cell>
          <cell r="AM38">
            <v>-1367.89</v>
          </cell>
          <cell r="AN38">
            <v>-1367.89</v>
          </cell>
          <cell r="AO38" t="str">
            <v/>
          </cell>
          <cell r="AP38" t="str">
            <v/>
          </cell>
          <cell r="AQ38">
            <v>-1367.89</v>
          </cell>
        </row>
        <row r="39">
          <cell r="A39" t="str">
            <v>GEORGETOWN UNIVERSITY HOSPITAL</v>
          </cell>
          <cell r="B39" t="str">
            <v>P</v>
          </cell>
          <cell r="C39" t="str">
            <v>C+R</v>
          </cell>
          <cell r="D39" t="str">
            <v>Agg.STP with Sp</v>
          </cell>
          <cell r="E39" t="str">
            <v>3D00</v>
          </cell>
          <cell r="F39">
            <v>6519263.0800000001</v>
          </cell>
          <cell r="G39">
            <v>129383.39</v>
          </cell>
          <cell r="H39">
            <v>37303.58</v>
          </cell>
          <cell r="I39">
            <v>57248.7</v>
          </cell>
          <cell r="J39">
            <v>-2.9103830456733704E-11</v>
          </cell>
          <cell r="K39">
            <v>6484431.9699999997</v>
          </cell>
          <cell r="L39">
            <v>164943.25</v>
          </cell>
          <cell r="M39">
            <v>29713.72</v>
          </cell>
          <cell r="N39">
            <v>194656.97</v>
          </cell>
          <cell r="O39">
            <v>675090.93</v>
          </cell>
          <cell r="P39">
            <v>75173.87</v>
          </cell>
          <cell r="Q39">
            <v>0</v>
          </cell>
          <cell r="R39">
            <v>0</v>
          </cell>
          <cell r="S39">
            <v>750264.8</v>
          </cell>
          <cell r="T39">
            <v>0</v>
          </cell>
          <cell r="U39">
            <v>0</v>
          </cell>
          <cell r="V39">
            <v>750264.8</v>
          </cell>
          <cell r="W39">
            <v>944921.77</v>
          </cell>
          <cell r="X39" t="str">
            <v/>
          </cell>
          <cell r="Y39" t="str">
            <v/>
          </cell>
          <cell r="Z39">
            <v>7429353.7400000002</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1076.67</v>
          </cell>
          <cell r="AP39">
            <v>0</v>
          </cell>
          <cell r="AQ39">
            <v>1076.67</v>
          </cell>
        </row>
        <row r="40">
          <cell r="A40" t="str">
            <v>HARFORD COUNTY GOVERNMENT</v>
          </cell>
          <cell r="B40" t="str">
            <v>P</v>
          </cell>
          <cell r="C40" t="str">
            <v>Rate</v>
          </cell>
          <cell r="D40" t="str">
            <v>Agg.STP with Sp</v>
          </cell>
          <cell r="E40" t="str">
            <v>7J55</v>
          </cell>
          <cell r="F40">
            <v>587982.97</v>
          </cell>
          <cell r="G40">
            <v>0</v>
          </cell>
          <cell r="H40">
            <v>81.680000000000007</v>
          </cell>
          <cell r="I40">
            <v>4464.8999999999996</v>
          </cell>
          <cell r="J40">
            <v>0</v>
          </cell>
          <cell r="K40">
            <v>592529.55000000005</v>
          </cell>
          <cell r="L40">
            <v>11162.25</v>
          </cell>
          <cell r="M40">
            <v>3767.94</v>
          </cell>
          <cell r="N40">
            <v>14930.19</v>
          </cell>
          <cell r="O40">
            <v>52489.8</v>
          </cell>
          <cell r="P40">
            <v>0</v>
          </cell>
          <cell r="Q40">
            <v>0</v>
          </cell>
          <cell r="R40">
            <v>0</v>
          </cell>
          <cell r="S40">
            <v>52489.8</v>
          </cell>
          <cell r="T40">
            <v>0</v>
          </cell>
          <cell r="U40">
            <v>0</v>
          </cell>
          <cell r="V40">
            <v>52489.8</v>
          </cell>
          <cell r="W40">
            <v>67419.990000000005</v>
          </cell>
          <cell r="X40" t="str">
            <v/>
          </cell>
          <cell r="Y40" t="str">
            <v/>
          </cell>
          <cell r="Z40">
            <v>659949.54</v>
          </cell>
          <cell r="AA40">
            <v>31431.31</v>
          </cell>
          <cell r="AB40">
            <v>0</v>
          </cell>
          <cell r="AC40">
            <v>0</v>
          </cell>
          <cell r="AD40">
            <v>869.2</v>
          </cell>
          <cell r="AE40">
            <v>0</v>
          </cell>
          <cell r="AF40">
            <v>32300.51</v>
          </cell>
          <cell r="AG40">
            <v>2173</v>
          </cell>
          <cell r="AH40">
            <v>733.52</v>
          </cell>
          <cell r="AI40">
            <v>2906.52</v>
          </cell>
          <cell r="AJ40">
            <v>10218.4</v>
          </cell>
          <cell r="AK40">
            <v>0</v>
          </cell>
          <cell r="AL40">
            <v>0</v>
          </cell>
          <cell r="AM40">
            <v>10218.4</v>
          </cell>
          <cell r="AN40">
            <v>13124.92</v>
          </cell>
          <cell r="AO40" t="str">
            <v/>
          </cell>
          <cell r="AP40" t="str">
            <v/>
          </cell>
          <cell r="AQ40">
            <v>45425.43</v>
          </cell>
        </row>
        <row r="41">
          <cell r="A41" t="str">
            <v>Henry M. Jackson</v>
          </cell>
          <cell r="B41" t="str">
            <v>P</v>
          </cell>
          <cell r="C41" t="str">
            <v>C+R</v>
          </cell>
          <cell r="D41" t="str">
            <v>Agg.STP with Sp</v>
          </cell>
          <cell r="E41" t="str">
            <v>C414</v>
          </cell>
          <cell r="F41">
            <v>4463337.49</v>
          </cell>
          <cell r="G41">
            <v>65129.85</v>
          </cell>
          <cell r="H41">
            <v>60112.25</v>
          </cell>
          <cell r="I41">
            <v>12348.3</v>
          </cell>
          <cell r="J41">
            <v>0</v>
          </cell>
          <cell r="K41">
            <v>4470668.1900000004</v>
          </cell>
          <cell r="L41">
            <v>296282.17</v>
          </cell>
          <cell r="M41">
            <v>82056.820000000007</v>
          </cell>
          <cell r="N41">
            <v>378338.99</v>
          </cell>
          <cell r="O41">
            <v>561398.94999999995</v>
          </cell>
          <cell r="P41">
            <v>62122.01</v>
          </cell>
          <cell r="Q41">
            <v>0</v>
          </cell>
          <cell r="R41">
            <v>172561.17</v>
          </cell>
          <cell r="S41">
            <v>796082.13</v>
          </cell>
          <cell r="T41">
            <v>0</v>
          </cell>
          <cell r="U41">
            <v>0</v>
          </cell>
          <cell r="V41">
            <v>796082.13</v>
          </cell>
          <cell r="W41">
            <v>1174421.1200000001</v>
          </cell>
          <cell r="X41" t="str">
            <v/>
          </cell>
          <cell r="Y41" t="str">
            <v/>
          </cell>
          <cell r="Z41">
            <v>5645089.3100000005</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11946.9</v>
          </cell>
          <cell r="AP41">
            <v>0</v>
          </cell>
          <cell r="AQ41">
            <v>11946.9</v>
          </cell>
        </row>
        <row r="42">
          <cell r="A42" t="str">
            <v>HOWARD COUNTY PUBLIC SCHOOLS</v>
          </cell>
          <cell r="B42" t="str">
            <v>P</v>
          </cell>
          <cell r="C42" t="str">
            <v>C+R</v>
          </cell>
          <cell r="D42" t="str">
            <v>ASO w/o  Spec</v>
          </cell>
          <cell r="E42" t="str">
            <v>4N03</v>
          </cell>
          <cell r="F42">
            <v>4242112.13</v>
          </cell>
          <cell r="G42">
            <v>0</v>
          </cell>
          <cell r="H42">
            <v>0</v>
          </cell>
          <cell r="I42">
            <v>0</v>
          </cell>
          <cell r="J42">
            <v>0</v>
          </cell>
          <cell r="K42">
            <v>4242112.13</v>
          </cell>
          <cell r="L42">
            <v>0</v>
          </cell>
          <cell r="M42">
            <v>0</v>
          </cell>
          <cell r="N42">
            <v>0</v>
          </cell>
          <cell r="O42">
            <v>53826</v>
          </cell>
          <cell r="P42">
            <v>0</v>
          </cell>
          <cell r="Q42">
            <v>0</v>
          </cell>
          <cell r="R42">
            <v>0</v>
          </cell>
          <cell r="S42">
            <v>53826</v>
          </cell>
          <cell r="T42">
            <v>0</v>
          </cell>
          <cell r="U42">
            <v>0</v>
          </cell>
          <cell r="V42">
            <v>53826</v>
          </cell>
          <cell r="W42">
            <v>53826</v>
          </cell>
          <cell r="X42" t="str">
            <v/>
          </cell>
          <cell r="Y42" t="str">
            <v/>
          </cell>
          <cell r="Z42">
            <v>4295938.13</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t="str">
            <v/>
          </cell>
          <cell r="AP42" t="str">
            <v/>
          </cell>
          <cell r="AQ42">
            <v>0</v>
          </cell>
        </row>
        <row r="43">
          <cell r="A43" t="str">
            <v>HOWARD UNIVERSITY AND HOSPITAL</v>
          </cell>
          <cell r="B43" t="str">
            <v>P</v>
          </cell>
          <cell r="C43" t="str">
            <v>C+R</v>
          </cell>
          <cell r="D43" t="str">
            <v>Agg.STP with Sp</v>
          </cell>
          <cell r="E43" t="str">
            <v>UH77</v>
          </cell>
          <cell r="F43">
            <v>23980218.290000003</v>
          </cell>
          <cell r="G43">
            <v>518323.82</v>
          </cell>
          <cell r="H43">
            <v>120690.63</v>
          </cell>
          <cell r="I43">
            <v>137428.29999999999</v>
          </cell>
          <cell r="J43">
            <v>0</v>
          </cell>
          <cell r="K43">
            <v>23720013.399999999</v>
          </cell>
          <cell r="L43">
            <v>449750.16</v>
          </cell>
          <cell r="M43">
            <v>106891.41</v>
          </cell>
          <cell r="N43">
            <v>556641.56999999995</v>
          </cell>
          <cell r="O43">
            <v>2229913.61</v>
          </cell>
          <cell r="P43">
            <v>126004.12</v>
          </cell>
          <cell r="Q43">
            <v>0</v>
          </cell>
          <cell r="R43">
            <v>0</v>
          </cell>
          <cell r="S43">
            <v>2355917.73</v>
          </cell>
          <cell r="T43">
            <v>97566.5</v>
          </cell>
          <cell r="U43">
            <v>0</v>
          </cell>
          <cell r="V43">
            <v>2453484.23</v>
          </cell>
          <cell r="W43">
            <v>3010125.8</v>
          </cell>
          <cell r="X43" t="str">
            <v/>
          </cell>
          <cell r="Y43" t="str">
            <v/>
          </cell>
          <cell r="Z43">
            <v>26730139.199999999</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t="str">
            <v/>
          </cell>
          <cell r="AP43" t="str">
            <v/>
          </cell>
          <cell r="AQ43">
            <v>0</v>
          </cell>
        </row>
        <row r="44">
          <cell r="A44" t="str">
            <v>ICF CONSULTING</v>
          </cell>
          <cell r="B44" t="str">
            <v>P</v>
          </cell>
          <cell r="C44" t="str">
            <v>C+R</v>
          </cell>
          <cell r="D44" t="str">
            <v>Agg.STP with Sp</v>
          </cell>
          <cell r="E44" t="str">
            <v>PK60</v>
          </cell>
          <cell r="F44">
            <v>2219498.34</v>
          </cell>
          <cell r="G44">
            <v>14241.54</v>
          </cell>
          <cell r="H44">
            <v>73135.03</v>
          </cell>
          <cell r="I44">
            <v>2878.26</v>
          </cell>
          <cell r="J44">
            <v>1442.44</v>
          </cell>
          <cell r="K44">
            <v>2282712.5299999998</v>
          </cell>
          <cell r="L44">
            <v>117596.49</v>
          </cell>
          <cell r="M44">
            <v>32055.34</v>
          </cell>
          <cell r="N44">
            <v>149651.82999999999</v>
          </cell>
          <cell r="O44">
            <v>224838.58</v>
          </cell>
          <cell r="P44">
            <v>24940.7</v>
          </cell>
          <cell r="Q44">
            <v>0</v>
          </cell>
          <cell r="R44">
            <v>0</v>
          </cell>
          <cell r="S44">
            <v>249779.28</v>
          </cell>
          <cell r="T44">
            <v>0</v>
          </cell>
          <cell r="U44">
            <v>0</v>
          </cell>
          <cell r="V44">
            <v>249779.28</v>
          </cell>
          <cell r="W44">
            <v>399431.11</v>
          </cell>
          <cell r="X44" t="str">
            <v/>
          </cell>
          <cell r="Y44" t="str">
            <v/>
          </cell>
          <cell r="Z44">
            <v>2682143.64</v>
          </cell>
          <cell r="AA44">
            <v>0</v>
          </cell>
          <cell r="AB44">
            <v>0</v>
          </cell>
          <cell r="AC44">
            <v>0</v>
          </cell>
          <cell r="AD44">
            <v>0</v>
          </cell>
          <cell r="AE44">
            <v>0</v>
          </cell>
          <cell r="AF44">
            <v>0</v>
          </cell>
          <cell r="AG44">
            <v>0</v>
          </cell>
          <cell r="AH44">
            <v>54540.29</v>
          </cell>
          <cell r="AI44">
            <v>54540.29</v>
          </cell>
          <cell r="AJ44">
            <v>4839.46</v>
          </cell>
          <cell r="AK44">
            <v>0</v>
          </cell>
          <cell r="AL44">
            <v>0</v>
          </cell>
          <cell r="AM44">
            <v>4839.46</v>
          </cell>
          <cell r="AN44">
            <v>59379.75</v>
          </cell>
          <cell r="AO44">
            <v>162801.09</v>
          </cell>
          <cell r="AP44">
            <v>0</v>
          </cell>
          <cell r="AQ44">
            <v>222180.84</v>
          </cell>
        </row>
        <row r="45">
          <cell r="A45" t="str">
            <v>Intelsat</v>
          </cell>
          <cell r="B45" t="str">
            <v>P</v>
          </cell>
          <cell r="C45" t="str">
            <v>C+R</v>
          </cell>
          <cell r="D45" t="str">
            <v>Agg.STP with Sp</v>
          </cell>
          <cell r="E45" t="str">
            <v>R348</v>
          </cell>
          <cell r="F45">
            <v>7916495.5499999989</v>
          </cell>
          <cell r="G45">
            <v>291000.03999999998</v>
          </cell>
          <cell r="H45">
            <v>89683.8</v>
          </cell>
          <cell r="I45">
            <v>15227.38</v>
          </cell>
          <cell r="J45">
            <v>0</v>
          </cell>
          <cell r="K45">
            <v>7730406.6900000004</v>
          </cell>
          <cell r="L45">
            <v>151532.24</v>
          </cell>
          <cell r="M45">
            <v>55398.93</v>
          </cell>
          <cell r="N45">
            <v>206931.17</v>
          </cell>
          <cell r="O45">
            <v>578357.56999999995</v>
          </cell>
          <cell r="P45">
            <v>64666.75</v>
          </cell>
          <cell r="Q45">
            <v>0</v>
          </cell>
          <cell r="R45">
            <v>167587.07</v>
          </cell>
          <cell r="S45">
            <v>810611.39</v>
          </cell>
          <cell r="T45">
            <v>0</v>
          </cell>
          <cell r="U45">
            <v>0</v>
          </cell>
          <cell r="V45">
            <v>810611.39</v>
          </cell>
          <cell r="W45">
            <v>1017542.56</v>
          </cell>
          <cell r="X45" t="str">
            <v/>
          </cell>
          <cell r="Y45" t="str">
            <v/>
          </cell>
          <cell r="Z45">
            <v>8747949.25</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-8700</v>
          </cell>
          <cell r="AP45">
            <v>0</v>
          </cell>
          <cell r="AQ45">
            <v>-8700</v>
          </cell>
        </row>
        <row r="46">
          <cell r="A46" t="str">
            <v>Int'l Brotherhood of Electrical Workers</v>
          </cell>
          <cell r="B46" t="str">
            <v>P</v>
          </cell>
          <cell r="C46" t="str">
            <v>C+R</v>
          </cell>
          <cell r="D46" t="str">
            <v>ASO with Spec</v>
          </cell>
          <cell r="E46" t="str">
            <v>6776</v>
          </cell>
          <cell r="F46">
            <v>4052308.39</v>
          </cell>
          <cell r="G46">
            <v>0</v>
          </cell>
          <cell r="H46">
            <v>113491.75</v>
          </cell>
          <cell r="I46">
            <v>0</v>
          </cell>
          <cell r="J46">
            <v>0</v>
          </cell>
          <cell r="K46">
            <v>4165800.14</v>
          </cell>
          <cell r="L46">
            <v>50309.8</v>
          </cell>
          <cell r="M46">
            <v>0</v>
          </cell>
          <cell r="N46">
            <v>50309.8</v>
          </cell>
          <cell r="O46">
            <v>282290.64</v>
          </cell>
          <cell r="P46">
            <v>53014.400000000001</v>
          </cell>
          <cell r="Q46">
            <v>0</v>
          </cell>
          <cell r="R46">
            <v>0</v>
          </cell>
          <cell r="S46">
            <v>335305.03999999998</v>
          </cell>
          <cell r="T46">
            <v>0</v>
          </cell>
          <cell r="U46">
            <v>213262.52</v>
          </cell>
          <cell r="V46">
            <v>548567.56000000006</v>
          </cell>
          <cell r="W46">
            <v>598877.36</v>
          </cell>
          <cell r="X46" t="str">
            <v/>
          </cell>
          <cell r="Y46" t="str">
            <v/>
          </cell>
          <cell r="Z46">
            <v>4764677.5</v>
          </cell>
          <cell r="AA46">
            <v>0</v>
          </cell>
          <cell r="AB46">
            <v>0</v>
          </cell>
          <cell r="AC46">
            <v>0</v>
          </cell>
          <cell r="AD46">
            <v>0</v>
          </cell>
          <cell r="AE46">
            <v>0</v>
          </cell>
          <cell r="AF46">
            <v>0</v>
          </cell>
          <cell r="AG46">
            <v>0</v>
          </cell>
          <cell r="AH46">
            <v>0</v>
          </cell>
          <cell r="AI46">
            <v>0</v>
          </cell>
          <cell r="AJ46">
            <v>0</v>
          </cell>
          <cell r="AK46">
            <v>0</v>
          </cell>
          <cell r="AL46">
            <v>-211969.1</v>
          </cell>
          <cell r="AM46">
            <v>-211969.1</v>
          </cell>
          <cell r="AN46">
            <v>-211969.1</v>
          </cell>
          <cell r="AO46" t="str">
            <v/>
          </cell>
          <cell r="AP46" t="str">
            <v/>
          </cell>
          <cell r="AQ46">
            <v>-211969.1</v>
          </cell>
        </row>
        <row r="47">
          <cell r="A47" t="str">
            <v>Italian Embassy</v>
          </cell>
          <cell r="B47" t="str">
            <v>P</v>
          </cell>
          <cell r="C47" t="str">
            <v>C+R</v>
          </cell>
          <cell r="D47" t="str">
            <v>ASO w/o  Spec</v>
          </cell>
          <cell r="E47" t="str">
            <v>R467</v>
          </cell>
          <cell r="F47">
            <v>5601730.2800000003</v>
          </cell>
          <cell r="G47">
            <v>0</v>
          </cell>
          <cell r="H47">
            <v>95719.11</v>
          </cell>
          <cell r="I47">
            <v>0</v>
          </cell>
          <cell r="J47">
            <v>0</v>
          </cell>
          <cell r="K47">
            <v>5697449.3900000006</v>
          </cell>
          <cell r="L47">
            <v>0</v>
          </cell>
          <cell r="M47">
            <v>0</v>
          </cell>
          <cell r="N47">
            <v>0</v>
          </cell>
          <cell r="O47">
            <v>498526.82</v>
          </cell>
          <cell r="P47">
            <v>56974.49</v>
          </cell>
          <cell r="Q47">
            <v>0</v>
          </cell>
          <cell r="R47">
            <v>0</v>
          </cell>
          <cell r="S47">
            <v>555501.31000000006</v>
          </cell>
          <cell r="T47">
            <v>0</v>
          </cell>
          <cell r="U47">
            <v>0</v>
          </cell>
          <cell r="V47">
            <v>555501.31000000006</v>
          </cell>
          <cell r="W47">
            <v>555501.31000000006</v>
          </cell>
          <cell r="X47" t="str">
            <v/>
          </cell>
          <cell r="Y47" t="str">
            <v/>
          </cell>
          <cell r="Z47">
            <v>6252950.7000000002</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t="str">
            <v/>
          </cell>
          <cell r="AP47" t="str">
            <v/>
          </cell>
          <cell r="AQ47">
            <v>0</v>
          </cell>
        </row>
        <row r="48">
          <cell r="A48" t="str">
            <v>J J HAINES</v>
          </cell>
          <cell r="B48" t="str">
            <v>P</v>
          </cell>
          <cell r="C48" t="str">
            <v>C+R</v>
          </cell>
          <cell r="D48" t="str">
            <v>ASO w/o  Spec</v>
          </cell>
          <cell r="E48" t="str">
            <v>7S45</v>
          </cell>
          <cell r="F48">
            <v>1339249.68</v>
          </cell>
          <cell r="G48">
            <v>0</v>
          </cell>
          <cell r="H48">
            <v>70435.95</v>
          </cell>
          <cell r="I48">
            <v>2613.56</v>
          </cell>
          <cell r="J48">
            <v>0</v>
          </cell>
          <cell r="K48">
            <v>1412299.19</v>
          </cell>
          <cell r="L48">
            <v>0</v>
          </cell>
          <cell r="M48">
            <v>0</v>
          </cell>
          <cell r="N48">
            <v>0</v>
          </cell>
          <cell r="O48">
            <v>167150.38</v>
          </cell>
          <cell r="P48">
            <v>22877.07</v>
          </cell>
          <cell r="Q48">
            <v>0</v>
          </cell>
          <cell r="R48">
            <v>14574.91</v>
          </cell>
          <cell r="S48">
            <v>204602.36</v>
          </cell>
          <cell r="T48">
            <v>0</v>
          </cell>
          <cell r="U48">
            <v>0</v>
          </cell>
          <cell r="V48">
            <v>204602.36</v>
          </cell>
          <cell r="W48">
            <v>204602.36</v>
          </cell>
          <cell r="X48" t="str">
            <v/>
          </cell>
          <cell r="Y48" t="str">
            <v/>
          </cell>
          <cell r="Z48">
            <v>1616901.55</v>
          </cell>
          <cell r="AA48">
            <v>0</v>
          </cell>
          <cell r="AB48">
            <v>0</v>
          </cell>
          <cell r="AC48">
            <v>0</v>
          </cell>
          <cell r="AD48">
            <v>0</v>
          </cell>
          <cell r="AE48">
            <v>0</v>
          </cell>
          <cell r="AF48">
            <v>0</v>
          </cell>
          <cell r="AG48">
            <v>0</v>
          </cell>
          <cell r="AH48">
            <v>0</v>
          </cell>
          <cell r="AI48">
            <v>0</v>
          </cell>
          <cell r="AJ48">
            <v>1134</v>
          </cell>
          <cell r="AK48">
            <v>0</v>
          </cell>
          <cell r="AL48">
            <v>0</v>
          </cell>
          <cell r="AM48">
            <v>1134</v>
          </cell>
          <cell r="AN48">
            <v>1134</v>
          </cell>
          <cell r="AO48" t="str">
            <v/>
          </cell>
          <cell r="AP48" t="str">
            <v/>
          </cell>
          <cell r="AQ48">
            <v>1134</v>
          </cell>
        </row>
        <row r="49">
          <cell r="A49" t="str">
            <v>JOHNS HOPKINS UNIVERSITY</v>
          </cell>
          <cell r="B49" t="str">
            <v>P</v>
          </cell>
          <cell r="C49" t="str">
            <v>C+R</v>
          </cell>
          <cell r="D49" t="str">
            <v>ASO with Spec</v>
          </cell>
          <cell r="E49" t="str">
            <v>7J07</v>
          </cell>
          <cell r="F49">
            <v>2964259.25</v>
          </cell>
          <cell r="G49">
            <v>0</v>
          </cell>
          <cell r="H49">
            <v>3013.53</v>
          </cell>
          <cell r="I49">
            <v>124252.96</v>
          </cell>
          <cell r="J49">
            <v>0</v>
          </cell>
          <cell r="K49">
            <v>3091525.74</v>
          </cell>
          <cell r="L49">
            <v>11693.2</v>
          </cell>
          <cell r="M49">
            <v>0</v>
          </cell>
          <cell r="N49">
            <v>11693.2</v>
          </cell>
          <cell r="O49">
            <v>369708.48</v>
          </cell>
          <cell r="P49">
            <v>0</v>
          </cell>
          <cell r="Q49">
            <v>0</v>
          </cell>
          <cell r="R49">
            <v>0</v>
          </cell>
          <cell r="S49">
            <v>369708.48</v>
          </cell>
          <cell r="T49">
            <v>0</v>
          </cell>
          <cell r="U49">
            <v>0</v>
          </cell>
          <cell r="V49">
            <v>369708.48</v>
          </cell>
          <cell r="W49">
            <v>381401.68</v>
          </cell>
          <cell r="X49" t="str">
            <v/>
          </cell>
          <cell r="Y49" t="str">
            <v/>
          </cell>
          <cell r="Z49">
            <v>3472927.42</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t="str">
            <v/>
          </cell>
          <cell r="AP49" t="str">
            <v/>
          </cell>
          <cell r="AQ49">
            <v>0</v>
          </cell>
        </row>
        <row r="50">
          <cell r="A50" t="str">
            <v>Kiplinger Washington Editors, Inc.</v>
          </cell>
          <cell r="B50" t="str">
            <v>P</v>
          </cell>
          <cell r="C50" t="str">
            <v>C+R</v>
          </cell>
          <cell r="D50" t="str">
            <v>ASO with Spec</v>
          </cell>
          <cell r="E50" t="str">
            <v>R153</v>
          </cell>
          <cell r="F50">
            <v>584587.32999999996</v>
          </cell>
          <cell r="G50">
            <v>89643.81</v>
          </cell>
          <cell r="H50">
            <v>11879.46</v>
          </cell>
          <cell r="I50">
            <v>1054.96</v>
          </cell>
          <cell r="J50">
            <v>0</v>
          </cell>
          <cell r="K50">
            <v>507877.94</v>
          </cell>
          <cell r="L50">
            <v>9287.33</v>
          </cell>
          <cell r="M50">
            <v>0</v>
          </cell>
          <cell r="N50">
            <v>9287.33</v>
          </cell>
          <cell r="O50">
            <v>67498.899999999994</v>
          </cell>
          <cell r="P50">
            <v>4150</v>
          </cell>
          <cell r="Q50">
            <v>0</v>
          </cell>
          <cell r="R50">
            <v>0</v>
          </cell>
          <cell r="S50">
            <v>71648.899999999994</v>
          </cell>
          <cell r="T50">
            <v>0</v>
          </cell>
          <cell r="U50">
            <v>0</v>
          </cell>
          <cell r="V50">
            <v>71648.899999999994</v>
          </cell>
          <cell r="W50">
            <v>80936.23</v>
          </cell>
          <cell r="X50">
            <v>0</v>
          </cell>
          <cell r="Y50">
            <v>0</v>
          </cell>
          <cell r="Z50">
            <v>588814.17000000004</v>
          </cell>
          <cell r="AA50">
            <v>0</v>
          </cell>
          <cell r="AB50">
            <v>0</v>
          </cell>
          <cell r="AC50">
            <v>0</v>
          </cell>
          <cell r="AD50">
            <v>0</v>
          </cell>
          <cell r="AE50">
            <v>0</v>
          </cell>
          <cell r="AF50">
            <v>0</v>
          </cell>
          <cell r="AG50">
            <v>0</v>
          </cell>
          <cell r="AH50">
            <v>0</v>
          </cell>
          <cell r="AI50">
            <v>0</v>
          </cell>
          <cell r="AJ50">
            <v>-2.87</v>
          </cell>
          <cell r="AK50">
            <v>0</v>
          </cell>
          <cell r="AL50">
            <v>0</v>
          </cell>
          <cell r="AM50">
            <v>-2.87</v>
          </cell>
          <cell r="AN50">
            <v>-2.87</v>
          </cell>
          <cell r="AO50">
            <v>0</v>
          </cell>
          <cell r="AP50">
            <v>0</v>
          </cell>
          <cell r="AQ50">
            <v>-2.87</v>
          </cell>
        </row>
        <row r="51">
          <cell r="A51" t="str">
            <v>LOYOLA COLLEGE</v>
          </cell>
          <cell r="B51" t="str">
            <v>P</v>
          </cell>
          <cell r="C51" t="str">
            <v>Rate</v>
          </cell>
          <cell r="D51" t="str">
            <v>Agg.STP with Sp</v>
          </cell>
          <cell r="E51" t="str">
            <v>7J56</v>
          </cell>
          <cell r="F51">
            <v>434307.09</v>
          </cell>
          <cell r="G51">
            <v>0</v>
          </cell>
          <cell r="H51">
            <v>-1.98</v>
          </cell>
          <cell r="I51">
            <v>7456.6</v>
          </cell>
          <cell r="J51">
            <v>0</v>
          </cell>
          <cell r="K51">
            <v>441761.71</v>
          </cell>
          <cell r="L51">
            <v>30119.02</v>
          </cell>
          <cell r="M51">
            <v>372.42</v>
          </cell>
          <cell r="N51">
            <v>30491.439999999999</v>
          </cell>
          <cell r="O51">
            <v>55288.24</v>
          </cell>
          <cell r="P51">
            <v>6155.27</v>
          </cell>
          <cell r="Q51">
            <v>0</v>
          </cell>
          <cell r="R51">
            <v>0</v>
          </cell>
          <cell r="S51">
            <v>61443.51</v>
          </cell>
          <cell r="T51">
            <v>0</v>
          </cell>
          <cell r="U51">
            <v>0</v>
          </cell>
          <cell r="V51">
            <v>61443.51</v>
          </cell>
          <cell r="W51">
            <v>91934.95</v>
          </cell>
          <cell r="X51" t="str">
            <v/>
          </cell>
          <cell r="Y51" t="str">
            <v/>
          </cell>
          <cell r="Z51">
            <v>533696.66</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t="str">
            <v/>
          </cell>
          <cell r="AP51" t="str">
            <v/>
          </cell>
          <cell r="AQ51">
            <v>0</v>
          </cell>
        </row>
        <row r="52">
          <cell r="A52" t="str">
            <v>MARYLAND NATIONAL CAPITAL PARK &amp; PLANNIN</v>
          </cell>
          <cell r="B52" t="str">
            <v>P</v>
          </cell>
          <cell r="C52" t="str">
            <v>C+R</v>
          </cell>
          <cell r="D52" t="str">
            <v>Agg.STP with Sp</v>
          </cell>
          <cell r="E52" t="str">
            <v>PP28</v>
          </cell>
          <cell r="F52">
            <v>5545207.540000001</v>
          </cell>
          <cell r="G52">
            <v>124970.15</v>
          </cell>
          <cell r="H52">
            <v>49349.82</v>
          </cell>
          <cell r="I52">
            <v>24490.04</v>
          </cell>
          <cell r="J52">
            <v>0</v>
          </cell>
          <cell r="K52">
            <v>5494077.25</v>
          </cell>
          <cell r="L52">
            <v>162518.89000000001</v>
          </cell>
          <cell r="M52">
            <v>35598.379999999997</v>
          </cell>
          <cell r="N52">
            <v>198117.27</v>
          </cell>
          <cell r="O52">
            <v>449598.93</v>
          </cell>
          <cell r="P52">
            <v>14295.67</v>
          </cell>
          <cell r="Q52">
            <v>0</v>
          </cell>
          <cell r="R52">
            <v>0</v>
          </cell>
          <cell r="S52">
            <v>463894.6</v>
          </cell>
          <cell r="T52">
            <v>0</v>
          </cell>
          <cell r="U52">
            <v>0</v>
          </cell>
          <cell r="V52">
            <v>463894.6</v>
          </cell>
          <cell r="W52">
            <v>662011.87</v>
          </cell>
          <cell r="X52" t="str">
            <v/>
          </cell>
          <cell r="Y52" t="str">
            <v/>
          </cell>
          <cell r="Z52">
            <v>6156089.1199999992</v>
          </cell>
          <cell r="AA52">
            <v>0</v>
          </cell>
          <cell r="AB52">
            <v>0</v>
          </cell>
          <cell r="AC52">
            <v>0</v>
          </cell>
          <cell r="AD52">
            <v>-200.94</v>
          </cell>
          <cell r="AE52">
            <v>0</v>
          </cell>
          <cell r="AF52">
            <v>-200.94</v>
          </cell>
          <cell r="AG52">
            <v>-123.75</v>
          </cell>
          <cell r="AH52">
            <v>37.46</v>
          </cell>
          <cell r="AI52">
            <v>-86.29</v>
          </cell>
          <cell r="AJ52">
            <v>-69.88</v>
          </cell>
          <cell r="AK52">
            <v>0</v>
          </cell>
          <cell r="AL52">
            <v>0</v>
          </cell>
          <cell r="AM52">
            <v>-69.88</v>
          </cell>
          <cell r="AN52">
            <v>-156.16999999999999</v>
          </cell>
          <cell r="AO52" t="str">
            <v/>
          </cell>
          <cell r="AP52" t="str">
            <v/>
          </cell>
          <cell r="AQ52">
            <v>-357.11</v>
          </cell>
        </row>
        <row r="53">
          <cell r="A53" t="str">
            <v>Medlantic Healthcare</v>
          </cell>
          <cell r="B53" t="str">
            <v>P</v>
          </cell>
          <cell r="C53" t="str">
            <v>C+R</v>
          </cell>
          <cell r="D53" t="str">
            <v>Agg.STP with Sp</v>
          </cell>
          <cell r="E53" t="str">
            <v>0Y08</v>
          </cell>
          <cell r="F53">
            <v>19340576.779999997</v>
          </cell>
          <cell r="G53">
            <v>228920.47</v>
          </cell>
          <cell r="H53">
            <v>43537.760000000002</v>
          </cell>
          <cell r="I53">
            <v>165879.92000000001</v>
          </cell>
          <cell r="J53">
            <v>0</v>
          </cell>
          <cell r="K53">
            <v>19321073.989999998</v>
          </cell>
          <cell r="L53">
            <v>428032.61</v>
          </cell>
          <cell r="M53">
            <v>327632.62</v>
          </cell>
          <cell r="N53">
            <v>755665.23</v>
          </cell>
          <cell r="O53">
            <v>1640397.07</v>
          </cell>
          <cell r="P53">
            <v>182529.73</v>
          </cell>
          <cell r="Q53">
            <v>0</v>
          </cell>
          <cell r="R53">
            <v>0</v>
          </cell>
          <cell r="S53">
            <v>1822926.8</v>
          </cell>
          <cell r="T53">
            <v>0</v>
          </cell>
          <cell r="U53">
            <v>0</v>
          </cell>
          <cell r="V53">
            <v>1822926.8</v>
          </cell>
          <cell r="W53">
            <v>2578592.0299999998</v>
          </cell>
          <cell r="X53" t="str">
            <v/>
          </cell>
          <cell r="Y53" t="str">
            <v/>
          </cell>
          <cell r="Z53">
            <v>21899666.020000003</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-38.49</v>
          </cell>
          <cell r="AP53">
            <v>0</v>
          </cell>
          <cell r="AQ53">
            <v>-38.49</v>
          </cell>
        </row>
        <row r="54">
          <cell r="A54" t="str">
            <v>MERCANTILE BANKSHARES</v>
          </cell>
          <cell r="B54" t="str">
            <v>P</v>
          </cell>
          <cell r="C54" t="str">
            <v>Rate</v>
          </cell>
          <cell r="D54" t="str">
            <v>Agg.STP with Sp</v>
          </cell>
          <cell r="E54" t="str">
            <v>7J29</v>
          </cell>
          <cell r="F54">
            <v>4041892.03</v>
          </cell>
          <cell r="G54">
            <v>123885.79</v>
          </cell>
          <cell r="H54">
            <v>4223.76</v>
          </cell>
          <cell r="I54">
            <v>47148.83</v>
          </cell>
          <cell r="J54">
            <v>0</v>
          </cell>
          <cell r="K54">
            <v>3969378.83</v>
          </cell>
          <cell r="L54">
            <v>382578.97</v>
          </cell>
          <cell r="M54">
            <v>19595.3</v>
          </cell>
          <cell r="N54">
            <v>402174.27</v>
          </cell>
          <cell r="O54">
            <v>562271.56000000006</v>
          </cell>
          <cell r="P54">
            <v>68514</v>
          </cell>
          <cell r="Q54">
            <v>-10048.73</v>
          </cell>
          <cell r="R54">
            <v>0</v>
          </cell>
          <cell r="S54">
            <v>620736.82999999996</v>
          </cell>
          <cell r="T54">
            <v>0</v>
          </cell>
          <cell r="U54">
            <v>0</v>
          </cell>
          <cell r="V54">
            <v>620736.82999999996</v>
          </cell>
          <cell r="W54">
            <v>1022911.1</v>
          </cell>
          <cell r="X54" t="str">
            <v/>
          </cell>
          <cell r="Y54" t="str">
            <v/>
          </cell>
          <cell r="Z54">
            <v>4992289.93</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t="str">
            <v/>
          </cell>
          <cell r="AP54" t="str">
            <v/>
          </cell>
          <cell r="AQ54">
            <v>0</v>
          </cell>
        </row>
        <row r="55">
          <cell r="A55" t="str">
            <v>MERCY MEDICAL GROUP</v>
          </cell>
          <cell r="B55" t="str">
            <v>P</v>
          </cell>
          <cell r="C55" t="str">
            <v>C+R</v>
          </cell>
          <cell r="D55" t="str">
            <v>ASO with Spec</v>
          </cell>
          <cell r="E55" t="str">
            <v>7J66</v>
          </cell>
          <cell r="F55">
            <v>4031691.72</v>
          </cell>
          <cell r="G55">
            <v>0</v>
          </cell>
          <cell r="H55">
            <v>1401.12</v>
          </cell>
          <cell r="I55">
            <v>20471.22</v>
          </cell>
          <cell r="J55">
            <v>0</v>
          </cell>
          <cell r="K55">
            <v>4053564.06</v>
          </cell>
          <cell r="L55">
            <v>98427.28</v>
          </cell>
          <cell r="M55">
            <v>0</v>
          </cell>
          <cell r="N55">
            <v>98427.28</v>
          </cell>
          <cell r="O55">
            <v>371802.05</v>
          </cell>
          <cell r="P55">
            <v>41551.17</v>
          </cell>
          <cell r="Q55">
            <v>0</v>
          </cell>
          <cell r="R55">
            <v>0</v>
          </cell>
          <cell r="S55">
            <v>413353.22</v>
          </cell>
          <cell r="T55">
            <v>0</v>
          </cell>
          <cell r="U55">
            <v>0</v>
          </cell>
          <cell r="V55">
            <v>413353.22</v>
          </cell>
          <cell r="W55">
            <v>511780.5</v>
          </cell>
          <cell r="X55" t="str">
            <v/>
          </cell>
          <cell r="Y55" t="str">
            <v/>
          </cell>
          <cell r="Z55">
            <v>4565344.5599999996</v>
          </cell>
          <cell r="AA55">
            <v>139565.25</v>
          </cell>
          <cell r="AB55">
            <v>0</v>
          </cell>
          <cell r="AC55">
            <v>47.99</v>
          </cell>
          <cell r="AD55">
            <v>3944.16</v>
          </cell>
          <cell r="AE55">
            <v>0</v>
          </cell>
          <cell r="AF55">
            <v>143557.4</v>
          </cell>
          <cell r="AG55">
            <v>18963.84</v>
          </cell>
          <cell r="AH55">
            <v>0</v>
          </cell>
          <cell r="AI55">
            <v>18963.84</v>
          </cell>
          <cell r="AJ55">
            <v>79640.160000000003</v>
          </cell>
          <cell r="AK55">
            <v>0</v>
          </cell>
          <cell r="AL55">
            <v>0</v>
          </cell>
          <cell r="AM55">
            <v>79640.160000000003</v>
          </cell>
          <cell r="AN55">
            <v>98604</v>
          </cell>
          <cell r="AO55" t="str">
            <v/>
          </cell>
          <cell r="AP55" t="str">
            <v/>
          </cell>
          <cell r="AQ55">
            <v>242161.4</v>
          </cell>
        </row>
        <row r="56">
          <cell r="A56" t="str">
            <v>METROPOLITAN WASHINGTON AIRPORTS AUTHORI</v>
          </cell>
          <cell r="B56" t="str">
            <v>P</v>
          </cell>
          <cell r="C56" t="str">
            <v>C+R</v>
          </cell>
          <cell r="D56" t="str">
            <v>Agg.STP with Sp</v>
          </cell>
          <cell r="E56" t="str">
            <v>UU61</v>
          </cell>
          <cell r="F56">
            <v>7855818.7000000011</v>
          </cell>
          <cell r="G56">
            <v>160831.89000000001</v>
          </cell>
          <cell r="H56">
            <v>150731.45000000001</v>
          </cell>
          <cell r="I56">
            <v>0</v>
          </cell>
          <cell r="J56">
            <v>0</v>
          </cell>
          <cell r="K56">
            <v>7845718.2600000007</v>
          </cell>
          <cell r="L56">
            <v>322727.61</v>
          </cell>
          <cell r="M56">
            <v>78637.48</v>
          </cell>
          <cell r="N56">
            <v>401365.09</v>
          </cell>
          <cell r="O56">
            <v>471579.9</v>
          </cell>
          <cell r="P56">
            <v>52509.97</v>
          </cell>
          <cell r="Q56">
            <v>0</v>
          </cell>
          <cell r="R56">
            <v>0</v>
          </cell>
          <cell r="S56">
            <v>524089.87</v>
          </cell>
          <cell r="T56">
            <v>0</v>
          </cell>
          <cell r="U56">
            <v>0</v>
          </cell>
          <cell r="V56">
            <v>524089.87</v>
          </cell>
          <cell r="W56">
            <v>925454.96</v>
          </cell>
          <cell r="X56" t="str">
            <v/>
          </cell>
          <cell r="Y56" t="str">
            <v/>
          </cell>
          <cell r="Z56">
            <v>8771173.2200000007</v>
          </cell>
          <cell r="AA56">
            <v>0</v>
          </cell>
          <cell r="AB56">
            <v>-25000</v>
          </cell>
          <cell r="AC56">
            <v>0</v>
          </cell>
          <cell r="AD56">
            <v>0</v>
          </cell>
          <cell r="AE56">
            <v>0</v>
          </cell>
          <cell r="AF56">
            <v>25000</v>
          </cell>
          <cell r="AG56">
            <v>0</v>
          </cell>
          <cell r="AH56">
            <v>0</v>
          </cell>
          <cell r="AI56">
            <v>0</v>
          </cell>
          <cell r="AJ56">
            <v>-75558.22</v>
          </cell>
          <cell r="AK56">
            <v>0</v>
          </cell>
          <cell r="AL56">
            <v>0</v>
          </cell>
          <cell r="AM56">
            <v>-75558.22</v>
          </cell>
          <cell r="AN56">
            <v>-75558.22</v>
          </cell>
          <cell r="AO56" t="str">
            <v/>
          </cell>
          <cell r="AP56" t="str">
            <v/>
          </cell>
          <cell r="AQ56">
            <v>-50558.22</v>
          </cell>
        </row>
        <row r="57">
          <cell r="A57" t="str">
            <v>MIRANT CORPORATION</v>
          </cell>
          <cell r="B57" t="str">
            <v>P</v>
          </cell>
          <cell r="C57" t="str">
            <v>C+R</v>
          </cell>
          <cell r="D57" t="str">
            <v>ASO w/o  Spec</v>
          </cell>
          <cell r="E57" t="str">
            <v>PK55</v>
          </cell>
          <cell r="F57">
            <v>6601652.2200000007</v>
          </cell>
          <cell r="G57">
            <v>0</v>
          </cell>
          <cell r="H57">
            <v>63710.96</v>
          </cell>
          <cell r="I57">
            <v>0</v>
          </cell>
          <cell r="J57">
            <v>0</v>
          </cell>
          <cell r="K57">
            <v>6665363.1800000006</v>
          </cell>
          <cell r="L57">
            <v>0</v>
          </cell>
          <cell r="M57">
            <v>0</v>
          </cell>
          <cell r="N57">
            <v>0</v>
          </cell>
          <cell r="O57">
            <v>353751.69</v>
          </cell>
          <cell r="P57">
            <v>39496.559999999998</v>
          </cell>
          <cell r="Q57">
            <v>0</v>
          </cell>
          <cell r="R57">
            <v>0</v>
          </cell>
          <cell r="S57">
            <v>393248.25</v>
          </cell>
          <cell r="T57">
            <v>0</v>
          </cell>
          <cell r="U57">
            <v>0</v>
          </cell>
          <cell r="V57">
            <v>393248.25</v>
          </cell>
          <cell r="W57">
            <v>393248.25</v>
          </cell>
          <cell r="X57">
            <v>0</v>
          </cell>
          <cell r="Y57">
            <v>551000</v>
          </cell>
          <cell r="Z57">
            <v>7609611.4300000006</v>
          </cell>
          <cell r="AA57">
            <v>0</v>
          </cell>
          <cell r="AB57">
            <v>0</v>
          </cell>
          <cell r="AC57">
            <v>0</v>
          </cell>
          <cell r="AD57">
            <v>-84.26</v>
          </cell>
          <cell r="AE57">
            <v>0</v>
          </cell>
          <cell r="AF57">
            <v>-84.26</v>
          </cell>
          <cell r="AG57">
            <v>0</v>
          </cell>
          <cell r="AH57">
            <v>0</v>
          </cell>
          <cell r="AI57">
            <v>0</v>
          </cell>
          <cell r="AJ57">
            <v>-819.94</v>
          </cell>
          <cell r="AK57">
            <v>0</v>
          </cell>
          <cell r="AL57">
            <v>0</v>
          </cell>
          <cell r="AM57">
            <v>-819.94</v>
          </cell>
          <cell r="AN57">
            <v>-819.94</v>
          </cell>
          <cell r="AO57">
            <v>0</v>
          </cell>
          <cell r="AP57">
            <v>0</v>
          </cell>
          <cell r="AQ57">
            <v>-904.2</v>
          </cell>
        </row>
        <row r="58">
          <cell r="A58" t="str">
            <v>MONTGOMERY COUNTY GOVERNMENT</v>
          </cell>
          <cell r="B58" t="str">
            <v>P</v>
          </cell>
          <cell r="C58" t="str">
            <v>C+R</v>
          </cell>
          <cell r="D58" t="str">
            <v>Insured with Sp</v>
          </cell>
          <cell r="E58" t="str">
            <v>PG50</v>
          </cell>
          <cell r="F58">
            <v>9321551.5299999993</v>
          </cell>
          <cell r="G58">
            <v>0</v>
          </cell>
          <cell r="H58">
            <v>89058.5</v>
          </cell>
          <cell r="I58">
            <v>0</v>
          </cell>
          <cell r="J58">
            <v>0</v>
          </cell>
          <cell r="K58">
            <v>9410610.0299999975</v>
          </cell>
          <cell r="L58">
            <v>192247.94</v>
          </cell>
          <cell r="M58">
            <v>0</v>
          </cell>
          <cell r="N58">
            <v>192247.94</v>
          </cell>
          <cell r="O58">
            <v>371836.78</v>
          </cell>
          <cell r="P58">
            <v>59780.84</v>
          </cell>
          <cell r="Q58">
            <v>0</v>
          </cell>
          <cell r="R58">
            <v>0</v>
          </cell>
          <cell r="S58">
            <v>431617.62</v>
          </cell>
          <cell r="T58">
            <v>0</v>
          </cell>
          <cell r="U58">
            <v>0</v>
          </cell>
          <cell r="V58">
            <v>431617.62</v>
          </cell>
          <cell r="W58">
            <v>623865.56000000006</v>
          </cell>
          <cell r="X58">
            <v>0</v>
          </cell>
          <cell r="Y58">
            <v>0</v>
          </cell>
          <cell r="Z58">
            <v>10034475.59</v>
          </cell>
          <cell r="AA58">
            <v>0</v>
          </cell>
          <cell r="AB58">
            <v>0</v>
          </cell>
          <cell r="AC58">
            <v>0</v>
          </cell>
          <cell r="AD58">
            <v>0</v>
          </cell>
          <cell r="AE58">
            <v>0</v>
          </cell>
          <cell r="AF58">
            <v>0</v>
          </cell>
          <cell r="AG58">
            <v>-13840.73</v>
          </cell>
          <cell r="AH58">
            <v>0</v>
          </cell>
          <cell r="AI58">
            <v>-13840.73</v>
          </cell>
          <cell r="AJ58">
            <v>0</v>
          </cell>
          <cell r="AK58">
            <v>0</v>
          </cell>
          <cell r="AL58">
            <v>0</v>
          </cell>
          <cell r="AM58">
            <v>0</v>
          </cell>
          <cell r="AN58">
            <v>-13840.73</v>
          </cell>
          <cell r="AO58">
            <v>0</v>
          </cell>
          <cell r="AP58">
            <v>0</v>
          </cell>
          <cell r="AQ58">
            <v>-13840.73</v>
          </cell>
        </row>
        <row r="59">
          <cell r="A59" t="str">
            <v>MONTGOMERY COUNTY GOVERNMENT POS</v>
          </cell>
          <cell r="B59" t="str">
            <v>P</v>
          </cell>
          <cell r="C59" t="str">
            <v>C+R</v>
          </cell>
          <cell r="D59" t="str">
            <v>Insured with Sp</v>
          </cell>
          <cell r="E59" t="str">
            <v>PG52</v>
          </cell>
          <cell r="F59">
            <v>47161131.670000002</v>
          </cell>
          <cell r="G59">
            <v>232295.35</v>
          </cell>
          <cell r="H59">
            <v>221091.31</v>
          </cell>
          <cell r="I59">
            <v>148212.62</v>
          </cell>
          <cell r="J59">
            <v>0</v>
          </cell>
          <cell r="K59">
            <v>47298140.249999993</v>
          </cell>
          <cell r="L59">
            <v>805535.76</v>
          </cell>
          <cell r="M59">
            <v>0</v>
          </cell>
          <cell r="N59">
            <v>805535.76</v>
          </cell>
          <cell r="O59">
            <v>1945094.78</v>
          </cell>
          <cell r="P59">
            <v>248733.34</v>
          </cell>
          <cell r="Q59">
            <v>0</v>
          </cell>
          <cell r="R59">
            <v>0</v>
          </cell>
          <cell r="S59">
            <v>2193828.12</v>
          </cell>
          <cell r="T59">
            <v>0</v>
          </cell>
          <cell r="U59">
            <v>0</v>
          </cell>
          <cell r="V59">
            <v>2193828.12</v>
          </cell>
          <cell r="W59">
            <v>2999363.88</v>
          </cell>
          <cell r="X59">
            <v>0</v>
          </cell>
          <cell r="Y59">
            <v>0</v>
          </cell>
          <cell r="Z59">
            <v>50297504.130000003</v>
          </cell>
          <cell r="AA59">
            <v>0</v>
          </cell>
          <cell r="AB59">
            <v>0</v>
          </cell>
          <cell r="AC59">
            <v>0</v>
          </cell>
          <cell r="AD59">
            <v>14166.2</v>
          </cell>
          <cell r="AE59">
            <v>0</v>
          </cell>
          <cell r="AF59">
            <v>14166.2</v>
          </cell>
          <cell r="AG59">
            <v>47980.160000000003</v>
          </cell>
          <cell r="AH59">
            <v>0</v>
          </cell>
          <cell r="AI59">
            <v>47980.160000000003</v>
          </cell>
          <cell r="AJ59">
            <v>141906.16</v>
          </cell>
          <cell r="AK59">
            <v>0</v>
          </cell>
          <cell r="AL59">
            <v>0</v>
          </cell>
          <cell r="AM59">
            <v>141906.16</v>
          </cell>
          <cell r="AN59">
            <v>189886.32</v>
          </cell>
          <cell r="AO59">
            <v>0</v>
          </cell>
          <cell r="AP59">
            <v>0</v>
          </cell>
          <cell r="AQ59">
            <v>204052.52</v>
          </cell>
        </row>
        <row r="60">
          <cell r="A60" t="str">
            <v>MONTGOMERY COUNTY PUBLIC SCHOOLS</v>
          </cell>
          <cell r="B60" t="str">
            <v>P</v>
          </cell>
          <cell r="C60" t="str">
            <v>C+R</v>
          </cell>
          <cell r="D60" t="str">
            <v>ASO w/o  Spec</v>
          </cell>
          <cell r="E60" t="str">
            <v>PP20</v>
          </cell>
          <cell r="F60">
            <v>46413676.800000004</v>
          </cell>
          <cell r="G60">
            <v>0</v>
          </cell>
          <cell r="H60">
            <v>304393.06</v>
          </cell>
          <cell r="I60">
            <v>190757.8</v>
          </cell>
          <cell r="J60">
            <v>0</v>
          </cell>
          <cell r="K60">
            <v>46908827.660000004</v>
          </cell>
          <cell r="L60">
            <v>0</v>
          </cell>
          <cell r="M60">
            <v>0</v>
          </cell>
          <cell r="N60">
            <v>0</v>
          </cell>
          <cell r="O60">
            <v>3550783.89</v>
          </cell>
          <cell r="P60">
            <v>392351.81</v>
          </cell>
          <cell r="Q60">
            <v>0</v>
          </cell>
          <cell r="R60">
            <v>0</v>
          </cell>
          <cell r="S60">
            <v>3943135.7</v>
          </cell>
          <cell r="T60">
            <v>0</v>
          </cell>
          <cell r="U60">
            <v>0</v>
          </cell>
          <cell r="V60">
            <v>3943135.7</v>
          </cell>
          <cell r="W60">
            <v>3943135.7</v>
          </cell>
          <cell r="X60" t="str">
            <v/>
          </cell>
          <cell r="Y60" t="str">
            <v/>
          </cell>
          <cell r="Z60">
            <v>50851963.359999999</v>
          </cell>
          <cell r="AA60">
            <v>0</v>
          </cell>
          <cell r="AB60">
            <v>0</v>
          </cell>
          <cell r="AC60">
            <v>0</v>
          </cell>
          <cell r="AD60">
            <v>0</v>
          </cell>
          <cell r="AE60">
            <v>0</v>
          </cell>
          <cell r="AF60">
            <v>0</v>
          </cell>
          <cell r="AG60">
            <v>0</v>
          </cell>
          <cell r="AH60">
            <v>0</v>
          </cell>
          <cell r="AI60">
            <v>0</v>
          </cell>
          <cell r="AJ60">
            <v>-135.24</v>
          </cell>
          <cell r="AK60">
            <v>0</v>
          </cell>
          <cell r="AL60">
            <v>0</v>
          </cell>
          <cell r="AM60">
            <v>-135.24</v>
          </cell>
          <cell r="AN60">
            <v>-135.24</v>
          </cell>
          <cell r="AO60" t="str">
            <v/>
          </cell>
          <cell r="AP60" t="str">
            <v/>
          </cell>
          <cell r="AQ60">
            <v>-135.24</v>
          </cell>
        </row>
        <row r="61">
          <cell r="A61" t="str">
            <v>National Academy of Sciences</v>
          </cell>
          <cell r="B61" t="str">
            <v>P</v>
          </cell>
          <cell r="C61" t="str">
            <v>Rate</v>
          </cell>
          <cell r="D61" t="str">
            <v>Insured with Sp</v>
          </cell>
          <cell r="E61" t="str">
            <v>0F15</v>
          </cell>
          <cell r="F61">
            <v>163.66</v>
          </cell>
          <cell r="G61">
            <v>0</v>
          </cell>
          <cell r="H61">
            <v>16.8</v>
          </cell>
          <cell r="I61">
            <v>0</v>
          </cell>
          <cell r="J61">
            <v>-7784.81</v>
          </cell>
          <cell r="K61">
            <v>-7604.35</v>
          </cell>
          <cell r="L61">
            <v>-213.59</v>
          </cell>
          <cell r="M61">
            <v>-210.86</v>
          </cell>
          <cell r="N61">
            <v>-424.45</v>
          </cell>
          <cell r="O61">
            <v>-955.33</v>
          </cell>
          <cell r="P61">
            <v>-59.28</v>
          </cell>
          <cell r="Q61">
            <v>42.05</v>
          </cell>
          <cell r="R61">
            <v>-255.03</v>
          </cell>
          <cell r="S61">
            <v>-1227.5899999999999</v>
          </cell>
          <cell r="T61">
            <v>-24.31</v>
          </cell>
          <cell r="U61">
            <v>0</v>
          </cell>
          <cell r="V61">
            <v>-1251.9000000000001</v>
          </cell>
          <cell r="W61">
            <v>-1676.35</v>
          </cell>
          <cell r="X61" t="str">
            <v/>
          </cell>
          <cell r="Y61" t="str">
            <v/>
          </cell>
          <cell r="Z61">
            <v>-9280.7000000000007</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t="str">
            <v/>
          </cell>
          <cell r="AP61" t="str">
            <v/>
          </cell>
          <cell r="AQ61">
            <v>0</v>
          </cell>
        </row>
        <row r="62">
          <cell r="A62" t="str">
            <v>National Geographic Society</v>
          </cell>
          <cell r="B62" t="str">
            <v>P</v>
          </cell>
          <cell r="C62" t="str">
            <v>C+R</v>
          </cell>
          <cell r="D62" t="str">
            <v>Agg.STP with Sp</v>
          </cell>
          <cell r="E62" t="str">
            <v>R138</v>
          </cell>
          <cell r="F62">
            <v>4527529.91</v>
          </cell>
          <cell r="G62">
            <v>154585.91</v>
          </cell>
          <cell r="H62">
            <v>78836.3</v>
          </cell>
          <cell r="I62">
            <v>0</v>
          </cell>
          <cell r="J62">
            <v>0</v>
          </cell>
          <cell r="K62">
            <v>4451780.3</v>
          </cell>
          <cell r="L62">
            <v>116032.23</v>
          </cell>
          <cell r="M62">
            <v>25455.42</v>
          </cell>
          <cell r="N62">
            <v>141487.65</v>
          </cell>
          <cell r="O62">
            <v>428696.49</v>
          </cell>
          <cell r="P62">
            <v>44176.31</v>
          </cell>
          <cell r="Q62">
            <v>-31110.05</v>
          </cell>
          <cell r="R62">
            <v>0</v>
          </cell>
          <cell r="S62">
            <v>441762.75</v>
          </cell>
          <cell r="T62">
            <v>0</v>
          </cell>
          <cell r="U62">
            <v>0</v>
          </cell>
          <cell r="V62">
            <v>441762.75</v>
          </cell>
          <cell r="W62">
            <v>583250.4</v>
          </cell>
          <cell r="X62" t="str">
            <v/>
          </cell>
          <cell r="Y62" t="str">
            <v/>
          </cell>
          <cell r="Z62">
            <v>5035030.7</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t="str">
            <v/>
          </cell>
          <cell r="AP62" t="str">
            <v/>
          </cell>
          <cell r="AQ62">
            <v>0</v>
          </cell>
        </row>
        <row r="63">
          <cell r="A63" t="str">
            <v>Organization of American States</v>
          </cell>
          <cell r="B63" t="str">
            <v>P</v>
          </cell>
          <cell r="C63" t="str">
            <v>C+R</v>
          </cell>
          <cell r="D63" t="str">
            <v>ASO with Spec</v>
          </cell>
          <cell r="E63" t="str">
            <v>R390</v>
          </cell>
          <cell r="F63">
            <v>6669569.0999999987</v>
          </cell>
          <cell r="G63">
            <v>143576.87</v>
          </cell>
          <cell r="H63">
            <v>41634.78</v>
          </cell>
          <cell r="I63">
            <v>0</v>
          </cell>
          <cell r="J63">
            <v>0</v>
          </cell>
          <cell r="K63">
            <v>6567627.0099999998</v>
          </cell>
          <cell r="L63">
            <v>120721.53</v>
          </cell>
          <cell r="M63">
            <v>0</v>
          </cell>
          <cell r="N63">
            <v>120721.53</v>
          </cell>
          <cell r="O63">
            <v>447517.86</v>
          </cell>
          <cell r="P63">
            <v>53825.17</v>
          </cell>
          <cell r="Q63">
            <v>0</v>
          </cell>
          <cell r="R63">
            <v>0</v>
          </cell>
          <cell r="S63">
            <v>501343.03</v>
          </cell>
          <cell r="T63">
            <v>0</v>
          </cell>
          <cell r="U63">
            <v>0</v>
          </cell>
          <cell r="V63">
            <v>501343.03</v>
          </cell>
          <cell r="W63">
            <v>622064.56000000006</v>
          </cell>
          <cell r="X63" t="str">
            <v/>
          </cell>
          <cell r="Y63" t="str">
            <v/>
          </cell>
          <cell r="Z63">
            <v>7189691.5700000003</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t="str">
            <v/>
          </cell>
          <cell r="AP63" t="str">
            <v/>
          </cell>
          <cell r="AQ63">
            <v>0</v>
          </cell>
        </row>
        <row r="64">
          <cell r="A64" t="str">
            <v>Overseas Private Investment Corp.</v>
          </cell>
          <cell r="B64" t="str">
            <v>P</v>
          </cell>
          <cell r="C64" t="str">
            <v>Rate</v>
          </cell>
          <cell r="D64" t="str">
            <v>Insured with Sp</v>
          </cell>
          <cell r="E64" t="str">
            <v>P436</v>
          </cell>
          <cell r="F64" t="str">
            <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t="str">
            <v/>
          </cell>
          <cell r="Y64" t="str">
            <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t="str">
            <v/>
          </cell>
          <cell r="AP64" t="str">
            <v/>
          </cell>
          <cell r="AQ64">
            <v>0</v>
          </cell>
        </row>
        <row r="65">
          <cell r="A65" t="str">
            <v>Pan American Health Organization</v>
          </cell>
          <cell r="B65" t="str">
            <v>P</v>
          </cell>
          <cell r="C65" t="str">
            <v>C+R</v>
          </cell>
          <cell r="D65" t="str">
            <v>ASO w/o  Spec</v>
          </cell>
          <cell r="E65" t="str">
            <v>0F12</v>
          </cell>
          <cell r="F65">
            <v>9020200.2600000016</v>
          </cell>
          <cell r="G65">
            <v>0</v>
          </cell>
          <cell r="H65">
            <v>189613.54</v>
          </cell>
          <cell r="I65">
            <v>0</v>
          </cell>
          <cell r="J65">
            <v>0</v>
          </cell>
          <cell r="K65">
            <v>9209813.7999999989</v>
          </cell>
          <cell r="L65">
            <v>0</v>
          </cell>
          <cell r="M65">
            <v>0</v>
          </cell>
          <cell r="N65">
            <v>0</v>
          </cell>
          <cell r="O65">
            <v>554133.29</v>
          </cell>
          <cell r="P65">
            <v>73942.42</v>
          </cell>
          <cell r="Q65">
            <v>0</v>
          </cell>
          <cell r="R65">
            <v>0</v>
          </cell>
          <cell r="S65">
            <v>628075.71</v>
          </cell>
          <cell r="T65">
            <v>0</v>
          </cell>
          <cell r="U65">
            <v>-441.43</v>
          </cell>
          <cell r="V65">
            <v>627634.28</v>
          </cell>
          <cell r="W65">
            <v>627634.28</v>
          </cell>
          <cell r="X65">
            <v>0</v>
          </cell>
          <cell r="Y65">
            <v>166000</v>
          </cell>
          <cell r="Z65">
            <v>10003448.08</v>
          </cell>
          <cell r="AA65">
            <v>0</v>
          </cell>
          <cell r="AB65">
            <v>0</v>
          </cell>
          <cell r="AC65">
            <v>0</v>
          </cell>
          <cell r="AD65">
            <v>0</v>
          </cell>
          <cell r="AE65">
            <v>0</v>
          </cell>
          <cell r="AF65">
            <v>0</v>
          </cell>
          <cell r="AG65">
            <v>0</v>
          </cell>
          <cell r="AH65">
            <v>0</v>
          </cell>
          <cell r="AI65">
            <v>0</v>
          </cell>
          <cell r="AJ65">
            <v>0</v>
          </cell>
          <cell r="AK65">
            <v>0</v>
          </cell>
          <cell r="AL65">
            <v>-1532.75</v>
          </cell>
          <cell r="AM65">
            <v>-1532.75</v>
          </cell>
          <cell r="AN65">
            <v>-1532.75</v>
          </cell>
          <cell r="AO65">
            <v>0</v>
          </cell>
          <cell r="AP65">
            <v>-166000</v>
          </cell>
          <cell r="AQ65">
            <v>-167532.75</v>
          </cell>
        </row>
        <row r="66">
          <cell r="A66" t="str">
            <v>PEROT SYSTEMS GOVERNMENT SERVICES, INC.</v>
          </cell>
          <cell r="B66" t="str">
            <v>P</v>
          </cell>
          <cell r="C66" t="str">
            <v>C+R</v>
          </cell>
          <cell r="D66" t="str">
            <v>Agg.STP with Sp</v>
          </cell>
          <cell r="E66" t="str">
            <v>3M14</v>
          </cell>
          <cell r="F66">
            <v>5351517.51</v>
          </cell>
          <cell r="G66">
            <v>73894.559999999998</v>
          </cell>
          <cell r="H66">
            <v>168611.41</v>
          </cell>
          <cell r="I66">
            <v>8501.34</v>
          </cell>
          <cell r="J66">
            <v>0</v>
          </cell>
          <cell r="K66">
            <v>5454735.7000000011</v>
          </cell>
          <cell r="L66">
            <v>362963.16</v>
          </cell>
          <cell r="M66">
            <v>39549.99</v>
          </cell>
          <cell r="N66">
            <v>402513.15</v>
          </cell>
          <cell r="O66">
            <v>487197.59</v>
          </cell>
          <cell r="P66">
            <v>5571.52</v>
          </cell>
          <cell r="Q66">
            <v>0</v>
          </cell>
          <cell r="R66">
            <v>203050.58</v>
          </cell>
          <cell r="S66">
            <v>695819.69</v>
          </cell>
          <cell r="T66">
            <v>0</v>
          </cell>
          <cell r="U66">
            <v>0</v>
          </cell>
          <cell r="V66">
            <v>695819.69</v>
          </cell>
          <cell r="W66">
            <v>1098332.8400000001</v>
          </cell>
          <cell r="X66" t="str">
            <v/>
          </cell>
          <cell r="Y66" t="str">
            <v/>
          </cell>
          <cell r="Z66">
            <v>6553068.5399999991</v>
          </cell>
          <cell r="AA66">
            <v>0</v>
          </cell>
          <cell r="AB66">
            <v>0</v>
          </cell>
          <cell r="AC66">
            <v>0</v>
          </cell>
          <cell r="AD66">
            <v>0</v>
          </cell>
          <cell r="AE66">
            <v>0</v>
          </cell>
          <cell r="AF66">
            <v>0</v>
          </cell>
          <cell r="AG66">
            <v>0</v>
          </cell>
          <cell r="AH66">
            <v>0</v>
          </cell>
          <cell r="AI66">
            <v>0</v>
          </cell>
          <cell r="AJ66">
            <v>9569.19</v>
          </cell>
          <cell r="AK66">
            <v>0</v>
          </cell>
          <cell r="AL66">
            <v>0</v>
          </cell>
          <cell r="AM66">
            <v>9569.19</v>
          </cell>
          <cell r="AN66">
            <v>9569.19</v>
          </cell>
          <cell r="AO66" t="str">
            <v/>
          </cell>
          <cell r="AP66" t="str">
            <v/>
          </cell>
          <cell r="AQ66">
            <v>9569.19</v>
          </cell>
        </row>
        <row r="67">
          <cell r="A67" t="str">
            <v>PRINCE GEORGES COMMUNITY COLLEGE</v>
          </cell>
          <cell r="B67" t="str">
            <v>P</v>
          </cell>
          <cell r="C67" t="str">
            <v>C+R</v>
          </cell>
          <cell r="D67" t="str">
            <v>Agg.STP with Sp</v>
          </cell>
          <cell r="E67" t="str">
            <v>NJ51</v>
          </cell>
          <cell r="F67">
            <v>4613878.04</v>
          </cell>
          <cell r="G67">
            <v>221184.11</v>
          </cell>
          <cell r="H67">
            <v>16008.62</v>
          </cell>
          <cell r="I67">
            <v>4048.64</v>
          </cell>
          <cell r="J67">
            <v>0</v>
          </cell>
          <cell r="K67">
            <v>4412751.1900000004</v>
          </cell>
          <cell r="L67">
            <v>295737.09999999998</v>
          </cell>
          <cell r="M67">
            <v>47945.71</v>
          </cell>
          <cell r="N67">
            <v>343682.81</v>
          </cell>
          <cell r="O67">
            <v>420352.46</v>
          </cell>
          <cell r="P67">
            <v>35687.089999999997</v>
          </cell>
          <cell r="Q67">
            <v>-12119.23</v>
          </cell>
          <cell r="R67">
            <v>0</v>
          </cell>
          <cell r="S67">
            <v>443920.32</v>
          </cell>
          <cell r="T67">
            <v>0</v>
          </cell>
          <cell r="U67">
            <v>0</v>
          </cell>
          <cell r="V67">
            <v>443920.32</v>
          </cell>
          <cell r="W67">
            <v>787603.13</v>
          </cell>
          <cell r="X67" t="str">
            <v/>
          </cell>
          <cell r="Y67" t="str">
            <v/>
          </cell>
          <cell r="Z67">
            <v>5200354.32</v>
          </cell>
          <cell r="AA67">
            <v>0</v>
          </cell>
          <cell r="AB67">
            <v>0</v>
          </cell>
          <cell r="AC67">
            <v>0</v>
          </cell>
          <cell r="AD67">
            <v>0</v>
          </cell>
          <cell r="AE67">
            <v>0</v>
          </cell>
          <cell r="AF67">
            <v>0</v>
          </cell>
          <cell r="AG67">
            <v>0</v>
          </cell>
          <cell r="AH67">
            <v>82.56</v>
          </cell>
          <cell r="AI67">
            <v>82.56</v>
          </cell>
          <cell r="AJ67">
            <v>963.2</v>
          </cell>
          <cell r="AK67">
            <v>0</v>
          </cell>
          <cell r="AL67">
            <v>0</v>
          </cell>
          <cell r="AM67">
            <v>963.2</v>
          </cell>
          <cell r="AN67">
            <v>1045.76</v>
          </cell>
          <cell r="AO67" t="str">
            <v/>
          </cell>
          <cell r="AP67" t="str">
            <v/>
          </cell>
          <cell r="AQ67">
            <v>1045.76</v>
          </cell>
        </row>
        <row r="68">
          <cell r="A68" t="str">
            <v>Prince George's County Public Schools</v>
          </cell>
          <cell r="B68" t="str">
            <v>P</v>
          </cell>
          <cell r="C68" t="str">
            <v>C+R</v>
          </cell>
          <cell r="D68" t="str">
            <v>ASO w/o  Spec</v>
          </cell>
          <cell r="E68" t="str">
            <v>0F27</v>
          </cell>
          <cell r="F68">
            <v>97620803.830000013</v>
          </cell>
          <cell r="G68">
            <v>0</v>
          </cell>
          <cell r="H68">
            <v>311850.23</v>
          </cell>
          <cell r="I68">
            <v>569358.14</v>
          </cell>
          <cell r="J68">
            <v>0</v>
          </cell>
          <cell r="K68">
            <v>98502012.200000018</v>
          </cell>
          <cell r="L68">
            <v>0</v>
          </cell>
          <cell r="M68">
            <v>0</v>
          </cell>
          <cell r="N68">
            <v>0</v>
          </cell>
          <cell r="O68">
            <v>5733053.6400000006</v>
          </cell>
          <cell r="P68">
            <v>635120.04</v>
          </cell>
          <cell r="Q68">
            <v>0</v>
          </cell>
          <cell r="R68">
            <v>0</v>
          </cell>
          <cell r="S68">
            <v>6368173.6799999997</v>
          </cell>
          <cell r="T68">
            <v>0</v>
          </cell>
          <cell r="U68">
            <v>0</v>
          </cell>
          <cell r="V68">
            <v>6368173.6799999997</v>
          </cell>
          <cell r="W68">
            <v>6368173.6799999997</v>
          </cell>
          <cell r="X68" t="str">
            <v/>
          </cell>
          <cell r="Y68" t="str">
            <v/>
          </cell>
          <cell r="Z68">
            <v>104870185.88</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t="str">
            <v/>
          </cell>
          <cell r="AP68" t="str">
            <v/>
          </cell>
          <cell r="AQ68">
            <v>0</v>
          </cell>
        </row>
        <row r="69">
          <cell r="A69" t="str">
            <v>PRODUCTION GROUP INTERNATIONAL (PGI)</v>
          </cell>
          <cell r="B69" t="str">
            <v>P</v>
          </cell>
          <cell r="C69" t="str">
            <v>C+R</v>
          </cell>
          <cell r="D69" t="str">
            <v>Agg.STP with Sp</v>
          </cell>
          <cell r="E69" t="str">
            <v>TD97</v>
          </cell>
          <cell r="F69">
            <v>1407578.13</v>
          </cell>
          <cell r="G69">
            <v>320417.77</v>
          </cell>
          <cell r="H69">
            <v>111272.05</v>
          </cell>
          <cell r="I69">
            <v>0</v>
          </cell>
          <cell r="J69">
            <v>0</v>
          </cell>
          <cell r="K69">
            <v>1198432.4099999999</v>
          </cell>
          <cell r="L69">
            <v>117938.07</v>
          </cell>
          <cell r="M69">
            <v>17594.8</v>
          </cell>
          <cell r="N69">
            <v>135532.87</v>
          </cell>
          <cell r="O69">
            <v>159641.96</v>
          </cell>
          <cell r="P69">
            <v>0</v>
          </cell>
          <cell r="Q69">
            <v>0</v>
          </cell>
          <cell r="R69">
            <v>0</v>
          </cell>
          <cell r="S69">
            <v>159641.96</v>
          </cell>
          <cell r="T69">
            <v>0</v>
          </cell>
          <cell r="U69">
            <v>0</v>
          </cell>
          <cell r="V69">
            <v>159641.96</v>
          </cell>
          <cell r="W69">
            <v>295174.83</v>
          </cell>
          <cell r="X69" t="str">
            <v/>
          </cell>
          <cell r="Y69" t="str">
            <v/>
          </cell>
          <cell r="Z69">
            <v>1493607.24</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t="str">
            <v/>
          </cell>
          <cell r="AP69" t="str">
            <v/>
          </cell>
          <cell r="AQ69">
            <v>0</v>
          </cell>
        </row>
        <row r="70">
          <cell r="A70" t="str">
            <v>PROVIDENCE HOSPITAL</v>
          </cell>
          <cell r="B70" t="str">
            <v>P</v>
          </cell>
          <cell r="C70" t="str">
            <v>C+R</v>
          </cell>
          <cell r="D70" t="str">
            <v>ASO with Spec</v>
          </cell>
          <cell r="E70" t="str">
            <v>NS45</v>
          </cell>
          <cell r="F70">
            <v>3667357.31</v>
          </cell>
          <cell r="G70">
            <v>87029.65</v>
          </cell>
          <cell r="H70">
            <v>5106.5200000000004</v>
          </cell>
          <cell r="I70">
            <v>8087.76</v>
          </cell>
          <cell r="J70">
            <v>0</v>
          </cell>
          <cell r="K70">
            <v>3593521.94</v>
          </cell>
          <cell r="L70">
            <v>82804.210000000006</v>
          </cell>
          <cell r="M70">
            <v>0</v>
          </cell>
          <cell r="N70">
            <v>82804.210000000006</v>
          </cell>
          <cell r="O70">
            <v>340028.79</v>
          </cell>
          <cell r="P70">
            <v>37627.550000000003</v>
          </cell>
          <cell r="Q70">
            <v>0</v>
          </cell>
          <cell r="R70">
            <v>0</v>
          </cell>
          <cell r="S70">
            <v>377656.34</v>
          </cell>
          <cell r="T70">
            <v>0</v>
          </cell>
          <cell r="U70">
            <v>0</v>
          </cell>
          <cell r="V70">
            <v>377656.34</v>
          </cell>
          <cell r="W70">
            <v>460460.55</v>
          </cell>
          <cell r="X70" t="str">
            <v/>
          </cell>
          <cell r="Y70" t="str">
            <v/>
          </cell>
          <cell r="Z70">
            <v>4053982.49</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t="str">
            <v/>
          </cell>
          <cell r="AP70" t="str">
            <v/>
          </cell>
          <cell r="AQ70">
            <v>0</v>
          </cell>
        </row>
        <row r="71">
          <cell r="A71" t="str">
            <v>QUEEN ANNE'S COUNTY BOARD OF EDUCATION</v>
          </cell>
          <cell r="B71" t="str">
            <v>P</v>
          </cell>
          <cell r="C71" t="str">
            <v>Rate</v>
          </cell>
          <cell r="D71" t="str">
            <v>Agg.STP w/o  Sp</v>
          </cell>
          <cell r="E71" t="str">
            <v>QU92</v>
          </cell>
          <cell r="F71">
            <v>72182.06</v>
          </cell>
          <cell r="G71">
            <v>0</v>
          </cell>
          <cell r="H71">
            <v>8.5</v>
          </cell>
          <cell r="I71">
            <v>0</v>
          </cell>
          <cell r="J71">
            <v>0</v>
          </cell>
          <cell r="K71">
            <v>72190.559999999998</v>
          </cell>
          <cell r="L71">
            <v>0</v>
          </cell>
          <cell r="M71">
            <v>0</v>
          </cell>
          <cell r="N71">
            <v>0</v>
          </cell>
          <cell r="O71">
            <v>0</v>
          </cell>
          <cell r="P71">
            <v>0</v>
          </cell>
          <cell r="Q71">
            <v>0</v>
          </cell>
          <cell r="R71">
            <v>0</v>
          </cell>
          <cell r="S71">
            <v>0</v>
          </cell>
          <cell r="T71">
            <v>0</v>
          </cell>
          <cell r="U71">
            <v>0</v>
          </cell>
          <cell r="V71">
            <v>0</v>
          </cell>
          <cell r="W71">
            <v>0</v>
          </cell>
          <cell r="X71" t="str">
            <v/>
          </cell>
          <cell r="Y71" t="str">
            <v/>
          </cell>
          <cell r="Z71">
            <v>72190.559999999998</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t="str">
            <v/>
          </cell>
          <cell r="AP71" t="str">
            <v/>
          </cell>
          <cell r="AQ71">
            <v>0</v>
          </cell>
        </row>
        <row r="72">
          <cell r="A72" t="str">
            <v>SAMBA  STAFF AND DEPENDENT CHILDREN'S PL</v>
          </cell>
          <cell r="B72" t="str">
            <v>P</v>
          </cell>
          <cell r="C72" t="str">
            <v>C+R</v>
          </cell>
          <cell r="D72" t="str">
            <v>ASO w/o  Spec</v>
          </cell>
          <cell r="E72" t="str">
            <v>UP20</v>
          </cell>
          <cell r="F72">
            <v>512717.07</v>
          </cell>
          <cell r="G72">
            <v>0</v>
          </cell>
          <cell r="H72">
            <v>27165.27</v>
          </cell>
          <cell r="I72">
            <v>0</v>
          </cell>
          <cell r="J72">
            <v>0</v>
          </cell>
          <cell r="K72">
            <v>539882.34</v>
          </cell>
          <cell r="L72">
            <v>0</v>
          </cell>
          <cell r="M72">
            <v>0</v>
          </cell>
          <cell r="N72">
            <v>0</v>
          </cell>
          <cell r="O72">
            <v>112972.85</v>
          </cell>
          <cell r="P72">
            <v>7748.49</v>
          </cell>
          <cell r="Q72">
            <v>0</v>
          </cell>
          <cell r="R72">
            <v>0</v>
          </cell>
          <cell r="S72">
            <v>120721.34</v>
          </cell>
          <cell r="T72">
            <v>0</v>
          </cell>
          <cell r="U72">
            <v>0</v>
          </cell>
          <cell r="V72">
            <v>120721.34</v>
          </cell>
          <cell r="W72">
            <v>120721.34</v>
          </cell>
          <cell r="X72" t="str">
            <v/>
          </cell>
          <cell r="Y72" t="str">
            <v/>
          </cell>
          <cell r="Z72">
            <v>660603.68000000005</v>
          </cell>
          <cell r="AA72">
            <v>0</v>
          </cell>
          <cell r="AB72">
            <v>0</v>
          </cell>
          <cell r="AC72">
            <v>0</v>
          </cell>
          <cell r="AD72">
            <v>0</v>
          </cell>
          <cell r="AE72">
            <v>0</v>
          </cell>
          <cell r="AF72">
            <v>0</v>
          </cell>
          <cell r="AG72">
            <v>0</v>
          </cell>
          <cell r="AH72">
            <v>0</v>
          </cell>
          <cell r="AI72">
            <v>0</v>
          </cell>
          <cell r="AJ72">
            <v>1059.1400000000001</v>
          </cell>
          <cell r="AK72">
            <v>0</v>
          </cell>
          <cell r="AL72">
            <v>0</v>
          </cell>
          <cell r="AM72">
            <v>1059.1400000000001</v>
          </cell>
          <cell r="AN72">
            <v>1059.1400000000001</v>
          </cell>
          <cell r="AO72" t="str">
            <v/>
          </cell>
          <cell r="AP72" t="str">
            <v/>
          </cell>
          <cell r="AQ72">
            <v>1059.1400000000001</v>
          </cell>
        </row>
        <row r="73">
          <cell r="A73" t="str">
            <v>SAMBA ACTIVE EMPLOYEES AND RETIREE PLAN</v>
          </cell>
          <cell r="B73" t="str">
            <v>P</v>
          </cell>
          <cell r="C73" t="str">
            <v>C+R</v>
          </cell>
          <cell r="D73" t="str">
            <v>ASO w/o  Spec</v>
          </cell>
          <cell r="E73" t="str">
            <v>UP21</v>
          </cell>
          <cell r="F73">
            <v>9100604.9800000004</v>
          </cell>
          <cell r="G73">
            <v>0</v>
          </cell>
          <cell r="H73">
            <v>244563.87</v>
          </cell>
          <cell r="I73">
            <v>0</v>
          </cell>
          <cell r="J73">
            <v>0</v>
          </cell>
          <cell r="K73">
            <v>9345168.8499999996</v>
          </cell>
          <cell r="L73">
            <v>0</v>
          </cell>
          <cell r="M73">
            <v>0</v>
          </cell>
          <cell r="N73">
            <v>0</v>
          </cell>
          <cell r="O73">
            <v>694672.55</v>
          </cell>
          <cell r="P73">
            <v>47645.58</v>
          </cell>
          <cell r="Q73">
            <v>0</v>
          </cell>
          <cell r="R73">
            <v>0</v>
          </cell>
          <cell r="S73">
            <v>742318.13</v>
          </cell>
          <cell r="T73">
            <v>0</v>
          </cell>
          <cell r="U73">
            <v>0</v>
          </cell>
          <cell r="V73">
            <v>742318.13</v>
          </cell>
          <cell r="W73">
            <v>742318.13</v>
          </cell>
          <cell r="X73" t="str">
            <v/>
          </cell>
          <cell r="Y73" t="str">
            <v/>
          </cell>
          <cell r="Z73">
            <v>10087486.979999999</v>
          </cell>
          <cell r="AA73">
            <v>0</v>
          </cell>
          <cell r="AB73">
            <v>0</v>
          </cell>
          <cell r="AC73">
            <v>0</v>
          </cell>
          <cell r="AD73">
            <v>0</v>
          </cell>
          <cell r="AE73">
            <v>0</v>
          </cell>
          <cell r="AF73">
            <v>0</v>
          </cell>
          <cell r="AG73">
            <v>0</v>
          </cell>
          <cell r="AH73">
            <v>0</v>
          </cell>
          <cell r="AI73">
            <v>0</v>
          </cell>
          <cell r="AJ73">
            <v>-2266.61</v>
          </cell>
          <cell r="AK73">
            <v>0</v>
          </cell>
          <cell r="AL73">
            <v>0</v>
          </cell>
          <cell r="AM73">
            <v>-2266.61</v>
          </cell>
          <cell r="AN73">
            <v>-2266.61</v>
          </cell>
          <cell r="AO73" t="str">
            <v/>
          </cell>
          <cell r="AP73" t="str">
            <v/>
          </cell>
          <cell r="AQ73">
            <v>-2266.61</v>
          </cell>
        </row>
        <row r="74">
          <cell r="A74" t="str">
            <v>Sheet Metal Workers Assocation</v>
          </cell>
          <cell r="B74" t="str">
            <v>P</v>
          </cell>
          <cell r="C74" t="str">
            <v>Rate</v>
          </cell>
          <cell r="D74" t="str">
            <v>Agg.STP with Sp</v>
          </cell>
          <cell r="E74" t="str">
            <v>0Y02</v>
          </cell>
          <cell r="F74">
            <v>3627464.78</v>
          </cell>
          <cell r="G74">
            <v>15077.88</v>
          </cell>
          <cell r="H74">
            <v>108221.19</v>
          </cell>
          <cell r="I74">
            <v>0</v>
          </cell>
          <cell r="J74">
            <v>-28794.2</v>
          </cell>
          <cell r="K74">
            <v>3691813.89</v>
          </cell>
          <cell r="L74">
            <v>107207.98</v>
          </cell>
          <cell r="M74">
            <v>131638.07999999999</v>
          </cell>
          <cell r="N74">
            <v>238846.06</v>
          </cell>
          <cell r="O74">
            <v>265233.27</v>
          </cell>
          <cell r="P74">
            <v>26762.27</v>
          </cell>
          <cell r="Q74">
            <v>-23894.9</v>
          </cell>
          <cell r="R74">
            <v>0</v>
          </cell>
          <cell r="S74">
            <v>268100.64</v>
          </cell>
          <cell r="T74">
            <v>0</v>
          </cell>
          <cell r="U74">
            <v>0</v>
          </cell>
          <cell r="V74">
            <v>268100.64</v>
          </cell>
          <cell r="W74">
            <v>506946.7</v>
          </cell>
          <cell r="X74" t="str">
            <v/>
          </cell>
          <cell r="Y74" t="str">
            <v/>
          </cell>
          <cell r="Z74">
            <v>4198760.59</v>
          </cell>
          <cell r="AA74">
            <v>0</v>
          </cell>
          <cell r="AB74">
            <v>0</v>
          </cell>
          <cell r="AC74">
            <v>0</v>
          </cell>
          <cell r="AD74">
            <v>0</v>
          </cell>
          <cell r="AE74">
            <v>-54141.06</v>
          </cell>
          <cell r="AF74">
            <v>-54141.06</v>
          </cell>
          <cell r="AG74">
            <v>0</v>
          </cell>
          <cell r="AH74">
            <v>0</v>
          </cell>
          <cell r="AI74">
            <v>0</v>
          </cell>
          <cell r="AJ74">
            <v>-1682.48</v>
          </cell>
          <cell r="AK74">
            <v>0</v>
          </cell>
          <cell r="AL74">
            <v>0</v>
          </cell>
          <cell r="AM74">
            <v>-1682.48</v>
          </cell>
          <cell r="AN74">
            <v>-1682.48</v>
          </cell>
          <cell r="AO74" t="str">
            <v/>
          </cell>
          <cell r="AP74" t="str">
            <v/>
          </cell>
          <cell r="AQ74">
            <v>-55823.54</v>
          </cell>
        </row>
        <row r="75">
          <cell r="A75" t="str">
            <v>Sibley Memorial Hospital</v>
          </cell>
          <cell r="B75" t="str">
            <v>P</v>
          </cell>
          <cell r="C75" t="str">
            <v>C+R</v>
          </cell>
          <cell r="D75" t="str">
            <v>ASO with Spec</v>
          </cell>
          <cell r="E75" t="str">
            <v>D702</v>
          </cell>
          <cell r="F75">
            <v>2864306.26</v>
          </cell>
          <cell r="G75">
            <v>0</v>
          </cell>
          <cell r="H75">
            <v>7759.65</v>
          </cell>
          <cell r="I75">
            <v>25965.4</v>
          </cell>
          <cell r="J75">
            <v>0</v>
          </cell>
          <cell r="K75">
            <v>2898031.31</v>
          </cell>
          <cell r="L75">
            <v>166268.07</v>
          </cell>
          <cell r="M75">
            <v>31473.67</v>
          </cell>
          <cell r="N75">
            <v>197741.74</v>
          </cell>
          <cell r="O75">
            <v>500718.91</v>
          </cell>
          <cell r="P75">
            <v>55451.519999999997</v>
          </cell>
          <cell r="Q75">
            <v>0</v>
          </cell>
          <cell r="R75">
            <v>0</v>
          </cell>
          <cell r="S75">
            <v>556170.43000000005</v>
          </cell>
          <cell r="T75">
            <v>7132.12</v>
          </cell>
          <cell r="U75">
            <v>0</v>
          </cell>
          <cell r="V75">
            <v>563302.55000000005</v>
          </cell>
          <cell r="W75">
            <v>761044.29</v>
          </cell>
          <cell r="X75">
            <v>0</v>
          </cell>
          <cell r="Y75">
            <v>0</v>
          </cell>
          <cell r="Z75">
            <v>3659075.6</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row>
        <row r="76">
          <cell r="A76" t="str">
            <v>ST. MARY'S COUNTY COMMISSIONERS</v>
          </cell>
          <cell r="B76" t="str">
            <v>P</v>
          </cell>
          <cell r="C76" t="str">
            <v>Rate</v>
          </cell>
          <cell r="D76" t="str">
            <v>Agg.STP with Sp</v>
          </cell>
          <cell r="E76" t="str">
            <v>7J60</v>
          </cell>
          <cell r="F76">
            <v>85308.23</v>
          </cell>
          <cell r="G76">
            <v>0</v>
          </cell>
          <cell r="H76">
            <v>72.47</v>
          </cell>
          <cell r="I76">
            <v>2520.88</v>
          </cell>
          <cell r="J76">
            <v>0</v>
          </cell>
          <cell r="K76">
            <v>87901.58</v>
          </cell>
          <cell r="L76">
            <v>5677.51</v>
          </cell>
          <cell r="M76">
            <v>75.2</v>
          </cell>
          <cell r="N76">
            <v>5752.71</v>
          </cell>
          <cell r="O76">
            <v>25025.65</v>
          </cell>
          <cell r="P76">
            <v>2781.87</v>
          </cell>
          <cell r="Q76">
            <v>0</v>
          </cell>
          <cell r="R76">
            <v>0</v>
          </cell>
          <cell r="S76">
            <v>27807.52</v>
          </cell>
          <cell r="T76">
            <v>0</v>
          </cell>
          <cell r="U76">
            <v>0</v>
          </cell>
          <cell r="V76">
            <v>27807.52</v>
          </cell>
          <cell r="W76">
            <v>33560.230000000003</v>
          </cell>
          <cell r="X76" t="str">
            <v/>
          </cell>
          <cell r="Y76" t="str">
            <v/>
          </cell>
          <cell r="Z76">
            <v>121461.81</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t="str">
            <v/>
          </cell>
          <cell r="AP76" t="str">
            <v/>
          </cell>
          <cell r="AQ76">
            <v>0</v>
          </cell>
        </row>
        <row r="77">
          <cell r="A77" t="str">
            <v>ST. MARY'S COUNTY PUBLIC SCHOOLS</v>
          </cell>
          <cell r="B77" t="str">
            <v>P</v>
          </cell>
          <cell r="C77" t="str">
            <v>Rate</v>
          </cell>
          <cell r="D77" t="str">
            <v>Agg.STP with Sp</v>
          </cell>
          <cell r="E77" t="str">
            <v>7J61</v>
          </cell>
          <cell r="F77">
            <v>254736.86</v>
          </cell>
          <cell r="G77">
            <v>0</v>
          </cell>
          <cell r="H77">
            <v>8.49</v>
          </cell>
          <cell r="I77">
            <v>7671.87</v>
          </cell>
          <cell r="J77">
            <v>0</v>
          </cell>
          <cell r="K77">
            <v>262417.21999999997</v>
          </cell>
          <cell r="L77">
            <v>18357.060000000001</v>
          </cell>
          <cell r="M77">
            <v>131.13999999999999</v>
          </cell>
          <cell r="N77">
            <v>18488.2</v>
          </cell>
          <cell r="O77">
            <v>69161.990000000005</v>
          </cell>
          <cell r="P77">
            <v>7685.4</v>
          </cell>
          <cell r="Q77">
            <v>0</v>
          </cell>
          <cell r="R77">
            <v>0</v>
          </cell>
          <cell r="S77">
            <v>76847.39</v>
          </cell>
          <cell r="T77">
            <v>0</v>
          </cell>
          <cell r="U77">
            <v>0</v>
          </cell>
          <cell r="V77">
            <v>76847.39</v>
          </cell>
          <cell r="W77">
            <v>95335.59</v>
          </cell>
          <cell r="X77" t="str">
            <v/>
          </cell>
          <cell r="Y77" t="str">
            <v/>
          </cell>
          <cell r="Z77">
            <v>357752.81</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t="str">
            <v/>
          </cell>
          <cell r="AP77" t="str">
            <v/>
          </cell>
          <cell r="AQ77">
            <v>0</v>
          </cell>
        </row>
        <row r="78">
          <cell r="A78" t="str">
            <v>SUNBURST HOSPITALITES</v>
          </cell>
          <cell r="B78" t="str">
            <v>P</v>
          </cell>
          <cell r="C78" t="str">
            <v>C+R</v>
          </cell>
          <cell r="D78" t="str">
            <v>ASO w/o  Spec</v>
          </cell>
          <cell r="E78" t="str">
            <v>PK61</v>
          </cell>
          <cell r="F78">
            <v>274507.08</v>
          </cell>
          <cell r="G78">
            <v>0</v>
          </cell>
          <cell r="H78">
            <v>19165.7</v>
          </cell>
          <cell r="I78">
            <v>0</v>
          </cell>
          <cell r="J78">
            <v>-293672.78000000003</v>
          </cell>
          <cell r="K78">
            <v>0</v>
          </cell>
          <cell r="L78">
            <v>0</v>
          </cell>
          <cell r="M78">
            <v>0</v>
          </cell>
          <cell r="N78">
            <v>0</v>
          </cell>
          <cell r="O78">
            <v>0</v>
          </cell>
          <cell r="P78">
            <v>0</v>
          </cell>
          <cell r="Q78">
            <v>0</v>
          </cell>
          <cell r="R78">
            <v>0</v>
          </cell>
          <cell r="S78">
            <v>0</v>
          </cell>
          <cell r="T78">
            <v>0</v>
          </cell>
          <cell r="U78">
            <v>0</v>
          </cell>
          <cell r="V78">
            <v>0</v>
          </cell>
          <cell r="W78">
            <v>0</v>
          </cell>
          <cell r="X78" t="str">
            <v/>
          </cell>
          <cell r="Y78" t="str">
            <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t="str">
            <v/>
          </cell>
          <cell r="AP78" t="str">
            <v/>
          </cell>
          <cell r="AQ78">
            <v>0</v>
          </cell>
        </row>
        <row r="79">
          <cell r="A79" t="str">
            <v>T ROWE PRICE</v>
          </cell>
          <cell r="B79" t="str">
            <v>P</v>
          </cell>
          <cell r="C79" t="str">
            <v>C+R</v>
          </cell>
          <cell r="D79" t="str">
            <v>ASO with Spec</v>
          </cell>
          <cell r="E79" t="str">
            <v>7J30</v>
          </cell>
          <cell r="F79">
            <v>598882</v>
          </cell>
          <cell r="G79">
            <v>0</v>
          </cell>
          <cell r="H79">
            <v>173.31</v>
          </cell>
          <cell r="I79">
            <v>11966.4</v>
          </cell>
          <cell r="J79">
            <v>0</v>
          </cell>
          <cell r="K79">
            <v>611021.71</v>
          </cell>
          <cell r="L79">
            <v>31301</v>
          </cell>
          <cell r="M79">
            <v>0</v>
          </cell>
          <cell r="N79">
            <v>31301</v>
          </cell>
          <cell r="O79">
            <v>107753</v>
          </cell>
          <cell r="P79">
            <v>0</v>
          </cell>
          <cell r="Q79">
            <v>0</v>
          </cell>
          <cell r="R79">
            <v>0</v>
          </cell>
          <cell r="S79">
            <v>107753</v>
          </cell>
          <cell r="T79">
            <v>0</v>
          </cell>
          <cell r="U79">
            <v>0</v>
          </cell>
          <cell r="V79">
            <v>107753</v>
          </cell>
          <cell r="W79">
            <v>139054</v>
          </cell>
          <cell r="X79" t="str">
            <v/>
          </cell>
          <cell r="Y79" t="str">
            <v/>
          </cell>
          <cell r="Z79">
            <v>750075.71</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t="str">
            <v/>
          </cell>
          <cell r="AP79" t="str">
            <v/>
          </cell>
          <cell r="AQ79">
            <v>0</v>
          </cell>
        </row>
        <row r="80">
          <cell r="A80" t="str">
            <v>The American University</v>
          </cell>
          <cell r="B80" t="str">
            <v>P</v>
          </cell>
          <cell r="C80" t="str">
            <v>C+R</v>
          </cell>
          <cell r="D80" t="str">
            <v>ASO with Spec</v>
          </cell>
          <cell r="E80" t="str">
            <v>0Y10</v>
          </cell>
          <cell r="F80">
            <v>5036832.3899999997</v>
          </cell>
          <cell r="G80">
            <v>215375.74</v>
          </cell>
          <cell r="H80">
            <v>25876.61</v>
          </cell>
          <cell r="I80">
            <v>41586.54</v>
          </cell>
          <cell r="J80">
            <v>0</v>
          </cell>
          <cell r="K80">
            <v>4888919.8</v>
          </cell>
          <cell r="L80">
            <v>226944.09</v>
          </cell>
          <cell r="M80">
            <v>0</v>
          </cell>
          <cell r="N80">
            <v>226944.09</v>
          </cell>
          <cell r="O80">
            <v>571631.4</v>
          </cell>
          <cell r="P80">
            <v>63721.87</v>
          </cell>
          <cell r="Q80">
            <v>0</v>
          </cell>
          <cell r="R80">
            <v>0</v>
          </cell>
          <cell r="S80">
            <v>635353.27</v>
          </cell>
          <cell r="T80">
            <v>0</v>
          </cell>
          <cell r="U80">
            <v>0</v>
          </cell>
          <cell r="V80">
            <v>635353.27</v>
          </cell>
          <cell r="W80">
            <v>862297.36</v>
          </cell>
          <cell r="X80">
            <v>0</v>
          </cell>
          <cell r="Y80">
            <v>-241911.64</v>
          </cell>
          <cell r="Z80">
            <v>5509305.5200000005</v>
          </cell>
          <cell r="AA80">
            <v>0</v>
          </cell>
          <cell r="AB80">
            <v>-1055620.3600000001</v>
          </cell>
          <cell r="AC80">
            <v>0</v>
          </cell>
          <cell r="AD80">
            <v>0</v>
          </cell>
          <cell r="AE80">
            <v>0</v>
          </cell>
          <cell r="AF80">
            <v>1055620.3600000001</v>
          </cell>
          <cell r="AG80">
            <v>0</v>
          </cell>
          <cell r="AH80">
            <v>0</v>
          </cell>
          <cell r="AI80">
            <v>0</v>
          </cell>
          <cell r="AJ80">
            <v>2019</v>
          </cell>
          <cell r="AK80">
            <v>0</v>
          </cell>
          <cell r="AL80">
            <v>0</v>
          </cell>
          <cell r="AM80">
            <v>2019</v>
          </cell>
          <cell r="AN80">
            <v>2019</v>
          </cell>
          <cell r="AO80">
            <v>100000</v>
          </cell>
          <cell r="AP80">
            <v>-148250</v>
          </cell>
          <cell r="AQ80">
            <v>1009389.36</v>
          </cell>
        </row>
        <row r="81">
          <cell r="A81" t="str">
            <v>THE BROOKINGS INSTITUTION</v>
          </cell>
          <cell r="B81" t="str">
            <v>P</v>
          </cell>
          <cell r="C81" t="str">
            <v>C+R</v>
          </cell>
          <cell r="D81" t="str">
            <v>ASO w/o  Spec</v>
          </cell>
          <cell r="E81" t="str">
            <v>MR62</v>
          </cell>
          <cell r="F81">
            <v>12031.47</v>
          </cell>
          <cell r="G81">
            <v>0</v>
          </cell>
          <cell r="H81">
            <v>25.43</v>
          </cell>
          <cell r="I81">
            <v>0</v>
          </cell>
          <cell r="J81">
            <v>0</v>
          </cell>
          <cell r="K81">
            <v>12056.9</v>
          </cell>
          <cell r="L81">
            <v>0</v>
          </cell>
          <cell r="M81">
            <v>0</v>
          </cell>
          <cell r="N81">
            <v>0</v>
          </cell>
          <cell r="O81">
            <v>0</v>
          </cell>
          <cell r="P81">
            <v>0</v>
          </cell>
          <cell r="Q81">
            <v>0</v>
          </cell>
          <cell r="R81">
            <v>0</v>
          </cell>
          <cell r="S81">
            <v>0</v>
          </cell>
          <cell r="T81">
            <v>0</v>
          </cell>
          <cell r="U81">
            <v>0</v>
          </cell>
          <cell r="V81">
            <v>0</v>
          </cell>
          <cell r="W81">
            <v>0</v>
          </cell>
          <cell r="X81" t="str">
            <v/>
          </cell>
          <cell r="Y81" t="str">
            <v/>
          </cell>
          <cell r="Z81">
            <v>12056.9</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t="str">
            <v/>
          </cell>
          <cell r="AP81" t="str">
            <v/>
          </cell>
          <cell r="AQ81">
            <v>0</v>
          </cell>
        </row>
        <row r="82">
          <cell r="A82" t="str">
            <v>Transit Employees Hlth &amp; Welfare Fund</v>
          </cell>
          <cell r="B82" t="str">
            <v>P</v>
          </cell>
          <cell r="C82" t="str">
            <v>Rate</v>
          </cell>
          <cell r="D82" t="str">
            <v>ASO with Spec</v>
          </cell>
          <cell r="E82" t="str">
            <v>5498</v>
          </cell>
          <cell r="F82">
            <v>31489088.179999996</v>
          </cell>
          <cell r="G82">
            <v>375902.42</v>
          </cell>
          <cell r="H82">
            <v>277727.17</v>
          </cell>
          <cell r="I82">
            <v>57681.98</v>
          </cell>
          <cell r="J82">
            <v>0</v>
          </cell>
          <cell r="K82">
            <v>31448594.910000004</v>
          </cell>
          <cell r="L82">
            <v>549844.92000000004</v>
          </cell>
          <cell r="M82">
            <v>0</v>
          </cell>
          <cell r="N82">
            <v>549844.92000000004</v>
          </cell>
          <cell r="O82">
            <v>2309290.4700000002</v>
          </cell>
          <cell r="P82">
            <v>257360.68</v>
          </cell>
          <cell r="Q82">
            <v>0</v>
          </cell>
          <cell r="R82">
            <v>0</v>
          </cell>
          <cell r="S82">
            <v>2566651.15</v>
          </cell>
          <cell r="T82">
            <v>0</v>
          </cell>
          <cell r="U82">
            <v>0</v>
          </cell>
          <cell r="V82">
            <v>2566651.15</v>
          </cell>
          <cell r="W82">
            <v>3116496.07</v>
          </cell>
          <cell r="X82" t="str">
            <v/>
          </cell>
          <cell r="Y82" t="str">
            <v/>
          </cell>
          <cell r="Z82">
            <v>34565090.979999997</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t="str">
            <v/>
          </cell>
          <cell r="AP82" t="str">
            <v/>
          </cell>
          <cell r="AQ82">
            <v>0</v>
          </cell>
        </row>
        <row r="83">
          <cell r="A83" t="str">
            <v>VERIZON</v>
          </cell>
          <cell r="B83" t="str">
            <v>P</v>
          </cell>
          <cell r="C83" t="str">
            <v>Rate</v>
          </cell>
          <cell r="D83" t="str">
            <v>ASO with Spec</v>
          </cell>
          <cell r="E83" t="str">
            <v>UH58</v>
          </cell>
          <cell r="F83">
            <v>9484612.2200000007</v>
          </cell>
          <cell r="G83">
            <v>116735.86</v>
          </cell>
          <cell r="H83">
            <v>10696.01</v>
          </cell>
          <cell r="I83">
            <v>0</v>
          </cell>
          <cell r="J83">
            <v>0</v>
          </cell>
          <cell r="K83">
            <v>9378572.3699999992</v>
          </cell>
          <cell r="L83">
            <v>94954.02</v>
          </cell>
          <cell r="M83">
            <v>0</v>
          </cell>
          <cell r="N83">
            <v>94954.02</v>
          </cell>
          <cell r="O83">
            <v>675581.86</v>
          </cell>
          <cell r="P83">
            <v>75378.7</v>
          </cell>
          <cell r="Q83">
            <v>0</v>
          </cell>
          <cell r="R83">
            <v>0</v>
          </cell>
          <cell r="S83">
            <v>750960.56</v>
          </cell>
          <cell r="T83">
            <v>0</v>
          </cell>
          <cell r="U83">
            <v>0</v>
          </cell>
          <cell r="V83">
            <v>750960.56</v>
          </cell>
          <cell r="W83">
            <v>845914.58</v>
          </cell>
          <cell r="X83" t="str">
            <v/>
          </cell>
          <cell r="Y83" t="str">
            <v/>
          </cell>
          <cell r="Z83">
            <v>10224486.949999999</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t="str">
            <v/>
          </cell>
          <cell r="AP83" t="str">
            <v/>
          </cell>
          <cell r="AQ83">
            <v>0</v>
          </cell>
        </row>
        <row r="84">
          <cell r="A84" t="str">
            <v>Wash. Metro Area Transit Authority</v>
          </cell>
          <cell r="B84" t="str">
            <v>P</v>
          </cell>
          <cell r="C84" t="str">
            <v>Rate</v>
          </cell>
          <cell r="D84" t="str">
            <v>Agg.STP with Sp</v>
          </cell>
          <cell r="E84" t="str">
            <v>R330</v>
          </cell>
          <cell r="F84">
            <v>4002350.92</v>
          </cell>
          <cell r="G84">
            <v>560199.52</v>
          </cell>
          <cell r="H84">
            <v>26659.59</v>
          </cell>
          <cell r="I84">
            <v>0</v>
          </cell>
          <cell r="J84">
            <v>-338823.45</v>
          </cell>
          <cell r="K84">
            <v>3129987.54</v>
          </cell>
          <cell r="L84">
            <v>223609.55</v>
          </cell>
          <cell r="M84">
            <v>104667.65</v>
          </cell>
          <cell r="N84">
            <v>328277.2</v>
          </cell>
          <cell r="O84">
            <v>317568.15999999997</v>
          </cell>
          <cell r="P84">
            <v>33729.599999999999</v>
          </cell>
          <cell r="Q84">
            <v>-14015.81</v>
          </cell>
          <cell r="R84">
            <v>0</v>
          </cell>
          <cell r="S84">
            <v>337281.95</v>
          </cell>
          <cell r="T84">
            <v>0</v>
          </cell>
          <cell r="U84">
            <v>0</v>
          </cell>
          <cell r="V84">
            <v>337281.95</v>
          </cell>
          <cell r="W84">
            <v>665559.15</v>
          </cell>
          <cell r="X84" t="str">
            <v/>
          </cell>
          <cell r="Y84" t="str">
            <v/>
          </cell>
          <cell r="Z84">
            <v>3795546.69</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t="str">
            <v/>
          </cell>
          <cell r="AP84" t="str">
            <v/>
          </cell>
          <cell r="AQ84">
            <v>0</v>
          </cell>
        </row>
        <row r="85">
          <cell r="A85" t="str">
            <v>WASHINGTON GAS</v>
          </cell>
          <cell r="B85" t="str">
            <v>P</v>
          </cell>
          <cell r="C85" t="str">
            <v>C+R</v>
          </cell>
          <cell r="D85" t="str">
            <v>ASO w/o  Spec</v>
          </cell>
          <cell r="E85" t="str">
            <v>TD95</v>
          </cell>
          <cell r="F85">
            <v>15635154.109999999</v>
          </cell>
          <cell r="G85">
            <v>0</v>
          </cell>
          <cell r="H85">
            <v>329579.11</v>
          </cell>
          <cell r="I85">
            <v>0</v>
          </cell>
          <cell r="J85">
            <v>0</v>
          </cell>
          <cell r="K85">
            <v>15964733.219999999</v>
          </cell>
          <cell r="L85">
            <v>0</v>
          </cell>
          <cell r="M85">
            <v>0</v>
          </cell>
          <cell r="N85">
            <v>0</v>
          </cell>
          <cell r="O85">
            <v>1265973.19</v>
          </cell>
          <cell r="P85">
            <v>0</v>
          </cell>
          <cell r="Q85">
            <v>0</v>
          </cell>
          <cell r="R85">
            <v>0</v>
          </cell>
          <cell r="S85">
            <v>1265973.19</v>
          </cell>
          <cell r="T85">
            <v>0</v>
          </cell>
          <cell r="U85">
            <v>0</v>
          </cell>
          <cell r="V85">
            <v>1265973.19</v>
          </cell>
          <cell r="W85">
            <v>1265973.19</v>
          </cell>
          <cell r="X85" t="str">
            <v/>
          </cell>
          <cell r="Y85" t="str">
            <v/>
          </cell>
          <cell r="Z85">
            <v>17230706.41</v>
          </cell>
          <cell r="AA85">
            <v>0</v>
          </cell>
          <cell r="AB85">
            <v>0</v>
          </cell>
          <cell r="AC85">
            <v>0</v>
          </cell>
          <cell r="AD85">
            <v>0</v>
          </cell>
          <cell r="AE85">
            <v>0</v>
          </cell>
          <cell r="AF85">
            <v>0</v>
          </cell>
          <cell r="AG85">
            <v>0</v>
          </cell>
          <cell r="AH85">
            <v>0</v>
          </cell>
          <cell r="AI85">
            <v>0</v>
          </cell>
          <cell r="AJ85">
            <v>4088.51</v>
          </cell>
          <cell r="AK85">
            <v>0</v>
          </cell>
          <cell r="AL85">
            <v>0</v>
          </cell>
          <cell r="AM85">
            <v>4088.51</v>
          </cell>
          <cell r="AN85">
            <v>4088.51</v>
          </cell>
          <cell r="AO85">
            <v>0</v>
          </cell>
          <cell r="AP85">
            <v>-27000</v>
          </cell>
          <cell r="AQ85">
            <v>-22911.49</v>
          </cell>
        </row>
        <row r="86">
          <cell r="A86" t="str">
            <v>WICOMICO COUNTY</v>
          </cell>
          <cell r="B86" t="str">
            <v>P</v>
          </cell>
          <cell r="C86" t="str">
            <v>Rate</v>
          </cell>
          <cell r="D86" t="str">
            <v>Agg.STP w/o  Sp</v>
          </cell>
          <cell r="E86" t="str">
            <v>QU93</v>
          </cell>
          <cell r="F86">
            <v>16016.52</v>
          </cell>
          <cell r="G86">
            <v>0</v>
          </cell>
          <cell r="H86">
            <v>0</v>
          </cell>
          <cell r="I86">
            <v>0</v>
          </cell>
          <cell r="J86">
            <v>-6412.23</v>
          </cell>
          <cell r="K86">
            <v>9604.2900000000009</v>
          </cell>
          <cell r="L86">
            <v>0</v>
          </cell>
          <cell r="M86">
            <v>0</v>
          </cell>
          <cell r="N86">
            <v>0</v>
          </cell>
          <cell r="O86">
            <v>0</v>
          </cell>
          <cell r="P86">
            <v>0</v>
          </cell>
          <cell r="Q86">
            <v>0</v>
          </cell>
          <cell r="R86">
            <v>0</v>
          </cell>
          <cell r="S86">
            <v>0</v>
          </cell>
          <cell r="T86">
            <v>0</v>
          </cell>
          <cell r="U86">
            <v>0</v>
          </cell>
          <cell r="V86">
            <v>0</v>
          </cell>
          <cell r="W86">
            <v>0</v>
          </cell>
          <cell r="X86" t="str">
            <v/>
          </cell>
          <cell r="Y86" t="str">
            <v/>
          </cell>
          <cell r="Z86">
            <v>9604.2900000000009</v>
          </cell>
          <cell r="AA86">
            <v>0</v>
          </cell>
          <cell r="AB86">
            <v>0</v>
          </cell>
          <cell r="AC86">
            <v>0</v>
          </cell>
          <cell r="AD86">
            <v>0</v>
          </cell>
          <cell r="AE86">
            <v>6368.73</v>
          </cell>
          <cell r="AF86">
            <v>6368.73</v>
          </cell>
          <cell r="AG86">
            <v>0</v>
          </cell>
          <cell r="AH86">
            <v>0</v>
          </cell>
          <cell r="AI86">
            <v>0</v>
          </cell>
          <cell r="AJ86">
            <v>0</v>
          </cell>
          <cell r="AK86">
            <v>0</v>
          </cell>
          <cell r="AL86">
            <v>0</v>
          </cell>
          <cell r="AM86">
            <v>0</v>
          </cell>
          <cell r="AN86">
            <v>0</v>
          </cell>
          <cell r="AO86" t="str">
            <v/>
          </cell>
          <cell r="AP86" t="str">
            <v/>
          </cell>
          <cell r="AQ86">
            <v>6368.73</v>
          </cell>
        </row>
        <row r="87">
          <cell r="A87" t="str">
            <v>WORLD WILDLIFE FUND, INC.</v>
          </cell>
          <cell r="B87" t="str">
            <v>P</v>
          </cell>
          <cell r="C87" t="str">
            <v>C+R</v>
          </cell>
          <cell r="D87" t="str">
            <v>Agg.STP with Sp</v>
          </cell>
          <cell r="E87" t="str">
            <v>6D43</v>
          </cell>
          <cell r="F87">
            <v>831678.68</v>
          </cell>
          <cell r="G87">
            <v>56498.18</v>
          </cell>
          <cell r="H87">
            <v>4199.63</v>
          </cell>
          <cell r="I87">
            <v>2526.7199999999998</v>
          </cell>
          <cell r="J87">
            <v>0</v>
          </cell>
          <cell r="K87">
            <v>781906.85</v>
          </cell>
          <cell r="L87">
            <v>130796.36</v>
          </cell>
          <cell r="M87">
            <v>15901.81</v>
          </cell>
          <cell r="N87">
            <v>146698.17000000001</v>
          </cell>
          <cell r="O87">
            <v>197811.22</v>
          </cell>
          <cell r="P87">
            <v>0</v>
          </cell>
          <cell r="Q87">
            <v>0</v>
          </cell>
          <cell r="R87">
            <v>0</v>
          </cell>
          <cell r="S87">
            <v>197811.22</v>
          </cell>
          <cell r="T87">
            <v>0</v>
          </cell>
          <cell r="U87">
            <v>0</v>
          </cell>
          <cell r="V87">
            <v>197811.22</v>
          </cell>
          <cell r="W87">
            <v>344509.39</v>
          </cell>
          <cell r="X87" t="str">
            <v/>
          </cell>
          <cell r="Y87" t="str">
            <v/>
          </cell>
          <cell r="Z87">
            <v>1126416.24</v>
          </cell>
          <cell r="AA87">
            <v>0</v>
          </cell>
          <cell r="AB87">
            <v>0</v>
          </cell>
          <cell r="AC87">
            <v>0</v>
          </cell>
          <cell r="AD87">
            <v>3305.04</v>
          </cell>
          <cell r="AE87">
            <v>0</v>
          </cell>
          <cell r="AF87">
            <v>3305.04</v>
          </cell>
          <cell r="AG87">
            <v>12146.3</v>
          </cell>
          <cell r="AH87">
            <v>794.45</v>
          </cell>
          <cell r="AI87">
            <v>12940.75</v>
          </cell>
          <cell r="AJ87">
            <v>8994.5</v>
          </cell>
          <cell r="AK87">
            <v>0</v>
          </cell>
          <cell r="AL87">
            <v>0</v>
          </cell>
          <cell r="AM87">
            <v>8994.5</v>
          </cell>
          <cell r="AN87">
            <v>21935.25</v>
          </cell>
          <cell r="AO87" t="str">
            <v/>
          </cell>
          <cell r="AP87" t="str">
            <v/>
          </cell>
          <cell r="AQ87">
            <v>25240.29</v>
          </cell>
        </row>
      </sheetData>
      <sheetData sheetId="5" refreshError="1"/>
      <sheetData sheetId="6" refreshError="1">
        <row r="3">
          <cell r="C3" t="str">
            <v>7J68</v>
          </cell>
          <cell r="D3">
            <v>0</v>
          </cell>
          <cell r="E3">
            <v>0</v>
          </cell>
          <cell r="F3">
            <v>0</v>
          </cell>
          <cell r="G3">
            <v>7533</v>
          </cell>
          <cell r="H3">
            <v>0</v>
          </cell>
          <cell r="I3">
            <v>0</v>
          </cell>
          <cell r="J3">
            <v>0</v>
          </cell>
          <cell r="K3">
            <v>0</v>
          </cell>
        </row>
        <row r="4">
          <cell r="C4" t="str">
            <v>WE54</v>
          </cell>
          <cell r="D4">
            <v>20590.36</v>
          </cell>
          <cell r="E4">
            <v>22996.204928715579</v>
          </cell>
          <cell r="F4">
            <v>5298</v>
          </cell>
          <cell r="G4">
            <v>4890.6319999999996</v>
          </cell>
          <cell r="H4">
            <v>3.8864401661004155</v>
          </cell>
          <cell r="I4">
            <v>4.7020926801925764</v>
          </cell>
          <cell r="J4">
            <v>0.1168432668838999</v>
          </cell>
          <cell r="K4">
            <v>0.20987136794404115</v>
          </cell>
        </row>
        <row r="5">
          <cell r="C5" t="str">
            <v>QU09</v>
          </cell>
          <cell r="D5">
            <v>0</v>
          </cell>
          <cell r="E5">
            <v>0</v>
          </cell>
          <cell r="F5">
            <v>0</v>
          </cell>
          <cell r="G5">
            <v>0</v>
          </cell>
          <cell r="H5">
            <v>0</v>
          </cell>
          <cell r="I5">
            <v>0</v>
          </cell>
          <cell r="J5">
            <v>0</v>
          </cell>
          <cell r="K5">
            <v>0</v>
          </cell>
        </row>
        <row r="6">
          <cell r="C6" t="str">
            <v>3499</v>
          </cell>
          <cell r="D6">
            <v>0</v>
          </cell>
          <cell r="E6">
            <v>0</v>
          </cell>
          <cell r="F6">
            <v>9250</v>
          </cell>
          <cell r="G6">
            <v>9537.5479999999989</v>
          </cell>
          <cell r="H6">
            <v>0</v>
          </cell>
          <cell r="I6">
            <v>0</v>
          </cell>
          <cell r="J6">
            <v>0</v>
          </cell>
          <cell r="K6">
            <v>0</v>
          </cell>
        </row>
        <row r="7">
          <cell r="C7" t="str">
            <v>0F19</v>
          </cell>
          <cell r="D7">
            <v>17913.919999999998</v>
          </cell>
          <cell r="E7">
            <v>11807.767807386863</v>
          </cell>
          <cell r="F7">
            <v>3815</v>
          </cell>
          <cell r="G7">
            <v>3858.4519999999998</v>
          </cell>
          <cell r="H7">
            <v>4.6956539973787672</v>
          </cell>
          <cell r="I7">
            <v>3.0602344690012635</v>
          </cell>
          <cell r="J7">
            <v>-0.34086074921698528</v>
          </cell>
          <cell r="K7">
            <v>-0.34828365320154253</v>
          </cell>
        </row>
        <row r="8">
          <cell r="C8" t="str">
            <v>3V86</v>
          </cell>
          <cell r="D8">
            <v>21977.67</v>
          </cell>
          <cell r="E8">
            <v>22863.759999999998</v>
          </cell>
          <cell r="F8">
            <v>42019</v>
          </cell>
          <cell r="G8">
            <v>43739</v>
          </cell>
          <cell r="H8">
            <v>0.52304124324710255</v>
          </cell>
          <cell r="I8">
            <v>0.52273165824550172</v>
          </cell>
          <cell r="J8">
            <v>4.0317740688617043E-2</v>
          </cell>
          <cell r="K8">
            <v>-5.918940534763717E-4</v>
          </cell>
        </row>
        <row r="9">
          <cell r="C9" t="str">
            <v>7L25</v>
          </cell>
          <cell r="D9">
            <v>0</v>
          </cell>
          <cell r="E9">
            <v>0</v>
          </cell>
          <cell r="F9">
            <v>0</v>
          </cell>
          <cell r="G9">
            <v>0</v>
          </cell>
          <cell r="H9">
            <v>0</v>
          </cell>
          <cell r="I9">
            <v>0</v>
          </cell>
          <cell r="J9">
            <v>0</v>
          </cell>
          <cell r="K9">
            <v>0</v>
          </cell>
        </row>
        <row r="10">
          <cell r="C10" t="str">
            <v>R12A</v>
          </cell>
          <cell r="D10">
            <v>0</v>
          </cell>
          <cell r="E10">
            <v>0</v>
          </cell>
          <cell r="F10">
            <v>85882</v>
          </cell>
          <cell r="G10">
            <v>88070.383999999991</v>
          </cell>
          <cell r="H10">
            <v>0</v>
          </cell>
          <cell r="I10">
            <v>0</v>
          </cell>
          <cell r="J10">
            <v>0</v>
          </cell>
          <cell r="K10">
            <v>0</v>
          </cell>
        </row>
        <row r="11">
          <cell r="C11" t="str">
            <v>R12B</v>
          </cell>
          <cell r="D11">
            <v>0</v>
          </cell>
          <cell r="E11">
            <v>0</v>
          </cell>
          <cell r="F11">
            <v>53996</v>
          </cell>
          <cell r="G11">
            <v>54492.791999999987</v>
          </cell>
          <cell r="H11">
            <v>0</v>
          </cell>
          <cell r="I11">
            <v>0</v>
          </cell>
          <cell r="J11">
            <v>0</v>
          </cell>
          <cell r="K11">
            <v>0</v>
          </cell>
        </row>
        <row r="12">
          <cell r="C12" t="str">
            <v>TD96</v>
          </cell>
          <cell r="D12">
            <v>0</v>
          </cell>
          <cell r="E12">
            <v>0</v>
          </cell>
          <cell r="F12">
            <v>34071</v>
          </cell>
          <cell r="G12">
            <v>34185</v>
          </cell>
          <cell r="H12">
            <v>0</v>
          </cell>
          <cell r="I12">
            <v>0</v>
          </cell>
          <cell r="J12">
            <v>0</v>
          </cell>
          <cell r="K12">
            <v>0</v>
          </cell>
        </row>
        <row r="13">
          <cell r="C13" t="str">
            <v>7J62</v>
          </cell>
          <cell r="D13">
            <v>3020.56</v>
          </cell>
          <cell r="E13">
            <v>3667.41</v>
          </cell>
          <cell r="F13">
            <v>807</v>
          </cell>
          <cell r="G13">
            <v>880</v>
          </cell>
          <cell r="H13">
            <v>3.742949194547708</v>
          </cell>
          <cell r="I13">
            <v>4.167511363636363</v>
          </cell>
          <cell r="J13">
            <v>0.21414903196758184</v>
          </cell>
          <cell r="K13">
            <v>0.11342985090663471</v>
          </cell>
        </row>
        <row r="14">
          <cell r="C14" t="str">
            <v>4N01</v>
          </cell>
          <cell r="D14">
            <v>5326.51</v>
          </cell>
          <cell r="E14">
            <v>6445.7779120000005</v>
          </cell>
          <cell r="F14">
            <v>7394</v>
          </cell>
          <cell r="G14">
            <v>7738.152</v>
          </cell>
          <cell r="H14">
            <v>0.72038274276440351</v>
          </cell>
          <cell r="I14">
            <v>0.83298672758043524</v>
          </cell>
          <cell r="J14">
            <v>0.21013157057810861</v>
          </cell>
          <cell r="K14">
            <v>0.15631133025747412</v>
          </cell>
        </row>
        <row r="15">
          <cell r="C15" t="str">
            <v>7J67</v>
          </cell>
          <cell r="D15">
            <v>480.62</v>
          </cell>
          <cell r="E15">
            <v>2778.7241280000003</v>
          </cell>
          <cell r="F15">
            <v>469</v>
          </cell>
          <cell r="G15">
            <v>3139.2880000000005</v>
          </cell>
          <cell r="H15">
            <v>1.0247761194029852</v>
          </cell>
          <cell r="I15">
            <v>0.88514469777860449</v>
          </cell>
          <cell r="J15">
            <v>4.7815407764970255</v>
          </cell>
          <cell r="K15">
            <v>-0.13625553814205515</v>
          </cell>
        </row>
        <row r="16">
          <cell r="C16" t="str">
            <v>7J53</v>
          </cell>
          <cell r="D16">
            <v>0</v>
          </cell>
          <cell r="E16">
            <v>0</v>
          </cell>
          <cell r="F16">
            <v>61554</v>
          </cell>
          <cell r="G16">
            <v>60256.083999999995</v>
          </cell>
          <cell r="H16">
            <v>0</v>
          </cell>
          <cell r="I16">
            <v>0</v>
          </cell>
          <cell r="J16">
            <v>0</v>
          </cell>
          <cell r="K16">
            <v>0</v>
          </cell>
        </row>
        <row r="17">
          <cell r="C17" t="str">
            <v>NP50</v>
          </cell>
          <cell r="D17">
            <v>0</v>
          </cell>
          <cell r="E17">
            <v>0</v>
          </cell>
          <cell r="F17">
            <v>0</v>
          </cell>
          <cell r="G17">
            <v>0</v>
          </cell>
          <cell r="H17">
            <v>0</v>
          </cell>
          <cell r="I17">
            <v>0</v>
          </cell>
          <cell r="J17">
            <v>0</v>
          </cell>
          <cell r="K17">
            <v>0</v>
          </cell>
        </row>
        <row r="18">
          <cell r="C18" t="str">
            <v>U926</v>
          </cell>
          <cell r="D18">
            <v>45289.07</v>
          </cell>
          <cell r="E18">
            <v>54018.77</v>
          </cell>
          <cell r="F18">
            <v>7144</v>
          </cell>
          <cell r="G18">
            <v>7174</v>
          </cell>
          <cell r="H18">
            <v>6.3394554871220619</v>
          </cell>
          <cell r="I18">
            <v>7.5297978812378021</v>
          </cell>
          <cell r="J18">
            <v>0.19275511729430472</v>
          </cell>
          <cell r="K18">
            <v>0.18776729271682657</v>
          </cell>
        </row>
        <row r="19">
          <cell r="C19" t="str">
            <v>4N00</v>
          </cell>
          <cell r="D19">
            <v>15277.86</v>
          </cell>
          <cell r="E19">
            <v>20325.180960000005</v>
          </cell>
          <cell r="F19">
            <v>6618</v>
          </cell>
          <cell r="G19">
            <v>7463.496000000001</v>
          </cell>
          <cell r="H19">
            <v>2.3085312783318224</v>
          </cell>
          <cell r="I19">
            <v>2.7232788709205447</v>
          </cell>
          <cell r="J19">
            <v>0.33036832121776238</v>
          </cell>
          <cell r="K19">
            <v>0.17965864118090913</v>
          </cell>
        </row>
        <row r="20">
          <cell r="C20" t="str">
            <v>TM30</v>
          </cell>
          <cell r="D20">
            <v>0</v>
          </cell>
          <cell r="E20">
            <v>0</v>
          </cell>
          <cell r="F20">
            <v>0</v>
          </cell>
          <cell r="G20">
            <v>0</v>
          </cell>
          <cell r="H20">
            <v>0</v>
          </cell>
          <cell r="I20">
            <v>0</v>
          </cell>
          <cell r="J20">
            <v>0</v>
          </cell>
          <cell r="K20">
            <v>0</v>
          </cell>
        </row>
        <row r="21">
          <cell r="C21" t="str">
            <v>4N02</v>
          </cell>
          <cell r="D21">
            <v>37313.440000000002</v>
          </cell>
          <cell r="E21">
            <v>31436.336048000001</v>
          </cell>
          <cell r="F21">
            <v>20857</v>
          </cell>
          <cell r="G21">
            <v>21346.367999999995</v>
          </cell>
          <cell r="H21">
            <v>1.7890128014575444</v>
          </cell>
          <cell r="I21">
            <v>1.4726784457196658</v>
          </cell>
          <cell r="J21">
            <v>-0.15750635567237969</v>
          </cell>
          <cell r="K21">
            <v>-0.17682062167478885</v>
          </cell>
        </row>
        <row r="22">
          <cell r="C22" t="str">
            <v>1A20</v>
          </cell>
          <cell r="D22">
            <v>0</v>
          </cell>
          <cell r="E22">
            <v>0</v>
          </cell>
          <cell r="F22">
            <v>76382</v>
          </cell>
          <cell r="G22">
            <v>83035.09599999999</v>
          </cell>
          <cell r="H22">
            <v>0</v>
          </cell>
          <cell r="I22">
            <v>0</v>
          </cell>
          <cell r="J22">
            <v>0</v>
          </cell>
          <cell r="K22">
            <v>0</v>
          </cell>
        </row>
        <row r="23">
          <cell r="C23" t="str">
            <v>NJ52</v>
          </cell>
          <cell r="D23">
            <v>79784.460000000006</v>
          </cell>
          <cell r="E23">
            <v>98576.4</v>
          </cell>
          <cell r="F23">
            <v>26741</v>
          </cell>
          <cell r="G23">
            <v>29349</v>
          </cell>
          <cell r="H23">
            <v>2.9836004637074156</v>
          </cell>
          <cell r="I23">
            <v>3.3587652049473573</v>
          </cell>
          <cell r="J23">
            <v>0.23553383704044606</v>
          </cell>
          <cell r="K23">
            <v>0.12574228547134725</v>
          </cell>
        </row>
        <row r="24">
          <cell r="C24" t="str">
            <v>7S72</v>
          </cell>
          <cell r="D24">
            <v>0</v>
          </cell>
          <cell r="E24">
            <v>0</v>
          </cell>
          <cell r="F24">
            <v>1142</v>
          </cell>
          <cell r="G24">
            <v>1079.4079999999999</v>
          </cell>
          <cell r="H24">
            <v>0</v>
          </cell>
          <cell r="I24">
            <v>0</v>
          </cell>
          <cell r="J24">
            <v>0</v>
          </cell>
          <cell r="K24">
            <v>0</v>
          </cell>
        </row>
        <row r="25">
          <cell r="C25" t="str">
            <v>R189</v>
          </cell>
          <cell r="D25">
            <v>59208.75</v>
          </cell>
          <cell r="E25">
            <v>58357.07</v>
          </cell>
          <cell r="F25">
            <v>32213</v>
          </cell>
          <cell r="G25">
            <v>31602</v>
          </cell>
          <cell r="H25">
            <v>1.8380389904696859</v>
          </cell>
          <cell r="I25">
            <v>1.8466258464654137</v>
          </cell>
          <cell r="J25">
            <v>-1.4384360419701259E-2</v>
          </cell>
          <cell r="K25">
            <v>4.6717485538940728E-3</v>
          </cell>
        </row>
        <row r="26">
          <cell r="C26" t="str">
            <v>7J01</v>
          </cell>
          <cell r="D26">
            <v>0</v>
          </cell>
          <cell r="E26">
            <v>0</v>
          </cell>
          <cell r="F26">
            <v>0</v>
          </cell>
          <cell r="G26">
            <v>0</v>
          </cell>
          <cell r="H26">
            <v>0</v>
          </cell>
          <cell r="I26">
            <v>0</v>
          </cell>
          <cell r="J26">
            <v>0</v>
          </cell>
          <cell r="K26">
            <v>0</v>
          </cell>
        </row>
        <row r="27">
          <cell r="C27" t="str">
            <v>XM70</v>
          </cell>
          <cell r="D27">
            <v>47036.86</v>
          </cell>
          <cell r="E27">
            <v>47107.494323040002</v>
          </cell>
          <cell r="F27">
            <v>29405</v>
          </cell>
          <cell r="G27">
            <v>32711.26400000001</v>
          </cell>
          <cell r="H27">
            <v>1.5996211528651587</v>
          </cell>
          <cell r="I27">
            <v>1.440100092831631</v>
          </cell>
          <cell r="J27">
            <v>1.501680236308589E-3</v>
          </cell>
          <cell r="K27">
            <v>-9.9724275180908872E-2</v>
          </cell>
        </row>
        <row r="28">
          <cell r="C28" t="str">
            <v>MR63</v>
          </cell>
          <cell r="D28">
            <v>0</v>
          </cell>
          <cell r="E28">
            <v>0</v>
          </cell>
          <cell r="F28">
            <v>16</v>
          </cell>
          <cell r="G28">
            <v>0</v>
          </cell>
          <cell r="H28">
            <v>0</v>
          </cell>
          <cell r="I28">
            <v>0</v>
          </cell>
          <cell r="J28">
            <v>0</v>
          </cell>
          <cell r="K28">
            <v>0</v>
          </cell>
        </row>
        <row r="29">
          <cell r="C29" t="str">
            <v>7B75</v>
          </cell>
          <cell r="D29">
            <v>2897.16</v>
          </cell>
          <cell r="E29">
            <v>4857.9799999999996</v>
          </cell>
          <cell r="F29">
            <v>1096</v>
          </cell>
          <cell r="G29">
            <v>1245</v>
          </cell>
          <cell r="H29">
            <v>2.6433941605839415</v>
          </cell>
          <cell r="I29">
            <v>3.9019919678714854</v>
          </cell>
          <cell r="J29">
            <v>0.67680763230197849</v>
          </cell>
          <cell r="K29">
            <v>0.4761294498015809</v>
          </cell>
        </row>
        <row r="30">
          <cell r="C30" t="str">
            <v>R802</v>
          </cell>
          <cell r="D30">
            <v>26349.88</v>
          </cell>
          <cell r="E30">
            <v>28990.44</v>
          </cell>
          <cell r="F30">
            <v>14252</v>
          </cell>
          <cell r="G30">
            <v>15943</v>
          </cell>
          <cell r="H30">
            <v>1.8488548975582373</v>
          </cell>
          <cell r="I30">
            <v>1.8183804804616441</v>
          </cell>
          <cell r="J30">
            <v>0.10021146206358411</v>
          </cell>
          <cell r="K30">
            <v>-1.6482860356883844E-2</v>
          </cell>
        </row>
        <row r="31">
          <cell r="C31" t="str">
            <v>R446</v>
          </cell>
          <cell r="D31">
            <v>0</v>
          </cell>
          <cell r="E31">
            <v>0</v>
          </cell>
          <cell r="F31">
            <v>5385</v>
          </cell>
          <cell r="G31">
            <v>5210</v>
          </cell>
          <cell r="H31">
            <v>0</v>
          </cell>
          <cell r="I31">
            <v>0</v>
          </cell>
          <cell r="J31">
            <v>0</v>
          </cell>
          <cell r="K31">
            <v>0</v>
          </cell>
        </row>
        <row r="32">
          <cell r="C32" t="str">
            <v>R304</v>
          </cell>
          <cell r="D32">
            <v>0</v>
          </cell>
          <cell r="E32">
            <v>0</v>
          </cell>
          <cell r="F32">
            <v>0</v>
          </cell>
          <cell r="G32">
            <v>0</v>
          </cell>
          <cell r="H32">
            <v>0</v>
          </cell>
          <cell r="I32">
            <v>0</v>
          </cell>
          <cell r="J32">
            <v>0</v>
          </cell>
          <cell r="K32">
            <v>0</v>
          </cell>
        </row>
        <row r="33">
          <cell r="C33" t="str">
            <v>F49N</v>
          </cell>
          <cell r="D33">
            <v>0</v>
          </cell>
          <cell r="E33">
            <v>0</v>
          </cell>
          <cell r="F33">
            <v>198988</v>
          </cell>
          <cell r="G33">
            <v>200807</v>
          </cell>
          <cell r="H33">
            <v>0</v>
          </cell>
          <cell r="I33">
            <v>0</v>
          </cell>
          <cell r="J33">
            <v>0</v>
          </cell>
          <cell r="K33">
            <v>0</v>
          </cell>
        </row>
        <row r="34">
          <cell r="C34" t="str">
            <v>F70N</v>
          </cell>
          <cell r="D34">
            <v>0</v>
          </cell>
          <cell r="E34">
            <v>0</v>
          </cell>
          <cell r="F34">
            <v>227356</v>
          </cell>
          <cell r="G34">
            <v>245788</v>
          </cell>
          <cell r="H34">
            <v>0</v>
          </cell>
          <cell r="I34">
            <v>0</v>
          </cell>
          <cell r="J34">
            <v>0</v>
          </cell>
          <cell r="K34">
            <v>0</v>
          </cell>
        </row>
        <row r="35">
          <cell r="C35" t="str">
            <v>R131</v>
          </cell>
          <cell r="D35">
            <v>0</v>
          </cell>
          <cell r="E35">
            <v>0</v>
          </cell>
          <cell r="F35">
            <v>0</v>
          </cell>
          <cell r="G35">
            <v>0</v>
          </cell>
          <cell r="H35">
            <v>0</v>
          </cell>
          <cell r="I35">
            <v>0</v>
          </cell>
          <cell r="J35">
            <v>0</v>
          </cell>
          <cell r="K35">
            <v>0</v>
          </cell>
        </row>
        <row r="36">
          <cell r="C36" t="str">
            <v>7J09</v>
          </cell>
          <cell r="D36">
            <v>0</v>
          </cell>
          <cell r="E36">
            <v>0</v>
          </cell>
          <cell r="F36">
            <v>0</v>
          </cell>
          <cell r="G36">
            <v>0</v>
          </cell>
          <cell r="H36">
            <v>0</v>
          </cell>
          <cell r="I36">
            <v>0</v>
          </cell>
          <cell r="J36">
            <v>0</v>
          </cell>
          <cell r="K36">
            <v>0</v>
          </cell>
        </row>
        <row r="37">
          <cell r="C37" t="str">
            <v>NJ54</v>
          </cell>
          <cell r="D37">
            <v>0</v>
          </cell>
          <cell r="E37">
            <v>0</v>
          </cell>
          <cell r="F37">
            <v>19075</v>
          </cell>
          <cell r="G37">
            <v>18860</v>
          </cell>
          <cell r="H37">
            <v>0</v>
          </cell>
          <cell r="I37">
            <v>0</v>
          </cell>
          <cell r="J37">
            <v>0</v>
          </cell>
          <cell r="K37">
            <v>0</v>
          </cell>
        </row>
        <row r="38">
          <cell r="C38" t="str">
            <v>UV60</v>
          </cell>
          <cell r="D38">
            <v>0</v>
          </cell>
          <cell r="E38">
            <v>0</v>
          </cell>
          <cell r="F38">
            <v>373595</v>
          </cell>
          <cell r="G38">
            <v>371882</v>
          </cell>
          <cell r="H38">
            <v>0</v>
          </cell>
          <cell r="I38">
            <v>0</v>
          </cell>
          <cell r="J38">
            <v>0</v>
          </cell>
          <cell r="K38">
            <v>0</v>
          </cell>
        </row>
        <row r="39">
          <cell r="C39" t="str">
            <v>R182</v>
          </cell>
          <cell r="D39">
            <v>36485.160000000003</v>
          </cell>
          <cell r="E39">
            <v>60085.440000000002</v>
          </cell>
          <cell r="F39">
            <v>54934</v>
          </cell>
          <cell r="G39">
            <v>51087</v>
          </cell>
          <cell r="H39">
            <v>0.66416354170459091</v>
          </cell>
          <cell r="I39">
            <v>1.1761395266897645</v>
          </cell>
          <cell r="J39">
            <v>0.64684600533477177</v>
          </cell>
          <cell r="K39">
            <v>0.77085830949283296</v>
          </cell>
        </row>
        <row r="40">
          <cell r="C40" t="str">
            <v>3D00</v>
          </cell>
          <cell r="D40">
            <v>29713.72</v>
          </cell>
          <cell r="E40">
            <v>30924.959999999999</v>
          </cell>
          <cell r="F40">
            <v>49004</v>
          </cell>
          <cell r="G40">
            <v>49868</v>
          </cell>
          <cell r="H40">
            <v>0.60635295077952822</v>
          </cell>
          <cell r="I40">
            <v>0.62013635999037453</v>
          </cell>
          <cell r="J40">
            <v>4.076366069277082E-2</v>
          </cell>
          <cell r="K40">
            <v>2.2731660154578837E-2</v>
          </cell>
        </row>
        <row r="41">
          <cell r="C41" t="str">
            <v>0094</v>
          </cell>
          <cell r="D41">
            <v>0</v>
          </cell>
          <cell r="E41">
            <v>0</v>
          </cell>
          <cell r="F41">
            <v>0</v>
          </cell>
          <cell r="G41">
            <v>0</v>
          </cell>
          <cell r="H41">
            <v>0</v>
          </cell>
          <cell r="I41">
            <v>0</v>
          </cell>
          <cell r="J41">
            <v>0</v>
          </cell>
          <cell r="K41">
            <v>0</v>
          </cell>
        </row>
        <row r="42">
          <cell r="C42" t="str">
            <v>07TB</v>
          </cell>
          <cell r="D42">
            <v>0</v>
          </cell>
          <cell r="E42">
            <v>0</v>
          </cell>
          <cell r="F42">
            <v>0</v>
          </cell>
          <cell r="G42">
            <v>25029</v>
          </cell>
          <cell r="H42">
            <v>0</v>
          </cell>
          <cell r="I42">
            <v>0</v>
          </cell>
          <cell r="J42">
            <v>0</v>
          </cell>
          <cell r="K42">
            <v>0</v>
          </cell>
        </row>
        <row r="43">
          <cell r="C43" t="str">
            <v>7J55</v>
          </cell>
          <cell r="D43">
            <v>4501.46</v>
          </cell>
          <cell r="E43">
            <v>10630.397930239998</v>
          </cell>
          <cell r="F43">
            <v>3068</v>
          </cell>
          <cell r="G43">
            <v>6234.152</v>
          </cell>
          <cell r="H43">
            <v>1.4672294654498044</v>
          </cell>
          <cell r="I43">
            <v>1.7051874786241976</v>
          </cell>
          <cell r="J43">
            <v>1.3615444611837044</v>
          </cell>
          <cell r="K43">
            <v>0.16218186642090315</v>
          </cell>
        </row>
        <row r="44">
          <cell r="C44" t="str">
            <v>C414</v>
          </cell>
          <cell r="D44">
            <v>82056.820000000007</v>
          </cell>
          <cell r="E44">
            <v>81094.774336000002</v>
          </cell>
          <cell r="F44">
            <v>24556</v>
          </cell>
          <cell r="G44">
            <v>25337.78</v>
          </cell>
          <cell r="H44">
            <v>3.3416199706792642</v>
          </cell>
          <cell r="I44">
            <v>3.2005477329110912</v>
          </cell>
          <cell r="J44">
            <v>-1.1724140223810853E-2</v>
          </cell>
          <cell r="K44">
            <v>-4.221672093355866E-2</v>
          </cell>
        </row>
        <row r="45">
          <cell r="C45" t="str">
            <v>4N03</v>
          </cell>
          <cell r="D45">
            <v>0</v>
          </cell>
          <cell r="E45">
            <v>0</v>
          </cell>
          <cell r="F45">
            <v>0</v>
          </cell>
          <cell r="G45">
            <v>0</v>
          </cell>
          <cell r="H45">
            <v>0</v>
          </cell>
          <cell r="I45">
            <v>0</v>
          </cell>
          <cell r="J45">
            <v>0</v>
          </cell>
          <cell r="K45">
            <v>0</v>
          </cell>
        </row>
        <row r="46">
          <cell r="C46" t="str">
            <v>UH77</v>
          </cell>
          <cell r="D46">
            <v>106891.41</v>
          </cell>
          <cell r="E46">
            <v>108889.25</v>
          </cell>
          <cell r="F46">
            <v>144729</v>
          </cell>
          <cell r="G46">
            <v>144086</v>
          </cell>
          <cell r="H46">
            <v>0.73856248574922789</v>
          </cell>
          <cell r="I46">
            <v>0.75572401204835993</v>
          </cell>
          <cell r="J46">
            <v>1.8690369974537546E-2</v>
          </cell>
          <cell r="K46">
            <v>2.3236390461563561E-2</v>
          </cell>
        </row>
        <row r="47">
          <cell r="C47" t="str">
            <v>PK60</v>
          </cell>
          <cell r="D47">
            <v>32055.34</v>
          </cell>
          <cell r="E47">
            <v>32368.59</v>
          </cell>
          <cell r="F47">
            <v>13275</v>
          </cell>
          <cell r="G47">
            <v>16173</v>
          </cell>
          <cell r="H47">
            <v>2.4147148775894536</v>
          </cell>
          <cell r="I47">
            <v>2.0013967723984414</v>
          </cell>
          <cell r="J47">
            <v>9.7721627660163346E-3</v>
          </cell>
          <cell r="K47">
            <v>-0.17116642176968599</v>
          </cell>
        </row>
        <row r="48">
          <cell r="C48" t="str">
            <v>R348</v>
          </cell>
          <cell r="D48">
            <v>55398.93</v>
          </cell>
          <cell r="E48">
            <v>53178.86</v>
          </cell>
          <cell r="F48">
            <v>35701</v>
          </cell>
          <cell r="G48">
            <v>34897</v>
          </cell>
          <cell r="H48">
            <v>1.5517472899918767</v>
          </cell>
          <cell r="I48">
            <v>1.5238805627990946</v>
          </cell>
          <cell r="J48">
            <v>-4.007423970101931E-2</v>
          </cell>
          <cell r="K48">
            <v>-1.7958289582660103E-2</v>
          </cell>
        </row>
        <row r="49">
          <cell r="C49" t="str">
            <v>6776</v>
          </cell>
          <cell r="D49">
            <v>0</v>
          </cell>
          <cell r="E49">
            <v>0</v>
          </cell>
          <cell r="F49">
            <v>17878</v>
          </cell>
          <cell r="G49">
            <v>17695.02</v>
          </cell>
          <cell r="H49">
            <v>0</v>
          </cell>
          <cell r="I49">
            <v>0</v>
          </cell>
          <cell r="J49">
            <v>0</v>
          </cell>
          <cell r="K49">
            <v>0</v>
          </cell>
        </row>
        <row r="50">
          <cell r="C50" t="str">
            <v>R467</v>
          </cell>
          <cell r="D50">
            <v>0</v>
          </cell>
          <cell r="E50">
            <v>0</v>
          </cell>
          <cell r="F50">
            <v>27671</v>
          </cell>
          <cell r="G50">
            <v>28087</v>
          </cell>
          <cell r="H50">
            <v>0</v>
          </cell>
          <cell r="I50">
            <v>0</v>
          </cell>
          <cell r="J50">
            <v>0</v>
          </cell>
          <cell r="K50">
            <v>0</v>
          </cell>
        </row>
        <row r="51">
          <cell r="C51" t="str">
            <v>7S45</v>
          </cell>
          <cell r="D51">
            <v>0</v>
          </cell>
          <cell r="E51">
            <v>0</v>
          </cell>
          <cell r="F51">
            <v>9833</v>
          </cell>
          <cell r="G51">
            <v>788</v>
          </cell>
          <cell r="H51">
            <v>0</v>
          </cell>
          <cell r="I51">
            <v>0</v>
          </cell>
          <cell r="J51">
            <v>0</v>
          </cell>
          <cell r="K51">
            <v>0</v>
          </cell>
        </row>
        <row r="52">
          <cell r="C52" t="str">
            <v>7J07</v>
          </cell>
          <cell r="D52">
            <v>0</v>
          </cell>
          <cell r="E52">
            <v>0</v>
          </cell>
          <cell r="F52">
            <v>9991</v>
          </cell>
          <cell r="G52">
            <v>9631</v>
          </cell>
          <cell r="H52">
            <v>0</v>
          </cell>
          <cell r="I52">
            <v>0</v>
          </cell>
          <cell r="J52">
            <v>0</v>
          </cell>
          <cell r="K52">
            <v>0</v>
          </cell>
        </row>
        <row r="53">
          <cell r="C53" t="str">
            <v>R153</v>
          </cell>
          <cell r="D53">
            <v>0</v>
          </cell>
          <cell r="E53">
            <v>0</v>
          </cell>
          <cell r="F53">
            <v>3059</v>
          </cell>
          <cell r="G53">
            <v>0</v>
          </cell>
          <cell r="H53">
            <v>0</v>
          </cell>
          <cell r="I53">
            <v>0</v>
          </cell>
          <cell r="J53">
            <v>0</v>
          </cell>
          <cell r="K53">
            <v>0</v>
          </cell>
        </row>
        <row r="54">
          <cell r="C54" t="str">
            <v>7J56</v>
          </cell>
          <cell r="D54">
            <v>372.42</v>
          </cell>
          <cell r="E54">
            <v>441.75295200000005</v>
          </cell>
          <cell r="F54">
            <v>2126</v>
          </cell>
          <cell r="G54">
            <v>2413.3279999999995</v>
          </cell>
          <cell r="H54">
            <v>0.17517403574788334</v>
          </cell>
          <cell r="I54">
            <v>0.18304720783913339</v>
          </cell>
          <cell r="J54">
            <v>0.18616871274367663</v>
          </cell>
          <cell r="K54">
            <v>4.4944857596255883E-2</v>
          </cell>
        </row>
        <row r="55">
          <cell r="C55" t="str">
            <v>PP28</v>
          </cell>
          <cell r="D55">
            <v>35635.839999999997</v>
          </cell>
          <cell r="E55">
            <v>36380</v>
          </cell>
          <cell r="F55">
            <v>31111</v>
          </cell>
          <cell r="G55">
            <v>31716</v>
          </cell>
          <cell r="H55">
            <v>1.1454418051493043</v>
          </cell>
          <cell r="I55">
            <v>1.1470551141379746</v>
          </cell>
          <cell r="J55">
            <v>2.0882347658985889E-2</v>
          </cell>
          <cell r="K55">
            <v>1.4084600207691089E-3</v>
          </cell>
        </row>
        <row r="56">
          <cell r="C56" t="str">
            <v>0Y08</v>
          </cell>
          <cell r="D56">
            <v>327632.62</v>
          </cell>
          <cell r="E56">
            <v>508759.02</v>
          </cell>
          <cell r="F56">
            <v>129617</v>
          </cell>
          <cell r="G56">
            <v>132825</v>
          </cell>
          <cell r="H56">
            <v>2.5276979099963741</v>
          </cell>
          <cell r="I56">
            <v>3.8302956521739135</v>
          </cell>
          <cell r="J56">
            <v>0.55283384175849193</v>
          </cell>
          <cell r="K56">
            <v>0.51532967488959458</v>
          </cell>
        </row>
        <row r="57">
          <cell r="C57" t="str">
            <v>7J29</v>
          </cell>
          <cell r="D57">
            <v>19595.3</v>
          </cell>
          <cell r="E57">
            <v>25180.77</v>
          </cell>
          <cell r="F57">
            <v>20517</v>
          </cell>
          <cell r="G57">
            <v>21775</v>
          </cell>
          <cell r="H57">
            <v>0.9550762782083152</v>
          </cell>
          <cell r="I57">
            <v>1.1564073478760046</v>
          </cell>
          <cell r="J57">
            <v>0.28504131092659968</v>
          </cell>
          <cell r="K57">
            <v>0.21080103679821094</v>
          </cell>
        </row>
        <row r="58">
          <cell r="C58" t="str">
            <v>7J66</v>
          </cell>
          <cell r="D58">
            <v>0</v>
          </cell>
          <cell r="E58">
            <v>0</v>
          </cell>
          <cell r="F58">
            <v>23642</v>
          </cell>
          <cell r="G58">
            <v>48175.351999999999</v>
          </cell>
          <cell r="H58">
            <v>0</v>
          </cell>
          <cell r="I58">
            <v>0</v>
          </cell>
          <cell r="J58">
            <v>0</v>
          </cell>
          <cell r="K58">
            <v>0</v>
          </cell>
        </row>
        <row r="59">
          <cell r="C59" t="str">
            <v>UU61</v>
          </cell>
          <cell r="D59">
            <v>78637.48</v>
          </cell>
          <cell r="E59">
            <v>69537.48</v>
          </cell>
          <cell r="F59">
            <v>30219</v>
          </cell>
          <cell r="G59">
            <v>31032</v>
          </cell>
          <cell r="H59">
            <v>2.6022528872563622</v>
          </cell>
          <cell r="I59">
            <v>2.2408313998453213</v>
          </cell>
          <cell r="J59">
            <v>-0.115720900517158</v>
          </cell>
          <cell r="K59">
            <v>-0.13888791868806383</v>
          </cell>
        </row>
        <row r="60">
          <cell r="C60" t="str">
            <v>PK55</v>
          </cell>
          <cell r="D60">
            <v>0</v>
          </cell>
          <cell r="E60">
            <v>0</v>
          </cell>
          <cell r="F60">
            <v>26073</v>
          </cell>
          <cell r="G60">
            <v>0</v>
          </cell>
          <cell r="H60">
            <v>0</v>
          </cell>
          <cell r="I60">
            <v>0</v>
          </cell>
          <cell r="J60">
            <v>0</v>
          </cell>
          <cell r="K60">
            <v>0</v>
          </cell>
        </row>
        <row r="61">
          <cell r="C61" t="str">
            <v>PG50</v>
          </cell>
          <cell r="D61">
            <v>0</v>
          </cell>
          <cell r="E61">
            <v>0</v>
          </cell>
          <cell r="F61">
            <v>188024</v>
          </cell>
          <cell r="G61">
            <v>199315</v>
          </cell>
          <cell r="H61">
            <v>0</v>
          </cell>
          <cell r="I61">
            <v>0</v>
          </cell>
          <cell r="J61">
            <v>0</v>
          </cell>
          <cell r="K61">
            <v>0</v>
          </cell>
        </row>
        <row r="62">
          <cell r="C62" t="str">
            <v>PG52</v>
          </cell>
          <cell r="D62">
            <v>0</v>
          </cell>
          <cell r="E62">
            <v>0</v>
          </cell>
          <cell r="F62">
            <v>0</v>
          </cell>
          <cell r="G62">
            <v>0</v>
          </cell>
          <cell r="H62">
            <v>0</v>
          </cell>
          <cell r="I62">
            <v>0</v>
          </cell>
          <cell r="J62">
            <v>0</v>
          </cell>
          <cell r="K62">
            <v>0</v>
          </cell>
        </row>
        <row r="63">
          <cell r="C63" t="str">
            <v>PP20</v>
          </cell>
          <cell r="D63">
            <v>0</v>
          </cell>
          <cell r="E63">
            <v>0</v>
          </cell>
          <cell r="F63">
            <v>231824</v>
          </cell>
          <cell r="G63">
            <v>36620</v>
          </cell>
          <cell r="H63">
            <v>0</v>
          </cell>
          <cell r="I63">
            <v>0</v>
          </cell>
          <cell r="J63">
            <v>0</v>
          </cell>
          <cell r="K63">
            <v>0</v>
          </cell>
        </row>
        <row r="64">
          <cell r="C64" t="str">
            <v>0F15</v>
          </cell>
          <cell r="D64">
            <v>-210.86</v>
          </cell>
          <cell r="E64">
            <v>0</v>
          </cell>
          <cell r="F64">
            <v>0</v>
          </cell>
          <cell r="G64">
            <v>0</v>
          </cell>
          <cell r="H64">
            <v>0</v>
          </cell>
          <cell r="I64">
            <v>0</v>
          </cell>
          <cell r="J64">
            <v>-1</v>
          </cell>
          <cell r="K64">
            <v>0</v>
          </cell>
        </row>
        <row r="65">
          <cell r="C65" t="str">
            <v>R138</v>
          </cell>
          <cell r="D65">
            <v>25455.42</v>
          </cell>
          <cell r="E65">
            <v>19993.8</v>
          </cell>
          <cell r="F65">
            <v>24150</v>
          </cell>
          <cell r="G65">
            <v>21793</v>
          </cell>
          <cell r="H65">
            <v>1.0540546583850932</v>
          </cell>
          <cell r="I65">
            <v>0.91744138025971678</v>
          </cell>
          <cell r="J65">
            <v>-0.21455627131667809</v>
          </cell>
          <cell r="K65">
            <v>-0.12960739468167637</v>
          </cell>
        </row>
        <row r="66">
          <cell r="C66" t="str">
            <v>R390</v>
          </cell>
          <cell r="D66">
            <v>0</v>
          </cell>
          <cell r="E66">
            <v>0</v>
          </cell>
          <cell r="F66">
            <v>23246</v>
          </cell>
          <cell r="G66">
            <v>22692</v>
          </cell>
          <cell r="H66">
            <v>0</v>
          </cell>
          <cell r="I66">
            <v>0</v>
          </cell>
          <cell r="J66">
            <v>0</v>
          </cell>
          <cell r="K66">
            <v>0</v>
          </cell>
        </row>
        <row r="67">
          <cell r="C67" t="str">
            <v>P436</v>
          </cell>
          <cell r="D67">
            <v>0</v>
          </cell>
          <cell r="E67">
            <v>0</v>
          </cell>
          <cell r="F67">
            <v>0</v>
          </cell>
          <cell r="G67">
            <v>0</v>
          </cell>
          <cell r="H67">
            <v>0</v>
          </cell>
          <cell r="I67">
            <v>0</v>
          </cell>
          <cell r="J67">
            <v>0</v>
          </cell>
          <cell r="K67">
            <v>0</v>
          </cell>
        </row>
        <row r="68">
          <cell r="C68" t="str">
            <v>0F12</v>
          </cell>
          <cell r="D68">
            <v>0</v>
          </cell>
          <cell r="E68">
            <v>0</v>
          </cell>
          <cell r="F68">
            <v>32361</v>
          </cell>
          <cell r="G68">
            <v>32871.496000000006</v>
          </cell>
          <cell r="H68">
            <v>0</v>
          </cell>
          <cell r="I68">
            <v>0</v>
          </cell>
          <cell r="J68">
            <v>0</v>
          </cell>
          <cell r="K68">
            <v>0</v>
          </cell>
        </row>
        <row r="69">
          <cell r="C69" t="str">
            <v>3M14</v>
          </cell>
          <cell r="D69">
            <v>39549.99</v>
          </cell>
          <cell r="E69">
            <v>0</v>
          </cell>
          <cell r="F69">
            <v>28065</v>
          </cell>
          <cell r="G69">
            <v>2</v>
          </cell>
          <cell r="H69">
            <v>1.4092282202030999</v>
          </cell>
          <cell r="I69">
            <v>0</v>
          </cell>
          <cell r="J69">
            <v>-1</v>
          </cell>
          <cell r="K69">
            <v>-1</v>
          </cell>
        </row>
        <row r="70">
          <cell r="C70" t="str">
            <v>NJ51</v>
          </cell>
          <cell r="D70">
            <v>48028.27</v>
          </cell>
          <cell r="E70">
            <v>49368.94</v>
          </cell>
          <cell r="F70">
            <v>15212</v>
          </cell>
          <cell r="G70">
            <v>15683</v>
          </cell>
          <cell r="H70">
            <v>3.1572620299763341</v>
          </cell>
          <cell r="I70">
            <v>3.1479270547726839</v>
          </cell>
          <cell r="J70">
            <v>2.7914184708297984E-2</v>
          </cell>
          <cell r="K70">
            <v>-2.9566678707754201E-3</v>
          </cell>
        </row>
        <row r="71">
          <cell r="C71" t="str">
            <v>0F27</v>
          </cell>
          <cell r="D71">
            <v>0</v>
          </cell>
          <cell r="E71">
            <v>0</v>
          </cell>
          <cell r="F71">
            <v>383034</v>
          </cell>
          <cell r="G71">
            <v>398538.22400000005</v>
          </cell>
          <cell r="H71">
            <v>0</v>
          </cell>
          <cell r="I71">
            <v>0</v>
          </cell>
          <cell r="J71">
            <v>0</v>
          </cell>
          <cell r="K71">
            <v>0</v>
          </cell>
        </row>
        <row r="72">
          <cell r="C72" t="str">
            <v>TD97</v>
          </cell>
          <cell r="D72">
            <v>16041.93</v>
          </cell>
          <cell r="E72">
            <v>3258.98</v>
          </cell>
          <cell r="F72">
            <v>10838</v>
          </cell>
          <cell r="G72">
            <v>5</v>
          </cell>
          <cell r="H72">
            <v>1.4801559328289353</v>
          </cell>
          <cell r="I72">
            <v>651.79599999999994</v>
          </cell>
          <cell r="J72">
            <v>-0.79684614008414201</v>
          </cell>
          <cell r="K72">
            <v>439.35630675361375</v>
          </cell>
        </row>
        <row r="73">
          <cell r="C73" t="str">
            <v>NS45</v>
          </cell>
          <cell r="D73">
            <v>0</v>
          </cell>
          <cell r="E73">
            <v>0</v>
          </cell>
          <cell r="F73">
            <v>7660</v>
          </cell>
          <cell r="G73">
            <v>5334</v>
          </cell>
          <cell r="H73">
            <v>0</v>
          </cell>
          <cell r="I73">
            <v>0</v>
          </cell>
          <cell r="J73">
            <v>0</v>
          </cell>
          <cell r="K73">
            <v>0</v>
          </cell>
        </row>
        <row r="74">
          <cell r="C74" t="str">
            <v>QU92</v>
          </cell>
          <cell r="D74">
            <v>0</v>
          </cell>
          <cell r="E74">
            <v>0</v>
          </cell>
          <cell r="F74">
            <v>0</v>
          </cell>
          <cell r="G74">
            <v>0</v>
          </cell>
          <cell r="H74">
            <v>0</v>
          </cell>
          <cell r="I74">
            <v>0</v>
          </cell>
          <cell r="J74">
            <v>0</v>
          </cell>
          <cell r="K74">
            <v>0</v>
          </cell>
        </row>
        <row r="75">
          <cell r="C75" t="str">
            <v>UP20</v>
          </cell>
          <cell r="D75">
            <v>0</v>
          </cell>
          <cell r="E75">
            <v>0</v>
          </cell>
          <cell r="F75">
            <v>49807</v>
          </cell>
          <cell r="G75">
            <v>276345</v>
          </cell>
          <cell r="H75">
            <v>0</v>
          </cell>
          <cell r="I75">
            <v>0</v>
          </cell>
          <cell r="J75">
            <v>0</v>
          </cell>
          <cell r="K75">
            <v>0</v>
          </cell>
        </row>
        <row r="76">
          <cell r="C76" t="str">
            <v>UP21</v>
          </cell>
          <cell r="D76">
            <v>0</v>
          </cell>
          <cell r="E76">
            <v>0</v>
          </cell>
          <cell r="F76">
            <v>0</v>
          </cell>
          <cell r="G76">
            <v>0</v>
          </cell>
          <cell r="H76">
            <v>0</v>
          </cell>
          <cell r="I76">
            <v>0</v>
          </cell>
          <cell r="J76">
            <v>0</v>
          </cell>
          <cell r="K76">
            <v>0</v>
          </cell>
        </row>
        <row r="77">
          <cell r="C77" t="str">
            <v>X590</v>
          </cell>
          <cell r="D77">
            <v>0</v>
          </cell>
          <cell r="E77">
            <v>0</v>
          </cell>
          <cell r="F77">
            <v>62653</v>
          </cell>
          <cell r="G77">
            <v>0</v>
          </cell>
          <cell r="H77">
            <v>0</v>
          </cell>
          <cell r="I77">
            <v>0</v>
          </cell>
          <cell r="J77">
            <v>0</v>
          </cell>
          <cell r="K77">
            <v>0</v>
          </cell>
        </row>
        <row r="78">
          <cell r="C78" t="str">
            <v>0Y02</v>
          </cell>
          <cell r="D78">
            <v>131638.07999999999</v>
          </cell>
          <cell r="E78">
            <v>129592.85</v>
          </cell>
          <cell r="F78">
            <v>10651</v>
          </cell>
          <cell r="G78">
            <v>10502</v>
          </cell>
          <cell r="H78">
            <v>12.359222608205801</v>
          </cell>
          <cell r="I78">
            <v>12.339825747476674</v>
          </cell>
          <cell r="J78">
            <v>-1.5536765653221041E-2</v>
          </cell>
          <cell r="K78">
            <v>-1.5694240118507841E-3</v>
          </cell>
        </row>
        <row r="79">
          <cell r="C79" t="str">
            <v>D702</v>
          </cell>
          <cell r="D79">
            <v>31473.67</v>
          </cell>
          <cell r="E79">
            <v>0</v>
          </cell>
          <cell r="F79">
            <v>20035</v>
          </cell>
          <cell r="G79">
            <v>20689.16</v>
          </cell>
          <cell r="H79">
            <v>1.5709343648614924</v>
          </cell>
          <cell r="I79">
            <v>0</v>
          </cell>
          <cell r="J79">
            <v>-1</v>
          </cell>
          <cell r="K79">
            <v>-1</v>
          </cell>
        </row>
        <row r="80">
          <cell r="C80" t="str">
            <v>7J60</v>
          </cell>
          <cell r="D80">
            <v>75.2</v>
          </cell>
          <cell r="E80">
            <v>75.727512400000009</v>
          </cell>
          <cell r="F80">
            <v>612</v>
          </cell>
          <cell r="G80">
            <v>685.10399999999993</v>
          </cell>
          <cell r="H80">
            <v>0.12287581699346403</v>
          </cell>
          <cell r="I80">
            <v>0.11053433113804621</v>
          </cell>
          <cell r="J80">
            <v>7.0147925531918176E-3</v>
          </cell>
          <cell r="K80">
            <v>-0.10043868807866629</v>
          </cell>
        </row>
        <row r="81">
          <cell r="C81" t="str">
            <v>7J61</v>
          </cell>
          <cell r="D81">
            <v>131.13999999999999</v>
          </cell>
          <cell r="E81">
            <v>176.54371200000003</v>
          </cell>
          <cell r="F81">
            <v>2372</v>
          </cell>
          <cell r="G81">
            <v>3133.72</v>
          </cell>
          <cell r="H81">
            <v>5.5286677908937612E-2</v>
          </cell>
          <cell r="I81">
            <v>5.633678567325736E-2</v>
          </cell>
          <cell r="J81">
            <v>0.34622321183468063</v>
          </cell>
          <cell r="K81">
            <v>1.8993866226677092E-2</v>
          </cell>
        </row>
        <row r="82">
          <cell r="C82" t="str">
            <v>PK61</v>
          </cell>
          <cell r="D82">
            <v>0</v>
          </cell>
          <cell r="E82">
            <v>0</v>
          </cell>
          <cell r="F82">
            <v>0</v>
          </cell>
          <cell r="G82">
            <v>0</v>
          </cell>
          <cell r="H82">
            <v>0</v>
          </cell>
          <cell r="I82">
            <v>0</v>
          </cell>
          <cell r="J82">
            <v>0</v>
          </cell>
          <cell r="K82">
            <v>0</v>
          </cell>
        </row>
        <row r="83">
          <cell r="C83" t="str">
            <v>7J30</v>
          </cell>
          <cell r="D83">
            <v>0</v>
          </cell>
          <cell r="E83">
            <v>0</v>
          </cell>
          <cell r="F83">
            <v>6331</v>
          </cell>
          <cell r="G83">
            <v>6862</v>
          </cell>
          <cell r="H83">
            <v>0</v>
          </cell>
          <cell r="I83">
            <v>0</v>
          </cell>
          <cell r="J83">
            <v>0</v>
          </cell>
          <cell r="K83">
            <v>0</v>
          </cell>
        </row>
        <row r="84">
          <cell r="C84" t="str">
            <v>3D54</v>
          </cell>
          <cell r="D84">
            <v>0</v>
          </cell>
          <cell r="E84">
            <v>0</v>
          </cell>
          <cell r="F84">
            <v>0</v>
          </cell>
          <cell r="G84">
            <v>0</v>
          </cell>
          <cell r="H84">
            <v>0</v>
          </cell>
          <cell r="I84">
            <v>0</v>
          </cell>
          <cell r="J84">
            <v>0</v>
          </cell>
          <cell r="K84">
            <v>0</v>
          </cell>
        </row>
        <row r="85">
          <cell r="C85" t="str">
            <v>0Y10</v>
          </cell>
          <cell r="D85">
            <v>0</v>
          </cell>
          <cell r="E85">
            <v>0</v>
          </cell>
          <cell r="F85">
            <v>25943</v>
          </cell>
          <cell r="G85">
            <v>26088</v>
          </cell>
          <cell r="H85">
            <v>0</v>
          </cell>
          <cell r="I85">
            <v>0</v>
          </cell>
          <cell r="J85">
            <v>0</v>
          </cell>
          <cell r="K85">
            <v>0</v>
          </cell>
        </row>
        <row r="86">
          <cell r="C86" t="str">
            <v>5498</v>
          </cell>
          <cell r="D86">
            <v>0</v>
          </cell>
          <cell r="E86">
            <v>0</v>
          </cell>
          <cell r="F86">
            <v>146525</v>
          </cell>
          <cell r="G86">
            <v>151911</v>
          </cell>
          <cell r="H86">
            <v>0</v>
          </cell>
          <cell r="I86">
            <v>0</v>
          </cell>
          <cell r="J86">
            <v>0</v>
          </cell>
          <cell r="K86">
            <v>0</v>
          </cell>
        </row>
        <row r="87">
          <cell r="C87" t="str">
            <v>7M15</v>
          </cell>
          <cell r="D87">
            <v>0</v>
          </cell>
          <cell r="E87">
            <v>0</v>
          </cell>
          <cell r="F87">
            <v>0</v>
          </cell>
          <cell r="G87">
            <v>0</v>
          </cell>
          <cell r="H87">
            <v>0</v>
          </cell>
          <cell r="I87">
            <v>0</v>
          </cell>
          <cell r="J87">
            <v>0</v>
          </cell>
          <cell r="K87">
            <v>0</v>
          </cell>
        </row>
        <row r="88">
          <cell r="C88" t="str">
            <v>UH58</v>
          </cell>
          <cell r="D88">
            <v>0</v>
          </cell>
          <cell r="E88">
            <v>0</v>
          </cell>
          <cell r="F88">
            <v>44667</v>
          </cell>
          <cell r="G88">
            <v>55213</v>
          </cell>
          <cell r="H88">
            <v>0</v>
          </cell>
          <cell r="I88">
            <v>0</v>
          </cell>
          <cell r="J88">
            <v>0</v>
          </cell>
          <cell r="K88">
            <v>0</v>
          </cell>
        </row>
        <row r="89">
          <cell r="C89" t="str">
            <v>R330</v>
          </cell>
          <cell r="D89">
            <v>104667.65</v>
          </cell>
          <cell r="E89">
            <v>108730.38</v>
          </cell>
          <cell r="F89">
            <v>14476</v>
          </cell>
          <cell r="G89">
            <v>14563</v>
          </cell>
          <cell r="H89">
            <v>7.2304262227134561</v>
          </cell>
          <cell r="I89">
            <v>7.4662075121884213</v>
          </cell>
          <cell r="J89">
            <v>3.881552705157687E-2</v>
          </cell>
          <cell r="K89">
            <v>3.2609597582821337E-2</v>
          </cell>
        </row>
        <row r="90">
          <cell r="C90" t="str">
            <v>TD95</v>
          </cell>
          <cell r="D90">
            <v>0</v>
          </cell>
          <cell r="E90">
            <v>0</v>
          </cell>
          <cell r="F90">
            <v>81816</v>
          </cell>
          <cell r="G90">
            <v>85622</v>
          </cell>
          <cell r="H90">
            <v>0</v>
          </cell>
          <cell r="I90">
            <v>0</v>
          </cell>
          <cell r="J90">
            <v>0</v>
          </cell>
          <cell r="K90">
            <v>0</v>
          </cell>
        </row>
        <row r="91">
          <cell r="C91" t="str">
            <v>QU93</v>
          </cell>
          <cell r="D91">
            <v>0</v>
          </cell>
          <cell r="E91">
            <v>0</v>
          </cell>
          <cell r="F91">
            <v>0</v>
          </cell>
          <cell r="G91">
            <v>0</v>
          </cell>
          <cell r="H91">
            <v>0</v>
          </cell>
          <cell r="I91">
            <v>0</v>
          </cell>
          <cell r="J91">
            <v>0</v>
          </cell>
          <cell r="K91">
            <v>0</v>
          </cell>
        </row>
        <row r="92">
          <cell r="C92" t="str">
            <v>6D43</v>
          </cell>
          <cell r="D92">
            <v>16062.64</v>
          </cell>
          <cell r="E92">
            <v>22696.58</v>
          </cell>
          <cell r="F92">
            <v>4455</v>
          </cell>
          <cell r="G92">
            <v>5004</v>
          </cell>
          <cell r="H92">
            <v>3.6055308641975308</v>
          </cell>
          <cell r="I92">
            <v>4.5356874500399682</v>
          </cell>
          <cell r="J92">
            <v>0.41300433801666481</v>
          </cell>
          <cell r="K92">
            <v>0.25798048078821778</v>
          </cell>
        </row>
      </sheetData>
      <sheetData sheetId="7" refreshError="1"/>
      <sheetData sheetId="8" refreshError="1"/>
      <sheetData sheetId="9" refreshError="1"/>
      <sheetData sheetId="10" refreshError="1">
        <row r="2">
          <cell r="A2" t="str">
            <v>7J68</v>
          </cell>
          <cell r="B2" t="str">
            <v>AAI CORPORATION</v>
          </cell>
          <cell r="C2" t="str">
            <v>MD</v>
          </cell>
          <cell r="D2" t="str">
            <v>MD-Other</v>
          </cell>
          <cell r="E2" t="str">
            <v>MDO</v>
          </cell>
          <cell r="F2">
            <v>21030</v>
          </cell>
          <cell r="G2" t="str">
            <v>Jan</v>
          </cell>
        </row>
        <row r="3">
          <cell r="A3" t="str">
            <v>WE54</v>
          </cell>
          <cell r="B3" t="str">
            <v>ADVANCED ENGINEERING &amp; PLANNING CORP</v>
          </cell>
          <cell r="C3" t="str">
            <v>VA</v>
          </cell>
          <cell r="D3" t="str">
            <v>VA</v>
          </cell>
          <cell r="E3" t="str">
            <v>V</v>
          </cell>
          <cell r="F3">
            <v>22202</v>
          </cell>
          <cell r="G3" t="str">
            <v>Jan</v>
          </cell>
        </row>
        <row r="4">
          <cell r="A4" t="str">
            <v>QU09</v>
          </cell>
          <cell r="B4" t="str">
            <v>ALLFIRST</v>
          </cell>
          <cell r="C4" t="str">
            <v>MD</v>
          </cell>
          <cell r="D4" t="str">
            <v>MD-Other</v>
          </cell>
          <cell r="E4" t="str">
            <v>MDO</v>
          </cell>
          <cell r="F4">
            <v>21201</v>
          </cell>
          <cell r="G4" t="str">
            <v>Jan</v>
          </cell>
        </row>
        <row r="5">
          <cell r="A5" t="str">
            <v>3499</v>
          </cell>
          <cell r="B5" t="str">
            <v>American Federation of Teachers</v>
          </cell>
          <cell r="C5" t="str">
            <v>DC</v>
          </cell>
          <cell r="D5" t="str">
            <v>DC</v>
          </cell>
          <cell r="E5" t="str">
            <v>D</v>
          </cell>
          <cell r="F5">
            <v>20001</v>
          </cell>
          <cell r="G5" t="str">
            <v>Oct</v>
          </cell>
        </row>
        <row r="6">
          <cell r="A6" t="str">
            <v>0F19</v>
          </cell>
          <cell r="B6" t="str">
            <v>American Nurses Association</v>
          </cell>
          <cell r="C6" t="str">
            <v>DC</v>
          </cell>
          <cell r="D6" t="str">
            <v>DC</v>
          </cell>
          <cell r="E6" t="str">
            <v>D</v>
          </cell>
          <cell r="F6">
            <v>20024</v>
          </cell>
          <cell r="G6" t="str">
            <v>Apr</v>
          </cell>
        </row>
        <row r="7">
          <cell r="A7" t="str">
            <v>3V86</v>
          </cell>
          <cell r="B7" t="str">
            <v>ANNE ARUNDEL COUNTY PUBLIC SCHOOLS</v>
          </cell>
          <cell r="C7" t="str">
            <v>MD</v>
          </cell>
          <cell r="D7" t="str">
            <v>MD-Other</v>
          </cell>
          <cell r="E7" t="str">
            <v>MDO</v>
          </cell>
          <cell r="F7">
            <v>21401</v>
          </cell>
          <cell r="G7" t="str">
            <v>Jan</v>
          </cell>
        </row>
        <row r="8">
          <cell r="A8" t="str">
            <v>7J25</v>
          </cell>
          <cell r="B8" t="str">
            <v>ANNE ARUNDEL MEDICAL CENTERS</v>
          </cell>
          <cell r="C8" t="str">
            <v>MD</v>
          </cell>
          <cell r="D8" t="str">
            <v>MD-Other</v>
          </cell>
          <cell r="E8" t="str">
            <v>MDO</v>
          </cell>
          <cell r="F8">
            <v>21401</v>
          </cell>
          <cell r="G8" t="str">
            <v>Jan</v>
          </cell>
        </row>
        <row r="9">
          <cell r="A9" t="str">
            <v>R12A</v>
          </cell>
          <cell r="B9" t="str">
            <v>Arlington County Government</v>
          </cell>
          <cell r="C9" t="str">
            <v>VA</v>
          </cell>
          <cell r="D9" t="str">
            <v>VA</v>
          </cell>
          <cell r="E9" t="str">
            <v>V</v>
          </cell>
          <cell r="F9">
            <v>22207</v>
          </cell>
          <cell r="G9" t="str">
            <v>Jul</v>
          </cell>
        </row>
        <row r="10">
          <cell r="A10" t="str">
            <v>R12B</v>
          </cell>
          <cell r="B10" t="str">
            <v>Arlington County School Board</v>
          </cell>
          <cell r="C10" t="str">
            <v>VA</v>
          </cell>
          <cell r="D10" t="str">
            <v>VA</v>
          </cell>
          <cell r="E10" t="str">
            <v>V</v>
          </cell>
          <cell r="F10">
            <v>22207</v>
          </cell>
          <cell r="G10" t="str">
            <v>Jul</v>
          </cell>
        </row>
        <row r="11">
          <cell r="A11" t="str">
            <v>TD96</v>
          </cell>
          <cell r="B11" t="str">
            <v>AVALON BAY COMMUNITIES, INC.</v>
          </cell>
          <cell r="C11" t="str">
            <v>VA</v>
          </cell>
          <cell r="D11" t="str">
            <v>VA</v>
          </cell>
          <cell r="E11" t="str">
            <v>V</v>
          </cell>
          <cell r="F11">
            <v>22314</v>
          </cell>
          <cell r="G11" t="str">
            <v>Jan</v>
          </cell>
        </row>
        <row r="12">
          <cell r="A12" t="str">
            <v>7J62</v>
          </cell>
          <cell r="B12" t="str">
            <v>BOARD OF CHILD CARE</v>
          </cell>
          <cell r="C12" t="str">
            <v>MD</v>
          </cell>
          <cell r="D12" t="str">
            <v>MD-Other</v>
          </cell>
          <cell r="E12" t="str">
            <v>MDO</v>
          </cell>
          <cell r="F12">
            <v>21244</v>
          </cell>
          <cell r="G12" t="str">
            <v>Jan</v>
          </cell>
        </row>
        <row r="13">
          <cell r="A13" t="str">
            <v>4N01</v>
          </cell>
          <cell r="B13" t="str">
            <v>CALVERT COUNTY COMMISSIONERS</v>
          </cell>
          <cell r="C13" t="str">
            <v>MD</v>
          </cell>
          <cell r="D13" t="str">
            <v>MD-Other</v>
          </cell>
          <cell r="E13" t="str">
            <v>MDO</v>
          </cell>
          <cell r="F13">
            <v>20678</v>
          </cell>
          <cell r="G13" t="str">
            <v>Jul</v>
          </cell>
        </row>
        <row r="14">
          <cell r="A14" t="str">
            <v>7J67</v>
          </cell>
          <cell r="B14" t="str">
            <v>CALVERT COUNTY PUBLIC SCHOOLS</v>
          </cell>
          <cell r="C14" t="str">
            <v>MD</v>
          </cell>
          <cell r="D14" t="str">
            <v>MD-Other</v>
          </cell>
          <cell r="E14" t="str">
            <v>MDO</v>
          </cell>
          <cell r="F14">
            <v>20678</v>
          </cell>
          <cell r="G14" t="str">
            <v>Nov</v>
          </cell>
        </row>
        <row r="15">
          <cell r="A15" t="str">
            <v>7J53</v>
          </cell>
          <cell r="B15" t="str">
            <v>CAREFIRST, INC.</v>
          </cell>
          <cell r="C15" t="str">
            <v>MD</v>
          </cell>
          <cell r="D15" t="str">
            <v>MD-Other</v>
          </cell>
          <cell r="E15" t="str">
            <v>MDO</v>
          </cell>
          <cell r="F15">
            <v>21117</v>
          </cell>
          <cell r="G15" t="str">
            <v>Apr</v>
          </cell>
        </row>
        <row r="16">
          <cell r="A16" t="str">
            <v>NP50</v>
          </cell>
          <cell r="B16" t="str">
            <v>CATHOLIC DIOCESE OF ARLINGTON</v>
          </cell>
          <cell r="C16" t="str">
            <v>VA</v>
          </cell>
          <cell r="D16" t="str">
            <v>VA</v>
          </cell>
          <cell r="E16" t="str">
            <v>V</v>
          </cell>
          <cell r="F16">
            <v>22203</v>
          </cell>
          <cell r="G16" t="str">
            <v>Mar</v>
          </cell>
        </row>
        <row r="17">
          <cell r="A17" t="str">
            <v>U926</v>
          </cell>
          <cell r="B17" t="str">
            <v>Centre Group</v>
          </cell>
          <cell r="C17" t="str">
            <v>MD</v>
          </cell>
          <cell r="D17" t="str">
            <v>MD-PG/Mon</v>
          </cell>
          <cell r="E17" t="str">
            <v>MDP</v>
          </cell>
          <cell r="F17">
            <v>20774</v>
          </cell>
          <cell r="G17" t="str">
            <v>Jan</v>
          </cell>
        </row>
        <row r="18">
          <cell r="A18" t="str">
            <v>4N00</v>
          </cell>
          <cell r="B18" t="str">
            <v>CHARLES COUNTY GOVERNMENT</v>
          </cell>
          <cell r="C18" t="str">
            <v>MD</v>
          </cell>
          <cell r="D18" t="str">
            <v>MD-Other</v>
          </cell>
          <cell r="E18" t="str">
            <v>MDO</v>
          </cell>
          <cell r="F18">
            <v>20646</v>
          </cell>
          <cell r="G18" t="str">
            <v>Jul</v>
          </cell>
        </row>
        <row r="19">
          <cell r="A19" t="str">
            <v>4N02</v>
          </cell>
          <cell r="B19" t="str">
            <v>CHARLES COUNTY PUBLIC SCHOOLS - DENTAL</v>
          </cell>
          <cell r="C19" t="str">
            <v>MD</v>
          </cell>
          <cell r="D19" t="str">
            <v>MD-Other</v>
          </cell>
          <cell r="E19" t="str">
            <v>MDO</v>
          </cell>
          <cell r="F19">
            <v>20646</v>
          </cell>
          <cell r="G19" t="str">
            <v>Jul</v>
          </cell>
        </row>
        <row r="20">
          <cell r="A20" t="str">
            <v>4N02</v>
          </cell>
          <cell r="B20" t="str">
            <v>CHARLES COUNTY PUBLIC SCHOOLS</v>
          </cell>
          <cell r="C20" t="str">
            <v>MD</v>
          </cell>
          <cell r="D20" t="str">
            <v>MD-Other</v>
          </cell>
          <cell r="E20" t="str">
            <v>MDO</v>
          </cell>
          <cell r="F20">
            <v>20646</v>
          </cell>
          <cell r="G20" t="str">
            <v>Jul</v>
          </cell>
        </row>
        <row r="21">
          <cell r="A21" t="str">
            <v>1A20</v>
          </cell>
          <cell r="B21" t="str">
            <v>Chevy Chase Bank, F.S.B.</v>
          </cell>
          <cell r="C21" t="str">
            <v>MD</v>
          </cell>
          <cell r="D21" t="str">
            <v>MD-PG/Mon</v>
          </cell>
          <cell r="E21" t="str">
            <v>MDP</v>
          </cell>
          <cell r="F21">
            <v>20707</v>
          </cell>
          <cell r="G21" t="str">
            <v>Apr</v>
          </cell>
        </row>
        <row r="22">
          <cell r="A22" t="str">
            <v>NJ52</v>
          </cell>
          <cell r="B22" t="str">
            <v>CHOICE HOTELS INTERNATIONAL, INC.</v>
          </cell>
          <cell r="C22" t="str">
            <v>MD</v>
          </cell>
          <cell r="D22" t="str">
            <v>MD-PG/Mon</v>
          </cell>
          <cell r="E22" t="str">
            <v>MDP</v>
          </cell>
          <cell r="F22">
            <v>20901</v>
          </cell>
          <cell r="G22" t="str">
            <v>Jan</v>
          </cell>
        </row>
        <row r="23">
          <cell r="A23" t="str">
            <v>7S72</v>
          </cell>
          <cell r="B23" t="str">
            <v>CITY OF ANNAPOLIS</v>
          </cell>
          <cell r="C23" t="str">
            <v>MD</v>
          </cell>
          <cell r="D23" t="str">
            <v>MD-Other</v>
          </cell>
          <cell r="E23" t="str">
            <v>MDO</v>
          </cell>
          <cell r="F23">
            <v>21401</v>
          </cell>
          <cell r="G23" t="str">
            <v>Jul</v>
          </cell>
        </row>
        <row r="24">
          <cell r="A24" t="str">
            <v>R189</v>
          </cell>
          <cell r="B24" t="str">
            <v>Communication Workers of America</v>
          </cell>
          <cell r="C24" t="str">
            <v>DC</v>
          </cell>
          <cell r="D24" t="str">
            <v>DC</v>
          </cell>
          <cell r="E24" t="str">
            <v>D</v>
          </cell>
          <cell r="F24">
            <v>20001</v>
          </cell>
          <cell r="G24" t="str">
            <v>Jan</v>
          </cell>
        </row>
        <row r="25">
          <cell r="A25" t="str">
            <v>7J01</v>
          </cell>
          <cell r="B25" t="str">
            <v>CONSTELLATION ENERGY GROUP (BGE)</v>
          </cell>
          <cell r="C25" t="str">
            <v>MD</v>
          </cell>
          <cell r="D25" t="str">
            <v>MD-Other</v>
          </cell>
          <cell r="E25" t="str">
            <v>MDO</v>
          </cell>
          <cell r="F25">
            <v>21201</v>
          </cell>
          <cell r="G25" t="str">
            <v>Jun</v>
          </cell>
        </row>
        <row r="26">
          <cell r="A26" t="str">
            <v>XM70</v>
          </cell>
          <cell r="B26" t="str">
            <v>CRESTLINE HOTELS AND RESORTS</v>
          </cell>
          <cell r="C26" t="str">
            <v>VA</v>
          </cell>
          <cell r="D26" t="str">
            <v>VA</v>
          </cell>
          <cell r="E26" t="str">
            <v>V</v>
          </cell>
          <cell r="F26">
            <v>22102</v>
          </cell>
          <cell r="G26" t="str">
            <v>Jul</v>
          </cell>
        </row>
        <row r="27">
          <cell r="A27" t="str">
            <v>MR63</v>
          </cell>
          <cell r="B27" t="str">
            <v>CVS PHARMACY</v>
          </cell>
          <cell r="C27" t="str">
            <v>DC</v>
          </cell>
          <cell r="D27" t="str">
            <v>DC</v>
          </cell>
          <cell r="E27" t="str">
            <v>D</v>
          </cell>
          <cell r="F27">
            <v>20065</v>
          </cell>
          <cell r="G27" t="str">
            <v>Jan</v>
          </cell>
        </row>
        <row r="28">
          <cell r="A28" t="str">
            <v>7B75</v>
          </cell>
          <cell r="B28" t="str">
            <v>DIAMOND COMICS</v>
          </cell>
          <cell r="C28" t="str">
            <v>MD</v>
          </cell>
          <cell r="D28" t="str">
            <v>MD-Other</v>
          </cell>
          <cell r="E28" t="str">
            <v>MDO</v>
          </cell>
          <cell r="F28">
            <v>21093</v>
          </cell>
          <cell r="G28" t="str">
            <v>Jan</v>
          </cell>
        </row>
        <row r="29">
          <cell r="A29" t="str">
            <v>R802</v>
          </cell>
          <cell r="B29" t="str">
            <v>Dimensions Health Corporation</v>
          </cell>
          <cell r="C29" t="str">
            <v>MD</v>
          </cell>
          <cell r="D29" t="str">
            <v>MD-PG/Mon</v>
          </cell>
          <cell r="E29" t="str">
            <v>MDP</v>
          </cell>
          <cell r="F29">
            <v>20785</v>
          </cell>
          <cell r="G29" t="str">
            <v>Jan</v>
          </cell>
        </row>
        <row r="30">
          <cell r="A30" t="str">
            <v>R446</v>
          </cell>
          <cell r="B30" t="str">
            <v>Episcopal Diocese of Washington</v>
          </cell>
          <cell r="C30" t="str">
            <v>DC</v>
          </cell>
          <cell r="D30" t="str">
            <v>DC</v>
          </cell>
          <cell r="E30" t="str">
            <v>D</v>
          </cell>
          <cell r="F30">
            <v>20016</v>
          </cell>
          <cell r="G30" t="str">
            <v>Jan</v>
          </cell>
        </row>
        <row r="31">
          <cell r="A31" t="str">
            <v>R304</v>
          </cell>
          <cell r="B31" t="str">
            <v>FAES</v>
          </cell>
          <cell r="C31" t="str">
            <v>MD</v>
          </cell>
          <cell r="D31" t="str">
            <v>MD-Other</v>
          </cell>
          <cell r="E31" t="str">
            <v>MDO</v>
          </cell>
          <cell r="F31">
            <v>20814</v>
          </cell>
          <cell r="G31" t="str">
            <v>Jan</v>
          </cell>
        </row>
        <row r="32">
          <cell r="A32" t="str">
            <v>F49N</v>
          </cell>
          <cell r="B32" t="str">
            <v>FAIRFAX COUNTY GOVERNMENT</v>
          </cell>
          <cell r="C32" t="str">
            <v>VA</v>
          </cell>
          <cell r="D32" t="str">
            <v>VA</v>
          </cell>
          <cell r="E32" t="str">
            <v>V</v>
          </cell>
          <cell r="F32">
            <v>22035</v>
          </cell>
          <cell r="G32" t="str">
            <v>Jan</v>
          </cell>
        </row>
        <row r="33">
          <cell r="A33" t="str">
            <v>F70N</v>
          </cell>
          <cell r="B33" t="str">
            <v>FAIRFAX COUNTY PUBLIC SCHOOLS</v>
          </cell>
          <cell r="C33" t="str">
            <v>VA</v>
          </cell>
          <cell r="D33" t="str">
            <v>VA</v>
          </cell>
          <cell r="E33" t="str">
            <v>V</v>
          </cell>
          <cell r="F33">
            <v>22151</v>
          </cell>
          <cell r="G33" t="str">
            <v>Jan</v>
          </cell>
        </row>
        <row r="34">
          <cell r="A34" t="str">
            <v>R131</v>
          </cell>
          <cell r="B34" t="str">
            <v>Fairfax Hospital Retiree</v>
          </cell>
          <cell r="C34" t="str">
            <v>VA</v>
          </cell>
          <cell r="D34" t="str">
            <v>VA</v>
          </cell>
          <cell r="E34" t="str">
            <v>V</v>
          </cell>
          <cell r="F34">
            <v>22042</v>
          </cell>
          <cell r="G34" t="str">
            <v>Jan</v>
          </cell>
        </row>
        <row r="35">
          <cell r="A35" t="str">
            <v>7J09</v>
          </cell>
          <cell r="B35" t="str">
            <v>FEDERAL RESERVE BANK</v>
          </cell>
          <cell r="C35" t="str">
            <v>MD</v>
          </cell>
          <cell r="D35" t="str">
            <v>MD-Other</v>
          </cell>
          <cell r="E35" t="str">
            <v>MDO</v>
          </cell>
          <cell r="F35">
            <v>21201</v>
          </cell>
          <cell r="G35" t="str">
            <v>Jan</v>
          </cell>
        </row>
        <row r="36">
          <cell r="A36" t="str">
            <v>NJ54</v>
          </cell>
          <cell r="B36" t="str">
            <v>FOREST CITY ENTERPRISES, INC.</v>
          </cell>
          <cell r="C36" t="str">
            <v>MD</v>
          </cell>
          <cell r="D36" t="str">
            <v>MD-PG/Mon</v>
          </cell>
          <cell r="E36" t="str">
            <v>MDP</v>
          </cell>
          <cell r="F36">
            <v>20910</v>
          </cell>
          <cell r="G36" t="str">
            <v>Jan</v>
          </cell>
        </row>
        <row r="37">
          <cell r="A37" t="str">
            <v>UV60</v>
          </cell>
          <cell r="B37" t="str">
            <v>GEICO DIRECT</v>
          </cell>
          <cell r="C37" t="str">
            <v>DC</v>
          </cell>
          <cell r="D37" t="str">
            <v>DC</v>
          </cell>
          <cell r="E37" t="str">
            <v>D</v>
          </cell>
          <cell r="F37">
            <v>20076</v>
          </cell>
          <cell r="G37" t="str">
            <v>Jan</v>
          </cell>
        </row>
        <row r="38">
          <cell r="A38" t="str">
            <v>R182</v>
          </cell>
          <cell r="B38" t="str">
            <v>George Washington University</v>
          </cell>
          <cell r="C38" t="str">
            <v>DC</v>
          </cell>
          <cell r="D38" t="str">
            <v>DC</v>
          </cell>
          <cell r="E38" t="str">
            <v>D</v>
          </cell>
          <cell r="F38">
            <v>20052</v>
          </cell>
          <cell r="G38" t="str">
            <v>Jan</v>
          </cell>
        </row>
        <row r="39">
          <cell r="A39" t="str">
            <v>3D00</v>
          </cell>
          <cell r="B39" t="str">
            <v>GEORGETOWN UNIVERSITY HOSPITAL</v>
          </cell>
          <cell r="C39" t="str">
            <v>DC</v>
          </cell>
          <cell r="D39" t="str">
            <v>DC</v>
          </cell>
          <cell r="E39" t="str">
            <v>D</v>
          </cell>
          <cell r="F39">
            <v>20007</v>
          </cell>
          <cell r="G39" t="str">
            <v>Jan</v>
          </cell>
        </row>
        <row r="40">
          <cell r="A40" t="str">
            <v>0094</v>
          </cell>
          <cell r="B40" t="str">
            <v>Giant Food, Inc.</v>
          </cell>
          <cell r="C40" t="str">
            <v>DC</v>
          </cell>
          <cell r="D40" t="str">
            <v>DC</v>
          </cell>
          <cell r="E40" t="str">
            <v>D</v>
          </cell>
          <cell r="F40">
            <v>20013</v>
          </cell>
          <cell r="G40" t="str">
            <v>Jan</v>
          </cell>
        </row>
        <row r="41">
          <cell r="A41" t="str">
            <v>07TB</v>
          </cell>
          <cell r="B41" t="str">
            <v>GRAPHIC COMMUNICATIONS INTERNATIONAL UNI</v>
          </cell>
          <cell r="C41" t="str">
            <v>DC</v>
          </cell>
          <cell r="D41" t="str">
            <v>DC</v>
          </cell>
          <cell r="E41" t="str">
            <v>D</v>
          </cell>
          <cell r="F41">
            <v>20036</v>
          </cell>
          <cell r="G41" t="str">
            <v>Jan</v>
          </cell>
        </row>
        <row r="42">
          <cell r="A42" t="str">
            <v>7J55</v>
          </cell>
          <cell r="B42" t="str">
            <v>HARFORD COUNTY GOVERNMENT</v>
          </cell>
          <cell r="C42" t="str">
            <v>MD</v>
          </cell>
          <cell r="D42" t="str">
            <v>MD-Other</v>
          </cell>
          <cell r="E42" t="str">
            <v>MDO</v>
          </cell>
          <cell r="F42">
            <v>21014</v>
          </cell>
          <cell r="G42" t="str">
            <v>Jul</v>
          </cell>
        </row>
        <row r="43">
          <cell r="A43" t="str">
            <v>C414</v>
          </cell>
          <cell r="B43" t="str">
            <v>Henry M. Jackson</v>
          </cell>
          <cell r="C43" t="str">
            <v>MD</v>
          </cell>
          <cell r="D43" t="str">
            <v>MD-PG/Mon</v>
          </cell>
          <cell r="E43" t="str">
            <v>MDP</v>
          </cell>
          <cell r="F43">
            <v>20852</v>
          </cell>
          <cell r="G43" t="str">
            <v>Oct</v>
          </cell>
        </row>
        <row r="44">
          <cell r="A44" t="str">
            <v>4N03</v>
          </cell>
          <cell r="B44" t="str">
            <v>HOWARD COUNTY PUBLIC SCHOOLS</v>
          </cell>
          <cell r="C44" t="str">
            <v>MD</v>
          </cell>
          <cell r="D44" t="str">
            <v>MD-Other</v>
          </cell>
          <cell r="E44" t="str">
            <v>MDO</v>
          </cell>
          <cell r="F44">
            <v>21042</v>
          </cell>
          <cell r="G44" t="str">
            <v>Jul</v>
          </cell>
        </row>
        <row r="45">
          <cell r="A45" t="str">
            <v>UH77</v>
          </cell>
          <cell r="B45" t="str">
            <v>HOWARD UNIVERSITY AND HOSPITAL</v>
          </cell>
          <cell r="C45" t="str">
            <v>DC</v>
          </cell>
          <cell r="D45" t="str">
            <v>DC</v>
          </cell>
          <cell r="E45" t="str">
            <v>D</v>
          </cell>
          <cell r="F45">
            <v>20060</v>
          </cell>
          <cell r="G45" t="str">
            <v>Jan</v>
          </cell>
        </row>
        <row r="46">
          <cell r="A46" t="str">
            <v>PK60</v>
          </cell>
          <cell r="B46" t="str">
            <v>ICF CONSULTING</v>
          </cell>
          <cell r="C46" t="str">
            <v>DC</v>
          </cell>
          <cell r="D46" t="str">
            <v>DC</v>
          </cell>
          <cell r="E46" t="str">
            <v>D</v>
          </cell>
          <cell r="F46">
            <v>20006</v>
          </cell>
          <cell r="G46" t="str">
            <v>Jan</v>
          </cell>
        </row>
        <row r="47">
          <cell r="A47" t="str">
            <v>R348</v>
          </cell>
          <cell r="B47" t="str">
            <v>Intelsat</v>
          </cell>
          <cell r="C47" t="str">
            <v>DC</v>
          </cell>
          <cell r="D47" t="str">
            <v>DC</v>
          </cell>
          <cell r="E47" t="str">
            <v>D</v>
          </cell>
          <cell r="F47">
            <v>20008</v>
          </cell>
          <cell r="G47" t="str">
            <v>Jan</v>
          </cell>
        </row>
        <row r="48">
          <cell r="A48" t="str">
            <v>6776</v>
          </cell>
          <cell r="B48" t="str">
            <v>Int'l Brotherhood of Electrical Workers</v>
          </cell>
          <cell r="C48" t="str">
            <v>DC</v>
          </cell>
          <cell r="D48" t="str">
            <v>DC</v>
          </cell>
          <cell r="E48" t="str">
            <v>D</v>
          </cell>
          <cell r="F48">
            <v>20008</v>
          </cell>
          <cell r="G48" t="str">
            <v>Aug</v>
          </cell>
        </row>
        <row r="49">
          <cell r="A49" t="str">
            <v>R467</v>
          </cell>
          <cell r="B49" t="str">
            <v>Italian Embassy</v>
          </cell>
          <cell r="C49" t="str">
            <v>DC</v>
          </cell>
          <cell r="D49" t="str">
            <v>DC</v>
          </cell>
          <cell r="E49" t="str">
            <v>D</v>
          </cell>
          <cell r="F49">
            <v>20008</v>
          </cell>
          <cell r="G49" t="str">
            <v>Jan</v>
          </cell>
        </row>
        <row r="50">
          <cell r="A50" t="str">
            <v>7S45</v>
          </cell>
          <cell r="B50" t="str">
            <v>J J HAINES</v>
          </cell>
          <cell r="C50" t="str">
            <v>MD</v>
          </cell>
          <cell r="D50" t="str">
            <v>MD-Other</v>
          </cell>
          <cell r="E50" t="str">
            <v>MDO</v>
          </cell>
          <cell r="F50">
            <v>21061</v>
          </cell>
          <cell r="G50" t="str">
            <v>Jan</v>
          </cell>
        </row>
        <row r="51">
          <cell r="A51" t="str">
            <v>7J07</v>
          </cell>
          <cell r="B51" t="str">
            <v>JOHNS HOPKINS UNIVERSITY</v>
          </cell>
          <cell r="C51" t="str">
            <v>MD</v>
          </cell>
          <cell r="D51" t="str">
            <v>MD-Other</v>
          </cell>
          <cell r="E51" t="str">
            <v>MDO</v>
          </cell>
          <cell r="F51">
            <v>21218</v>
          </cell>
          <cell r="G51" t="str">
            <v>Jan</v>
          </cell>
        </row>
        <row r="52">
          <cell r="A52" t="str">
            <v>R153</v>
          </cell>
          <cell r="B52" t="str">
            <v>Kiplinger Washington Editors, Inc.</v>
          </cell>
          <cell r="C52" t="str">
            <v>DC</v>
          </cell>
          <cell r="D52" t="str">
            <v>DC</v>
          </cell>
          <cell r="E52" t="str">
            <v>D</v>
          </cell>
          <cell r="F52">
            <v>20006</v>
          </cell>
          <cell r="G52" t="str">
            <v>Jul</v>
          </cell>
        </row>
        <row r="53">
          <cell r="A53" t="str">
            <v>7J56</v>
          </cell>
          <cell r="B53" t="str">
            <v>LOYOLA COLLEGE</v>
          </cell>
          <cell r="C53" t="str">
            <v>MD</v>
          </cell>
          <cell r="D53" t="str">
            <v>MD-Other</v>
          </cell>
          <cell r="E53" t="str">
            <v>MDO</v>
          </cell>
          <cell r="F53">
            <v>21210</v>
          </cell>
          <cell r="G53" t="str">
            <v>Jul</v>
          </cell>
        </row>
        <row r="54">
          <cell r="A54" t="str">
            <v>PP28</v>
          </cell>
          <cell r="B54" t="str">
            <v>MARYLAND NATIONAL CAPITAL PARK &amp; PLANNIN</v>
          </cell>
          <cell r="C54" t="str">
            <v>MD</v>
          </cell>
          <cell r="D54" t="str">
            <v>MD-PG/Mon</v>
          </cell>
          <cell r="E54" t="str">
            <v>MDP</v>
          </cell>
          <cell r="F54">
            <v>20737</v>
          </cell>
          <cell r="G54" t="str">
            <v>Jan</v>
          </cell>
        </row>
        <row r="55">
          <cell r="A55" t="str">
            <v>0Y08</v>
          </cell>
          <cell r="B55" t="str">
            <v>Medlantic Healthcare</v>
          </cell>
          <cell r="C55" t="str">
            <v>DC</v>
          </cell>
          <cell r="D55" t="str">
            <v>DC</v>
          </cell>
          <cell r="E55" t="str">
            <v>D</v>
          </cell>
          <cell r="F55">
            <v>20010</v>
          </cell>
          <cell r="G55" t="str">
            <v>Jan</v>
          </cell>
        </row>
        <row r="56">
          <cell r="A56" t="str">
            <v>7J29</v>
          </cell>
          <cell r="B56" t="str">
            <v>MERCANTILE BANKSHARES</v>
          </cell>
          <cell r="C56" t="str">
            <v>MD</v>
          </cell>
          <cell r="D56" t="str">
            <v>MD-Other</v>
          </cell>
          <cell r="E56" t="str">
            <v>MDO</v>
          </cell>
          <cell r="F56">
            <v>21090</v>
          </cell>
          <cell r="G56" t="str">
            <v>Jan</v>
          </cell>
        </row>
        <row r="57">
          <cell r="A57" t="str">
            <v>7J66</v>
          </cell>
          <cell r="B57" t="str">
            <v>MERCY MEDICAL GROUP</v>
          </cell>
          <cell r="C57" t="str">
            <v>MD</v>
          </cell>
          <cell r="D57" t="str">
            <v>MD-Other</v>
          </cell>
          <cell r="E57" t="str">
            <v>MDO</v>
          </cell>
          <cell r="F57">
            <v>21202</v>
          </cell>
          <cell r="G57" t="str">
            <v>Jul</v>
          </cell>
        </row>
        <row r="58">
          <cell r="A58" t="str">
            <v>UU61</v>
          </cell>
          <cell r="B58" t="str">
            <v>METROPOLITAN WASHINGTON AIRPORTS AUTHORI</v>
          </cell>
          <cell r="C58" t="str">
            <v>DC</v>
          </cell>
          <cell r="D58" t="str">
            <v>DC</v>
          </cell>
          <cell r="E58" t="str">
            <v>D</v>
          </cell>
          <cell r="F58">
            <v>20001</v>
          </cell>
          <cell r="G58" t="str">
            <v>Jan</v>
          </cell>
        </row>
        <row r="59">
          <cell r="A59" t="str">
            <v>PK55</v>
          </cell>
          <cell r="B59" t="str">
            <v>MIRANT CORPORATION</v>
          </cell>
          <cell r="C59" t="str">
            <v>DC</v>
          </cell>
          <cell r="D59" t="str">
            <v>DC</v>
          </cell>
          <cell r="E59" t="str">
            <v>D</v>
          </cell>
          <cell r="F59">
            <v>20068</v>
          </cell>
          <cell r="G59" t="str">
            <v>Jan</v>
          </cell>
        </row>
        <row r="60">
          <cell r="A60" t="str">
            <v>PG50</v>
          </cell>
          <cell r="B60" t="str">
            <v>MONTGOMERY COUNTY GOVERNMENT</v>
          </cell>
          <cell r="C60" t="str">
            <v>MD</v>
          </cell>
          <cell r="D60" t="str">
            <v>MD-PG/Mon</v>
          </cell>
          <cell r="E60" t="str">
            <v>MDP</v>
          </cell>
          <cell r="F60">
            <v>20850</v>
          </cell>
          <cell r="G60" t="str">
            <v>Jan</v>
          </cell>
        </row>
        <row r="61">
          <cell r="A61" t="str">
            <v>PG52</v>
          </cell>
          <cell r="B61" t="str">
            <v>MONTGOMERY COUNTY GOVERNMENT POS</v>
          </cell>
          <cell r="C61" t="str">
            <v>MD</v>
          </cell>
          <cell r="D61" t="str">
            <v>MD-PG/Mon</v>
          </cell>
          <cell r="E61" t="str">
            <v>MDP</v>
          </cell>
          <cell r="F61">
            <v>20850</v>
          </cell>
          <cell r="G61" t="str">
            <v>Jan</v>
          </cell>
        </row>
        <row r="62">
          <cell r="A62" t="str">
            <v>PP20</v>
          </cell>
          <cell r="B62" t="str">
            <v>MONTGOMERY COUNTY PUBLIC SCHOOLS</v>
          </cell>
          <cell r="C62" t="str">
            <v>MD</v>
          </cell>
          <cell r="D62" t="str">
            <v>MD-PG/Mon</v>
          </cell>
          <cell r="E62" t="str">
            <v>MDP</v>
          </cell>
          <cell r="F62">
            <v>20850</v>
          </cell>
          <cell r="G62" t="str">
            <v>Jan</v>
          </cell>
        </row>
        <row r="63">
          <cell r="A63" t="str">
            <v>0F15</v>
          </cell>
          <cell r="B63" t="str">
            <v>National Academy of Sciences</v>
          </cell>
          <cell r="C63" t="str">
            <v>DC</v>
          </cell>
          <cell r="D63" t="str">
            <v>DC</v>
          </cell>
          <cell r="E63" t="str">
            <v>D</v>
          </cell>
          <cell r="F63">
            <v>20007</v>
          </cell>
          <cell r="G63" t="str">
            <v>Jan</v>
          </cell>
        </row>
        <row r="64">
          <cell r="A64" t="str">
            <v>R138</v>
          </cell>
          <cell r="B64" t="str">
            <v>National Geographic Society</v>
          </cell>
          <cell r="C64" t="str">
            <v>DC</v>
          </cell>
          <cell r="D64" t="str">
            <v>DC</v>
          </cell>
          <cell r="E64" t="str">
            <v>D</v>
          </cell>
          <cell r="F64">
            <v>20036</v>
          </cell>
          <cell r="G64" t="str">
            <v>Jan</v>
          </cell>
        </row>
        <row r="65">
          <cell r="A65" t="str">
            <v>R390</v>
          </cell>
          <cell r="B65" t="str">
            <v>Organization of American States</v>
          </cell>
          <cell r="C65" t="str">
            <v>DC</v>
          </cell>
          <cell r="D65" t="str">
            <v>DC</v>
          </cell>
          <cell r="E65" t="str">
            <v>D</v>
          </cell>
          <cell r="F65">
            <v>20006</v>
          </cell>
          <cell r="G65" t="str">
            <v>Jan</v>
          </cell>
        </row>
        <row r="66">
          <cell r="A66" t="str">
            <v>P436</v>
          </cell>
          <cell r="B66" t="str">
            <v>Overseas Private Investment Corp.</v>
          </cell>
          <cell r="C66" t="str">
            <v>DC</v>
          </cell>
          <cell r="D66" t="str">
            <v>DC</v>
          </cell>
          <cell r="E66" t="str">
            <v>D</v>
          </cell>
          <cell r="F66">
            <v>20527</v>
          </cell>
          <cell r="G66" t="str">
            <v>Jan</v>
          </cell>
        </row>
        <row r="67">
          <cell r="A67" t="str">
            <v>0F12</v>
          </cell>
          <cell r="B67" t="str">
            <v>Pan American Health Organization</v>
          </cell>
          <cell r="C67" t="str">
            <v>DC</v>
          </cell>
          <cell r="D67" t="str">
            <v>DC</v>
          </cell>
          <cell r="E67" t="str">
            <v>D</v>
          </cell>
          <cell r="F67">
            <v>20037</v>
          </cell>
          <cell r="G67" t="str">
            <v>Oct</v>
          </cell>
        </row>
        <row r="68">
          <cell r="A68" t="str">
            <v>3M14</v>
          </cell>
          <cell r="B68" t="str">
            <v>PEROT SYSTEMS GOVERNMENT SERVICES, INC.</v>
          </cell>
          <cell r="C68" t="str">
            <v>VA</v>
          </cell>
          <cell r="D68" t="str">
            <v>VA</v>
          </cell>
          <cell r="E68" t="str">
            <v>V</v>
          </cell>
          <cell r="F68">
            <v>22311</v>
          </cell>
          <cell r="G68" t="str">
            <v>Dec</v>
          </cell>
        </row>
        <row r="69">
          <cell r="A69" t="str">
            <v>NJ51</v>
          </cell>
          <cell r="B69" t="str">
            <v>PRINCE GEORGES COMMUNITY COLLEGE</v>
          </cell>
          <cell r="C69" t="str">
            <v>MD</v>
          </cell>
          <cell r="D69" t="str">
            <v>MD-PG/Mon</v>
          </cell>
          <cell r="E69" t="str">
            <v>MDP</v>
          </cell>
          <cell r="F69">
            <v>20744</v>
          </cell>
          <cell r="G69" t="str">
            <v>Jan</v>
          </cell>
        </row>
        <row r="70">
          <cell r="A70" t="str">
            <v>0F27</v>
          </cell>
          <cell r="B70" t="str">
            <v>Prince George's County Public Schools</v>
          </cell>
          <cell r="C70" t="str">
            <v>MD</v>
          </cell>
          <cell r="D70" t="str">
            <v>MD-PG/Mon</v>
          </cell>
          <cell r="E70" t="str">
            <v>MDP</v>
          </cell>
          <cell r="F70">
            <v>20772</v>
          </cell>
          <cell r="G70" t="str">
            <v>Jul</v>
          </cell>
        </row>
        <row r="71">
          <cell r="A71" t="str">
            <v>TD97</v>
          </cell>
          <cell r="B71" t="str">
            <v>PRODUCTION GROUP INTERNATIONAL (PGI)</v>
          </cell>
          <cell r="C71" t="str">
            <v>VA</v>
          </cell>
          <cell r="D71" t="str">
            <v>VA</v>
          </cell>
          <cell r="E71" t="str">
            <v>V</v>
          </cell>
          <cell r="F71">
            <v>22314</v>
          </cell>
          <cell r="G71" t="str">
            <v>Jan</v>
          </cell>
        </row>
        <row r="72">
          <cell r="A72" t="str">
            <v>NS45</v>
          </cell>
          <cell r="B72" t="str">
            <v>PROVIDENCE HOSPITAL</v>
          </cell>
          <cell r="C72" t="str">
            <v>DC</v>
          </cell>
          <cell r="D72" t="str">
            <v>DC</v>
          </cell>
          <cell r="E72" t="str">
            <v>D</v>
          </cell>
          <cell r="F72">
            <v>20017</v>
          </cell>
          <cell r="G72" t="str">
            <v>Jan</v>
          </cell>
        </row>
        <row r="73">
          <cell r="A73" t="str">
            <v>QU92</v>
          </cell>
          <cell r="B73" t="str">
            <v>QUEEN ANNE'S COUNTY BOARD OF EDUCATION</v>
          </cell>
          <cell r="C73" t="str">
            <v>MD</v>
          </cell>
          <cell r="D73" t="str">
            <v>MD-Other</v>
          </cell>
          <cell r="E73" t="str">
            <v>MDO</v>
          </cell>
          <cell r="F73">
            <v>21617</v>
          </cell>
          <cell r="G73" t="str">
            <v>Sep</v>
          </cell>
        </row>
        <row r="74">
          <cell r="A74" t="str">
            <v>UP20</v>
          </cell>
          <cell r="B74" t="str">
            <v xml:space="preserve">SAMBA ACTIVE EMPLOYEES AND RETIREE </v>
          </cell>
          <cell r="C74" t="str">
            <v>MD</v>
          </cell>
          <cell r="D74" t="str">
            <v>MD-PG/Mon</v>
          </cell>
          <cell r="E74" t="str">
            <v>MDP</v>
          </cell>
          <cell r="F74">
            <v>20852</v>
          </cell>
          <cell r="G74" t="str">
            <v>Jan</v>
          </cell>
        </row>
        <row r="75">
          <cell r="A75" t="str">
            <v>QU92</v>
          </cell>
          <cell r="B75" t="str">
            <v>SAMBA  STAFF AND DEPENDENT CHILD</v>
          </cell>
          <cell r="C75" t="str">
            <v>MD</v>
          </cell>
          <cell r="D75" t="str">
            <v>MD-PG/Mon</v>
          </cell>
          <cell r="E75" t="str">
            <v>MDP</v>
          </cell>
          <cell r="F75">
            <v>20852</v>
          </cell>
          <cell r="G75" t="str">
            <v>Sep</v>
          </cell>
        </row>
        <row r="76">
          <cell r="A76" t="str">
            <v>X590</v>
          </cell>
          <cell r="B76" t="str">
            <v>Secret Service</v>
          </cell>
          <cell r="C76" t="str">
            <v>DC</v>
          </cell>
          <cell r="D76" t="str">
            <v>DC</v>
          </cell>
          <cell r="E76" t="str">
            <v>D</v>
          </cell>
          <cell r="F76">
            <v>20223</v>
          </cell>
          <cell r="G76" t="str">
            <v>Jan</v>
          </cell>
        </row>
        <row r="77">
          <cell r="A77" t="str">
            <v>0Y02</v>
          </cell>
          <cell r="B77" t="str">
            <v>Sheet Metal Workers Assocation</v>
          </cell>
          <cell r="C77" t="str">
            <v>DC</v>
          </cell>
          <cell r="D77" t="str">
            <v>DC</v>
          </cell>
          <cell r="E77" t="str">
            <v>D</v>
          </cell>
          <cell r="F77">
            <v>20006</v>
          </cell>
          <cell r="G77" t="str">
            <v>Jan</v>
          </cell>
        </row>
        <row r="78">
          <cell r="A78" t="str">
            <v>D702</v>
          </cell>
          <cell r="B78" t="str">
            <v>Sibley Memorial Hospital</v>
          </cell>
          <cell r="C78" t="str">
            <v>DC</v>
          </cell>
          <cell r="D78" t="str">
            <v>DC</v>
          </cell>
          <cell r="E78" t="str">
            <v>D</v>
          </cell>
          <cell r="F78">
            <v>20016</v>
          </cell>
          <cell r="G78" t="str">
            <v>May</v>
          </cell>
        </row>
        <row r="79">
          <cell r="A79" t="str">
            <v>7J60</v>
          </cell>
          <cell r="B79" t="str">
            <v>ST. MARY'S COUNTY COMMISSIONERS</v>
          </cell>
          <cell r="C79" t="str">
            <v>MD</v>
          </cell>
          <cell r="D79" t="str">
            <v>MD-Other</v>
          </cell>
          <cell r="E79" t="str">
            <v>MDO</v>
          </cell>
          <cell r="F79">
            <v>20650</v>
          </cell>
          <cell r="G79" t="str">
            <v>Jul</v>
          </cell>
        </row>
        <row r="80">
          <cell r="A80" t="str">
            <v>7J61</v>
          </cell>
          <cell r="B80" t="str">
            <v>ST. MARY'S COUNTY PUBLIC SCHOOLS</v>
          </cell>
          <cell r="C80" t="str">
            <v>MD</v>
          </cell>
          <cell r="D80" t="str">
            <v>MD-Other</v>
          </cell>
          <cell r="E80" t="str">
            <v>MDO</v>
          </cell>
          <cell r="F80">
            <v>20650</v>
          </cell>
          <cell r="G80" t="str">
            <v>Jul</v>
          </cell>
        </row>
        <row r="81">
          <cell r="A81" t="str">
            <v>PK61</v>
          </cell>
          <cell r="B81" t="str">
            <v>SUNBURST HOSPITALITES</v>
          </cell>
          <cell r="C81" t="str">
            <v>MD</v>
          </cell>
          <cell r="D81" t="str">
            <v>MD-PG/Mon</v>
          </cell>
          <cell r="E81" t="str">
            <v>MDP</v>
          </cell>
          <cell r="F81">
            <v>20901</v>
          </cell>
          <cell r="G81" t="str">
            <v>Jan</v>
          </cell>
        </row>
        <row r="82">
          <cell r="A82" t="str">
            <v>7J30</v>
          </cell>
          <cell r="B82" t="str">
            <v>T ROWE PRICE</v>
          </cell>
          <cell r="C82" t="str">
            <v>MD</v>
          </cell>
          <cell r="D82" t="str">
            <v>MD-Other</v>
          </cell>
          <cell r="E82" t="str">
            <v>MDO</v>
          </cell>
          <cell r="F82">
            <v>21202</v>
          </cell>
          <cell r="G82" t="str">
            <v>Jan</v>
          </cell>
        </row>
        <row r="83">
          <cell r="A83" t="str">
            <v>3D54</v>
          </cell>
          <cell r="B83" t="str">
            <v>TELECORP PCS, INC. (ACTIVE)</v>
          </cell>
          <cell r="C83" t="str">
            <v>VA</v>
          </cell>
          <cell r="D83" t="str">
            <v>VA</v>
          </cell>
          <cell r="E83" t="str">
            <v>V</v>
          </cell>
          <cell r="F83">
            <v>22201</v>
          </cell>
          <cell r="G83" t="str">
            <v>Jan</v>
          </cell>
        </row>
        <row r="84">
          <cell r="A84" t="str">
            <v>0Y10</v>
          </cell>
          <cell r="B84" t="str">
            <v>The American University</v>
          </cell>
          <cell r="C84" t="str">
            <v>DC</v>
          </cell>
          <cell r="D84" t="str">
            <v>DC</v>
          </cell>
          <cell r="E84" t="str">
            <v>D</v>
          </cell>
          <cell r="F84">
            <v>20016</v>
          </cell>
          <cell r="G84" t="str">
            <v>Jan</v>
          </cell>
        </row>
        <row r="85">
          <cell r="A85" t="str">
            <v>5498</v>
          </cell>
          <cell r="B85" t="str">
            <v>Transit Employees Hlth &amp; Welfare Fund</v>
          </cell>
          <cell r="C85" t="str">
            <v>MD</v>
          </cell>
          <cell r="D85" t="str">
            <v>MD-PG/Mon</v>
          </cell>
          <cell r="E85" t="str">
            <v>MDP</v>
          </cell>
          <cell r="F85">
            <v>20747</v>
          </cell>
          <cell r="G85" t="str">
            <v>Jan</v>
          </cell>
        </row>
        <row r="86">
          <cell r="A86" t="str">
            <v>7M15</v>
          </cell>
          <cell r="B86" t="str">
            <v>UNITED CONTAINER MACHINERY GROUP</v>
          </cell>
          <cell r="C86" t="str">
            <v>MD</v>
          </cell>
          <cell r="D86" t="str">
            <v>MD-Other</v>
          </cell>
          <cell r="E86" t="str">
            <v>MDO</v>
          </cell>
          <cell r="F86">
            <v>21057</v>
          </cell>
          <cell r="G86" t="str">
            <v>Jan</v>
          </cell>
        </row>
        <row r="87">
          <cell r="A87" t="str">
            <v>UH58</v>
          </cell>
          <cell r="B87" t="str">
            <v>VERIZON</v>
          </cell>
          <cell r="C87" t="str">
            <v>MD</v>
          </cell>
          <cell r="D87" t="str">
            <v>MD-PG/Mon</v>
          </cell>
          <cell r="E87" t="str">
            <v>MDP</v>
          </cell>
          <cell r="F87">
            <v>20904</v>
          </cell>
          <cell r="G87" t="str">
            <v>Jan</v>
          </cell>
        </row>
        <row r="88">
          <cell r="A88" t="str">
            <v>R330</v>
          </cell>
          <cell r="B88" t="str">
            <v>WMATA</v>
          </cell>
          <cell r="C88" t="str">
            <v>DC</v>
          </cell>
          <cell r="D88" t="str">
            <v>DC</v>
          </cell>
          <cell r="E88" t="str">
            <v>D</v>
          </cell>
          <cell r="F88">
            <v>20001</v>
          </cell>
          <cell r="G88" t="str">
            <v>Jan</v>
          </cell>
        </row>
        <row r="89">
          <cell r="A89" t="str">
            <v>TD95</v>
          </cell>
          <cell r="B89" t="str">
            <v>WASHINGTON GAS</v>
          </cell>
          <cell r="C89" t="str">
            <v>VA</v>
          </cell>
          <cell r="D89" t="str">
            <v>VA</v>
          </cell>
          <cell r="E89" t="str">
            <v>V</v>
          </cell>
          <cell r="F89">
            <v>22151</v>
          </cell>
          <cell r="G89" t="str">
            <v>Jan</v>
          </cell>
        </row>
        <row r="90">
          <cell r="A90" t="str">
            <v>QU93</v>
          </cell>
          <cell r="B90" t="str">
            <v>WICOMICO COUNTY</v>
          </cell>
          <cell r="C90" t="str">
            <v>MD</v>
          </cell>
          <cell r="D90" t="str">
            <v>MD-Other</v>
          </cell>
          <cell r="E90" t="str">
            <v>MDO</v>
          </cell>
          <cell r="F90">
            <v>21801</v>
          </cell>
          <cell r="G90" t="str">
            <v>Sep</v>
          </cell>
        </row>
        <row r="91">
          <cell r="A91" t="str">
            <v>6D43</v>
          </cell>
          <cell r="B91" t="str">
            <v>WORLD WILDLIFE FUND, INC.</v>
          </cell>
          <cell r="C91" t="str">
            <v>DC</v>
          </cell>
          <cell r="D91" t="str">
            <v>DC</v>
          </cell>
          <cell r="E91" t="str">
            <v>D</v>
          </cell>
          <cell r="F91">
            <v>20037</v>
          </cell>
          <cell r="G91" t="str">
            <v>Jan</v>
          </cell>
        </row>
      </sheetData>
      <sheetData sheetId="11" refreshError="1">
        <row r="12">
          <cell r="A12">
            <v>51</v>
          </cell>
          <cell r="B12">
            <v>52.482272383003107</v>
          </cell>
          <cell r="C12">
            <v>55.106386002153272</v>
          </cell>
          <cell r="D12">
            <v>57.599293940345909</v>
          </cell>
          <cell r="E12">
            <v>60.354613240453574</v>
          </cell>
          <cell r="F12">
            <v>61.929081411943663</v>
          </cell>
          <cell r="G12">
            <v>1.5</v>
          </cell>
          <cell r="H12">
            <v>3.6</v>
          </cell>
          <cell r="I12">
            <v>5.479109974215687</v>
          </cell>
          <cell r="J12">
            <v>13.149863938117649</v>
          </cell>
          <cell r="K12">
            <v>2.5648928407093465</v>
          </cell>
          <cell r="L12">
            <v>6.1557428177024311</v>
          </cell>
        </row>
        <row r="13">
          <cell r="A13">
            <v>70</v>
          </cell>
          <cell r="B13">
            <v>48.468251514902121</v>
          </cell>
          <cell r="C13">
            <v>50.891664090647232</v>
          </cell>
          <cell r="D13">
            <v>53.193906037605075</v>
          </cell>
          <cell r="E13">
            <v>55.738489242137433</v>
          </cell>
          <cell r="F13">
            <v>57.192536787584501</v>
          </cell>
          <cell r="G13">
            <v>1.5</v>
          </cell>
          <cell r="H13">
            <v>3.6</v>
          </cell>
          <cell r="I13">
            <v>5.0708055971490342</v>
          </cell>
          <cell r="J13">
            <v>12.169933433157683</v>
          </cell>
          <cell r="K13">
            <v>2.3129331223195058</v>
          </cell>
          <cell r="L13">
            <v>5.5510394935668135</v>
          </cell>
        </row>
        <row r="14">
          <cell r="A14">
            <v>130</v>
          </cell>
          <cell r="B14">
            <v>42.239847696328624</v>
          </cell>
          <cell r="C14">
            <v>44.351840081145063</v>
          </cell>
          <cell r="D14">
            <v>46.358232846720668</v>
          </cell>
          <cell r="E14">
            <v>48.57582485077792</v>
          </cell>
          <cell r="F14">
            <v>49.843020281667776</v>
          </cell>
          <cell r="G14">
            <v>1.5</v>
          </cell>
          <cell r="H14">
            <v>3.6</v>
          </cell>
          <cell r="I14">
            <v>4.4226224220220409</v>
          </cell>
          <cell r="J14">
            <v>10.614293812852898</v>
          </cell>
          <cell r="K14">
            <v>1.9129470838564173</v>
          </cell>
          <cell r="L14">
            <v>4.5910730012554017</v>
          </cell>
        </row>
        <row r="15">
          <cell r="A15">
            <v>200</v>
          </cell>
          <cell r="B15">
            <v>38.912937624628199</v>
          </cell>
          <cell r="C15">
            <v>40.858584505859596</v>
          </cell>
          <cell r="D15">
            <v>42.706949043029503</v>
          </cell>
          <cell r="E15">
            <v>44.749878268322398</v>
          </cell>
          <cell r="F15">
            <v>45.917266397061297</v>
          </cell>
          <cell r="G15">
            <v>1</v>
          </cell>
          <cell r="H15">
            <v>2.4</v>
          </cell>
          <cell r="I15">
            <v>4.0670485305695996</v>
          </cell>
          <cell r="J15">
            <v>9.7609164733670308</v>
          </cell>
          <cell r="K15">
            <v>1.6935267136885199</v>
          </cell>
          <cell r="L15">
            <v>4.0644641128524501</v>
          </cell>
        </row>
        <row r="16">
          <cell r="A16">
            <v>300</v>
          </cell>
          <cell r="B16">
            <v>36.372866417113698</v>
          </cell>
          <cell r="C16">
            <v>38.191509737969398</v>
          </cell>
          <cell r="D16">
            <v>39.919220892782299</v>
          </cell>
          <cell r="E16">
            <v>41.828796379680803</v>
          </cell>
          <cell r="F16">
            <v>42.919982372194198</v>
          </cell>
          <cell r="G16">
            <v>1</v>
          </cell>
          <cell r="H16">
            <v>2.4</v>
          </cell>
          <cell r="I16">
            <v>3.7898235789465602</v>
          </cell>
          <cell r="J16">
            <v>9.0955765894717509</v>
          </cell>
          <cell r="K16">
            <v>1.5224545315988001</v>
          </cell>
          <cell r="L16">
            <v>3.6538908758371198</v>
          </cell>
        </row>
        <row r="17">
          <cell r="A17">
            <v>400</v>
          </cell>
          <cell r="B17">
            <v>34.858682746187597</v>
          </cell>
          <cell r="C17">
            <v>36.601616883497002</v>
          </cell>
          <cell r="D17">
            <v>38.257404313940903</v>
          </cell>
          <cell r="E17">
            <v>40.087485158115797</v>
          </cell>
          <cell r="F17">
            <v>41.1332456405014</v>
          </cell>
          <cell r="G17">
            <v>1</v>
          </cell>
          <cell r="H17">
            <v>2.4</v>
          </cell>
          <cell r="I17">
            <v>3.6216488093161301</v>
          </cell>
          <cell r="J17">
            <v>8.6919571423587207</v>
          </cell>
          <cell r="K17">
            <v>1.4186759047303401</v>
          </cell>
          <cell r="L17">
            <v>3.40482217135281</v>
          </cell>
        </row>
        <row r="18">
          <cell r="A18">
            <v>500</v>
          </cell>
          <cell r="B18">
            <v>33.825353288148897</v>
          </cell>
          <cell r="C18">
            <v>35.516620952556401</v>
          </cell>
          <cell r="D18">
            <v>37.1233252337435</v>
          </cell>
          <cell r="E18">
            <v>38.899156281371297</v>
          </cell>
          <cell r="F18">
            <v>39.913916880015798</v>
          </cell>
          <cell r="G18">
            <v>1</v>
          </cell>
          <cell r="H18">
            <v>2.4</v>
          </cell>
          <cell r="I18">
            <v>3.5053980936193501</v>
          </cell>
          <cell r="J18">
            <v>8.4129554246864409</v>
          </cell>
          <cell r="K18">
            <v>1.3469389867966901</v>
          </cell>
          <cell r="L18">
            <v>3.2326535683120601</v>
          </cell>
        </row>
        <row r="19">
          <cell r="A19">
            <v>600</v>
          </cell>
          <cell r="B19">
            <v>33.062581170657403</v>
          </cell>
          <cell r="C19">
            <v>34.7157102291903</v>
          </cell>
          <cell r="D19">
            <v>36.286182834796499</v>
          </cell>
          <cell r="E19">
            <v>38.021968346256102</v>
          </cell>
          <cell r="F19">
            <v>39.0138457813758</v>
          </cell>
          <cell r="G19">
            <v>1</v>
          </cell>
          <cell r="H19">
            <v>2.4</v>
          </cell>
          <cell r="I19">
            <v>3.4187082662008801</v>
          </cell>
          <cell r="J19">
            <v>8.2048998388821204</v>
          </cell>
          <cell r="K19">
            <v>1.2934437373444501</v>
          </cell>
          <cell r="L19">
            <v>3.1042649696266902</v>
          </cell>
        </row>
        <row r="20">
          <cell r="A20">
            <v>700</v>
          </cell>
          <cell r="B20">
            <v>32.469755025855001</v>
          </cell>
          <cell r="C20">
            <v>34.0932427771478</v>
          </cell>
          <cell r="D20">
            <v>35.635556140875899</v>
          </cell>
          <cell r="E20">
            <v>37.3402182797333</v>
          </cell>
          <cell r="F20">
            <v>38.314310930508903</v>
          </cell>
          <cell r="G20">
            <v>1</v>
          </cell>
          <cell r="H20">
            <v>2.4</v>
          </cell>
          <cell r="I20">
            <v>3.3507625588710601</v>
          </cell>
          <cell r="J20">
            <v>8.0418301412905393</v>
          </cell>
          <cell r="K20">
            <v>1.2515152588706</v>
          </cell>
          <cell r="L20">
            <v>3.0036366212894401</v>
          </cell>
        </row>
        <row r="21">
          <cell r="A21">
            <v>800</v>
          </cell>
          <cell r="B21">
            <v>31.991891628983701</v>
          </cell>
          <cell r="C21">
            <v>33.591486210432898</v>
          </cell>
          <cell r="D21">
            <v>35.111101062809603</v>
          </cell>
          <cell r="E21">
            <v>36.790675373331197</v>
          </cell>
          <cell r="F21">
            <v>37.750432122200699</v>
          </cell>
          <cell r="G21">
            <v>1</v>
          </cell>
          <cell r="H21">
            <v>2.4</v>
          </cell>
          <cell r="I21">
            <v>3.29559712888345</v>
          </cell>
          <cell r="J21">
            <v>7.9094331093202799</v>
          </cell>
          <cell r="K21">
            <v>1.2174733357729599</v>
          </cell>
          <cell r="L21">
            <v>2.9219360058551</v>
          </cell>
        </row>
        <row r="22">
          <cell r="A22">
            <v>900</v>
          </cell>
          <cell r="B22">
            <v>31.596070375238099</v>
          </cell>
          <cell r="C22">
            <v>33.175873893999999</v>
          </cell>
          <cell r="D22">
            <v>34.676687236823902</v>
          </cell>
          <cell r="E22">
            <v>36.335480931523897</v>
          </cell>
          <cell r="F22">
            <v>37.283363042780998</v>
          </cell>
          <cell r="G22">
            <v>1</v>
          </cell>
          <cell r="H22">
            <v>2.4</v>
          </cell>
          <cell r="I22">
            <v>3.2496144398396001</v>
          </cell>
          <cell r="J22">
            <v>7.7990746556150503</v>
          </cell>
          <cell r="K22">
            <v>1.18909797162543</v>
          </cell>
          <cell r="L22">
            <v>2.85383513190104</v>
          </cell>
        </row>
        <row r="23">
          <cell r="A23">
            <v>1000</v>
          </cell>
          <cell r="B23">
            <v>31.2612173620047</v>
          </cell>
          <cell r="C23">
            <v>32.824278230104902</v>
          </cell>
          <cell r="D23">
            <v>34.3091860548002</v>
          </cell>
          <cell r="E23">
            <v>35.950399966305397</v>
          </cell>
          <cell r="F23">
            <v>36.8882364871655</v>
          </cell>
          <cell r="G23">
            <v>1</v>
          </cell>
          <cell r="H23">
            <v>2.4</v>
          </cell>
          <cell r="I23">
            <v>3.2104966238858998</v>
          </cell>
          <cell r="J23">
            <v>7.7051918973261602</v>
          </cell>
          <cell r="K23">
            <v>1.1649588380640199</v>
          </cell>
          <cell r="L23">
            <v>2.7959012113536499</v>
          </cell>
        </row>
        <row r="24">
          <cell r="A24">
            <v>1250</v>
          </cell>
          <cell r="B24">
            <v>30.607682429854801</v>
          </cell>
          <cell r="C24">
            <v>32.138066551347499</v>
          </cell>
          <cell r="D24">
            <v>33.591931466765601</v>
          </cell>
          <cell r="E24">
            <v>35.198834794333003</v>
          </cell>
          <cell r="F24">
            <v>36.117065267228597</v>
          </cell>
          <cell r="G24">
            <v>1</v>
          </cell>
          <cell r="H24">
            <v>2.4</v>
          </cell>
          <cell r="I24">
            <v>3.1335264209857598</v>
          </cell>
          <cell r="J24">
            <v>7.5204634103658199</v>
          </cell>
          <cell r="K24">
            <v>1.117461451956</v>
          </cell>
          <cell r="L24">
            <v>2.6819074846944102</v>
          </cell>
        </row>
        <row r="25">
          <cell r="A25">
            <v>1500</v>
          </cell>
          <cell r="B25">
            <v>30.1252629844662</v>
          </cell>
          <cell r="C25">
            <v>31.631526133689501</v>
          </cell>
          <cell r="D25">
            <v>33.062476125451703</v>
          </cell>
          <cell r="E25">
            <v>34.6440524321361</v>
          </cell>
          <cell r="F25">
            <v>35.547810321670099</v>
          </cell>
          <cell r="G25">
            <v>1</v>
          </cell>
          <cell r="H25">
            <v>2.4</v>
          </cell>
          <cell r="I25">
            <v>3.0761286358127</v>
          </cell>
          <cell r="J25">
            <v>7.3827087259504802</v>
          </cell>
          <cell r="K25">
            <v>1.0820419693330099</v>
          </cell>
          <cell r="L25">
            <v>2.5969007263992299</v>
          </cell>
        </row>
        <row r="26">
          <cell r="A26">
            <v>1750</v>
          </cell>
          <cell r="B26">
            <v>29.7503268096517</v>
          </cell>
          <cell r="C26">
            <v>31.237843150134299</v>
          </cell>
          <cell r="D26">
            <v>32.650983673592798</v>
          </cell>
          <cell r="E26">
            <v>34.212875831099502</v>
          </cell>
          <cell r="F26">
            <v>35.105385635388998</v>
          </cell>
          <cell r="G26">
            <v>1</v>
          </cell>
          <cell r="H26">
            <v>2.4</v>
          </cell>
          <cell r="I26">
            <v>3.0311414299445598</v>
          </cell>
          <cell r="J26">
            <v>7.2747394318669301</v>
          </cell>
          <cell r="K26">
            <v>1.05428090587561</v>
          </cell>
          <cell r="L26">
            <v>2.5302741741014501</v>
          </cell>
        </row>
        <row r="27">
          <cell r="A27">
            <v>2000</v>
          </cell>
          <cell r="B27">
            <v>29.448099460744</v>
          </cell>
          <cell r="C27">
            <v>30.920504433781201</v>
          </cell>
          <cell r="D27">
            <v>32.319289158166598</v>
          </cell>
          <cell r="E27">
            <v>33.865314379855597</v>
          </cell>
          <cell r="F27">
            <v>34.748757363678003</v>
          </cell>
          <cell r="G27">
            <v>1</v>
          </cell>
          <cell r="H27">
            <v>2.4</v>
          </cell>
          <cell r="I27">
            <v>2.9946161121108599</v>
          </cell>
          <cell r="J27">
            <v>7.18707866906606</v>
          </cell>
          <cell r="K27">
            <v>1.0317415717112399</v>
          </cell>
          <cell r="L27">
            <v>2.4761797721069798</v>
          </cell>
        </row>
        <row r="28">
          <cell r="A28">
            <v>2250</v>
          </cell>
          <cell r="B28">
            <v>29.1977601191162</v>
          </cell>
          <cell r="C28">
            <v>30.657648125072001</v>
          </cell>
          <cell r="D28">
            <v>32.044541730730003</v>
          </cell>
          <cell r="E28">
            <v>33.577424136983602</v>
          </cell>
          <cell r="F28">
            <v>34.4533569405571</v>
          </cell>
          <cell r="G28">
            <v>1</v>
          </cell>
          <cell r="H28">
            <v>2.4</v>
          </cell>
          <cell r="I28">
            <v>2.9641707347694299</v>
          </cell>
          <cell r="J28">
            <v>7.1140097634466404</v>
          </cell>
          <cell r="K28">
            <v>1.01295409567112</v>
          </cell>
          <cell r="L28">
            <v>2.4310898296106802</v>
          </cell>
        </row>
        <row r="29">
          <cell r="A29">
            <v>2500</v>
          </cell>
          <cell r="B29">
            <v>28.985980478478499</v>
          </cell>
          <cell r="C29">
            <v>30.435279502402501</v>
          </cell>
          <cell r="D29">
            <v>31.812113575130201</v>
          </cell>
          <cell r="E29">
            <v>33.3338775502503</v>
          </cell>
          <cell r="F29">
            <v>34.203456964604698</v>
          </cell>
          <cell r="G29">
            <v>1</v>
          </cell>
          <cell r="H29">
            <v>2.4</v>
          </cell>
          <cell r="I29">
            <v>2.93827062557079</v>
          </cell>
          <cell r="J29">
            <v>7.0518495013699001</v>
          </cell>
          <cell r="K29">
            <v>0.99697144991346298</v>
          </cell>
          <cell r="L29">
            <v>2.3927314797923098</v>
          </cell>
        </row>
        <row r="30">
          <cell r="A30">
            <v>2750</v>
          </cell>
          <cell r="B30">
            <v>28.803780240031401</v>
          </cell>
          <cell r="C30">
            <v>30.243969252033001</v>
          </cell>
          <cell r="D30">
            <v>31.612148813434398</v>
          </cell>
          <cell r="E30">
            <v>33.124347276036097</v>
          </cell>
          <cell r="F30">
            <v>33.988460683237001</v>
          </cell>
          <cell r="G30">
            <v>1</v>
          </cell>
          <cell r="H30">
            <v>2.4</v>
          </cell>
          <cell r="I30">
            <v>2.9158758447208202</v>
          </cell>
          <cell r="J30">
            <v>6.9981020273299697</v>
          </cell>
          <cell r="K30">
            <v>0.98315190010383702</v>
          </cell>
          <cell r="L30">
            <v>2.3595645602492099</v>
          </cell>
        </row>
        <row r="31">
          <cell r="A31">
            <v>3000</v>
          </cell>
          <cell r="B31">
            <v>28.644858417268001</v>
          </cell>
          <cell r="C31">
            <v>30.077101338131399</v>
          </cell>
          <cell r="D31">
            <v>31.4377321129517</v>
          </cell>
          <cell r="E31">
            <v>32.941587179858203</v>
          </cell>
          <cell r="F31">
            <v>33.800932932376298</v>
          </cell>
          <cell r="G31">
            <v>0.75</v>
          </cell>
          <cell r="H31">
            <v>1.8</v>
          </cell>
          <cell r="I31">
            <v>2.89625298744537</v>
          </cell>
          <cell r="J31">
            <v>6.9510071698689</v>
          </cell>
          <cell r="K31">
            <v>0.97104287098040398</v>
          </cell>
          <cell r="L31">
            <v>2.3305028903529701</v>
          </cell>
        </row>
        <row r="32">
          <cell r="A32">
            <v>3250</v>
          </cell>
          <cell r="B32">
            <v>28.504646045937001</v>
          </cell>
          <cell r="C32">
            <v>29.929878348233899</v>
          </cell>
          <cell r="D32">
            <v>31.283849035415901</v>
          </cell>
          <cell r="E32">
            <v>32.780342952827603</v>
          </cell>
          <cell r="F32">
            <v>33.635482334205697</v>
          </cell>
          <cell r="G32">
            <v>0.75</v>
          </cell>
          <cell r="H32">
            <v>1.8</v>
          </cell>
          <cell r="I32">
            <v>2.8788677827255298</v>
          </cell>
          <cell r="J32">
            <v>6.9092826785412802</v>
          </cell>
          <cell r="K32">
            <v>0.96031467032571105</v>
          </cell>
          <cell r="L32">
            <v>2.3047552087817098</v>
          </cell>
        </row>
        <row r="33">
          <cell r="A33">
            <v>3500</v>
          </cell>
          <cell r="B33">
            <v>28.379738505544601</v>
          </cell>
          <cell r="C33">
            <v>29.798725430821801</v>
          </cell>
          <cell r="D33">
            <v>31.146763009835201</v>
          </cell>
          <cell r="E33">
            <v>32.636699281376302</v>
          </cell>
          <cell r="F33">
            <v>33.488091436542597</v>
          </cell>
          <cell r="G33">
            <v>0.75</v>
          </cell>
          <cell r="H33">
            <v>1.8</v>
          </cell>
          <cell r="I33">
            <v>2.8633204251393201</v>
          </cell>
          <cell r="J33">
            <v>6.87196902033436</v>
          </cell>
          <cell r="K33">
            <v>0.95072058302429097</v>
          </cell>
          <cell r="L33">
            <v>2.2817293992583001</v>
          </cell>
        </row>
        <row r="34">
          <cell r="A34">
            <v>3750</v>
          </cell>
          <cell r="B34">
            <v>28.267539848266502</v>
          </cell>
          <cell r="C34">
            <v>29.680916840679799</v>
          </cell>
          <cell r="D34">
            <v>31.023624983472398</v>
          </cell>
          <cell r="E34">
            <v>32.507670825506402</v>
          </cell>
          <cell r="F34">
            <v>33.355697020954402</v>
          </cell>
          <cell r="G34">
            <v>0.75</v>
          </cell>
          <cell r="H34">
            <v>1.8</v>
          </cell>
          <cell r="I34">
            <v>2.8493048824930902</v>
          </cell>
          <cell r="J34">
            <v>6.8383317179834204</v>
          </cell>
          <cell r="K34">
            <v>0.94207176029161899</v>
          </cell>
          <cell r="L34">
            <v>2.26097222469989</v>
          </cell>
        </row>
        <row r="35">
          <cell r="A35">
            <v>4000</v>
          </cell>
          <cell r="B35">
            <v>28.166031497671899</v>
          </cell>
          <cell r="C35">
            <v>29.5743330725555</v>
          </cell>
          <cell r="D35">
            <v>30.912219568694901</v>
          </cell>
          <cell r="E35">
            <v>32.390936222322701</v>
          </cell>
          <cell r="F35">
            <v>33.2359171672529</v>
          </cell>
          <cell r="G35">
            <v>0.75</v>
          </cell>
          <cell r="H35">
            <v>1.8</v>
          </cell>
          <cell r="I35">
            <v>2.8365823274492299</v>
          </cell>
          <cell r="J35">
            <v>6.8077975858781397</v>
          </cell>
          <cell r="K35">
            <v>0.93422082465119904</v>
          </cell>
          <cell r="L35">
            <v>2.2421299791628799</v>
          </cell>
        </row>
        <row r="36">
          <cell r="A36">
            <v>4250</v>
          </cell>
          <cell r="B36">
            <v>28.073616986177399</v>
          </cell>
          <cell r="C36">
            <v>29.477297835486301</v>
          </cell>
          <cell r="D36">
            <v>30.8107946423297</v>
          </cell>
          <cell r="E36">
            <v>32.284659534104001</v>
          </cell>
          <cell r="F36">
            <v>33.126868043689399</v>
          </cell>
          <cell r="G36">
            <v>0.75</v>
          </cell>
          <cell r="H36">
            <v>1.8</v>
          </cell>
          <cell r="I36">
            <v>2.82496323780809</v>
          </cell>
          <cell r="J36">
            <v>6.7799117707394201</v>
          </cell>
          <cell r="K36">
            <v>0.92705082423396601</v>
          </cell>
          <cell r="L36">
            <v>2.2249219781615199</v>
          </cell>
        </row>
        <row r="37">
          <cell r="A37">
            <v>4500</v>
          </cell>
          <cell r="B37">
            <v>27.989014851609099</v>
          </cell>
          <cell r="C37">
            <v>29.388465594189501</v>
          </cell>
          <cell r="D37">
            <v>30.717943799640999</v>
          </cell>
          <cell r="E37">
            <v>32.187367079350402</v>
          </cell>
          <cell r="F37">
            <v>33.027037524898702</v>
          </cell>
          <cell r="G37">
            <v>0.75</v>
          </cell>
          <cell r="H37">
            <v>1.8</v>
          </cell>
          <cell r="I37">
            <v>2.8142950067125998</v>
          </cell>
          <cell r="J37">
            <v>6.75430801611025</v>
          </cell>
          <cell r="K37">
            <v>0.92046758718456501</v>
          </cell>
          <cell r="L37">
            <v>2.2091222092429601</v>
          </cell>
        </row>
        <row r="38">
          <cell r="A38">
            <v>4750</v>
          </cell>
          <cell r="B38">
            <v>27.911182979465899</v>
          </cell>
          <cell r="C38">
            <v>29.3067421284392</v>
          </cell>
          <cell r="D38">
            <v>30.632523319963799</v>
          </cell>
          <cell r="E38">
            <v>32.0978604263858</v>
          </cell>
          <cell r="F38">
            <v>32.935195915769803</v>
          </cell>
          <cell r="G38">
            <v>0.75</v>
          </cell>
          <cell r="H38">
            <v>1.8</v>
          </cell>
          <cell r="I38">
            <v>2.8044531625612099</v>
          </cell>
          <cell r="J38">
            <v>6.7306875901469096</v>
          </cell>
          <cell r="K38">
            <v>0.91439430357532403</v>
          </cell>
          <cell r="L38">
            <v>2.1945463285807798</v>
          </cell>
        </row>
        <row r="39">
          <cell r="A39">
            <v>5000</v>
          </cell>
          <cell r="B39">
            <v>27.839264031596901</v>
          </cell>
          <cell r="C39">
            <v>29.231227233176799</v>
          </cell>
          <cell r="D39">
            <v>30.553592274677602</v>
          </cell>
          <cell r="E39">
            <v>32.0151536363365</v>
          </cell>
          <cell r="F39">
            <v>32.850331557284399</v>
          </cell>
          <cell r="G39">
            <v>0.75</v>
          </cell>
          <cell r="H39">
            <v>1.8</v>
          </cell>
          <cell r="I39">
            <v>2.7953350170120199</v>
          </cell>
          <cell r="J39">
            <v>6.7088040408288503</v>
          </cell>
          <cell r="K39">
            <v>0.90876760566599102</v>
          </cell>
          <cell r="L39">
            <v>2.1810422535983802</v>
          </cell>
        </row>
        <row r="40">
          <cell r="A40">
            <v>7500</v>
          </cell>
          <cell r="B40">
            <v>27.331249790093999</v>
          </cell>
          <cell r="C40">
            <v>28.6978122795988</v>
          </cell>
          <cell r="D40">
            <v>29.996046644628201</v>
          </cell>
          <cell r="E40">
            <v>31.4309372586082</v>
          </cell>
          <cell r="F40">
            <v>32.250874752310999</v>
          </cell>
          <cell r="G40">
            <v>0.75</v>
          </cell>
          <cell r="H40">
            <v>1.8</v>
          </cell>
          <cell r="I40">
            <v>2.73020828107741</v>
          </cell>
          <cell r="J40">
            <v>6.5524998745857799</v>
          </cell>
          <cell r="K40">
            <v>0.86857868052239295</v>
          </cell>
          <cell r="L40">
            <v>2.0845888332537399</v>
          </cell>
        </row>
        <row r="41">
          <cell r="A41">
            <v>11000</v>
          </cell>
          <cell r="B41">
            <v>26.937312936685299</v>
          </cell>
          <cell r="C41">
            <v>28.284178583519498</v>
          </cell>
          <cell r="D41">
            <v>29.563700948012102</v>
          </cell>
          <cell r="E41">
            <v>30.977909877188001</v>
          </cell>
          <cell r="F41">
            <v>31.786029265288601</v>
          </cell>
          <cell r="G41">
            <v>0.75</v>
          </cell>
          <cell r="H41">
            <v>1.8</v>
          </cell>
          <cell r="I41">
            <v>2.6786989611387799</v>
          </cell>
          <cell r="J41">
            <v>6.4288775067330599</v>
          </cell>
          <cell r="K41">
            <v>0.83679289894584397</v>
          </cell>
          <cell r="L41">
            <v>2.00830295747003</v>
          </cell>
        </row>
        <row r="42">
          <cell r="A42">
            <v>20000</v>
          </cell>
          <cell r="B42">
            <v>26.455054832468001</v>
          </cell>
          <cell r="C42">
            <v>27.777807574091401</v>
          </cell>
          <cell r="D42">
            <v>29.0344226786337</v>
          </cell>
          <cell r="E42">
            <v>30.423313057338198</v>
          </cell>
          <cell r="F42">
            <v>31.2169647023123</v>
          </cell>
          <cell r="G42">
            <v>0.75</v>
          </cell>
          <cell r="H42">
            <v>1.8</v>
          </cell>
          <cell r="I42">
            <v>2.6141027309935501</v>
          </cell>
          <cell r="J42">
            <v>6.2738465543845203</v>
          </cell>
          <cell r="K42">
            <v>0.8</v>
          </cell>
          <cell r="L42">
            <v>1.92</v>
          </cell>
        </row>
        <row r="43">
          <cell r="A43">
            <v>30000</v>
          </cell>
          <cell r="B43">
            <v>26.201047711716601</v>
          </cell>
          <cell r="C43">
            <v>27.5111000973024</v>
          </cell>
          <cell r="D43">
            <v>28.755649863609001</v>
          </cell>
          <cell r="E43">
            <v>30.1312048684741</v>
          </cell>
          <cell r="F43">
            <v>30.9172362998256</v>
          </cell>
          <cell r="G43">
            <v>0.75</v>
          </cell>
          <cell r="H43">
            <v>1.8</v>
          </cell>
          <cell r="I43">
            <v>2.5792021773553899</v>
          </cell>
          <cell r="J43">
            <v>6.19008522565293</v>
          </cell>
          <cell r="K43">
            <v>0.8</v>
          </cell>
          <cell r="L43">
            <v>1.92</v>
          </cell>
        </row>
        <row r="44">
          <cell r="A44">
            <v>40000</v>
          </cell>
          <cell r="B44">
            <v>26.049629344624002</v>
          </cell>
          <cell r="C44">
            <v>27.352110811855201</v>
          </cell>
          <cell r="D44">
            <v>28.589468205724799</v>
          </cell>
          <cell r="E44">
            <v>29.957073746317601</v>
          </cell>
          <cell r="F44">
            <v>30.7385626266563</v>
          </cell>
          <cell r="G44">
            <v>0.75</v>
          </cell>
          <cell r="H44">
            <v>1.8</v>
          </cell>
          <cell r="I44">
            <v>2.5580302282443501</v>
          </cell>
          <cell r="J44">
            <v>6.1392725477864403</v>
          </cell>
          <cell r="K44">
            <v>0.8</v>
          </cell>
          <cell r="L44">
            <v>1.92</v>
          </cell>
        </row>
        <row r="45">
          <cell r="A45">
            <v>50000</v>
          </cell>
          <cell r="B45">
            <v>25.946296398820099</v>
          </cell>
          <cell r="C45">
            <v>27.243611218761099</v>
          </cell>
          <cell r="D45">
            <v>28.4760602977051</v>
          </cell>
          <cell r="E45">
            <v>29.8382408586431</v>
          </cell>
          <cell r="F45">
            <v>30.6166297506077</v>
          </cell>
          <cell r="G45">
            <v>0.75</v>
          </cell>
          <cell r="H45">
            <v>1.8</v>
          </cell>
          <cell r="I45">
            <v>2.5433951302313602</v>
          </cell>
          <cell r="J45">
            <v>6.1041483125552496</v>
          </cell>
          <cell r="K45">
            <v>0.8</v>
          </cell>
          <cell r="L45">
            <v>1.92</v>
          </cell>
        </row>
        <row r="46">
          <cell r="A46">
            <v>100000</v>
          </cell>
          <cell r="B46">
            <v>25.689882806205699</v>
          </cell>
          <cell r="C46">
            <v>26.974376946515999</v>
          </cell>
          <cell r="D46">
            <v>28.194646379810699</v>
          </cell>
          <cell r="E46">
            <v>29.543365227136501</v>
          </cell>
          <cell r="F46">
            <v>30.314061711322701</v>
          </cell>
          <cell r="G46">
            <v>0.75</v>
          </cell>
          <cell r="H46">
            <v>1.8</v>
          </cell>
          <cell r="I46">
            <v>2.50626923480907</v>
          </cell>
          <cell r="J46">
            <v>6.0150461635417596</v>
          </cell>
          <cell r="K46">
            <v>0.8</v>
          </cell>
          <cell r="L46">
            <v>1.92</v>
          </cell>
        </row>
      </sheetData>
      <sheetData sheetId="12" refreshError="1">
        <row r="8">
          <cell r="A8" t="str">
            <v>R153</v>
          </cell>
          <cell r="B8" t="str">
            <v>KWE</v>
          </cell>
          <cell r="C8">
            <v>1362</v>
          </cell>
          <cell r="D8">
            <v>2412</v>
          </cell>
          <cell r="F8">
            <v>0</v>
          </cell>
          <cell r="G8">
            <v>0</v>
          </cell>
          <cell r="I8">
            <v>0</v>
          </cell>
          <cell r="J8">
            <v>0</v>
          </cell>
          <cell r="L8">
            <v>0</v>
          </cell>
          <cell r="M8">
            <v>0</v>
          </cell>
        </row>
        <row r="9">
          <cell r="A9" t="str">
            <v>R189</v>
          </cell>
          <cell r="B9" t="str">
            <v>CWA</v>
          </cell>
          <cell r="C9">
            <v>1492</v>
          </cell>
          <cell r="D9">
            <v>2632</v>
          </cell>
          <cell r="F9">
            <v>0</v>
          </cell>
          <cell r="G9">
            <v>0</v>
          </cell>
          <cell r="I9">
            <v>0</v>
          </cell>
          <cell r="J9">
            <v>0</v>
          </cell>
          <cell r="L9">
            <v>0</v>
          </cell>
          <cell r="M9">
            <v>0</v>
          </cell>
        </row>
        <row r="10">
          <cell r="A10" t="str">
            <v>3D54</v>
          </cell>
          <cell r="B10" t="str">
            <v>TeleCorp PCS, Inc.</v>
          </cell>
          <cell r="C10">
            <v>0</v>
          </cell>
          <cell r="D10">
            <v>0</v>
          </cell>
          <cell r="F10">
            <v>0</v>
          </cell>
          <cell r="G10">
            <v>0</v>
          </cell>
          <cell r="I10">
            <v>0</v>
          </cell>
          <cell r="J10">
            <v>0</v>
          </cell>
          <cell r="L10">
            <v>0</v>
          </cell>
          <cell r="M10">
            <v>0</v>
          </cell>
        </row>
        <row r="11">
          <cell r="A11" t="str">
            <v>UV60</v>
          </cell>
          <cell r="B11" t="str">
            <v>Geico</v>
          </cell>
          <cell r="C11">
            <v>14419</v>
          </cell>
          <cell r="D11">
            <v>30947</v>
          </cell>
          <cell r="F11">
            <v>2</v>
          </cell>
          <cell r="G11">
            <v>4</v>
          </cell>
          <cell r="I11">
            <v>19052</v>
          </cell>
          <cell r="J11">
            <v>40905</v>
          </cell>
          <cell r="L11">
            <v>0</v>
          </cell>
          <cell r="M11">
            <v>0</v>
          </cell>
        </row>
        <row r="12">
          <cell r="A12" t="str">
            <v>0094</v>
          </cell>
          <cell r="B12" t="str">
            <v>Giant Food</v>
          </cell>
          <cell r="C12">
            <v>0</v>
          </cell>
          <cell r="D12">
            <v>0</v>
          </cell>
          <cell r="F12">
            <v>0</v>
          </cell>
          <cell r="G12">
            <v>0</v>
          </cell>
          <cell r="I12">
            <v>0</v>
          </cell>
          <cell r="J12">
            <v>0</v>
          </cell>
          <cell r="L12">
            <v>0</v>
          </cell>
          <cell r="M12">
            <v>0</v>
          </cell>
        </row>
        <row r="13">
          <cell r="A13" t="str">
            <v>PP28</v>
          </cell>
          <cell r="B13" t="str">
            <v>MNCPPC</v>
          </cell>
          <cell r="C13">
            <v>1296</v>
          </cell>
          <cell r="D13">
            <v>2642</v>
          </cell>
          <cell r="F13">
            <v>0</v>
          </cell>
          <cell r="G13">
            <v>0</v>
          </cell>
          <cell r="I13">
            <v>0</v>
          </cell>
          <cell r="J13">
            <v>0</v>
          </cell>
          <cell r="L13">
            <v>0</v>
          </cell>
          <cell r="M13">
            <v>0</v>
          </cell>
        </row>
        <row r="14">
          <cell r="A14" t="str">
            <v>PG50</v>
          </cell>
          <cell r="B14" t="str">
            <v>Montgomery County Government</v>
          </cell>
          <cell r="C14">
            <v>1231</v>
          </cell>
          <cell r="D14">
            <v>2751</v>
          </cell>
          <cell r="F14">
            <v>10</v>
          </cell>
          <cell r="G14">
            <v>15</v>
          </cell>
          <cell r="I14">
            <v>0</v>
          </cell>
          <cell r="J14">
            <v>0</v>
          </cell>
          <cell r="L14">
            <v>0</v>
          </cell>
          <cell r="M14">
            <v>0</v>
          </cell>
        </row>
        <row r="15">
          <cell r="A15" t="str">
            <v>PG52</v>
          </cell>
          <cell r="B15" t="str">
            <v>Montgomery County Government POS</v>
          </cell>
          <cell r="C15">
            <v>7722</v>
          </cell>
          <cell r="D15">
            <v>16619</v>
          </cell>
          <cell r="F15">
            <v>20</v>
          </cell>
          <cell r="G15">
            <v>25</v>
          </cell>
          <cell r="I15">
            <v>0</v>
          </cell>
          <cell r="J15">
            <v>0</v>
          </cell>
          <cell r="L15">
            <v>0</v>
          </cell>
          <cell r="M15">
            <v>0</v>
          </cell>
        </row>
        <row r="16">
          <cell r="A16" t="str">
            <v>PP20</v>
          </cell>
          <cell r="B16" t="str">
            <v>Montgomery County Schools</v>
          </cell>
          <cell r="C16">
            <v>4534</v>
          </cell>
          <cell r="D16">
            <v>6101</v>
          </cell>
          <cell r="F16">
            <v>0</v>
          </cell>
          <cell r="G16">
            <v>0</v>
          </cell>
          <cell r="I16">
            <v>0</v>
          </cell>
          <cell r="J16">
            <v>0</v>
          </cell>
          <cell r="L16">
            <v>0</v>
          </cell>
          <cell r="M16">
            <v>0</v>
          </cell>
        </row>
        <row r="17">
          <cell r="A17" t="str">
            <v>TD96</v>
          </cell>
          <cell r="B17" t="str">
            <v>Avalon Bay</v>
          </cell>
          <cell r="C17">
            <v>1401</v>
          </cell>
          <cell r="D17">
            <v>2844</v>
          </cell>
          <cell r="F17">
            <v>0</v>
          </cell>
          <cell r="G17">
            <v>0</v>
          </cell>
          <cell r="I17">
            <v>0</v>
          </cell>
          <cell r="J17">
            <v>0</v>
          </cell>
          <cell r="L17">
            <v>0</v>
          </cell>
          <cell r="M17">
            <v>0</v>
          </cell>
        </row>
        <row r="19">
          <cell r="B19" t="str">
            <v>FACETS</v>
          </cell>
        </row>
        <row r="21">
          <cell r="A21" t="str">
            <v>C414</v>
          </cell>
          <cell r="B21" t="str">
            <v>Henry M. Jackson Foundation</v>
          </cell>
          <cell r="C21">
            <v>1063</v>
          </cell>
          <cell r="D21">
            <v>2105</v>
          </cell>
          <cell r="F21">
            <v>1063</v>
          </cell>
          <cell r="G21">
            <v>2103</v>
          </cell>
          <cell r="I21">
            <v>0</v>
          </cell>
          <cell r="J21">
            <v>1</v>
          </cell>
          <cell r="L21">
            <v>0</v>
          </cell>
          <cell r="M21">
            <v>4</v>
          </cell>
        </row>
        <row r="22">
          <cell r="A22" t="str">
            <v>D702</v>
          </cell>
          <cell r="B22" t="str">
            <v>Sibley Hospital</v>
          </cell>
          <cell r="C22">
            <v>990</v>
          </cell>
          <cell r="D22">
            <v>1710</v>
          </cell>
          <cell r="F22">
            <v>986</v>
          </cell>
          <cell r="G22">
            <v>1702</v>
          </cell>
          <cell r="I22">
            <v>0</v>
          </cell>
          <cell r="J22">
            <v>0</v>
          </cell>
          <cell r="L22">
            <v>0</v>
          </cell>
          <cell r="M22">
            <v>0</v>
          </cell>
        </row>
        <row r="23">
          <cell r="A23" t="str">
            <v>NJ51</v>
          </cell>
          <cell r="B23" t="str">
            <v>Prince Georges Community Colle</v>
          </cell>
          <cell r="C23">
            <v>784</v>
          </cell>
          <cell r="D23">
            <v>1307</v>
          </cell>
          <cell r="F23">
            <v>784</v>
          </cell>
          <cell r="G23">
            <v>1307</v>
          </cell>
          <cell r="I23">
            <v>825</v>
          </cell>
          <cell r="J23">
            <v>1584</v>
          </cell>
          <cell r="L23">
            <v>654</v>
          </cell>
          <cell r="M23">
            <v>1041</v>
          </cell>
        </row>
        <row r="24">
          <cell r="A24" t="str">
            <v>NJ52</v>
          </cell>
          <cell r="B24" t="str">
            <v>Choice Hotels International</v>
          </cell>
          <cell r="C24">
            <v>1266</v>
          </cell>
          <cell r="D24">
            <v>2441</v>
          </cell>
          <cell r="F24">
            <v>1265</v>
          </cell>
          <cell r="G24">
            <v>2435</v>
          </cell>
          <cell r="I24">
            <v>0</v>
          </cell>
          <cell r="J24">
            <v>0</v>
          </cell>
          <cell r="L24">
            <v>1266</v>
          </cell>
          <cell r="M24">
            <v>2438</v>
          </cell>
        </row>
        <row r="25">
          <cell r="A25" t="str">
            <v>NJ54</v>
          </cell>
          <cell r="B25" t="str">
            <v>Forest City Enterprises, Inc.</v>
          </cell>
          <cell r="C25">
            <v>615</v>
          </cell>
          <cell r="D25">
            <v>1240</v>
          </cell>
          <cell r="F25">
            <v>0</v>
          </cell>
          <cell r="G25">
            <v>0</v>
          </cell>
          <cell r="I25">
            <v>0</v>
          </cell>
          <cell r="J25">
            <v>0</v>
          </cell>
          <cell r="L25">
            <v>588</v>
          </cell>
          <cell r="M25">
            <v>1189</v>
          </cell>
        </row>
        <row r="26">
          <cell r="A26" t="str">
            <v>NS45</v>
          </cell>
          <cell r="B26" t="str">
            <v>Providence Hospital</v>
          </cell>
          <cell r="C26">
            <v>616</v>
          </cell>
          <cell r="D26">
            <v>997</v>
          </cell>
          <cell r="F26">
            <v>616</v>
          </cell>
          <cell r="G26">
            <v>997</v>
          </cell>
          <cell r="I26">
            <v>0</v>
          </cell>
          <cell r="J26">
            <v>0</v>
          </cell>
          <cell r="L26">
            <v>383</v>
          </cell>
          <cell r="M26">
            <v>565</v>
          </cell>
        </row>
        <row r="27">
          <cell r="A27" t="str">
            <v>PK56</v>
          </cell>
          <cell r="B27" t="str">
            <v>Forest City Enterprises, Inc.</v>
          </cell>
          <cell r="C27">
            <v>216</v>
          </cell>
          <cell r="D27">
            <v>337</v>
          </cell>
          <cell r="F27">
            <v>0</v>
          </cell>
          <cell r="G27">
            <v>0</v>
          </cell>
          <cell r="I27">
            <v>0</v>
          </cell>
          <cell r="J27">
            <v>0</v>
          </cell>
          <cell r="L27">
            <v>211</v>
          </cell>
          <cell r="M27">
            <v>324</v>
          </cell>
        </row>
        <row r="28">
          <cell r="A28" t="str">
            <v>PK60</v>
          </cell>
          <cell r="B28" t="str">
            <v>ICF Consulting</v>
          </cell>
          <cell r="C28">
            <v>679</v>
          </cell>
          <cell r="D28">
            <v>1367</v>
          </cell>
          <cell r="F28">
            <v>78</v>
          </cell>
          <cell r="G28">
            <v>169</v>
          </cell>
          <cell r="I28">
            <v>0</v>
          </cell>
          <cell r="J28">
            <v>0</v>
          </cell>
          <cell r="L28">
            <v>0</v>
          </cell>
          <cell r="M28">
            <v>2</v>
          </cell>
        </row>
        <row r="29">
          <cell r="A29" t="str">
            <v>PK55</v>
          </cell>
          <cell r="B29" t="str">
            <v>Mirant Corporation</v>
          </cell>
          <cell r="C29">
            <v>839</v>
          </cell>
          <cell r="D29">
            <v>2112</v>
          </cell>
          <cell r="F29">
            <v>839</v>
          </cell>
          <cell r="G29">
            <v>2112</v>
          </cell>
          <cell r="I29">
            <v>0</v>
          </cell>
          <cell r="J29">
            <v>0</v>
          </cell>
          <cell r="L29">
            <v>839</v>
          </cell>
          <cell r="M29">
            <v>2112</v>
          </cell>
        </row>
        <row r="30">
          <cell r="A30" t="str">
            <v>PK69</v>
          </cell>
          <cell r="B30" t="str">
            <v>Transit Employees Health &amp; Wel</v>
          </cell>
          <cell r="C30">
            <v>1695</v>
          </cell>
          <cell r="D30">
            <v>4401</v>
          </cell>
          <cell r="F30">
            <v>1683</v>
          </cell>
          <cell r="G30">
            <v>4380</v>
          </cell>
          <cell r="I30">
            <v>320</v>
          </cell>
          <cell r="J30">
            <v>940</v>
          </cell>
          <cell r="L30">
            <v>37</v>
          </cell>
          <cell r="M30">
            <v>127</v>
          </cell>
        </row>
        <row r="31">
          <cell r="A31" t="str">
            <v>R12A</v>
          </cell>
          <cell r="B31" t="str">
            <v>Arlington County Public School</v>
          </cell>
          <cell r="C31">
            <v>3010</v>
          </cell>
          <cell r="D31">
            <v>4511</v>
          </cell>
          <cell r="F31">
            <v>3010</v>
          </cell>
          <cell r="G31">
            <v>4511</v>
          </cell>
          <cell r="I31">
            <v>0</v>
          </cell>
          <cell r="J31">
            <v>0</v>
          </cell>
          <cell r="L31">
            <v>0</v>
          </cell>
          <cell r="M31">
            <v>0</v>
          </cell>
        </row>
        <row r="32">
          <cell r="A32" t="str">
            <v>R138</v>
          </cell>
          <cell r="B32" t="str">
            <v>National Geographic Society</v>
          </cell>
          <cell r="C32">
            <v>935</v>
          </cell>
          <cell r="D32">
            <v>1817</v>
          </cell>
          <cell r="F32">
            <v>936</v>
          </cell>
          <cell r="G32">
            <v>1819</v>
          </cell>
          <cell r="I32">
            <v>0</v>
          </cell>
          <cell r="J32">
            <v>0</v>
          </cell>
          <cell r="L32">
            <v>574</v>
          </cell>
          <cell r="M32">
            <v>1092</v>
          </cell>
        </row>
        <row r="33">
          <cell r="A33" t="str">
            <v>R182</v>
          </cell>
          <cell r="B33" t="str">
            <v>George Washington University</v>
          </cell>
          <cell r="C33">
            <v>3029</v>
          </cell>
          <cell r="D33">
            <v>4249</v>
          </cell>
          <cell r="F33">
            <v>0</v>
          </cell>
          <cell r="G33">
            <v>1</v>
          </cell>
          <cell r="I33">
            <v>0</v>
          </cell>
          <cell r="J33">
            <v>0</v>
          </cell>
          <cell r="L33">
            <v>0</v>
          </cell>
          <cell r="M33">
            <v>1</v>
          </cell>
        </row>
        <row r="34">
          <cell r="A34" t="str">
            <v>R330</v>
          </cell>
          <cell r="B34" t="str">
            <v>WMATA</v>
          </cell>
          <cell r="C34">
            <v>422</v>
          </cell>
          <cell r="D34">
            <v>1214</v>
          </cell>
          <cell r="F34">
            <v>422</v>
          </cell>
          <cell r="G34">
            <v>1212</v>
          </cell>
          <cell r="I34">
            <v>421</v>
          </cell>
          <cell r="J34">
            <v>1210</v>
          </cell>
          <cell r="L34">
            <v>422</v>
          </cell>
          <cell r="M34">
            <v>1212</v>
          </cell>
        </row>
        <row r="35">
          <cell r="A35" t="str">
            <v>R348</v>
          </cell>
          <cell r="B35" t="str">
            <v>Intelsat Global Service Corpor</v>
          </cell>
          <cell r="C35">
            <v>1128</v>
          </cell>
          <cell r="D35">
            <v>2909</v>
          </cell>
          <cell r="F35">
            <v>1128</v>
          </cell>
          <cell r="G35">
            <v>2910</v>
          </cell>
          <cell r="I35">
            <v>1139</v>
          </cell>
          <cell r="J35">
            <v>3001</v>
          </cell>
          <cell r="L35">
            <v>810</v>
          </cell>
          <cell r="M35">
            <v>1991</v>
          </cell>
        </row>
        <row r="36">
          <cell r="A36" t="str">
            <v>R390</v>
          </cell>
          <cell r="B36" t="str">
            <v>O.A.S.</v>
          </cell>
          <cell r="C36">
            <v>910</v>
          </cell>
          <cell r="D36">
            <v>1451</v>
          </cell>
          <cell r="F36">
            <v>910</v>
          </cell>
          <cell r="G36">
            <v>1449</v>
          </cell>
          <cell r="I36">
            <v>911</v>
          </cell>
          <cell r="J36">
            <v>1455</v>
          </cell>
          <cell r="L36">
            <v>908</v>
          </cell>
          <cell r="M36">
            <v>1453</v>
          </cell>
        </row>
        <row r="37">
          <cell r="A37" t="str">
            <v>R392</v>
          </cell>
          <cell r="B37" t="str">
            <v>O.A.S.</v>
          </cell>
          <cell r="C37">
            <v>95</v>
          </cell>
          <cell r="D37">
            <v>252</v>
          </cell>
          <cell r="F37">
            <v>0</v>
          </cell>
          <cell r="G37">
            <v>0</v>
          </cell>
          <cell r="I37">
            <v>95</v>
          </cell>
          <cell r="J37">
            <v>252</v>
          </cell>
          <cell r="L37">
            <v>95</v>
          </cell>
          <cell r="M37">
            <v>252</v>
          </cell>
        </row>
        <row r="38">
          <cell r="A38" t="str">
            <v>R394</v>
          </cell>
          <cell r="B38" t="str">
            <v>O.A.S.</v>
          </cell>
          <cell r="C38">
            <v>120</v>
          </cell>
          <cell r="D38">
            <v>188</v>
          </cell>
          <cell r="F38">
            <v>0</v>
          </cell>
          <cell r="G38">
            <v>0</v>
          </cell>
          <cell r="I38">
            <v>120</v>
          </cell>
          <cell r="J38">
            <v>190</v>
          </cell>
          <cell r="L38">
            <v>120</v>
          </cell>
          <cell r="M38">
            <v>190</v>
          </cell>
        </row>
        <row r="39">
          <cell r="A39" t="str">
            <v>R446</v>
          </cell>
          <cell r="B39" t="str">
            <v>Episcopal Diocese Of Washingto</v>
          </cell>
          <cell r="C39">
            <v>242</v>
          </cell>
          <cell r="D39">
            <v>424</v>
          </cell>
          <cell r="F39">
            <v>242</v>
          </cell>
          <cell r="G39">
            <v>425</v>
          </cell>
          <cell r="I39">
            <v>281</v>
          </cell>
          <cell r="J39">
            <v>465</v>
          </cell>
          <cell r="L39">
            <v>0</v>
          </cell>
          <cell r="M39">
            <v>0</v>
          </cell>
        </row>
        <row r="40">
          <cell r="A40" t="str">
            <v>R467</v>
          </cell>
          <cell r="B40" t="str">
            <v>Italian Government</v>
          </cell>
          <cell r="C40">
            <v>896</v>
          </cell>
          <cell r="D40">
            <v>2035</v>
          </cell>
          <cell r="F40">
            <v>896</v>
          </cell>
          <cell r="G40">
            <v>2039</v>
          </cell>
          <cell r="I40">
            <v>895</v>
          </cell>
          <cell r="J40">
            <v>2036</v>
          </cell>
          <cell r="L40">
            <v>0</v>
          </cell>
          <cell r="M40">
            <v>0</v>
          </cell>
        </row>
        <row r="41">
          <cell r="A41" t="str">
            <v>R468</v>
          </cell>
          <cell r="B41" t="str">
            <v>Italian Government</v>
          </cell>
          <cell r="C41">
            <v>148</v>
          </cell>
          <cell r="D41">
            <v>306</v>
          </cell>
          <cell r="F41">
            <v>148</v>
          </cell>
          <cell r="G41">
            <v>306</v>
          </cell>
          <cell r="I41">
            <v>148</v>
          </cell>
          <cell r="J41">
            <v>306</v>
          </cell>
          <cell r="L41">
            <v>0</v>
          </cell>
          <cell r="M41">
            <v>0</v>
          </cell>
        </row>
        <row r="42">
          <cell r="A42" t="str">
            <v>R802</v>
          </cell>
          <cell r="B42" t="str">
            <v>Dimensions Health Corp.</v>
          </cell>
          <cell r="C42">
            <v>706</v>
          </cell>
          <cell r="D42">
            <v>1328</v>
          </cell>
          <cell r="F42">
            <v>0</v>
          </cell>
          <cell r="G42">
            <v>1</v>
          </cell>
          <cell r="I42">
            <v>0</v>
          </cell>
          <cell r="J42">
            <v>0</v>
          </cell>
          <cell r="L42">
            <v>628</v>
          </cell>
          <cell r="M42">
            <v>1186</v>
          </cell>
        </row>
        <row r="43">
          <cell r="A43" t="str">
            <v>TD95</v>
          </cell>
          <cell r="B43" t="str">
            <v>Washington Gas Light Company</v>
          </cell>
          <cell r="C43">
            <v>1250</v>
          </cell>
          <cell r="D43">
            <v>3463</v>
          </cell>
          <cell r="F43">
            <v>0</v>
          </cell>
          <cell r="G43">
            <v>0</v>
          </cell>
          <cell r="I43">
            <v>0</v>
          </cell>
          <cell r="J43">
            <v>0</v>
          </cell>
          <cell r="L43">
            <v>0</v>
          </cell>
          <cell r="M43">
            <v>4</v>
          </cell>
        </row>
        <row r="44">
          <cell r="A44" t="str">
            <v>TD97</v>
          </cell>
          <cell r="B44" t="str">
            <v>PGI, Inc.</v>
          </cell>
          <cell r="C44">
            <v>259</v>
          </cell>
          <cell r="D44">
            <v>445</v>
          </cell>
          <cell r="F44">
            <v>259</v>
          </cell>
          <cell r="G44">
            <v>445</v>
          </cell>
          <cell r="I44">
            <v>0</v>
          </cell>
          <cell r="J44">
            <v>0</v>
          </cell>
          <cell r="L44">
            <v>0</v>
          </cell>
          <cell r="M44">
            <v>0</v>
          </cell>
        </row>
        <row r="45">
          <cell r="A45" t="str">
            <v>UH58</v>
          </cell>
          <cell r="B45" t="str">
            <v>Verizon</v>
          </cell>
          <cell r="C45">
            <v>2114</v>
          </cell>
          <cell r="D45">
            <v>4603</v>
          </cell>
          <cell r="F45">
            <v>293</v>
          </cell>
          <cell r="G45">
            <v>348</v>
          </cell>
          <cell r="I45">
            <v>0</v>
          </cell>
          <cell r="J45">
            <v>0</v>
          </cell>
          <cell r="L45">
            <v>0</v>
          </cell>
          <cell r="M45">
            <v>0</v>
          </cell>
        </row>
        <row r="46">
          <cell r="A46" t="str">
            <v>UH77</v>
          </cell>
          <cell r="B46" t="str">
            <v>Howard University</v>
          </cell>
          <cell r="C46">
            <v>6640</v>
          </cell>
          <cell r="D46">
            <v>12005</v>
          </cell>
          <cell r="F46">
            <v>0</v>
          </cell>
          <cell r="G46">
            <v>7</v>
          </cell>
          <cell r="I46">
            <v>0</v>
          </cell>
          <cell r="J46">
            <v>2</v>
          </cell>
          <cell r="L46">
            <v>0</v>
          </cell>
          <cell r="M46">
            <v>4</v>
          </cell>
        </row>
        <row r="47">
          <cell r="A47" t="str">
            <v>UU61</v>
          </cell>
          <cell r="B47" t="str">
            <v>Metropolitan Washington Airpor</v>
          </cell>
          <cell r="C47">
            <v>1026</v>
          </cell>
          <cell r="D47">
            <v>2586</v>
          </cell>
          <cell r="F47">
            <v>0</v>
          </cell>
          <cell r="G47">
            <v>0</v>
          </cell>
          <cell r="I47">
            <v>1258</v>
          </cell>
          <cell r="J47">
            <v>3227</v>
          </cell>
          <cell r="L47">
            <v>1002</v>
          </cell>
          <cell r="M47">
            <v>2525</v>
          </cell>
        </row>
        <row r="48">
          <cell r="A48" t="str">
            <v>U926</v>
          </cell>
          <cell r="B48" t="str">
            <v>Washington Sports &amp; Entertainm</v>
          </cell>
          <cell r="C48">
            <v>326</v>
          </cell>
          <cell r="D48">
            <v>597</v>
          </cell>
          <cell r="F48">
            <v>0</v>
          </cell>
          <cell r="G48">
            <v>0</v>
          </cell>
          <cell r="I48">
            <v>0</v>
          </cell>
          <cell r="J48">
            <v>0</v>
          </cell>
          <cell r="L48">
            <v>0</v>
          </cell>
          <cell r="M48">
            <v>0</v>
          </cell>
        </row>
        <row r="49">
          <cell r="A49" t="str">
            <v>WE54</v>
          </cell>
          <cell r="B49" t="str">
            <v>AEPCO,Inc</v>
          </cell>
          <cell r="C49">
            <v>266</v>
          </cell>
          <cell r="D49">
            <v>404</v>
          </cell>
          <cell r="F49">
            <v>266</v>
          </cell>
          <cell r="G49">
            <v>404</v>
          </cell>
          <cell r="I49">
            <v>0</v>
          </cell>
          <cell r="J49">
            <v>0</v>
          </cell>
          <cell r="L49">
            <v>231</v>
          </cell>
          <cell r="M49">
            <v>340</v>
          </cell>
        </row>
        <row r="50">
          <cell r="A50" t="str">
            <v>XM70</v>
          </cell>
          <cell r="B50" t="str">
            <v>Barcelo Crestline Corporation</v>
          </cell>
          <cell r="C50">
            <v>1616</v>
          </cell>
          <cell r="D50">
            <v>2712</v>
          </cell>
          <cell r="F50">
            <v>0</v>
          </cell>
          <cell r="G50">
            <v>0</v>
          </cell>
          <cell r="I50">
            <v>0</v>
          </cell>
          <cell r="J50">
            <v>0</v>
          </cell>
          <cell r="L50">
            <v>0</v>
          </cell>
          <cell r="M50">
            <v>4</v>
          </cell>
        </row>
        <row r="51">
          <cell r="A51" t="str">
            <v>XM80</v>
          </cell>
          <cell r="B51" t="str">
            <v>Washington Gas Light Company (</v>
          </cell>
          <cell r="C51">
            <v>1866</v>
          </cell>
          <cell r="D51">
            <v>3036</v>
          </cell>
          <cell r="F51">
            <v>0</v>
          </cell>
          <cell r="G51">
            <v>0</v>
          </cell>
          <cell r="I51">
            <v>0</v>
          </cell>
          <cell r="J51">
            <v>0</v>
          </cell>
          <cell r="L51">
            <v>0</v>
          </cell>
          <cell r="M51">
            <v>1</v>
          </cell>
        </row>
        <row r="52">
          <cell r="A52" t="str">
            <v>XM85</v>
          </cell>
          <cell r="B52" t="str">
            <v>Washington Gas Light Company (</v>
          </cell>
          <cell r="C52">
            <v>262</v>
          </cell>
          <cell r="D52">
            <v>637</v>
          </cell>
          <cell r="F52">
            <v>0</v>
          </cell>
          <cell r="G52">
            <v>0</v>
          </cell>
          <cell r="I52">
            <v>0</v>
          </cell>
          <cell r="J52">
            <v>0</v>
          </cell>
          <cell r="L52">
            <v>0</v>
          </cell>
          <cell r="M52">
            <v>0</v>
          </cell>
        </row>
        <row r="53">
          <cell r="A53" t="str">
            <v>XX10</v>
          </cell>
          <cell r="B53" t="str">
            <v>Asbury Methodist</v>
          </cell>
          <cell r="C53">
            <v>1</v>
          </cell>
          <cell r="D53">
            <v>2</v>
          </cell>
          <cell r="F53">
            <v>0</v>
          </cell>
          <cell r="G53">
            <v>0</v>
          </cell>
          <cell r="I53">
            <v>0</v>
          </cell>
          <cell r="J53">
            <v>0</v>
          </cell>
          <cell r="L53">
            <v>0</v>
          </cell>
          <cell r="M53">
            <v>0</v>
          </cell>
        </row>
        <row r="54">
          <cell r="A54" t="str">
            <v>0F12</v>
          </cell>
          <cell r="B54" t="str">
            <v>Pan American Health Organizati</v>
          </cell>
          <cell r="C54">
            <v>1248</v>
          </cell>
          <cell r="D54">
            <v>2736</v>
          </cell>
          <cell r="F54">
            <v>0</v>
          </cell>
          <cell r="G54">
            <v>0</v>
          </cell>
          <cell r="I54">
            <v>1188</v>
          </cell>
          <cell r="J54">
            <v>2671</v>
          </cell>
          <cell r="L54">
            <v>1188</v>
          </cell>
          <cell r="M54">
            <v>2673</v>
          </cell>
        </row>
        <row r="55">
          <cell r="A55" t="str">
            <v>0F19</v>
          </cell>
          <cell r="B55" t="str">
            <v>American Nurses Association</v>
          </cell>
          <cell r="C55">
            <v>179</v>
          </cell>
          <cell r="D55">
            <v>319</v>
          </cell>
          <cell r="F55">
            <v>179</v>
          </cell>
          <cell r="G55">
            <v>319</v>
          </cell>
          <cell r="I55">
            <v>178</v>
          </cell>
          <cell r="J55">
            <v>319</v>
          </cell>
          <cell r="L55">
            <v>59</v>
          </cell>
          <cell r="M55">
            <v>106</v>
          </cell>
        </row>
        <row r="56">
          <cell r="A56" t="str">
            <v>0F25</v>
          </cell>
          <cell r="B56" t="str">
            <v>Episcopal Diocese Of Washingto</v>
          </cell>
          <cell r="C56">
            <v>10</v>
          </cell>
          <cell r="D56">
            <v>10</v>
          </cell>
          <cell r="F56">
            <v>10</v>
          </cell>
          <cell r="G56">
            <v>10</v>
          </cell>
          <cell r="I56">
            <v>24</v>
          </cell>
          <cell r="J56">
            <v>24</v>
          </cell>
          <cell r="L56">
            <v>0</v>
          </cell>
          <cell r="M56">
            <v>0</v>
          </cell>
        </row>
        <row r="57">
          <cell r="A57" t="str">
            <v>0F27</v>
          </cell>
          <cell r="B57" t="str">
            <v>P.G. County Board of Education</v>
          </cell>
          <cell r="C57">
            <v>16804</v>
          </cell>
          <cell r="D57">
            <v>31466</v>
          </cell>
          <cell r="F57">
            <v>15959</v>
          </cell>
          <cell r="G57">
            <v>30132</v>
          </cell>
          <cell r="I57">
            <v>0</v>
          </cell>
          <cell r="J57">
            <v>3</v>
          </cell>
          <cell r="L57">
            <v>14498</v>
          </cell>
          <cell r="M57">
            <v>27407</v>
          </cell>
        </row>
        <row r="58">
          <cell r="A58" t="str">
            <v>0F28</v>
          </cell>
          <cell r="B58" t="str">
            <v>P.G. County Board of Education</v>
          </cell>
          <cell r="C58">
            <v>1105</v>
          </cell>
          <cell r="D58">
            <v>1551</v>
          </cell>
          <cell r="F58">
            <v>1464</v>
          </cell>
          <cell r="G58">
            <v>2267</v>
          </cell>
          <cell r="I58">
            <v>0</v>
          </cell>
          <cell r="J58">
            <v>0</v>
          </cell>
          <cell r="L58">
            <v>2509</v>
          </cell>
          <cell r="M58">
            <v>4234</v>
          </cell>
        </row>
        <row r="59">
          <cell r="A59" t="str">
            <v>R12B</v>
          </cell>
          <cell r="B59" t="str">
            <v>Arlington County (In-Area)</v>
          </cell>
          <cell r="C59">
            <v>3089</v>
          </cell>
          <cell r="D59">
            <v>6305</v>
          </cell>
          <cell r="F59">
            <v>3089</v>
          </cell>
          <cell r="G59">
            <v>6315</v>
          </cell>
          <cell r="I59">
            <v>0</v>
          </cell>
          <cell r="J59">
            <v>14</v>
          </cell>
          <cell r="L59">
            <v>0</v>
          </cell>
          <cell r="M59">
            <v>0</v>
          </cell>
        </row>
        <row r="60">
          <cell r="A60" t="str">
            <v>0F63</v>
          </cell>
          <cell r="B60" t="str">
            <v>Arlington County (Out-Of-Area)</v>
          </cell>
          <cell r="C60">
            <v>639</v>
          </cell>
          <cell r="D60">
            <v>992</v>
          </cell>
          <cell r="F60">
            <v>639</v>
          </cell>
          <cell r="G60">
            <v>991</v>
          </cell>
          <cell r="I60">
            <v>0</v>
          </cell>
          <cell r="J60">
            <v>0</v>
          </cell>
          <cell r="L60">
            <v>636</v>
          </cell>
          <cell r="M60">
            <v>984</v>
          </cell>
        </row>
        <row r="61">
          <cell r="A61" t="str">
            <v>0Y02</v>
          </cell>
          <cell r="B61" t="str">
            <v>Sheet Metal Workers</v>
          </cell>
          <cell r="C61">
            <v>418</v>
          </cell>
          <cell r="D61">
            <v>875</v>
          </cell>
          <cell r="F61">
            <v>398</v>
          </cell>
          <cell r="G61">
            <v>836</v>
          </cell>
          <cell r="I61">
            <v>0</v>
          </cell>
          <cell r="J61">
            <v>1</v>
          </cell>
          <cell r="L61">
            <v>417</v>
          </cell>
          <cell r="M61">
            <v>870</v>
          </cell>
        </row>
        <row r="62">
          <cell r="A62" t="str">
            <v>0Y08</v>
          </cell>
          <cell r="B62" t="str">
            <v>MedStar Health</v>
          </cell>
          <cell r="C62">
            <v>5350</v>
          </cell>
          <cell r="D62">
            <v>11072</v>
          </cell>
          <cell r="F62">
            <v>0</v>
          </cell>
          <cell r="G62">
            <v>27</v>
          </cell>
          <cell r="I62">
            <v>0</v>
          </cell>
          <cell r="J62">
            <v>23</v>
          </cell>
          <cell r="L62">
            <v>83</v>
          </cell>
          <cell r="M62">
            <v>149</v>
          </cell>
        </row>
        <row r="63">
          <cell r="A63" t="str">
            <v>0Y10</v>
          </cell>
          <cell r="B63" t="str">
            <v>The American University</v>
          </cell>
          <cell r="C63">
            <v>1331</v>
          </cell>
          <cell r="D63">
            <v>2174</v>
          </cell>
          <cell r="F63">
            <v>0</v>
          </cell>
          <cell r="G63">
            <v>1</v>
          </cell>
          <cell r="I63">
            <v>674</v>
          </cell>
          <cell r="J63">
            <v>1211</v>
          </cell>
          <cell r="L63">
            <v>0</v>
          </cell>
          <cell r="M63">
            <v>0</v>
          </cell>
        </row>
        <row r="64">
          <cell r="A64" t="str">
            <v>05WU</v>
          </cell>
          <cell r="B64" t="str">
            <v>SAMBA</v>
          </cell>
          <cell r="C64">
            <v>826</v>
          </cell>
          <cell r="D64">
            <v>889</v>
          </cell>
          <cell r="F64">
            <v>0</v>
          </cell>
          <cell r="G64">
            <v>0</v>
          </cell>
          <cell r="I64">
            <v>107</v>
          </cell>
          <cell r="J64">
            <v>107</v>
          </cell>
          <cell r="L64">
            <v>109</v>
          </cell>
          <cell r="M64">
            <v>110</v>
          </cell>
        </row>
        <row r="65">
          <cell r="A65" t="str">
            <v>UP21</v>
          </cell>
          <cell r="B65" t="str">
            <v>SAMBA-High Option</v>
          </cell>
          <cell r="C65">
            <v>7438</v>
          </cell>
          <cell r="D65">
            <v>13768</v>
          </cell>
          <cell r="F65">
            <v>0</v>
          </cell>
          <cell r="G65">
            <v>0</v>
          </cell>
          <cell r="I65">
            <v>0</v>
          </cell>
          <cell r="J65">
            <v>0</v>
          </cell>
          <cell r="L65">
            <v>7440</v>
          </cell>
          <cell r="M65">
            <v>13769</v>
          </cell>
        </row>
        <row r="66">
          <cell r="A66" t="str">
            <v>UP20</v>
          </cell>
          <cell r="B66" t="str">
            <v>SAMBA-Standard Option</v>
          </cell>
          <cell r="C66">
            <v>3763</v>
          </cell>
          <cell r="D66">
            <v>8355</v>
          </cell>
          <cell r="F66">
            <v>0</v>
          </cell>
          <cell r="G66">
            <v>1</v>
          </cell>
          <cell r="I66">
            <v>3764</v>
          </cell>
          <cell r="J66">
            <v>8358</v>
          </cell>
          <cell r="L66">
            <v>3763</v>
          </cell>
          <cell r="M66">
            <v>8354</v>
          </cell>
        </row>
        <row r="67">
          <cell r="A67" t="str">
            <v>07TB</v>
          </cell>
          <cell r="B67" t="str">
            <v>GCIU</v>
          </cell>
          <cell r="C67">
            <v>944</v>
          </cell>
          <cell r="D67">
            <v>2111</v>
          </cell>
          <cell r="F67">
            <v>0</v>
          </cell>
          <cell r="G67">
            <v>0</v>
          </cell>
          <cell r="I67">
            <v>0</v>
          </cell>
          <cell r="J67">
            <v>0</v>
          </cell>
          <cell r="L67">
            <v>948</v>
          </cell>
          <cell r="M67">
            <v>2118</v>
          </cell>
        </row>
        <row r="68">
          <cell r="A68" t="str">
            <v>1A20</v>
          </cell>
          <cell r="B68" t="str">
            <v>Chevy Chase Bank</v>
          </cell>
          <cell r="C68">
            <v>3468</v>
          </cell>
          <cell r="D68">
            <v>6862</v>
          </cell>
          <cell r="F68">
            <v>3468</v>
          </cell>
          <cell r="G68">
            <v>6861</v>
          </cell>
          <cell r="I68">
            <v>3467</v>
          </cell>
          <cell r="J68">
            <v>6860</v>
          </cell>
          <cell r="L68">
            <v>240</v>
          </cell>
          <cell r="M68">
            <v>566</v>
          </cell>
        </row>
        <row r="69">
          <cell r="A69" t="str">
            <v>3D00</v>
          </cell>
          <cell r="B69" t="str">
            <v>Georgetown University Hospital</v>
          </cell>
          <cell r="C69">
            <v>2158</v>
          </cell>
          <cell r="D69">
            <v>4158</v>
          </cell>
          <cell r="F69">
            <v>0</v>
          </cell>
          <cell r="G69">
            <v>5</v>
          </cell>
          <cell r="I69">
            <v>0</v>
          </cell>
          <cell r="J69">
            <v>5</v>
          </cell>
          <cell r="L69">
            <v>92</v>
          </cell>
          <cell r="M69">
            <v>170</v>
          </cell>
        </row>
        <row r="70">
          <cell r="A70" t="str">
            <v>3M14</v>
          </cell>
          <cell r="B70" t="str">
            <v>Perot Systems Government Servi</v>
          </cell>
          <cell r="C70">
            <v>1109</v>
          </cell>
          <cell r="D70">
            <v>2334</v>
          </cell>
          <cell r="F70">
            <v>1109</v>
          </cell>
          <cell r="G70">
            <v>2334</v>
          </cell>
          <cell r="I70">
            <v>0</v>
          </cell>
          <cell r="J70">
            <v>0</v>
          </cell>
          <cell r="L70">
            <v>846</v>
          </cell>
          <cell r="M70">
            <v>1799</v>
          </cell>
        </row>
        <row r="71">
          <cell r="A71" t="str">
            <v>3V86</v>
          </cell>
          <cell r="B71" t="str">
            <v>Anne Arundel County Public Sch</v>
          </cell>
          <cell r="C71">
            <v>1756</v>
          </cell>
          <cell r="D71">
            <v>3648</v>
          </cell>
          <cell r="F71">
            <v>0</v>
          </cell>
          <cell r="G71">
            <v>0</v>
          </cell>
          <cell r="I71">
            <v>0</v>
          </cell>
          <cell r="J71">
            <v>0</v>
          </cell>
          <cell r="L71">
            <v>0</v>
          </cell>
          <cell r="M71">
            <v>0</v>
          </cell>
        </row>
        <row r="72">
          <cell r="A72" t="str">
            <v>3499</v>
          </cell>
          <cell r="B72" t="str">
            <v>American Federation of Teacher</v>
          </cell>
          <cell r="C72">
            <v>333</v>
          </cell>
          <cell r="D72">
            <v>793</v>
          </cell>
          <cell r="F72">
            <v>0</v>
          </cell>
          <cell r="G72">
            <v>0</v>
          </cell>
          <cell r="I72">
            <v>336</v>
          </cell>
          <cell r="J72">
            <v>800</v>
          </cell>
          <cell r="L72">
            <v>0</v>
          </cell>
          <cell r="M72">
            <v>0</v>
          </cell>
        </row>
        <row r="73">
          <cell r="A73" t="str">
            <v>4N00</v>
          </cell>
          <cell r="B73" t="str">
            <v>Charles County Commissioners</v>
          </cell>
          <cell r="C73">
            <v>324</v>
          </cell>
          <cell r="D73">
            <v>618</v>
          </cell>
          <cell r="F73">
            <v>324</v>
          </cell>
          <cell r="G73">
            <v>618</v>
          </cell>
          <cell r="I73">
            <v>0</v>
          </cell>
          <cell r="J73">
            <v>0</v>
          </cell>
          <cell r="L73">
            <v>0</v>
          </cell>
          <cell r="M73">
            <v>0</v>
          </cell>
        </row>
        <row r="74">
          <cell r="A74" t="str">
            <v>4N01</v>
          </cell>
          <cell r="B74" t="str">
            <v>Calvert County Commisioners</v>
          </cell>
          <cell r="C74">
            <v>268</v>
          </cell>
          <cell r="D74">
            <v>641</v>
          </cell>
          <cell r="F74">
            <v>268</v>
          </cell>
          <cell r="G74">
            <v>641</v>
          </cell>
          <cell r="I74">
            <v>0</v>
          </cell>
          <cell r="J74">
            <v>0</v>
          </cell>
          <cell r="L74">
            <v>0</v>
          </cell>
          <cell r="M74">
            <v>0</v>
          </cell>
        </row>
        <row r="75">
          <cell r="A75" t="str">
            <v>4N02</v>
          </cell>
          <cell r="B75" t="str">
            <v>Charles County Public Schools</v>
          </cell>
          <cell r="C75">
            <v>852</v>
          </cell>
          <cell r="D75">
            <v>1769</v>
          </cell>
          <cell r="F75">
            <v>852</v>
          </cell>
          <cell r="G75">
            <v>1769</v>
          </cell>
          <cell r="I75">
            <v>0</v>
          </cell>
          <cell r="J75">
            <v>0</v>
          </cell>
          <cell r="L75">
            <v>0</v>
          </cell>
          <cell r="M75">
            <v>0</v>
          </cell>
        </row>
        <row r="76">
          <cell r="A76" t="str">
            <v>F49N</v>
          </cell>
          <cell r="B76" t="str">
            <v>Fairfax County Government</v>
          </cell>
          <cell r="C76">
            <v>8717</v>
          </cell>
          <cell r="D76">
            <v>16724</v>
          </cell>
          <cell r="F76">
            <v>8716</v>
          </cell>
          <cell r="G76">
            <v>16719</v>
          </cell>
          <cell r="I76">
            <v>0</v>
          </cell>
          <cell r="J76">
            <v>0</v>
          </cell>
          <cell r="L76">
            <v>0</v>
          </cell>
          <cell r="M76">
            <v>0</v>
          </cell>
        </row>
        <row r="77">
          <cell r="A77" t="str">
            <v>F70N</v>
          </cell>
          <cell r="B77" t="str">
            <v>Fairfax County Public Schools</v>
          </cell>
          <cell r="C77">
            <v>11677</v>
          </cell>
          <cell r="D77">
            <v>20483</v>
          </cell>
          <cell r="F77">
            <v>0</v>
          </cell>
          <cell r="G77">
            <v>5</v>
          </cell>
          <cell r="I77">
            <v>0</v>
          </cell>
          <cell r="J77">
            <v>0</v>
          </cell>
          <cell r="L77">
            <v>0</v>
          </cell>
          <cell r="M77">
            <v>0</v>
          </cell>
        </row>
        <row r="78">
          <cell r="A78" t="str">
            <v>5498</v>
          </cell>
          <cell r="B78" t="str">
            <v>Transit Employees Health and W</v>
          </cell>
          <cell r="C78">
            <v>3480</v>
          </cell>
          <cell r="D78">
            <v>8259</v>
          </cell>
          <cell r="F78">
            <v>0</v>
          </cell>
          <cell r="G78">
            <v>9</v>
          </cell>
          <cell r="I78">
            <v>3755</v>
          </cell>
          <cell r="J78">
            <v>10180</v>
          </cell>
          <cell r="L78">
            <v>602</v>
          </cell>
          <cell r="M78">
            <v>1747</v>
          </cell>
        </row>
        <row r="79">
          <cell r="A79" t="str">
            <v>6D43</v>
          </cell>
          <cell r="B79" t="str">
            <v>World Wildlife Fund</v>
          </cell>
          <cell r="C79">
            <v>241</v>
          </cell>
          <cell r="D79">
            <v>417</v>
          </cell>
          <cell r="F79">
            <v>241</v>
          </cell>
          <cell r="G79">
            <v>417</v>
          </cell>
          <cell r="I79">
            <v>0</v>
          </cell>
          <cell r="J79">
            <v>0</v>
          </cell>
          <cell r="L79">
            <v>0</v>
          </cell>
          <cell r="M79">
            <v>1</v>
          </cell>
        </row>
        <row r="80">
          <cell r="A80" t="str">
            <v>6776</v>
          </cell>
          <cell r="B80" t="str">
            <v>International Brotherhood of E</v>
          </cell>
          <cell r="C80">
            <v>922</v>
          </cell>
          <cell r="D80">
            <v>1467</v>
          </cell>
          <cell r="F80">
            <v>0</v>
          </cell>
          <cell r="G80">
            <v>0</v>
          </cell>
          <cell r="I80">
            <v>0</v>
          </cell>
          <cell r="J80">
            <v>0</v>
          </cell>
          <cell r="L80">
            <v>0</v>
          </cell>
          <cell r="M80">
            <v>0</v>
          </cell>
        </row>
        <row r="81">
          <cell r="A81" t="str">
            <v>7B75</v>
          </cell>
          <cell r="B81" t="str">
            <v>Diamond Comic Distributors, In</v>
          </cell>
          <cell r="C81">
            <v>60</v>
          </cell>
          <cell r="D81">
            <v>104</v>
          </cell>
          <cell r="F81">
            <v>60</v>
          </cell>
          <cell r="G81">
            <v>104</v>
          </cell>
          <cell r="I81">
            <v>0</v>
          </cell>
          <cell r="J81">
            <v>0</v>
          </cell>
          <cell r="L81">
            <v>0</v>
          </cell>
          <cell r="M81">
            <v>0</v>
          </cell>
        </row>
        <row r="82">
          <cell r="A82" t="str">
            <v>7J07</v>
          </cell>
          <cell r="B82" t="str">
            <v>Johns Hopkins University</v>
          </cell>
          <cell r="C82">
            <v>400</v>
          </cell>
          <cell r="D82">
            <v>802</v>
          </cell>
          <cell r="F82">
            <v>400</v>
          </cell>
          <cell r="G82">
            <v>802</v>
          </cell>
          <cell r="I82">
            <v>401</v>
          </cell>
          <cell r="J82">
            <v>805</v>
          </cell>
          <cell r="L82">
            <v>0</v>
          </cell>
          <cell r="M82">
            <v>0</v>
          </cell>
        </row>
        <row r="83">
          <cell r="A83" t="str">
            <v>7J29</v>
          </cell>
          <cell r="B83" t="str">
            <v>Mercantile Bank</v>
          </cell>
          <cell r="C83">
            <v>994</v>
          </cell>
          <cell r="D83">
            <v>1817</v>
          </cell>
          <cell r="F83">
            <v>994</v>
          </cell>
          <cell r="G83">
            <v>1817</v>
          </cell>
          <cell r="I83">
            <v>0</v>
          </cell>
          <cell r="J83">
            <v>0</v>
          </cell>
          <cell r="L83">
            <v>0</v>
          </cell>
          <cell r="M83">
            <v>0</v>
          </cell>
        </row>
        <row r="84">
          <cell r="A84" t="str">
            <v>7J30</v>
          </cell>
          <cell r="B84" t="str">
            <v>T Rowe Price Group Inc.</v>
          </cell>
          <cell r="C84">
            <v>262</v>
          </cell>
          <cell r="D84">
            <v>570</v>
          </cell>
          <cell r="F84">
            <v>0</v>
          </cell>
          <cell r="G84">
            <v>0</v>
          </cell>
          <cell r="I84">
            <v>0</v>
          </cell>
          <cell r="J84">
            <v>0</v>
          </cell>
          <cell r="L84">
            <v>0</v>
          </cell>
          <cell r="M84">
            <v>0</v>
          </cell>
        </row>
        <row r="85">
          <cell r="A85" t="str">
            <v>7J53</v>
          </cell>
          <cell r="B85" t="str">
            <v>CareFirst, Inc.</v>
          </cell>
          <cell r="C85">
            <v>2450</v>
          </cell>
          <cell r="D85">
            <v>4973</v>
          </cell>
          <cell r="F85">
            <v>0</v>
          </cell>
          <cell r="G85">
            <v>0</v>
          </cell>
          <cell r="I85">
            <v>0</v>
          </cell>
          <cell r="J85">
            <v>0</v>
          </cell>
          <cell r="L85">
            <v>0</v>
          </cell>
          <cell r="M85">
            <v>0</v>
          </cell>
        </row>
        <row r="86">
          <cell r="A86" t="str">
            <v>7J55</v>
          </cell>
          <cell r="B86" t="str">
            <v>Harford County Governmental En</v>
          </cell>
          <cell r="C86">
            <v>224</v>
          </cell>
          <cell r="D86">
            <v>516</v>
          </cell>
          <cell r="F86">
            <v>224</v>
          </cell>
          <cell r="G86">
            <v>516</v>
          </cell>
          <cell r="I86">
            <v>0</v>
          </cell>
          <cell r="J86">
            <v>0</v>
          </cell>
          <cell r="L86">
            <v>0</v>
          </cell>
          <cell r="M86">
            <v>0</v>
          </cell>
        </row>
        <row r="87">
          <cell r="A87" t="str">
            <v>7J56</v>
          </cell>
          <cell r="B87" t="str">
            <v>Loyola College In Maryland</v>
          </cell>
          <cell r="C87">
            <v>114</v>
          </cell>
          <cell r="D87">
            <v>199</v>
          </cell>
          <cell r="F87">
            <v>114</v>
          </cell>
          <cell r="G87">
            <v>199</v>
          </cell>
          <cell r="I87">
            <v>0</v>
          </cell>
          <cell r="J87">
            <v>0</v>
          </cell>
          <cell r="L87">
            <v>0</v>
          </cell>
          <cell r="M87">
            <v>0</v>
          </cell>
        </row>
        <row r="88">
          <cell r="A88" t="str">
            <v>7J60</v>
          </cell>
          <cell r="B88" t="str">
            <v>St. Mary's County Commissioner</v>
          </cell>
          <cell r="C88">
            <v>55</v>
          </cell>
          <cell r="D88">
            <v>67</v>
          </cell>
          <cell r="F88">
            <v>55</v>
          </cell>
          <cell r="G88">
            <v>67</v>
          </cell>
          <cell r="I88">
            <v>0</v>
          </cell>
          <cell r="J88">
            <v>0</v>
          </cell>
          <cell r="L88">
            <v>0</v>
          </cell>
          <cell r="M88">
            <v>0</v>
          </cell>
        </row>
        <row r="89">
          <cell r="A89" t="str">
            <v>7J61</v>
          </cell>
          <cell r="B89" t="str">
            <v>St. Mary's County Public Schoo</v>
          </cell>
          <cell r="C89">
            <v>118</v>
          </cell>
          <cell r="D89">
            <v>260</v>
          </cell>
          <cell r="F89">
            <v>118</v>
          </cell>
          <cell r="G89">
            <v>260</v>
          </cell>
          <cell r="I89">
            <v>0</v>
          </cell>
          <cell r="J89">
            <v>0</v>
          </cell>
          <cell r="L89">
            <v>0</v>
          </cell>
          <cell r="M89">
            <v>0</v>
          </cell>
        </row>
        <row r="90">
          <cell r="A90" t="str">
            <v>7J62</v>
          </cell>
          <cell r="B90" t="str">
            <v>The Board of Child Care</v>
          </cell>
          <cell r="C90">
            <v>54</v>
          </cell>
          <cell r="D90">
            <v>74</v>
          </cell>
          <cell r="F90">
            <v>54</v>
          </cell>
          <cell r="G90">
            <v>74</v>
          </cell>
          <cell r="I90">
            <v>0</v>
          </cell>
          <cell r="J90">
            <v>0</v>
          </cell>
          <cell r="L90">
            <v>0</v>
          </cell>
          <cell r="M90">
            <v>0</v>
          </cell>
        </row>
        <row r="91">
          <cell r="A91" t="str">
            <v>7J66</v>
          </cell>
          <cell r="B91" t="str">
            <v>Mercy Health Services</v>
          </cell>
          <cell r="C91">
            <v>2062</v>
          </cell>
          <cell r="D91">
            <v>3991</v>
          </cell>
          <cell r="F91">
            <v>0</v>
          </cell>
          <cell r="G91">
            <v>0</v>
          </cell>
          <cell r="I91">
            <v>0</v>
          </cell>
          <cell r="J91">
            <v>0</v>
          </cell>
          <cell r="L91">
            <v>2044</v>
          </cell>
          <cell r="M91">
            <v>3965</v>
          </cell>
        </row>
        <row r="92">
          <cell r="A92" t="str">
            <v>7J67</v>
          </cell>
          <cell r="B92" t="str">
            <v>Calvert County Public Schools</v>
          </cell>
          <cell r="C92">
            <v>95</v>
          </cell>
          <cell r="D92">
            <v>262</v>
          </cell>
          <cell r="F92">
            <v>95</v>
          </cell>
          <cell r="G92">
            <v>262</v>
          </cell>
          <cell r="I92">
            <v>0</v>
          </cell>
          <cell r="J92">
            <v>0</v>
          </cell>
          <cell r="L92">
            <v>0</v>
          </cell>
          <cell r="M92">
            <v>0</v>
          </cell>
        </row>
        <row r="93">
          <cell r="A93" t="str">
            <v>7J68</v>
          </cell>
          <cell r="B93" t="str">
            <v>AAI Corp Inc</v>
          </cell>
          <cell r="C93">
            <v>273</v>
          </cell>
          <cell r="D93">
            <v>629</v>
          </cell>
          <cell r="F93">
            <v>0</v>
          </cell>
          <cell r="G93">
            <v>0</v>
          </cell>
          <cell r="I93">
            <v>0</v>
          </cell>
          <cell r="J93">
            <v>0</v>
          </cell>
          <cell r="L93">
            <v>0</v>
          </cell>
          <cell r="M93">
            <v>0</v>
          </cell>
        </row>
        <row r="94">
          <cell r="A94" t="str">
            <v>7S45</v>
          </cell>
          <cell r="B94" t="str">
            <v>JJ Haines &amp; Company Inc</v>
          </cell>
          <cell r="C94">
            <v>351</v>
          </cell>
          <cell r="D94">
            <v>788</v>
          </cell>
          <cell r="F94">
            <v>0</v>
          </cell>
          <cell r="G94">
            <v>0</v>
          </cell>
          <cell r="I94">
            <v>0</v>
          </cell>
          <cell r="J94">
            <v>0</v>
          </cell>
          <cell r="L94">
            <v>0</v>
          </cell>
          <cell r="M94">
            <v>0</v>
          </cell>
        </row>
        <row r="95">
          <cell r="A95" t="str">
            <v>7S72</v>
          </cell>
          <cell r="B95" t="str">
            <v>City of Annapolis</v>
          </cell>
          <cell r="C95">
            <v>54</v>
          </cell>
          <cell r="D95">
            <v>99</v>
          </cell>
          <cell r="F95">
            <v>54</v>
          </cell>
          <cell r="G95">
            <v>99</v>
          </cell>
          <cell r="I95">
            <v>0</v>
          </cell>
          <cell r="J95">
            <v>0</v>
          </cell>
          <cell r="L95">
            <v>0</v>
          </cell>
          <cell r="M95">
            <v>0</v>
          </cell>
        </row>
        <row r="96">
          <cell r="A96" t="str">
            <v>TM30</v>
          </cell>
          <cell r="B96" t="str">
            <v>Charles County Public Schools</v>
          </cell>
          <cell r="C96">
            <v>0</v>
          </cell>
          <cell r="D96">
            <v>0</v>
          </cell>
          <cell r="F96">
            <v>0</v>
          </cell>
          <cell r="G96">
            <v>0</v>
          </cell>
          <cell r="I96">
            <v>174</v>
          </cell>
          <cell r="J96">
            <v>369</v>
          </cell>
          <cell r="L96">
            <v>0</v>
          </cell>
          <cell r="M96">
            <v>0</v>
          </cell>
        </row>
        <row r="97">
          <cell r="A97" t="str">
            <v>7L25</v>
          </cell>
          <cell r="B97" t="str">
            <v>Anne Arundel Medical Center</v>
          </cell>
          <cell r="C97">
            <v>0</v>
          </cell>
          <cell r="D97">
            <v>0</v>
          </cell>
          <cell r="F97">
            <v>0</v>
          </cell>
          <cell r="G97">
            <v>0</v>
          </cell>
          <cell r="I97">
            <v>1359</v>
          </cell>
          <cell r="J97">
            <v>2847</v>
          </cell>
          <cell r="L97">
            <v>0</v>
          </cell>
          <cell r="M97">
            <v>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Input"/>
      <sheetName val="Model Pure Have"/>
      <sheetName val="Model Pure Want"/>
      <sheetName val="Result"/>
      <sheetName val="Factors"/>
      <sheetName val="MHSA Factors"/>
      <sheetName val="Assumptions"/>
      <sheetName val="VADC StandProd"/>
      <sheetName val="MD StandProd"/>
      <sheetName val="Standard Assumptions"/>
      <sheetName val="Prot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Input"/>
      <sheetName val="Calculation"/>
      <sheetName val="Input-Blue Preferred"/>
      <sheetName val="NON-MEDICARE Blue Preferred"/>
      <sheetName val="MEDICARE Blue Preferred"/>
      <sheetName val="Input - BlueChoice HMO"/>
      <sheetName val="NON-MEDICARE BlueChoice HMO"/>
      <sheetName val="MEDICARE BlueChoice HMO"/>
      <sheetName val="Input - BlueChoice Opt Out"/>
      <sheetName val="NON-MEDICARE BlueChoice Opt Out"/>
      <sheetName val="MEDICARE BlueChoice Opt Out"/>
      <sheetName val="Input - BlueChoice Opt Out Plus"/>
      <sheetName val="NON-MEDICARE BC Opt Out Plus"/>
      <sheetName val="MEDICARE BC Opt Out Plus"/>
      <sheetName val="Input - Misc"/>
      <sheetName val="NON-MEDICARE Misc"/>
      <sheetName val="MEDICARE Misc"/>
    </sheetNames>
    <sheetDataSet>
      <sheetData sheetId="0" refreshError="1">
        <row r="23">
          <cell r="C23" t="b">
            <v>0</v>
          </cell>
        </row>
        <row r="24">
          <cell r="C24" t="b">
            <v>0</v>
          </cell>
        </row>
        <row r="25">
          <cell r="C25" t="b">
            <v>0</v>
          </cell>
        </row>
        <row r="26">
          <cell r="C26" t="b">
            <v>0</v>
          </cell>
        </row>
        <row r="27">
          <cell r="C27"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orig vs trended PMPM"/>
      <sheetName val="03 vs 04 PMPM"/>
      <sheetName val="age_sex_0 clms"/>
      <sheetName val="Claims_2003"/>
      <sheetName val="Claims_2004"/>
      <sheetName val="Trended_2003"/>
      <sheetName val="Trended_2004"/>
      <sheetName val="0-30"/>
      <sheetName val="31-39"/>
      <sheetName val="40-44"/>
      <sheetName val="45-49"/>
      <sheetName val="50-54 M"/>
      <sheetName val="55-59"/>
      <sheetName val="60-64"/>
      <sheetName val="65+"/>
      <sheetName val="All"/>
      <sheetName val="Summary (huber)"/>
      <sheetName val="stoploss_charged_comparison"/>
      <sheetName val="Nasco_Charged"/>
      <sheetName val="Dick_Courtney"/>
      <sheetName val="Q_1Case1(all)"/>
      <sheetName val="all_grps_demo"/>
      <sheetName val="SL_Charges"/>
      <sheetName val="2004_charged"/>
      <sheetName val="GHMSI_Stoploss_LRatio"/>
      <sheetName val="CFMI_Stoploss_LRatio"/>
      <sheetName val="GHMSI_Stoploss_Premiums"/>
      <sheetName val="CFMI_Stoploss_Premiums"/>
      <sheetName val="GHMSI_Stoploss_Premiums (1.075)"/>
      <sheetName val="CFMI_Stoploss_Premiums (1.075)"/>
      <sheetName val="2006_Net Premiums"/>
      <sheetName val="2006_Net Premiums (1.075)"/>
    </sheetNames>
    <sheetDataSet>
      <sheetData sheetId="0" refreshError="1"/>
      <sheetData sheetId="1" refreshError="1"/>
      <sheetData sheetId="2" refreshError="1">
        <row r="6">
          <cell r="C6">
            <v>0</v>
          </cell>
          <cell r="E6">
            <v>104.72984197417617</v>
          </cell>
          <cell r="F6">
            <v>101.6856652187296</v>
          </cell>
          <cell r="G6">
            <v>-3.0441767554465713</v>
          </cell>
          <cell r="I6">
            <v>173.94799658499798</v>
          </cell>
          <cell r="J6">
            <v>169.6360539007251</v>
          </cell>
          <cell r="K6">
            <v>-4.3119426842728785</v>
          </cell>
          <cell r="M6">
            <v>175.15855925058167</v>
          </cell>
          <cell r="N6">
            <v>182.20832476353439</v>
          </cell>
          <cell r="O6">
            <v>7.0497655129527175</v>
          </cell>
          <cell r="Q6">
            <v>203.70243693986177</v>
          </cell>
          <cell r="R6">
            <v>205.46657292779435</v>
          </cell>
          <cell r="S6">
            <v>1.7641359879325762</v>
          </cell>
          <cell r="U6">
            <v>249.28136986938236</v>
          </cell>
          <cell r="V6">
            <v>250.78959822491143</v>
          </cell>
          <cell r="W6">
            <v>1.5082283555290701</v>
          </cell>
          <cell r="Y6">
            <v>298.01651152898177</v>
          </cell>
          <cell r="Z6">
            <v>297.49677915596811</v>
          </cell>
          <cell r="AA6">
            <v>-0.51973237301365316</v>
          </cell>
          <cell r="AC6">
            <v>335.64671957362367</v>
          </cell>
          <cell r="AD6">
            <v>377.98135493034084</v>
          </cell>
          <cell r="AE6">
            <v>42.334635356717172</v>
          </cell>
          <cell r="AG6">
            <v>185.12497996931782</v>
          </cell>
          <cell r="AH6">
            <v>190.4641617510031</v>
          </cell>
          <cell r="AI6">
            <v>5.3391817816852836</v>
          </cell>
          <cell r="AK6">
            <v>169.73367065528399</v>
          </cell>
          <cell r="AL6">
            <v>171.96887088251563</v>
          </cell>
          <cell r="AM6">
            <v>2.235200227231644</v>
          </cell>
        </row>
        <row r="7">
          <cell r="C7">
            <v>1000</v>
          </cell>
          <cell r="E7">
            <v>68.781209496613826</v>
          </cell>
          <cell r="F7">
            <v>67.426085742251857</v>
          </cell>
          <cell r="G7">
            <v>-1.3551237543619692</v>
          </cell>
          <cell r="I7">
            <v>130.9382843229462</v>
          </cell>
          <cell r="J7">
            <v>127.72406606545302</v>
          </cell>
          <cell r="K7">
            <v>-3.2142182574931866</v>
          </cell>
          <cell r="M7">
            <v>131.14181602617924</v>
          </cell>
          <cell r="N7">
            <v>138.83786221337564</v>
          </cell>
          <cell r="O7">
            <v>7.6960461871964014</v>
          </cell>
          <cell r="Q7">
            <v>157.4420317199677</v>
          </cell>
          <cell r="R7">
            <v>160.05096667090979</v>
          </cell>
          <cell r="S7">
            <v>2.6089349509420856</v>
          </cell>
          <cell r="U7">
            <v>198.80668406648354</v>
          </cell>
          <cell r="V7">
            <v>200.79864561474452</v>
          </cell>
          <cell r="W7">
            <v>1.9919615482609743</v>
          </cell>
          <cell r="Y7">
            <v>245.46318352262878</v>
          </cell>
          <cell r="Z7">
            <v>244.65087849166332</v>
          </cell>
          <cell r="AA7">
            <v>-0.81230503096546158</v>
          </cell>
          <cell r="AC7">
            <v>280.90642669922499</v>
          </cell>
          <cell r="AD7">
            <v>323.11280450451312</v>
          </cell>
          <cell r="AE7">
            <v>42.206377805288128</v>
          </cell>
          <cell r="AG7">
            <v>141.99364012139151</v>
          </cell>
          <cell r="AH7">
            <v>145.96924003020729</v>
          </cell>
          <cell r="AI7">
            <v>3.9755999088157807</v>
          </cell>
          <cell r="AK7">
            <v>127.510315245139</v>
          </cell>
          <cell r="AL7">
            <v>130.5928357704494</v>
          </cell>
          <cell r="AM7">
            <v>3.0825205253104002</v>
          </cell>
        </row>
        <row r="8">
          <cell r="C8">
            <v>5000</v>
          </cell>
          <cell r="E8">
            <v>37.44134075961933</v>
          </cell>
          <cell r="F8">
            <v>38.020818423745645</v>
          </cell>
          <cell r="G8">
            <v>0.57947766412631552</v>
          </cell>
          <cell r="I8">
            <v>73.15732353715191</v>
          </cell>
          <cell r="J8">
            <v>70.948286440473169</v>
          </cell>
          <cell r="K8">
            <v>-2.2090370966787418</v>
          </cell>
          <cell r="M8">
            <v>75.108986853569945</v>
          </cell>
          <cell r="N8">
            <v>81.689482465324645</v>
          </cell>
          <cell r="O8">
            <v>6.5804956117546993</v>
          </cell>
          <cell r="Q8">
            <v>95.052642937487633</v>
          </cell>
          <cell r="R8">
            <v>98.095272293357183</v>
          </cell>
          <cell r="S8">
            <v>3.0426293558695505</v>
          </cell>
          <cell r="U8">
            <v>124.48377691906808</v>
          </cell>
          <cell r="V8">
            <v>126.6121970641211</v>
          </cell>
          <cell r="W8">
            <v>2.1284201450530276</v>
          </cell>
          <cell r="Y8">
            <v>162.09910700561878</v>
          </cell>
          <cell r="Z8">
            <v>159.90447317983538</v>
          </cell>
          <cell r="AA8">
            <v>-2.1946338257833986</v>
          </cell>
          <cell r="AC8">
            <v>189.29377420158391</v>
          </cell>
          <cell r="AD8">
            <v>228.8216612291653</v>
          </cell>
          <cell r="AE8">
            <v>39.527887027581386</v>
          </cell>
          <cell r="AG8">
            <v>88.809311860076264</v>
          </cell>
          <cell r="AH8">
            <v>91.657851882897134</v>
          </cell>
          <cell r="AI8">
            <v>2.8485400228208704</v>
          </cell>
          <cell r="AK8">
            <v>76.202346219222761</v>
          </cell>
          <cell r="AL8">
            <v>79.651871684000071</v>
          </cell>
          <cell r="AM8">
            <v>3.4495254647773095</v>
          </cell>
        </row>
        <row r="9">
          <cell r="C9">
            <v>10000</v>
          </cell>
          <cell r="E9">
            <v>24.549473692778871</v>
          </cell>
          <cell r="F9">
            <v>26.093697779309323</v>
          </cell>
          <cell r="G9">
            <v>1.544224086530452</v>
          </cell>
          <cell r="I9">
            <v>42.762551086280666</v>
          </cell>
          <cell r="J9">
            <v>41.505209876519437</v>
          </cell>
          <cell r="K9">
            <v>-1.2573412097612291</v>
          </cell>
          <cell r="M9">
            <v>48.876688029852211</v>
          </cell>
          <cell r="N9">
            <v>54.224058107850688</v>
          </cell>
          <cell r="O9">
            <v>5.3473700779984767</v>
          </cell>
          <cell r="Q9">
            <v>65.436306643160407</v>
          </cell>
          <cell r="R9">
            <v>68.900304740506272</v>
          </cell>
          <cell r="S9">
            <v>3.4639980973458648</v>
          </cell>
          <cell r="U9">
            <v>88.998231287936974</v>
          </cell>
          <cell r="V9">
            <v>92.014542119780046</v>
          </cell>
          <cell r="W9">
            <v>3.0163108318430716</v>
          </cell>
          <cell r="Y9">
            <v>119.50710611183446</v>
          </cell>
          <cell r="Z9">
            <v>117.25474818181384</v>
          </cell>
          <cell r="AA9">
            <v>-2.2523579300206222</v>
          </cell>
          <cell r="AC9">
            <v>140.94401170924942</v>
          </cell>
          <cell r="AD9">
            <v>177.53438257083499</v>
          </cell>
          <cell r="AE9">
            <v>36.590370861585569</v>
          </cell>
          <cell r="AG9">
            <v>67.433786360404909</v>
          </cell>
          <cell r="AH9">
            <v>69.532894098258438</v>
          </cell>
          <cell r="AI9">
            <v>2.0991077378535294</v>
          </cell>
          <cell r="AK9">
            <v>51.987241158568871</v>
          </cell>
          <cell r="AL9">
            <v>55.691714473760435</v>
          </cell>
          <cell r="AM9">
            <v>3.7044733151915636</v>
          </cell>
        </row>
        <row r="10">
          <cell r="C10">
            <v>15000</v>
          </cell>
          <cell r="E10">
            <v>18.973052465367648</v>
          </cell>
          <cell r="F10">
            <v>20.896214849702233</v>
          </cell>
          <cell r="G10">
            <v>1.9231623843345851</v>
          </cell>
          <cell r="I10">
            <v>29.865646497044313</v>
          </cell>
          <cell r="J10">
            <v>28.605321031251886</v>
          </cell>
          <cell r="K10">
            <v>-1.2603254657924268</v>
          </cell>
          <cell r="M10">
            <v>35.875550376900257</v>
          </cell>
          <cell r="N10">
            <v>40.642964418941006</v>
          </cell>
          <cell r="O10">
            <v>4.7674140420407483</v>
          </cell>
          <cell r="Q10">
            <v>50.178328736161667</v>
          </cell>
          <cell r="R10">
            <v>53.876631368056508</v>
          </cell>
          <cell r="S10">
            <v>3.6983026318948404</v>
          </cell>
          <cell r="U10">
            <v>70.427857615383431</v>
          </cell>
          <cell r="V10">
            <v>73.121622165114232</v>
          </cell>
          <cell r="W10">
            <v>2.6937645497308011</v>
          </cell>
          <cell r="Y10">
            <v>95.267164988334798</v>
          </cell>
          <cell r="Z10">
            <v>92.809972725186171</v>
          </cell>
          <cell r="AA10">
            <v>-2.4571922631486274</v>
          </cell>
          <cell r="AC10">
            <v>112.3637134276845</v>
          </cell>
          <cell r="AD10">
            <v>146.68187857081179</v>
          </cell>
          <cell r="AE10">
            <v>34.318165143127288</v>
          </cell>
          <cell r="AG10">
            <v>55.239652109819907</v>
          </cell>
          <cell r="AH10">
            <v>57.373582378309585</v>
          </cell>
          <cell r="AI10">
            <v>2.1339302684896779</v>
          </cell>
          <cell r="AK10">
            <v>40.048208066916146</v>
          </cell>
          <cell r="AL10">
            <v>43.650812315115751</v>
          </cell>
          <cell r="AM10">
            <v>3.6026042481996043</v>
          </cell>
        </row>
        <row r="11">
          <cell r="C11">
            <v>20000</v>
          </cell>
          <cell r="E11">
            <v>15.874023237002765</v>
          </cell>
          <cell r="F11">
            <v>18.092826446530012</v>
          </cell>
          <cell r="G11">
            <v>2.2188032095272465</v>
          </cell>
          <cell r="I11">
            <v>23.442136014355793</v>
          </cell>
          <cell r="J11">
            <v>21.978310337411568</v>
          </cell>
          <cell r="K11">
            <v>-1.4638256769442251</v>
          </cell>
          <cell r="M11">
            <v>28.561924200562999</v>
          </cell>
          <cell r="N11">
            <v>32.266205281643529</v>
          </cell>
          <cell r="O11">
            <v>3.7042810810805307</v>
          </cell>
          <cell r="Q11">
            <v>40.596519718948571</v>
          </cell>
          <cell r="R11">
            <v>44.237404681565842</v>
          </cell>
          <cell r="S11">
            <v>3.640884962617271</v>
          </cell>
          <cell r="U11">
            <v>58.394722436896018</v>
          </cell>
          <cell r="V11">
            <v>60.238783411534264</v>
          </cell>
          <cell r="W11">
            <v>1.8440609746382464</v>
          </cell>
          <cell r="Y11">
            <v>78.443002599839005</v>
          </cell>
          <cell r="Z11">
            <v>75.695769801786639</v>
          </cell>
          <cell r="AA11">
            <v>-2.7472327980523659</v>
          </cell>
          <cell r="AC11">
            <v>91.972734154034171</v>
          </cell>
          <cell r="AD11">
            <v>124.20971658856884</v>
          </cell>
          <cell r="AE11">
            <v>32.236982434534667</v>
          </cell>
          <cell r="AG11">
            <v>46.998257629859005</v>
          </cell>
          <cell r="AH11">
            <v>48.912774485360046</v>
          </cell>
          <cell r="AI11">
            <v>1.9145168555010414</v>
          </cell>
          <cell r="AK11">
            <v>32.807730570081581</v>
          </cell>
          <cell r="AL11">
            <v>36.120651648470535</v>
          </cell>
          <cell r="AM11">
            <v>3.3129210783889533</v>
          </cell>
        </row>
        <row r="12">
          <cell r="C12">
            <v>25000</v>
          </cell>
          <cell r="E12">
            <v>13.780259791181402</v>
          </cell>
          <cell r="F12">
            <v>16.249389366468538</v>
          </cell>
          <cell r="G12">
            <v>2.4691295752871358</v>
          </cell>
          <cell r="I12">
            <v>19.502375773948895</v>
          </cell>
          <cell r="J12">
            <v>17.855997890758676</v>
          </cell>
          <cell r="K12">
            <v>-1.6463778831902189</v>
          </cell>
          <cell r="M12">
            <v>23.786545397834089</v>
          </cell>
          <cell r="N12">
            <v>26.596309689735445</v>
          </cell>
          <cell r="O12">
            <v>2.8097642919013559</v>
          </cell>
          <cell r="Q12">
            <v>33.810373325209873</v>
          </cell>
          <cell r="R12">
            <v>37.434207598234813</v>
          </cell>
          <cell r="S12">
            <v>3.62383427302494</v>
          </cell>
          <cell r="U12">
            <v>49.247272428566042</v>
          </cell>
          <cell r="V12">
            <v>50.434240806245242</v>
          </cell>
          <cell r="W12">
            <v>1.1869683776792002</v>
          </cell>
          <cell r="Y12">
            <v>65.841802517864025</v>
          </cell>
          <cell r="Z12">
            <v>63.032813006279156</v>
          </cell>
          <cell r="AA12">
            <v>-2.8089895115848691</v>
          </cell>
          <cell r="AC12">
            <v>76.941484721955732</v>
          </cell>
          <cell r="AD12">
            <v>106.70422485225488</v>
          </cell>
          <cell r="AE12">
            <v>29.76274013029915</v>
          </cell>
          <cell r="AG12">
            <v>40.673726820966799</v>
          </cell>
          <cell r="AH12">
            <v>42.512314113645552</v>
          </cell>
          <cell r="AI12">
            <v>1.8385872926787528</v>
          </cell>
          <cell r="AK12">
            <v>27.715619425906258</v>
          </cell>
          <cell r="AL12">
            <v>30.781886897506052</v>
          </cell>
          <cell r="AM12">
            <v>3.0662674715997937</v>
          </cell>
        </row>
        <row r="13">
          <cell r="C13">
            <v>30000</v>
          </cell>
          <cell r="E13">
            <v>12.276223917169213</v>
          </cell>
          <cell r="F13">
            <v>14.866102004356783</v>
          </cell>
          <cell r="G13">
            <v>2.5898780871875697</v>
          </cell>
          <cell r="I13">
            <v>16.760896349775408</v>
          </cell>
          <cell r="J13">
            <v>15.044730702472046</v>
          </cell>
          <cell r="K13">
            <v>-1.7161656473033613</v>
          </cell>
          <cell r="M13">
            <v>20.388794385058528</v>
          </cell>
          <cell r="N13">
            <v>22.578648533786193</v>
          </cell>
          <cell r="O13">
            <v>2.1898541487276653</v>
          </cell>
          <cell r="Q13">
            <v>28.524595201502123</v>
          </cell>
          <cell r="R13">
            <v>32.502450711290265</v>
          </cell>
          <cell r="S13">
            <v>3.9778555097881423</v>
          </cell>
          <cell r="U13">
            <v>42.353629174060693</v>
          </cell>
          <cell r="V13">
            <v>43.096627067643844</v>
          </cell>
          <cell r="W13">
            <v>0.74299789358315138</v>
          </cell>
          <cell r="Y13">
            <v>56.112394029693426</v>
          </cell>
          <cell r="Z13">
            <v>53.294349497004596</v>
          </cell>
          <cell r="AA13">
            <v>-2.8180445326888304</v>
          </cell>
          <cell r="AC13">
            <v>65.526564043839343</v>
          </cell>
          <cell r="AD13">
            <v>92.798389915254958</v>
          </cell>
          <cell r="AE13">
            <v>27.271825871415615</v>
          </cell>
          <cell r="AG13">
            <v>35.570644277281737</v>
          </cell>
          <cell r="AH13">
            <v>37.672672937335257</v>
          </cell>
          <cell r="AI13">
            <v>2.1020286600535201</v>
          </cell>
          <cell r="AK13">
            <v>23.918986962955827</v>
          </cell>
          <cell r="AL13">
            <v>26.809618036873598</v>
          </cell>
          <cell r="AM13">
            <v>2.8906310739177705</v>
          </cell>
        </row>
        <row r="14">
          <cell r="C14">
            <v>35000</v>
          </cell>
          <cell r="E14">
            <v>11.071702082595541</v>
          </cell>
          <cell r="F14">
            <v>13.797642243967607</v>
          </cell>
          <cell r="G14">
            <v>2.7259401613720655</v>
          </cell>
          <cell r="I14">
            <v>14.687195278654912</v>
          </cell>
          <cell r="J14">
            <v>12.934860122682146</v>
          </cell>
          <cell r="K14">
            <v>-1.7523351559727658</v>
          </cell>
          <cell r="M14">
            <v>17.849538093936022</v>
          </cell>
          <cell r="N14">
            <v>19.543757323850659</v>
          </cell>
          <cell r="O14">
            <v>1.694219229914637</v>
          </cell>
          <cell r="Q14">
            <v>24.433275556695531</v>
          </cell>
          <cell r="R14">
            <v>28.644962778864709</v>
          </cell>
          <cell r="S14">
            <v>4.2116872221691786</v>
          </cell>
          <cell r="U14">
            <v>37.060336496008453</v>
          </cell>
          <cell r="V14">
            <v>37.370980084556642</v>
          </cell>
          <cell r="W14">
            <v>0.31064358854818863</v>
          </cell>
          <cell r="Y14">
            <v>48.359493551834923</v>
          </cell>
          <cell r="Z14">
            <v>45.568002573456347</v>
          </cell>
          <cell r="AA14">
            <v>-2.791490978378576</v>
          </cell>
          <cell r="AC14">
            <v>56.305051706690357</v>
          </cell>
          <cell r="AD14">
            <v>81.458882522830791</v>
          </cell>
          <cell r="AE14">
            <v>25.153830816140434</v>
          </cell>
          <cell r="AG14">
            <v>31.561217101098766</v>
          </cell>
          <cell r="AH14">
            <v>33.829719923482351</v>
          </cell>
          <cell r="AI14">
            <v>2.268502822383585</v>
          </cell>
          <cell r="AK14">
            <v>20.945879372212357</v>
          </cell>
          <cell r="AL14">
            <v>23.701181503037059</v>
          </cell>
          <cell r="AM14">
            <v>2.7553021308247025</v>
          </cell>
        </row>
        <row r="15">
          <cell r="C15">
            <v>40000</v>
          </cell>
          <cell r="E15">
            <v>10.106514743998588</v>
          </cell>
          <cell r="F15">
            <v>12.923173004380578</v>
          </cell>
          <cell r="G15">
            <v>2.8166582603819901</v>
          </cell>
          <cell r="I15">
            <v>13.065886109988606</v>
          </cell>
          <cell r="J15">
            <v>11.329755638662872</v>
          </cell>
          <cell r="K15">
            <v>-1.7361304713257333</v>
          </cell>
          <cell r="M15">
            <v>15.841925380174198</v>
          </cell>
          <cell r="N15">
            <v>17.208052623637247</v>
          </cell>
          <cell r="O15">
            <v>1.3661272434630494</v>
          </cell>
          <cell r="Q15">
            <v>21.165526474172882</v>
          </cell>
          <cell r="R15">
            <v>25.444595403969867</v>
          </cell>
          <cell r="S15">
            <v>4.2790689297969848</v>
          </cell>
          <cell r="U15">
            <v>32.663802202827519</v>
          </cell>
          <cell r="V15">
            <v>32.742808421995313</v>
          </cell>
          <cell r="W15">
            <v>7.9006219167794711E-2</v>
          </cell>
          <cell r="Y15">
            <v>41.954103944837108</v>
          </cell>
          <cell r="Z15">
            <v>39.298453055637111</v>
          </cell>
          <cell r="AA15">
            <v>-2.6556508891999968</v>
          </cell>
          <cell r="AC15">
            <v>48.972497647686772</v>
          </cell>
          <cell r="AD15">
            <v>72.222179306488059</v>
          </cell>
          <cell r="AE15">
            <v>23.249681658801286</v>
          </cell>
          <cell r="AG15">
            <v>28.128943802932472</v>
          </cell>
          <cell r="AH15">
            <v>30.618005732513726</v>
          </cell>
          <cell r="AI15">
            <v>2.4890619295812542</v>
          </cell>
          <cell r="AK15">
            <v>18.544838505798108</v>
          </cell>
          <cell r="AL15">
            <v>21.192045902415398</v>
          </cell>
          <cell r="AM15">
            <v>2.64720739661729</v>
          </cell>
        </row>
        <row r="16">
          <cell r="C16">
            <v>45000</v>
          </cell>
          <cell r="E16">
            <v>9.295677288205253</v>
          </cell>
          <cell r="F16">
            <v>12.200609573676742</v>
          </cell>
          <cell r="G16">
            <v>2.9049322854714887</v>
          </cell>
          <cell r="I16">
            <v>11.795648593482005</v>
          </cell>
          <cell r="J16">
            <v>10.077145840531694</v>
          </cell>
          <cell r="K16">
            <v>-1.718502752950311</v>
          </cell>
          <cell r="M16">
            <v>14.115233986241202</v>
          </cell>
          <cell r="N16">
            <v>15.270362253501178</v>
          </cell>
          <cell r="O16">
            <v>1.1551282672599754</v>
          </cell>
          <cell r="Q16">
            <v>18.466788721267537</v>
          </cell>
          <cell r="R16">
            <v>22.806867063393764</v>
          </cell>
          <cell r="S16">
            <v>4.3400783421262261</v>
          </cell>
          <cell r="U16">
            <v>28.956310546514402</v>
          </cell>
          <cell r="V16">
            <v>28.991591896310151</v>
          </cell>
          <cell r="W16">
            <v>3.5281349795749151E-2</v>
          </cell>
          <cell r="Y16">
            <v>36.566888191158839</v>
          </cell>
          <cell r="Z16">
            <v>34.105932336254789</v>
          </cell>
          <cell r="AA16">
            <v>-2.46095585490405</v>
          </cell>
          <cell r="AC16">
            <v>42.978340496406418</v>
          </cell>
          <cell r="AD16">
            <v>64.490383301576486</v>
          </cell>
          <cell r="AE16">
            <v>21.512042805170069</v>
          </cell>
          <cell r="AG16">
            <v>25.292475014264763</v>
          </cell>
          <cell r="AH16">
            <v>27.812805575424104</v>
          </cell>
          <cell r="AI16">
            <v>2.5203305611593407</v>
          </cell>
          <cell r="AK16">
            <v>16.549049818087109</v>
          </cell>
          <cell r="AL16">
            <v>19.122858460762803</v>
          </cell>
          <cell r="AM16">
            <v>2.5738086426756936</v>
          </cell>
        </row>
        <row r="17">
          <cell r="C17">
            <v>50000</v>
          </cell>
          <cell r="E17">
            <v>8.6063636468352129</v>
          </cell>
          <cell r="F17">
            <v>11.588428049161749</v>
          </cell>
          <cell r="G17">
            <v>2.9820644023265359</v>
          </cell>
          <cell r="I17">
            <v>10.713856904452081</v>
          </cell>
          <cell r="J17">
            <v>9.010627813777722</v>
          </cell>
          <cell r="K17">
            <v>-1.703229090674359</v>
          </cell>
          <cell r="M17">
            <v>12.649893936267816</v>
          </cell>
          <cell r="N17">
            <v>13.587455405835222</v>
          </cell>
          <cell r="O17">
            <v>0.93756146956740594</v>
          </cell>
          <cell r="Q17">
            <v>16.221818608078237</v>
          </cell>
          <cell r="R17">
            <v>20.512283033165524</v>
          </cell>
          <cell r="S17">
            <v>4.2904644250872863</v>
          </cell>
          <cell r="U17">
            <v>25.801233009556125</v>
          </cell>
          <cell r="V17">
            <v>25.842914409463887</v>
          </cell>
          <cell r="W17">
            <v>4.168139990776254E-2</v>
          </cell>
          <cell r="Y17">
            <v>32.270402587940779</v>
          </cell>
          <cell r="Z17">
            <v>29.864790607660826</v>
          </cell>
          <cell r="AA17">
            <v>-2.4056119802799536</v>
          </cell>
          <cell r="AC17">
            <v>38.046710819940131</v>
          </cell>
          <cell r="AD17">
            <v>58.053290831733769</v>
          </cell>
          <cell r="AE17">
            <v>20.006580011793638</v>
          </cell>
          <cell r="AG17">
            <v>22.785267330156326</v>
          </cell>
          <cell r="AH17">
            <v>25.313843593582174</v>
          </cell>
          <cell r="AI17">
            <v>2.5285762634258475</v>
          </cell>
          <cell r="AK17">
            <v>14.875879493400896</v>
          </cell>
          <cell r="AL17">
            <v>17.369671468399126</v>
          </cell>
          <cell r="AM17">
            <v>2.4937919749982296</v>
          </cell>
        </row>
        <row r="18">
          <cell r="C18">
            <v>75000</v>
          </cell>
          <cell r="E18">
            <v>6.1093058688994306</v>
          </cell>
          <cell r="F18">
            <v>9.3367175741824919</v>
          </cell>
          <cell r="G18">
            <v>3.2274117052830613</v>
          </cell>
          <cell r="I18">
            <v>7.1350817425786266</v>
          </cell>
          <cell r="J18">
            <v>5.9587556907498325</v>
          </cell>
          <cell r="K18">
            <v>-1.1763260518287941</v>
          </cell>
          <cell r="M18">
            <v>7.780280956959273</v>
          </cell>
          <cell r="N18">
            <v>8.3829071490383082</v>
          </cell>
          <cell r="O18">
            <v>0.60262619207903523</v>
          </cell>
          <cell r="Q18">
            <v>9.3078347688749883</v>
          </cell>
          <cell r="R18">
            <v>13.628517638021442</v>
          </cell>
          <cell r="S18">
            <v>4.3206828691464541</v>
          </cell>
          <cell r="U18">
            <v>15.574999710629818</v>
          </cell>
          <cell r="V18">
            <v>15.429118740176563</v>
          </cell>
          <cell r="W18">
            <v>-0.14588097045325554</v>
          </cell>
          <cell r="Y18">
            <v>18.804184052675058</v>
          </cell>
          <cell r="Z18">
            <v>16.268613923016648</v>
          </cell>
          <cell r="AA18">
            <v>-2.5355701296584101</v>
          </cell>
          <cell r="AC18">
            <v>22.443456689668981</v>
          </cell>
          <cell r="AD18">
            <v>37.129682394255923</v>
          </cell>
          <cell r="AE18">
            <v>14.686225704586942</v>
          </cell>
          <cell r="AG18">
            <v>14.291645663379287</v>
          </cell>
          <cell r="AH18">
            <v>16.976936355068986</v>
          </cell>
          <cell r="AI18">
            <v>2.6852906916896995</v>
          </cell>
          <cell r="AK18">
            <v>9.3907561879389334</v>
          </cell>
          <cell r="AL18">
            <v>11.706700402641173</v>
          </cell>
          <cell r="AM18">
            <v>2.31594421470224</v>
          </cell>
        </row>
        <row r="19">
          <cell r="C19">
            <v>100000</v>
          </cell>
          <cell r="E19">
            <v>4.6633195113843238</v>
          </cell>
          <cell r="F19">
            <v>7.7518801174305274</v>
          </cell>
          <cell r="G19">
            <v>3.0885606060462036</v>
          </cell>
          <cell r="I19">
            <v>4.9995884740362522</v>
          </cell>
          <cell r="J19">
            <v>4.4541776634774548</v>
          </cell>
          <cell r="K19">
            <v>-0.54541081055879737</v>
          </cell>
          <cell r="M19">
            <v>5.3727069366221585</v>
          </cell>
          <cell r="N19">
            <v>5.8084351660070643</v>
          </cell>
          <cell r="O19">
            <v>0.43572822938490585</v>
          </cell>
          <cell r="Q19">
            <v>5.5536931198959421</v>
          </cell>
          <cell r="R19">
            <v>9.6690042227852953</v>
          </cell>
          <cell r="S19">
            <v>4.1153111028893532</v>
          </cell>
          <cell r="U19">
            <v>10.621140310035392</v>
          </cell>
          <cell r="V19">
            <v>9.5622331516834578</v>
          </cell>
          <cell r="W19">
            <v>-1.0589071583519338</v>
          </cell>
          <cell r="Y19">
            <v>12.258063862837359</v>
          </cell>
          <cell r="Z19">
            <v>9.398627862362309</v>
          </cell>
          <cell r="AA19">
            <v>-2.8594360004750499</v>
          </cell>
          <cell r="AC19">
            <v>14.399083715593676</v>
          </cell>
          <cell r="AD19">
            <v>25.89629309960436</v>
          </cell>
          <cell r="AE19">
            <v>11.497209384010684</v>
          </cell>
          <cell r="AG19">
            <v>9.5577662518058535</v>
          </cell>
          <cell r="AH19">
            <v>12.389034254962089</v>
          </cell>
          <cell r="AI19">
            <v>2.8312680031562358</v>
          </cell>
          <cell r="AK19">
            <v>6.4765196395823272</v>
          </cell>
          <cell r="AL19">
            <v>8.5324626373724808</v>
          </cell>
          <cell r="AM19">
            <v>2.0559429977901535</v>
          </cell>
        </row>
        <row r="20">
          <cell r="C20">
            <v>125000</v>
          </cell>
          <cell r="E20">
            <v>3.7236444843773455</v>
          </cell>
          <cell r="F20">
            <v>6.596557532120495</v>
          </cell>
          <cell r="G20">
            <v>2.8729130477431495</v>
          </cell>
          <cell r="I20">
            <v>3.5926457908306717</v>
          </cell>
          <cell r="J20">
            <v>3.3522368301448431</v>
          </cell>
          <cell r="K20">
            <v>-0.24040896068582862</v>
          </cell>
          <cell r="M20">
            <v>4.0736134408759277</v>
          </cell>
          <cell r="N20">
            <v>4.0325475536040187</v>
          </cell>
          <cell r="O20">
            <v>-4.1065887271908963E-2</v>
          </cell>
          <cell r="Q20">
            <v>3.3545438344486675</v>
          </cell>
          <cell r="R20">
            <v>6.9602215897070989</v>
          </cell>
          <cell r="S20">
            <v>3.6056777552584314</v>
          </cell>
          <cell r="U20">
            <v>7.8069852539524902</v>
          </cell>
          <cell r="V20">
            <v>5.8717802552983356</v>
          </cell>
          <cell r="W20">
            <v>-1.9352049986541546</v>
          </cell>
          <cell r="Y20">
            <v>8.2384481910560527</v>
          </cell>
          <cell r="Z20">
            <v>5.5385722093485557</v>
          </cell>
          <cell r="AA20">
            <v>-2.6998759817074971</v>
          </cell>
          <cell r="AC20">
            <v>9.0040328327864874</v>
          </cell>
          <cell r="AD20">
            <v>19.069874605174714</v>
          </cell>
          <cell r="AE20">
            <v>10.065841772388227</v>
          </cell>
          <cell r="AG20">
            <v>6.7868513063968336</v>
          </cell>
          <cell r="AH20">
            <v>9.55839600586574</v>
          </cell>
          <cell r="AI20">
            <v>2.7715446994689064</v>
          </cell>
          <cell r="AK20">
            <v>4.6853306088960123</v>
          </cell>
          <cell r="AL20">
            <v>6.4536624974432755</v>
          </cell>
          <cell r="AM20">
            <v>1.7683318885472632</v>
          </cell>
        </row>
        <row r="21">
          <cell r="C21">
            <v>150000</v>
          </cell>
          <cell r="E21">
            <v>3.109286265192766</v>
          </cell>
          <cell r="F21">
            <v>5.7116929714790823</v>
          </cell>
          <cell r="G21">
            <v>2.6024067062863163</v>
          </cell>
          <cell r="I21">
            <v>2.5205941153376892</v>
          </cell>
          <cell r="J21">
            <v>2.5521070951239708</v>
          </cell>
          <cell r="K21">
            <v>3.1512979786281647E-2</v>
          </cell>
          <cell r="M21">
            <v>3.1855693922513044</v>
          </cell>
          <cell r="N21">
            <v>2.833754331859025</v>
          </cell>
          <cell r="O21">
            <v>-0.35181506039227939</v>
          </cell>
          <cell r="Q21">
            <v>2.2052044213593525</v>
          </cell>
          <cell r="R21">
            <v>4.9256315362160743</v>
          </cell>
          <cell r="S21">
            <v>2.7204271148567218</v>
          </cell>
          <cell r="U21">
            <v>5.9825113854931908</v>
          </cell>
          <cell r="V21">
            <v>3.6141230823412243</v>
          </cell>
          <cell r="W21">
            <v>-2.3683883031519666</v>
          </cell>
          <cell r="Y21">
            <v>5.6817046720588982</v>
          </cell>
          <cell r="Z21">
            <v>3.388215389904623</v>
          </cell>
          <cell r="AA21">
            <v>-2.2934892821542752</v>
          </cell>
          <cell r="AC21">
            <v>5.9480361827571313</v>
          </cell>
          <cell r="AD21">
            <v>14.254053255885887</v>
          </cell>
          <cell r="AE21">
            <v>8.306017073128757</v>
          </cell>
          <cell r="AG21">
            <v>4.9428298878661456</v>
          </cell>
          <cell r="AH21">
            <v>7.6075658135648609</v>
          </cell>
          <cell r="AI21">
            <v>2.6647359256987153</v>
          </cell>
          <cell r="AK21">
            <v>3.5352836086150714</v>
          </cell>
          <cell r="AL21">
            <v>5.0172498977535716</v>
          </cell>
          <cell r="AM21">
            <v>1.4819662891385001</v>
          </cell>
        </row>
        <row r="22">
          <cell r="C22">
            <v>175000</v>
          </cell>
          <cell r="E22">
            <v>2.6168761596611225</v>
          </cell>
          <cell r="F22">
            <v>5.0257152590671055</v>
          </cell>
          <cell r="G22">
            <v>2.408839099405983</v>
          </cell>
          <cell r="I22">
            <v>1.813344465818729</v>
          </cell>
          <cell r="J22">
            <v>2.0812680266906187</v>
          </cell>
          <cell r="K22">
            <v>0.26792356087188973</v>
          </cell>
          <cell r="M22">
            <v>2.6542517542420945</v>
          </cell>
          <cell r="N22">
            <v>1.933441908607471</v>
          </cell>
          <cell r="O22">
            <v>-0.72080984563462347</v>
          </cell>
          <cell r="Q22">
            <v>1.3977119547703005</v>
          </cell>
          <cell r="R22">
            <v>3.4707196652592365</v>
          </cell>
          <cell r="S22">
            <v>2.0730077104889357</v>
          </cell>
          <cell r="U22">
            <v>4.8058019463277191</v>
          </cell>
          <cell r="V22">
            <v>2.2817452266128271</v>
          </cell>
          <cell r="W22">
            <v>-2.524056719714892</v>
          </cell>
          <cell r="Y22">
            <v>4.1477112193418089</v>
          </cell>
          <cell r="Z22">
            <v>2.4850322797868247</v>
          </cell>
          <cell r="AA22">
            <v>-1.6626789395549841</v>
          </cell>
          <cell r="AC22">
            <v>3.8720502391972453</v>
          </cell>
          <cell r="AD22">
            <v>10.484376902496663</v>
          </cell>
          <cell r="AE22">
            <v>6.6123266632994184</v>
          </cell>
          <cell r="AG22">
            <v>3.8027518861774077</v>
          </cell>
          <cell r="AH22">
            <v>6.3405868261481837</v>
          </cell>
          <cell r="AI22">
            <v>2.537834939970776</v>
          </cell>
          <cell r="AK22">
            <v>2.7640078220648867</v>
          </cell>
          <cell r="AL22">
            <v>4.0434853421961163</v>
          </cell>
          <cell r="AM22">
            <v>1.2794775201312296</v>
          </cell>
        </row>
        <row r="23">
          <cell r="C23">
            <v>200000</v>
          </cell>
          <cell r="E23">
            <v>2.1763694291940632</v>
          </cell>
          <cell r="F23">
            <v>4.4548774573070222</v>
          </cell>
          <cell r="G23">
            <v>2.278508028112959</v>
          </cell>
          <cell r="I23">
            <v>1.2307608871765368</v>
          </cell>
          <cell r="J23">
            <v>1.6750988489198173</v>
          </cell>
          <cell r="K23">
            <v>0.44433796174328055</v>
          </cell>
          <cell r="M23">
            <v>2.2055446089170672</v>
          </cell>
          <cell r="N23">
            <v>1.3474028289529798</v>
          </cell>
          <cell r="O23">
            <v>-0.85814177996408736</v>
          </cell>
          <cell r="Q23">
            <v>0.87991324873698884</v>
          </cell>
          <cell r="R23">
            <v>2.5091866891252308</v>
          </cell>
          <cell r="S23">
            <v>1.6292734403882418</v>
          </cell>
          <cell r="U23">
            <v>3.8557402200373025</v>
          </cell>
          <cell r="V23">
            <v>1.4281052043316886</v>
          </cell>
          <cell r="W23">
            <v>-2.4276350157056141</v>
          </cell>
          <cell r="Y23">
            <v>2.9536390034933007</v>
          </cell>
          <cell r="Z23">
            <v>1.9887756822142542</v>
          </cell>
          <cell r="AA23">
            <v>-0.9648633212790465</v>
          </cell>
          <cell r="AC23">
            <v>2.414335448342424</v>
          </cell>
          <cell r="AD23">
            <v>7.9927728397336208</v>
          </cell>
          <cell r="AE23">
            <v>5.5784373913911969</v>
          </cell>
          <cell r="AG23">
            <v>3.3690403563901001</v>
          </cell>
          <cell r="AH23">
            <v>5.65991782575923</v>
          </cell>
          <cell r="AI23">
            <v>2.2908774693691298</v>
          </cell>
          <cell r="AK23">
            <v>2.1591452244717515</v>
          </cell>
          <cell r="AL23">
            <v>3.3491458637540243</v>
          </cell>
          <cell r="AM23">
            <v>1.1900006392822728</v>
          </cell>
        </row>
        <row r="24">
          <cell r="C24">
            <v>225000</v>
          </cell>
          <cell r="E24">
            <v>1.8123586830584077</v>
          </cell>
          <cell r="F24">
            <v>3.9950715424071066</v>
          </cell>
          <cell r="G24">
            <v>2.1827128593486989</v>
          </cell>
          <cell r="I24">
            <v>0.8207799401629513</v>
          </cell>
          <cell r="J24">
            <v>1.3939779411664475</v>
          </cell>
          <cell r="K24">
            <v>0.57319800100349616</v>
          </cell>
          <cell r="M24">
            <v>1.8393955657122827</v>
          </cell>
          <cell r="N24">
            <v>0.9122674354401864</v>
          </cell>
          <cell r="O24">
            <v>-0.92712813027209628</v>
          </cell>
          <cell r="Q24">
            <v>0.62085662932224928</v>
          </cell>
          <cell r="R24">
            <v>1.9027458478419621</v>
          </cell>
          <cell r="S24">
            <v>1.2818892185197128</v>
          </cell>
          <cell r="U24">
            <v>3.0078227054531212</v>
          </cell>
          <cell r="V24">
            <v>0.94158592107730643</v>
          </cell>
          <cell r="W24">
            <v>-2.0662367843758149</v>
          </cell>
          <cell r="Y24">
            <v>2.1438125082158082</v>
          </cell>
          <cell r="Z24">
            <v>1.621798977317324</v>
          </cell>
          <cell r="AA24">
            <v>-0.52201353089848412</v>
          </cell>
          <cell r="AC24">
            <v>1.3453900266305965</v>
          </cell>
          <cell r="AD24">
            <v>6.4024486974232788</v>
          </cell>
          <cell r="AE24">
            <v>5.0570586707926823</v>
          </cell>
          <cell r="AG24">
            <v>2.9640450790617532</v>
          </cell>
          <cell r="AH24">
            <v>4.9716600531106447</v>
          </cell>
          <cell r="AI24">
            <v>2.0076149740488916</v>
          </cell>
          <cell r="AK24">
            <v>1.6989258384267465</v>
          </cell>
          <cell r="AL24">
            <v>2.8462172787689934</v>
          </cell>
          <cell r="AM24">
            <v>1.1472914403422469</v>
          </cell>
        </row>
        <row r="25">
          <cell r="C25">
            <v>250000</v>
          </cell>
          <cell r="E25">
            <v>1.5351865518054522</v>
          </cell>
          <cell r="F25">
            <v>3.6187116270985151</v>
          </cell>
          <cell r="G25">
            <v>2.0835250752930632</v>
          </cell>
          <cell r="I25">
            <v>0.55675807609139216</v>
          </cell>
          <cell r="J25">
            <v>1.1930575018399352</v>
          </cell>
          <cell r="K25">
            <v>0.63629942574854303</v>
          </cell>
          <cell r="M25">
            <v>1.5922162239221274</v>
          </cell>
          <cell r="N25">
            <v>0.7214245685741606</v>
          </cell>
          <cell r="O25">
            <v>-0.87079165534796676</v>
          </cell>
          <cell r="Q25">
            <v>0.35328697380733792</v>
          </cell>
          <cell r="R25">
            <v>1.4159857232313702</v>
          </cell>
          <cell r="S25">
            <v>1.0626987494240323</v>
          </cell>
          <cell r="U25">
            <v>2.2324926674186876</v>
          </cell>
          <cell r="V25">
            <v>0.75601538965140413</v>
          </cell>
          <cell r="W25">
            <v>-1.4764772777672834</v>
          </cell>
          <cell r="Y25">
            <v>1.5167724712524251</v>
          </cell>
          <cell r="Z25">
            <v>1.3480005833164179</v>
          </cell>
          <cell r="AA25">
            <v>-0.16877188793600717</v>
          </cell>
          <cell r="AC25">
            <v>0.6037469515168562</v>
          </cell>
          <cell r="AD25">
            <v>5.1484131751436832</v>
          </cell>
          <cell r="AE25">
            <v>4.5446662236268267</v>
          </cell>
          <cell r="AG25">
            <v>2.6387614317212722</v>
          </cell>
          <cell r="AH25">
            <v>4.3885281034259362</v>
          </cell>
          <cell r="AI25">
            <v>1.749766671704664</v>
          </cell>
          <cell r="AK25">
            <v>1.3416384525925154</v>
          </cell>
          <cell r="AL25">
            <v>2.4790559685416347</v>
          </cell>
          <cell r="AM25">
            <v>1.1374175159491193</v>
          </cell>
        </row>
        <row r="26">
          <cell r="C26">
            <v>275000</v>
          </cell>
          <cell r="E26">
            <v>1.2852685398942443</v>
          </cell>
          <cell r="F26">
            <v>3.2721447425832619</v>
          </cell>
          <cell r="G26">
            <v>1.9868762026890177</v>
          </cell>
          <cell r="I26">
            <v>0.36747130893878016</v>
          </cell>
          <cell r="J26">
            <v>1.0494823450953248</v>
          </cell>
          <cell r="K26">
            <v>0.68201103615654457</v>
          </cell>
          <cell r="M26">
            <v>1.4192293924357353</v>
          </cell>
          <cell r="N26">
            <v>0.60444580255976765</v>
          </cell>
          <cell r="O26">
            <v>-0.81478358987596766</v>
          </cell>
          <cell r="Q26">
            <v>0.19723053495530238</v>
          </cell>
          <cell r="R26">
            <v>1.0222566623681608</v>
          </cell>
          <cell r="S26">
            <v>0.82502612741285841</v>
          </cell>
          <cell r="U26">
            <v>1.6548825503498776</v>
          </cell>
          <cell r="V26">
            <v>0.61504960486668703</v>
          </cell>
          <cell r="W26">
            <v>-1.0398329454831905</v>
          </cell>
          <cell r="Y26">
            <v>1.1106683143616607</v>
          </cell>
          <cell r="Z26">
            <v>1.1751528828822246</v>
          </cell>
          <cell r="AA26">
            <v>6.4484568520563945E-2</v>
          </cell>
          <cell r="AC26">
            <v>0.35586886311192156</v>
          </cell>
          <cell r="AD26">
            <v>4.2249150996305653</v>
          </cell>
          <cell r="AE26">
            <v>3.8690462365186438</v>
          </cell>
          <cell r="AG26">
            <v>2.2345475477938312</v>
          </cell>
          <cell r="AH26">
            <v>3.9643341489337129</v>
          </cell>
          <cell r="AI26">
            <v>1.7297866011398817</v>
          </cell>
          <cell r="AK26">
            <v>1.0756871202966076</v>
          </cell>
          <cell r="AL26">
            <v>2.1829993919120665</v>
          </cell>
          <cell r="AM26">
            <v>1.1073122716154589</v>
          </cell>
        </row>
        <row r="27">
          <cell r="C27">
            <v>300000</v>
          </cell>
          <cell r="E27">
            <v>1.0752626873086417</v>
          </cell>
          <cell r="F27">
            <v>3.0052920093371198</v>
          </cell>
          <cell r="G27">
            <v>1.9300293220284781</v>
          </cell>
          <cell r="I27">
            <v>0.22358703725849605</v>
          </cell>
          <cell r="J27">
            <v>0.93999265464457771</v>
          </cell>
          <cell r="K27">
            <v>0.71640561738608166</v>
          </cell>
          <cell r="M27">
            <v>1.29669478866363</v>
          </cell>
          <cell r="N27">
            <v>0.48746703654537438</v>
          </cell>
          <cell r="O27">
            <v>-0.80922775211825559</v>
          </cell>
          <cell r="Q27">
            <v>0.13246638010161757</v>
          </cell>
          <cell r="R27">
            <v>0.71687123749965664</v>
          </cell>
          <cell r="S27">
            <v>0.58440485739803905</v>
          </cell>
          <cell r="U27">
            <v>1.1923820878494158</v>
          </cell>
          <cell r="V27">
            <v>0.47408382008196998</v>
          </cell>
          <cell r="W27">
            <v>-0.71829826776744587</v>
          </cell>
          <cell r="Y27">
            <v>0.73129413001615673</v>
          </cell>
          <cell r="Z27">
            <v>1.0648088872630643</v>
          </cell>
          <cell r="AA27">
            <v>0.3335147572469076</v>
          </cell>
          <cell r="AC27">
            <v>0.21613223870161016</v>
          </cell>
          <cell r="AD27">
            <v>3.5787198969837504</v>
          </cell>
          <cell r="AE27">
            <v>3.3625876582821403</v>
          </cell>
          <cell r="AG27">
            <v>2.0176917829001773</v>
          </cell>
          <cell r="AH27">
            <v>3.7698572916797262</v>
          </cell>
          <cell r="AI27">
            <v>1.7521655087795489</v>
          </cell>
          <cell r="AK27">
            <v>0.86966765764561627</v>
          </cell>
          <cell r="AL27">
            <v>1.9593181715844219</v>
          </cell>
          <cell r="AM27">
            <v>1.0896505139388055</v>
          </cell>
        </row>
        <row r="28">
          <cell r="C28">
            <v>325000</v>
          </cell>
          <cell r="E28">
            <v>0.88430637811218593</v>
          </cell>
          <cell r="F28">
            <v>2.7384392760909768</v>
          </cell>
          <cell r="G28">
            <v>1.8541328979787908</v>
          </cell>
          <cell r="I28">
            <v>0.16703285419019984</v>
          </cell>
          <cell r="J28">
            <v>0.85787069278779915</v>
          </cell>
          <cell r="K28">
            <v>0.69083783859759929</v>
          </cell>
          <cell r="M28">
            <v>1.1741601848915248</v>
          </cell>
          <cell r="N28">
            <v>0.37048827053098154</v>
          </cell>
          <cell r="O28">
            <v>-0.8036719143605433</v>
          </cell>
          <cell r="Q28">
            <v>6.7702225247932749E-2</v>
          </cell>
          <cell r="R28">
            <v>0.49070600673665421</v>
          </cell>
          <cell r="S28">
            <v>0.42300378148872148</v>
          </cell>
          <cell r="U28">
            <v>0.74995479795991271</v>
          </cell>
          <cell r="V28">
            <v>0.33311803529725292</v>
          </cell>
          <cell r="W28">
            <v>-0.41683676266265979</v>
          </cell>
          <cell r="Y28">
            <v>0.33226203253509762</v>
          </cell>
          <cell r="Z28">
            <v>0.9783850370459678</v>
          </cell>
          <cell r="AA28">
            <v>0.64612300451087012</v>
          </cell>
          <cell r="AC28">
            <v>7.6395614291298777E-2</v>
          </cell>
          <cell r="AD28">
            <v>2.9325246943369336</v>
          </cell>
          <cell r="AE28">
            <v>2.8561290800456347</v>
          </cell>
          <cell r="AG28">
            <v>1.8008360180065235</v>
          </cell>
          <cell r="AH28">
            <v>3.5753804344257394</v>
          </cell>
          <cell r="AI28">
            <v>1.7745444164192159</v>
          </cell>
          <cell r="AK28">
            <v>0.68643880480696173</v>
          </cell>
          <cell r="AL28">
            <v>1.7488176468625971</v>
          </cell>
          <cell r="AM28">
            <v>1.0623788420556353</v>
          </cell>
        </row>
        <row r="29">
          <cell r="C29">
            <v>350000</v>
          </cell>
          <cell r="E29">
            <v>0.69523915137387282</v>
          </cell>
          <cell r="F29">
            <v>2.4791708341721193</v>
          </cell>
          <cell r="G29">
            <v>1.7839316827982463</v>
          </cell>
          <cell r="I29">
            <v>0.12992589114279793</v>
          </cell>
          <cell r="J29">
            <v>0.78487756582063428</v>
          </cell>
          <cell r="K29">
            <v>0.65495167467783633</v>
          </cell>
          <cell r="M29">
            <v>1.0516255811194195</v>
          </cell>
          <cell r="N29">
            <v>0.25350950451658844</v>
          </cell>
          <cell r="O29">
            <v>-0.79811607660283101</v>
          </cell>
          <cell r="Q29">
            <v>0</v>
          </cell>
          <cell r="R29">
            <v>0.36901597558400628</v>
          </cell>
          <cell r="S29">
            <v>0.36901597558400628</v>
          </cell>
          <cell r="U29">
            <v>0.39530061806374484</v>
          </cell>
          <cell r="V29">
            <v>0.19215225051253584</v>
          </cell>
          <cell r="W29">
            <v>-0.20314836755120899</v>
          </cell>
          <cell r="Y29">
            <v>0.11937825248981089</v>
          </cell>
          <cell r="Z29">
            <v>0.89196118682887093</v>
          </cell>
          <cell r="AA29">
            <v>0.77258293433906</v>
          </cell>
          <cell r="AC29">
            <v>0</v>
          </cell>
          <cell r="AD29">
            <v>2.2863294916901182</v>
          </cell>
          <cell r="AE29">
            <v>2.2863294916901182</v>
          </cell>
          <cell r="AG29">
            <v>1.5839802531128691</v>
          </cell>
          <cell r="AH29">
            <v>3.3809035771717526</v>
          </cell>
          <cell r="AI29">
            <v>1.7969233240588836</v>
          </cell>
          <cell r="AK29">
            <v>0.52761546759895361</v>
          </cell>
          <cell r="AL29">
            <v>1.5527411448005342</v>
          </cell>
          <cell r="AM29">
            <v>1.0251256772015807</v>
          </cell>
        </row>
        <row r="30">
          <cell r="C30">
            <v>375000</v>
          </cell>
          <cell r="E30">
            <v>0.52945954353893487</v>
          </cell>
          <cell r="F30">
            <v>2.2422832347534025</v>
          </cell>
          <cell r="G30">
            <v>1.7128236912144676</v>
          </cell>
          <cell r="I30">
            <v>9.2818928095396006E-2</v>
          </cell>
          <cell r="J30">
            <v>0.71188443885346953</v>
          </cell>
          <cell r="K30">
            <v>0.61906551075807348</v>
          </cell>
          <cell r="M30">
            <v>0.92909097734731427</v>
          </cell>
          <cell r="N30">
            <v>0.1365307385021953</v>
          </cell>
          <cell r="O30">
            <v>-0.79256023884511895</v>
          </cell>
          <cell r="Q30">
            <v>0</v>
          </cell>
          <cell r="R30">
            <v>0.24732594443135802</v>
          </cell>
          <cell r="S30">
            <v>0.24732594443135802</v>
          </cell>
          <cell r="U30">
            <v>0.2411337972302571</v>
          </cell>
          <cell r="V30">
            <v>5.0626397270595959E-2</v>
          </cell>
          <cell r="W30">
            <v>-0.19050739995966115</v>
          </cell>
          <cell r="Y30">
            <v>0</v>
          </cell>
          <cell r="Z30">
            <v>0.80553733661177429</v>
          </cell>
          <cell r="AA30">
            <v>0.80553733661177429</v>
          </cell>
          <cell r="AC30">
            <v>0</v>
          </cell>
          <cell r="AD30">
            <v>1.6401342890433028</v>
          </cell>
          <cell r="AE30">
            <v>1.6401342890433028</v>
          </cell>
          <cell r="AG30">
            <v>1.3050755811507777</v>
          </cell>
          <cell r="AH30">
            <v>3.1864267199177658</v>
          </cell>
          <cell r="AI30">
            <v>1.8813511387669881</v>
          </cell>
          <cell r="AK30">
            <v>0.41023932476626895</v>
          </cell>
          <cell r="AL30">
            <v>1.3650565422460332</v>
          </cell>
          <cell r="AM30">
            <v>0.95481721747976422</v>
          </cell>
        </row>
        <row r="31">
          <cell r="C31">
            <v>400000</v>
          </cell>
          <cell r="E31">
            <v>0.4098384023995445</v>
          </cell>
          <cell r="F31">
            <v>2.0373417537057534</v>
          </cell>
          <cell r="G31">
            <v>1.6275033513062089</v>
          </cell>
          <cell r="I31">
            <v>5.5711965047994104E-2</v>
          </cell>
          <cell r="J31">
            <v>0.63440859180026221</v>
          </cell>
          <cell r="K31">
            <v>0.57869662675226807</v>
          </cell>
          <cell r="M31">
            <v>0.80655637357520893</v>
          </cell>
          <cell r="N31">
            <v>3.731071840799105E-2</v>
          </cell>
          <cell r="O31">
            <v>-0.76924565516721788</v>
          </cell>
          <cell r="Q31">
            <v>0</v>
          </cell>
          <cell r="R31">
            <v>0.15932355023479738</v>
          </cell>
          <cell r="S31">
            <v>0.15932355023479738</v>
          </cell>
          <cell r="U31">
            <v>0.14331144897863654</v>
          </cell>
          <cell r="V31">
            <v>0</v>
          </cell>
          <cell r="W31">
            <v>-0.14331144897863654</v>
          </cell>
          <cell r="Y31">
            <v>0</v>
          </cell>
          <cell r="Z31">
            <v>0.71911348639467754</v>
          </cell>
          <cell r="AA31">
            <v>0.71911348639467754</v>
          </cell>
          <cell r="AC31">
            <v>0</v>
          </cell>
          <cell r="AD31">
            <v>1.1521077436984914</v>
          </cell>
          <cell r="AE31">
            <v>1.1521077436984914</v>
          </cell>
          <cell r="AG31">
            <v>1.1966476987039509</v>
          </cell>
          <cell r="AH31">
            <v>2.991949862663779</v>
          </cell>
          <cell r="AI31">
            <v>1.7953021639598281</v>
          </cell>
          <cell r="AK31">
            <v>0.32899538694012859</v>
          </cell>
          <cell r="AL31">
            <v>1.2088284885699816</v>
          </cell>
          <cell r="AM31">
            <v>0.87983310162985306</v>
          </cell>
        </row>
        <row r="32">
          <cell r="C32">
            <v>425000</v>
          </cell>
          <cell r="E32">
            <v>0.32132862074203955</v>
          </cell>
          <cell r="F32">
            <v>1.843603337903654</v>
          </cell>
          <cell r="G32">
            <v>1.5222747171616144</v>
          </cell>
          <cell r="I32">
            <v>1.8605002000592192E-2</v>
          </cell>
          <cell r="J32">
            <v>0.59791202831667978</v>
          </cell>
          <cell r="K32">
            <v>0.57930702631608755</v>
          </cell>
          <cell r="M32">
            <v>0.68402176980310381</v>
          </cell>
          <cell r="N32">
            <v>0</v>
          </cell>
          <cell r="O32">
            <v>-0.68402176980310381</v>
          </cell>
          <cell r="Q32">
            <v>0</v>
          </cell>
          <cell r="R32">
            <v>9.8478534658473407E-2</v>
          </cell>
          <cell r="S32">
            <v>9.8478534658473407E-2</v>
          </cell>
          <cell r="U32">
            <v>6.6228038561892813E-2</v>
          </cell>
          <cell r="V32">
            <v>0</v>
          </cell>
          <cell r="W32">
            <v>-6.6228038561892813E-2</v>
          </cell>
          <cell r="Y32">
            <v>0</v>
          </cell>
          <cell r="Z32">
            <v>0.63268963617758089</v>
          </cell>
          <cell r="AA32">
            <v>0.63268963617758089</v>
          </cell>
          <cell r="AC32">
            <v>0</v>
          </cell>
          <cell r="AD32">
            <v>0.8936296626397654</v>
          </cell>
          <cell r="AE32">
            <v>0.8936296626397654</v>
          </cell>
          <cell r="AG32">
            <v>1.0882198162571237</v>
          </cell>
          <cell r="AH32">
            <v>2.7974730054097923</v>
          </cell>
          <cell r="AI32">
            <v>1.7092531891526686</v>
          </cell>
          <cell r="AK32">
            <v>0.26252556922012377</v>
          </cell>
          <cell r="AL32">
            <v>1.0864076610826585</v>
          </cell>
          <cell r="AM32">
            <v>0.82388209186253469</v>
          </cell>
        </row>
        <row r="33">
          <cell r="C33">
            <v>450000</v>
          </cell>
          <cell r="E33">
            <v>0.24788388643571033</v>
          </cell>
          <cell r="F33">
            <v>1.6750647695376688</v>
          </cell>
          <cell r="G33">
            <v>1.4271808831019586</v>
          </cell>
          <cell r="I33">
            <v>0</v>
          </cell>
          <cell r="J33">
            <v>0.56141546483309746</v>
          </cell>
          <cell r="K33">
            <v>0.56141546483309746</v>
          </cell>
          <cell r="M33">
            <v>0.59566283393269304</v>
          </cell>
          <cell r="N33">
            <v>0</v>
          </cell>
          <cell r="O33">
            <v>-0.59566283393269304</v>
          </cell>
          <cell r="Q33">
            <v>0</v>
          </cell>
          <cell r="R33">
            <v>3.7633519082149437E-2</v>
          </cell>
          <cell r="S33">
            <v>3.7633519082149437E-2</v>
          </cell>
          <cell r="U33">
            <v>0</v>
          </cell>
          <cell r="V33">
            <v>0</v>
          </cell>
          <cell r="W33">
            <v>0</v>
          </cell>
          <cell r="Y33">
            <v>0</v>
          </cell>
          <cell r="Z33">
            <v>0.54626578596048425</v>
          </cell>
          <cell r="AA33">
            <v>0.54626578596048425</v>
          </cell>
          <cell r="AC33">
            <v>0</v>
          </cell>
          <cell r="AD33">
            <v>0.63515158158103924</v>
          </cell>
          <cell r="AE33">
            <v>0.63515158158103924</v>
          </cell>
          <cell r="AG33">
            <v>0.97979193381029683</v>
          </cell>
          <cell r="AH33">
            <v>2.6029961481558055</v>
          </cell>
          <cell r="AI33">
            <v>1.6232042143455088</v>
          </cell>
          <cell r="AK33">
            <v>0.20873244547134387</v>
          </cell>
          <cell r="AL33">
            <v>0.97839960254456459</v>
          </cell>
          <cell r="AM33">
            <v>0.76966715707322075</v>
          </cell>
        </row>
        <row r="34">
          <cell r="C34">
            <v>475000</v>
          </cell>
          <cell r="E34">
            <v>0.17232543496262029</v>
          </cell>
          <cell r="F34">
            <v>1.5106597534798893</v>
          </cell>
          <cell r="G34">
            <v>1.3383343185172691</v>
          </cell>
          <cell r="I34">
            <v>0</v>
          </cell>
          <cell r="J34">
            <v>0.52491890134951502</v>
          </cell>
          <cell r="K34">
            <v>0.52491890134951502</v>
          </cell>
          <cell r="M34">
            <v>0.53439553204664036</v>
          </cell>
          <cell r="N34">
            <v>0</v>
          </cell>
          <cell r="O34">
            <v>-0.53439553204664036</v>
          </cell>
          <cell r="Q34">
            <v>0</v>
          </cell>
          <cell r="R34">
            <v>0</v>
          </cell>
          <cell r="S34">
            <v>0</v>
          </cell>
          <cell r="U34">
            <v>0</v>
          </cell>
          <cell r="V34">
            <v>0</v>
          </cell>
          <cell r="W34">
            <v>0</v>
          </cell>
          <cell r="Y34">
            <v>0</v>
          </cell>
          <cell r="Z34">
            <v>0.45984193574338761</v>
          </cell>
          <cell r="AA34">
            <v>0.45984193574338761</v>
          </cell>
          <cell r="AC34">
            <v>0</v>
          </cell>
          <cell r="AD34">
            <v>0.37667350052231302</v>
          </cell>
          <cell r="AE34">
            <v>0.37667350052231302</v>
          </cell>
          <cell r="AG34">
            <v>0.87136405136346973</v>
          </cell>
          <cell r="AH34">
            <v>2.4085192909018187</v>
          </cell>
          <cell r="AI34">
            <v>1.537155239538349</v>
          </cell>
          <cell r="AK34">
            <v>0.16550991214771363</v>
          </cell>
          <cell r="AL34">
            <v>0.87360134552334257</v>
          </cell>
          <cell r="AM34">
            <v>0.70809143337562896</v>
          </cell>
        </row>
        <row r="35">
          <cell r="C35">
            <v>500000</v>
          </cell>
          <cell r="E35">
            <v>0.11356964751755694</v>
          </cell>
          <cell r="F35">
            <v>1.3753665617854745</v>
          </cell>
          <cell r="G35">
            <v>1.2617969142679175</v>
          </cell>
          <cell r="I35">
            <v>0</v>
          </cell>
          <cell r="J35">
            <v>0.48842233786593264</v>
          </cell>
          <cell r="K35">
            <v>0.48842233786593264</v>
          </cell>
          <cell r="M35">
            <v>0.47312823016058775</v>
          </cell>
          <cell r="N35">
            <v>0</v>
          </cell>
          <cell r="O35">
            <v>-0.47312823016058775</v>
          </cell>
          <cell r="Q35">
            <v>0</v>
          </cell>
          <cell r="R35">
            <v>0</v>
          </cell>
          <cell r="S35">
            <v>0</v>
          </cell>
          <cell r="U35">
            <v>0</v>
          </cell>
          <cell r="V35">
            <v>0</v>
          </cell>
          <cell r="W35">
            <v>0</v>
          </cell>
          <cell r="Y35">
            <v>0</v>
          </cell>
          <cell r="Z35">
            <v>0.37341808552629069</v>
          </cell>
          <cell r="AA35">
            <v>0.37341808552629069</v>
          </cell>
          <cell r="AC35">
            <v>0</v>
          </cell>
          <cell r="AD35">
            <v>0.10274952224101834</v>
          </cell>
          <cell r="AE35">
            <v>0.10274952224101834</v>
          </cell>
          <cell r="AG35">
            <v>0.76293616891664284</v>
          </cell>
          <cell r="AH35">
            <v>2.2140424336478319</v>
          </cell>
          <cell r="AI35">
            <v>1.4511062647311892</v>
          </cell>
          <cell r="AK35">
            <v>0.12951403583530396</v>
          </cell>
          <cell r="AL35">
            <v>0.78385356184924415</v>
          </cell>
          <cell r="AM35">
            <v>0.65433952601394019</v>
          </cell>
        </row>
        <row r="36">
          <cell r="C36">
            <v>525000</v>
          </cell>
          <cell r="E36">
            <v>7.0822851807807341E-2</v>
          </cell>
          <cell r="F36">
            <v>1.2489626355109857</v>
          </cell>
          <cell r="G36">
            <v>1.1781397837031784</v>
          </cell>
          <cell r="I36">
            <v>0</v>
          </cell>
          <cell r="J36">
            <v>0.45192577438235038</v>
          </cell>
          <cell r="K36">
            <v>0.45192577438235038</v>
          </cell>
          <cell r="M36">
            <v>0.41186092827453508</v>
          </cell>
          <cell r="N36">
            <v>0</v>
          </cell>
          <cell r="O36">
            <v>-0.41186092827453508</v>
          </cell>
          <cell r="Q36">
            <v>0</v>
          </cell>
          <cell r="R36">
            <v>0</v>
          </cell>
          <cell r="S36">
            <v>0</v>
          </cell>
          <cell r="U36">
            <v>0</v>
          </cell>
          <cell r="V36">
            <v>0</v>
          </cell>
          <cell r="W36">
            <v>0</v>
          </cell>
          <cell r="Y36">
            <v>0</v>
          </cell>
          <cell r="Z36">
            <v>0.28699423530919405</v>
          </cell>
          <cell r="AA36">
            <v>0.28699423530919405</v>
          </cell>
          <cell r="AC36">
            <v>0</v>
          </cell>
          <cell r="AD36">
            <v>0</v>
          </cell>
          <cell r="AE36">
            <v>0</v>
          </cell>
          <cell r="AG36">
            <v>0.65450828646981607</v>
          </cell>
          <cell r="AH36">
            <v>2.0195655763938452</v>
          </cell>
          <cell r="AI36">
            <v>1.365057289924029</v>
          </cell>
          <cell r="AK36">
            <v>9.9278637162844172E-2</v>
          </cell>
          <cell r="AL36">
            <v>0.70550354080077449</v>
          </cell>
          <cell r="AM36">
            <v>0.60622490363793036</v>
          </cell>
        </row>
        <row r="37">
          <cell r="C37">
            <v>550000</v>
          </cell>
          <cell r="E37">
            <v>4.1444958085275672E-2</v>
          </cell>
          <cell r="F37">
            <v>1.1232599770532914</v>
          </cell>
          <cell r="G37">
            <v>1.0818150189680158</v>
          </cell>
          <cell r="I37">
            <v>0</v>
          </cell>
          <cell r="J37">
            <v>0.415429210898768</v>
          </cell>
          <cell r="K37">
            <v>0.415429210898768</v>
          </cell>
          <cell r="M37">
            <v>0.35059362638848263</v>
          </cell>
          <cell r="N37">
            <v>0</v>
          </cell>
          <cell r="O37">
            <v>-0.35059362638848263</v>
          </cell>
          <cell r="Q37">
            <v>0</v>
          </cell>
          <cell r="R37">
            <v>0</v>
          </cell>
          <cell r="S37">
            <v>0</v>
          </cell>
          <cell r="U37">
            <v>0</v>
          </cell>
          <cell r="V37">
            <v>0</v>
          </cell>
          <cell r="W37">
            <v>0</v>
          </cell>
          <cell r="Y37">
            <v>0</v>
          </cell>
          <cell r="Z37">
            <v>0.20057038509209738</v>
          </cell>
          <cell r="AA37">
            <v>0.20057038509209738</v>
          </cell>
          <cell r="AC37">
            <v>0</v>
          </cell>
          <cell r="AD37">
            <v>0</v>
          </cell>
          <cell r="AE37">
            <v>0</v>
          </cell>
          <cell r="AG37">
            <v>0.54608040402298885</v>
          </cell>
          <cell r="AH37">
            <v>1.8250887191398586</v>
          </cell>
          <cell r="AI37">
            <v>1.2790083151168696</v>
          </cell>
          <cell r="AK37">
            <v>7.5281386287904414E-2</v>
          </cell>
          <cell r="AL37">
            <v>0.63128627680854199</v>
          </cell>
          <cell r="AM37">
            <v>0.55600489052063762</v>
          </cell>
        </row>
        <row r="38">
          <cell r="C38">
            <v>575000</v>
          </cell>
          <cell r="E38">
            <v>1.8814394893747366E-2</v>
          </cell>
          <cell r="F38">
            <v>1.0326626574840887</v>
          </cell>
          <cell r="G38">
            <v>1.0138482625903413</v>
          </cell>
          <cell r="I38">
            <v>0</v>
          </cell>
          <cell r="J38">
            <v>0.37893264741518556</v>
          </cell>
          <cell r="K38">
            <v>0.37893264741518556</v>
          </cell>
          <cell r="M38">
            <v>0.28932632450242995</v>
          </cell>
          <cell r="N38">
            <v>0</v>
          </cell>
          <cell r="O38">
            <v>-0.28932632450242995</v>
          </cell>
          <cell r="Q38">
            <v>0</v>
          </cell>
          <cell r="R38">
            <v>0</v>
          </cell>
          <cell r="S38">
            <v>0</v>
          </cell>
          <cell r="U38">
            <v>0</v>
          </cell>
          <cell r="V38">
            <v>0</v>
          </cell>
          <cell r="W38">
            <v>0</v>
          </cell>
          <cell r="Y38">
            <v>0</v>
          </cell>
          <cell r="Z38">
            <v>0.11414653487500075</v>
          </cell>
          <cell r="AA38">
            <v>0.11414653487500075</v>
          </cell>
          <cell r="AC38">
            <v>0</v>
          </cell>
          <cell r="AD38">
            <v>0</v>
          </cell>
          <cell r="AE38">
            <v>0</v>
          </cell>
          <cell r="AG38">
            <v>0.43765252157616202</v>
          </cell>
          <cell r="AH38">
            <v>1.6306118618858718</v>
          </cell>
          <cell r="AI38">
            <v>1.1929593403097098</v>
          </cell>
          <cell r="AK38">
            <v>5.3611257428145764E-2</v>
          </cell>
          <cell r="AL38">
            <v>0.5715717457793964</v>
          </cell>
          <cell r="AM38">
            <v>0.51796048835125064</v>
          </cell>
        </row>
        <row r="39">
          <cell r="C39">
            <v>600000</v>
          </cell>
          <cell r="E39">
            <v>0</v>
          </cell>
          <cell r="F39">
            <v>0.94938152199279779</v>
          </cell>
          <cell r="G39">
            <v>0.94938152199279779</v>
          </cell>
          <cell r="I39">
            <v>0</v>
          </cell>
          <cell r="J39">
            <v>0.34243608393160319</v>
          </cell>
          <cell r="K39">
            <v>0.34243608393160319</v>
          </cell>
          <cell r="M39">
            <v>0.22805902261637723</v>
          </cell>
          <cell r="N39">
            <v>0</v>
          </cell>
          <cell r="O39">
            <v>-0.22805902261637723</v>
          </cell>
          <cell r="Q39">
            <v>0</v>
          </cell>
          <cell r="R39">
            <v>0</v>
          </cell>
          <cell r="S39">
            <v>0</v>
          </cell>
          <cell r="U39">
            <v>0</v>
          </cell>
          <cell r="V39">
            <v>0</v>
          </cell>
          <cell r="W39">
            <v>0</v>
          </cell>
          <cell r="Y39">
            <v>0</v>
          </cell>
          <cell r="Z39">
            <v>0</v>
          </cell>
          <cell r="AA39">
            <v>0</v>
          </cell>
          <cell r="AC39">
            <v>0</v>
          </cell>
          <cell r="AD39">
            <v>0</v>
          </cell>
          <cell r="AE39">
            <v>0</v>
          </cell>
          <cell r="AG39">
            <v>0.32922463912933492</v>
          </cell>
          <cell r="AH39">
            <v>1.436135004631885</v>
          </cell>
          <cell r="AI39">
            <v>1.1069103655025501</v>
          </cell>
          <cell r="AK39">
            <v>3.3466649051882756E-2</v>
          </cell>
          <cell r="AL39">
            <v>0.51264083026227236</v>
          </cell>
          <cell r="AM39">
            <v>0.47917418121038963</v>
          </cell>
        </row>
        <row r="40">
          <cell r="C40">
            <v>625000</v>
          </cell>
          <cell r="E40">
            <v>0</v>
          </cell>
          <cell r="F40">
            <v>0.87915711850697098</v>
          </cell>
          <cell r="G40">
            <v>0.87915711850697098</v>
          </cell>
          <cell r="I40">
            <v>0</v>
          </cell>
          <cell r="J40">
            <v>0.30593952044802081</v>
          </cell>
          <cell r="K40">
            <v>0.30593952044802081</v>
          </cell>
          <cell r="M40">
            <v>0.16679172073032453</v>
          </cell>
          <cell r="N40">
            <v>0</v>
          </cell>
          <cell r="O40">
            <v>-0.16679172073032453</v>
          </cell>
          <cell r="Q40">
            <v>0</v>
          </cell>
          <cell r="R40">
            <v>0</v>
          </cell>
          <cell r="S40">
            <v>0</v>
          </cell>
          <cell r="U40">
            <v>0</v>
          </cell>
          <cell r="V40">
            <v>0</v>
          </cell>
          <cell r="W40">
            <v>0</v>
          </cell>
          <cell r="Y40">
            <v>0</v>
          </cell>
          <cell r="Z40">
            <v>0</v>
          </cell>
          <cell r="AA40">
            <v>0</v>
          </cell>
          <cell r="AC40">
            <v>0</v>
          </cell>
          <cell r="AD40">
            <v>0</v>
          </cell>
          <cell r="AE40">
            <v>0</v>
          </cell>
          <cell r="AG40">
            <v>0.22079675668250806</v>
          </cell>
          <cell r="AH40">
            <v>1.2416581473778983</v>
          </cell>
          <cell r="AI40">
            <v>1.0208613906953903</v>
          </cell>
          <cell r="AK40">
            <v>2.1468023614412874E-2</v>
          </cell>
          <cell r="AL40">
            <v>0.46716375298307494</v>
          </cell>
          <cell r="AM40">
            <v>0.44569572936866209</v>
          </cell>
        </row>
        <row r="41">
          <cell r="C41">
            <v>650000</v>
          </cell>
          <cell r="E41">
            <v>0</v>
          </cell>
          <cell r="F41">
            <v>0.80893271502114406</v>
          </cell>
          <cell r="G41">
            <v>0.80893271502114406</v>
          </cell>
          <cell r="I41">
            <v>0</v>
          </cell>
          <cell r="J41">
            <v>0.26944295696443837</v>
          </cell>
          <cell r="K41">
            <v>0.26944295696443837</v>
          </cell>
          <cell r="M41">
            <v>0.10552441884427211</v>
          </cell>
          <cell r="N41">
            <v>0</v>
          </cell>
          <cell r="O41">
            <v>-0.10552441884427211</v>
          </cell>
          <cell r="Q41">
            <v>0</v>
          </cell>
          <cell r="R41">
            <v>0</v>
          </cell>
          <cell r="S41">
            <v>0</v>
          </cell>
          <cell r="U41">
            <v>0</v>
          </cell>
          <cell r="V41">
            <v>0</v>
          </cell>
          <cell r="W41">
            <v>0</v>
          </cell>
          <cell r="Y41">
            <v>0</v>
          </cell>
          <cell r="Z41">
            <v>0</v>
          </cell>
          <cell r="AA41">
            <v>0</v>
          </cell>
          <cell r="AC41">
            <v>0</v>
          </cell>
          <cell r="AD41">
            <v>0</v>
          </cell>
          <cell r="AE41">
            <v>0</v>
          </cell>
          <cell r="AG41">
            <v>0</v>
          </cell>
          <cell r="AH41">
            <v>1.0471812901239115</v>
          </cell>
          <cell r="AI41">
            <v>1.0471812901239115</v>
          </cell>
          <cell r="AK41">
            <v>1.0941665101632655E-2</v>
          </cell>
          <cell r="AL41">
            <v>0.42168667570387752</v>
          </cell>
          <cell r="AM41">
            <v>0.41074501060224489</v>
          </cell>
        </row>
        <row r="42">
          <cell r="C42">
            <v>675000</v>
          </cell>
          <cell r="E42">
            <v>0</v>
          </cell>
          <cell r="F42">
            <v>0.74623274532794837</v>
          </cell>
          <cell r="G42">
            <v>0.74623274532794837</v>
          </cell>
          <cell r="I42">
            <v>0</v>
          </cell>
          <cell r="J42">
            <v>0.232946393480856</v>
          </cell>
          <cell r="K42">
            <v>0.232946393480856</v>
          </cell>
          <cell r="M42">
            <v>4.4257116958219399E-2</v>
          </cell>
          <cell r="N42">
            <v>0</v>
          </cell>
          <cell r="O42">
            <v>-4.4257116958219399E-2</v>
          </cell>
          <cell r="Q42">
            <v>0</v>
          </cell>
          <cell r="R42">
            <v>0</v>
          </cell>
          <cell r="S42">
            <v>0</v>
          </cell>
          <cell r="U42">
            <v>0</v>
          </cell>
          <cell r="V42">
            <v>0</v>
          </cell>
          <cell r="W42">
            <v>0</v>
          </cell>
          <cell r="Y42">
            <v>0</v>
          </cell>
          <cell r="Z42">
            <v>0</v>
          </cell>
          <cell r="AA42">
            <v>0</v>
          </cell>
          <cell r="AC42">
            <v>0</v>
          </cell>
          <cell r="AD42">
            <v>0</v>
          </cell>
          <cell r="AE42">
            <v>0</v>
          </cell>
          <cell r="AG42">
            <v>0</v>
          </cell>
          <cell r="AH42">
            <v>0.85270443286992459</v>
          </cell>
          <cell r="AI42">
            <v>0.85270443286992459</v>
          </cell>
          <cell r="AK42">
            <v>4.9423523828976967E-3</v>
          </cell>
          <cell r="AL42">
            <v>0.37889329843732877</v>
          </cell>
          <cell r="AM42">
            <v>0.37395094605443108</v>
          </cell>
        </row>
        <row r="43">
          <cell r="C43">
            <v>700000</v>
          </cell>
          <cell r="E43">
            <v>0</v>
          </cell>
          <cell r="F43">
            <v>0.69005322253928691</v>
          </cell>
          <cell r="G43">
            <v>0.69005322253928691</v>
          </cell>
          <cell r="I43">
            <v>0</v>
          </cell>
          <cell r="J43">
            <v>0.19644982999727359</v>
          </cell>
          <cell r="K43">
            <v>0.19644982999727359</v>
          </cell>
          <cell r="M43">
            <v>0</v>
          </cell>
          <cell r="N43">
            <v>0</v>
          </cell>
          <cell r="O43">
            <v>0</v>
          </cell>
          <cell r="Q43">
            <v>0</v>
          </cell>
          <cell r="R43">
            <v>0</v>
          </cell>
          <cell r="S43">
            <v>0</v>
          </cell>
          <cell r="U43">
            <v>0</v>
          </cell>
          <cell r="V43">
            <v>0</v>
          </cell>
          <cell r="W43">
            <v>0</v>
          </cell>
          <cell r="Y43">
            <v>0</v>
          </cell>
          <cell r="Z43">
            <v>0</v>
          </cell>
          <cell r="AA43">
            <v>0</v>
          </cell>
          <cell r="AC43">
            <v>0</v>
          </cell>
          <cell r="AD43">
            <v>0</v>
          </cell>
          <cell r="AE43">
            <v>0</v>
          </cell>
          <cell r="AG43">
            <v>0</v>
          </cell>
          <cell r="AH43">
            <v>0.65822757561593781</v>
          </cell>
          <cell r="AI43">
            <v>0.65822757561593781</v>
          </cell>
          <cell r="AK43">
            <v>0</v>
          </cell>
          <cell r="AL43">
            <v>0.33910085581803101</v>
          </cell>
          <cell r="AM43">
            <v>0.33910085581803101</v>
          </cell>
        </row>
        <row r="44">
          <cell r="C44">
            <v>725000</v>
          </cell>
          <cell r="E44">
            <v>0</v>
          </cell>
          <cell r="F44">
            <v>0.63387369975062524</v>
          </cell>
          <cell r="G44">
            <v>0.63387369975062524</v>
          </cell>
          <cell r="I44">
            <v>0</v>
          </cell>
          <cell r="J44">
            <v>0.15995326651369121</v>
          </cell>
          <cell r="K44">
            <v>0.15995326651369121</v>
          </cell>
          <cell r="M44">
            <v>0</v>
          </cell>
          <cell r="N44">
            <v>0</v>
          </cell>
          <cell r="O44">
            <v>0</v>
          </cell>
          <cell r="Q44">
            <v>0</v>
          </cell>
          <cell r="R44">
            <v>0</v>
          </cell>
          <cell r="S44">
            <v>0</v>
          </cell>
          <cell r="U44">
            <v>0</v>
          </cell>
          <cell r="V44">
            <v>0</v>
          </cell>
          <cell r="W44">
            <v>0</v>
          </cell>
          <cell r="Y44">
            <v>0</v>
          </cell>
          <cell r="Z44">
            <v>0</v>
          </cell>
          <cell r="AA44">
            <v>0</v>
          </cell>
          <cell r="AC44">
            <v>0</v>
          </cell>
          <cell r="AD44">
            <v>0</v>
          </cell>
          <cell r="AE44">
            <v>0</v>
          </cell>
          <cell r="AG44">
            <v>0</v>
          </cell>
          <cell r="AH44">
            <v>0.34038691182978847</v>
          </cell>
          <cell r="AI44">
            <v>0.34038691182978847</v>
          </cell>
          <cell r="AK44">
            <v>0</v>
          </cell>
          <cell r="AL44">
            <v>0.29788768086123579</v>
          </cell>
          <cell r="AM44">
            <v>0.29788768086123579</v>
          </cell>
        </row>
        <row r="45">
          <cell r="C45">
            <v>750000</v>
          </cell>
          <cell r="E45">
            <v>0</v>
          </cell>
          <cell r="F45">
            <v>0.58309520351361954</v>
          </cell>
          <cell r="G45">
            <v>0.58309520351361954</v>
          </cell>
          <cell r="I45">
            <v>0</v>
          </cell>
          <cell r="J45">
            <v>0.12345670303010881</v>
          </cell>
          <cell r="K45">
            <v>0.12345670303010881</v>
          </cell>
          <cell r="M45">
            <v>0</v>
          </cell>
          <cell r="N45">
            <v>0</v>
          </cell>
          <cell r="O45">
            <v>0</v>
          </cell>
          <cell r="Q45">
            <v>0</v>
          </cell>
          <cell r="R45">
            <v>0</v>
          </cell>
          <cell r="S45">
            <v>0</v>
          </cell>
          <cell r="U45">
            <v>0</v>
          </cell>
          <cell r="V45">
            <v>0</v>
          </cell>
          <cell r="W45">
            <v>0</v>
          </cell>
          <cell r="Y45">
            <v>0</v>
          </cell>
          <cell r="Z45">
            <v>0</v>
          </cell>
          <cell r="AA45">
            <v>0</v>
          </cell>
          <cell r="AC45">
            <v>0</v>
          </cell>
          <cell r="AD45">
            <v>0</v>
          </cell>
          <cell r="AE45">
            <v>0</v>
          </cell>
          <cell r="AG45">
            <v>0</v>
          </cell>
          <cell r="AH45">
            <v>0.24314848320279481</v>
          </cell>
          <cell r="AI45">
            <v>0.24314848320279481</v>
          </cell>
          <cell r="AK45">
            <v>0</v>
          </cell>
          <cell r="AL45">
            <v>0.26556104799104263</v>
          </cell>
          <cell r="AM45">
            <v>0.26556104799104263</v>
          </cell>
        </row>
        <row r="46">
          <cell r="C46">
            <v>775000</v>
          </cell>
          <cell r="E46">
            <v>0</v>
          </cell>
          <cell r="F46">
            <v>0.54096056142212323</v>
          </cell>
          <cell r="G46">
            <v>0.54096056142212323</v>
          </cell>
          <cell r="I46">
            <v>0</v>
          </cell>
          <cell r="J46">
            <v>8.6960139546526413E-2</v>
          </cell>
          <cell r="K46">
            <v>8.6960139546526413E-2</v>
          </cell>
          <cell r="M46">
            <v>0</v>
          </cell>
          <cell r="N46">
            <v>0</v>
          </cell>
          <cell r="O46">
            <v>0</v>
          </cell>
          <cell r="Q46">
            <v>0</v>
          </cell>
          <cell r="R46">
            <v>0</v>
          </cell>
          <cell r="S46">
            <v>0</v>
          </cell>
          <cell r="U46">
            <v>0</v>
          </cell>
          <cell r="V46">
            <v>0</v>
          </cell>
          <cell r="W46">
            <v>0</v>
          </cell>
          <cell r="Y46">
            <v>0</v>
          </cell>
          <cell r="Z46">
            <v>0</v>
          </cell>
          <cell r="AA46">
            <v>0</v>
          </cell>
          <cell r="AC46">
            <v>0</v>
          </cell>
          <cell r="AD46">
            <v>0</v>
          </cell>
          <cell r="AE46">
            <v>0</v>
          </cell>
          <cell r="AG46">
            <v>0</v>
          </cell>
          <cell r="AH46">
            <v>0</v>
          </cell>
          <cell r="AI46">
            <v>0</v>
          </cell>
          <cell r="AK46">
            <v>0</v>
          </cell>
          <cell r="AL46">
            <v>0.23482608704043426</v>
          </cell>
          <cell r="AM46">
            <v>0.23482608704043426</v>
          </cell>
        </row>
        <row r="47">
          <cell r="C47">
            <v>800000</v>
          </cell>
          <cell r="E47">
            <v>0</v>
          </cell>
          <cell r="F47">
            <v>0</v>
          </cell>
          <cell r="G47">
            <v>0</v>
          </cell>
          <cell r="I47">
            <v>0</v>
          </cell>
          <cell r="J47">
            <v>0</v>
          </cell>
          <cell r="K47">
            <v>0</v>
          </cell>
          <cell r="M47">
            <v>0</v>
          </cell>
          <cell r="N47">
            <v>0</v>
          </cell>
          <cell r="O47">
            <v>0</v>
          </cell>
          <cell r="Q47">
            <v>0</v>
          </cell>
          <cell r="R47">
            <v>0</v>
          </cell>
          <cell r="S47">
            <v>0</v>
          </cell>
          <cell r="U47">
            <v>0</v>
          </cell>
          <cell r="V47">
            <v>0</v>
          </cell>
          <cell r="W47">
            <v>0</v>
          </cell>
          <cell r="Y47">
            <v>0</v>
          </cell>
          <cell r="Z47">
            <v>0</v>
          </cell>
          <cell r="AA47">
            <v>0</v>
          </cell>
          <cell r="AC47">
            <v>0</v>
          </cell>
          <cell r="AD47">
            <v>0</v>
          </cell>
          <cell r="AE47">
            <v>0</v>
          </cell>
          <cell r="AG47">
            <v>0</v>
          </cell>
          <cell r="AH47">
            <v>0</v>
          </cell>
          <cell r="AI47">
            <v>0</v>
          </cell>
          <cell r="AK47">
            <v>0</v>
          </cell>
          <cell r="AL47">
            <v>0</v>
          </cell>
          <cell r="AM47">
            <v>0</v>
          </cell>
        </row>
        <row r="54">
          <cell r="C54">
            <v>0</v>
          </cell>
          <cell r="E54">
            <v>77.541114808808487</v>
          </cell>
          <cell r="F54">
            <v>82.820236762980741</v>
          </cell>
          <cell r="G54">
            <v>5.279121954172254</v>
          </cell>
          <cell r="I54">
            <v>128.87870787617555</v>
          </cell>
          <cell r="J54">
            <v>138.21801661615544</v>
          </cell>
          <cell r="K54">
            <v>9.3393087399798844</v>
          </cell>
          <cell r="M54">
            <v>129.74930552287972</v>
          </cell>
          <cell r="N54">
            <v>148.24326295890771</v>
          </cell>
          <cell r="O54">
            <v>18.493957436027983</v>
          </cell>
          <cell r="Q54">
            <v>150.53736495378428</v>
          </cell>
          <cell r="R54">
            <v>167.12905276479771</v>
          </cell>
          <cell r="S54">
            <v>16.591687811013429</v>
          </cell>
          <cell r="U54">
            <v>184.31594495011157</v>
          </cell>
          <cell r="V54">
            <v>204.26294502898244</v>
          </cell>
          <cell r="W54">
            <v>19.947000078870872</v>
          </cell>
          <cell r="Y54">
            <v>219.93905440984545</v>
          </cell>
          <cell r="Z54">
            <v>242.30553973422931</v>
          </cell>
          <cell r="AA54">
            <v>22.366485324383859</v>
          </cell>
          <cell r="AC54">
            <v>248.23529998658532</v>
          </cell>
          <cell r="AD54">
            <v>306.93592891852768</v>
          </cell>
          <cell r="AE54">
            <v>58.700628931942362</v>
          </cell>
          <cell r="AG54">
            <v>130.15440468755426</v>
          </cell>
          <cell r="AH54">
            <v>149.54716192143118</v>
          </cell>
          <cell r="AI54">
            <v>19.392757233876921</v>
          </cell>
          <cell r="AK54">
            <v>125.27232741177163</v>
          </cell>
          <cell r="AL54">
            <v>139.72797844613925</v>
          </cell>
          <cell r="AM54">
            <v>14.455651034367619</v>
          </cell>
        </row>
        <row r="55">
          <cell r="C55">
            <v>1000</v>
          </cell>
          <cell r="E55">
            <v>46.785534959693472</v>
          </cell>
          <cell r="F55">
            <v>51.996908407153207</v>
          </cell>
          <cell r="G55">
            <v>5.2113734474597351</v>
          </cell>
          <cell r="I55">
            <v>90.588097882231366</v>
          </cell>
          <cell r="J55">
            <v>99.443747525532942</v>
          </cell>
          <cell r="K55">
            <v>8.8556496433015752</v>
          </cell>
          <cell r="M55">
            <v>90.612622461083063</v>
          </cell>
          <cell r="N55">
            <v>108.09190754934167</v>
          </cell>
          <cell r="O55">
            <v>17.479285088258607</v>
          </cell>
          <cell r="Q55">
            <v>109.11666674438364</v>
          </cell>
          <cell r="R55">
            <v>124.91780892231321</v>
          </cell>
          <cell r="S55">
            <v>15.801142177929577</v>
          </cell>
          <cell r="U55">
            <v>138.51840135173461</v>
          </cell>
          <cell r="V55">
            <v>157.32637551593464</v>
          </cell>
          <cell r="W55">
            <v>18.807974164200033</v>
          </cell>
          <cell r="Y55">
            <v>171.96658745333693</v>
          </cell>
          <cell r="Z55">
            <v>192.44655950109234</v>
          </cell>
          <cell r="AA55">
            <v>20.47997204775541</v>
          </cell>
          <cell r="AC55">
            <v>197.9250222460706</v>
          </cell>
          <cell r="AD55">
            <v>255.01838032464846</v>
          </cell>
          <cell r="AE55">
            <v>57.093358078577864</v>
          </cell>
          <cell r="AG55">
            <v>92.304518276603915</v>
          </cell>
          <cell r="AH55">
            <v>108.77414332944369</v>
          </cell>
          <cell r="AI55">
            <v>16.469625052839774</v>
          </cell>
          <cell r="AK55">
            <v>87.998068331691869</v>
          </cell>
          <cell r="AL55">
            <v>101.63450173040285</v>
          </cell>
          <cell r="AM55">
            <v>13.636433398710977</v>
          </cell>
        </row>
        <row r="56">
          <cell r="C56">
            <v>5000</v>
          </cell>
          <cell r="E56">
            <v>23.35597355989562</v>
          </cell>
          <cell r="F56">
            <v>27.914553507624678</v>
          </cell>
          <cell r="G56">
            <v>4.5585799477290578</v>
          </cell>
          <cell r="I56">
            <v>44.212345620190938</v>
          </cell>
          <cell r="J56">
            <v>50.54377095632676</v>
          </cell>
          <cell r="K56">
            <v>6.3314253361358226</v>
          </cell>
          <cell r="M56">
            <v>47.010803704466177</v>
          </cell>
          <cell r="N56">
            <v>59.667889632873845</v>
          </cell>
          <cell r="O56">
            <v>12.657085928407668</v>
          </cell>
          <cell r="Q56">
            <v>60.470139579706562</v>
          </cell>
          <cell r="R56">
            <v>72.57340371884743</v>
          </cell>
          <cell r="S56">
            <v>12.103264139140869</v>
          </cell>
          <cell r="U56">
            <v>80.366080493580526</v>
          </cell>
          <cell r="V56">
            <v>94.590723492793828</v>
          </cell>
          <cell r="W56">
            <v>14.224642999213302</v>
          </cell>
          <cell r="Y56">
            <v>105.80881665604413</v>
          </cell>
          <cell r="Z56">
            <v>120.02056576509305</v>
          </cell>
          <cell r="AA56">
            <v>14.211749109048924</v>
          </cell>
          <cell r="AC56">
            <v>124.69773867015455</v>
          </cell>
          <cell r="AD56">
            <v>173.62106084574023</v>
          </cell>
          <cell r="AE56">
            <v>48.923322175585682</v>
          </cell>
          <cell r="AG56">
            <v>54.733747397730816</v>
          </cell>
          <cell r="AH56">
            <v>65.89432357059502</v>
          </cell>
          <cell r="AI56">
            <v>11.160576172864204</v>
          </cell>
          <cell r="AK56">
            <v>48.221855009090156</v>
          </cell>
          <cell r="AL56">
            <v>58.763051989394818</v>
          </cell>
          <cell r="AM56">
            <v>10.541196980304662</v>
          </cell>
        </row>
        <row r="57">
          <cell r="C57">
            <v>10000</v>
          </cell>
          <cell r="E57">
            <v>14.985695897670908</v>
          </cell>
          <cell r="F57">
            <v>18.961267376326386</v>
          </cell>
          <cell r="G57">
            <v>3.9755714786554783</v>
          </cell>
          <cell r="I57">
            <v>24.236775211954932</v>
          </cell>
          <cell r="J57">
            <v>28.009028738853974</v>
          </cell>
          <cell r="K57">
            <v>3.7722535268990427</v>
          </cell>
          <cell r="M57">
            <v>28.896577387954377</v>
          </cell>
          <cell r="N57">
            <v>38.252683352517842</v>
          </cell>
          <cell r="O57">
            <v>9.356105964563465</v>
          </cell>
          <cell r="Q57">
            <v>39.792524506756259</v>
          </cell>
          <cell r="R57">
            <v>49.601242893302242</v>
          </cell>
          <cell r="S57">
            <v>9.8087183865459835</v>
          </cell>
          <cell r="U57">
            <v>55.463385010051717</v>
          </cell>
          <cell r="V57">
            <v>67.031578704016965</v>
          </cell>
          <cell r="W57">
            <v>11.568193693965249</v>
          </cell>
          <cell r="Y57">
            <v>74.781152652584254</v>
          </cell>
          <cell r="Z57">
            <v>85.388316739954078</v>
          </cell>
          <cell r="AA57">
            <v>10.607164087369824</v>
          </cell>
          <cell r="AC57">
            <v>88.458806146175746</v>
          </cell>
          <cell r="AD57">
            <v>131.33857909429275</v>
          </cell>
          <cell r="AE57">
            <v>42.879772948117008</v>
          </cell>
          <cell r="AG57">
            <v>40.017695690642235</v>
          </cell>
          <cell r="AH57">
            <v>48.878188020225515</v>
          </cell>
          <cell r="AI57">
            <v>8.8604923295832805</v>
          </cell>
          <cell r="AK57">
            <v>31.613594214646771</v>
          </cell>
          <cell r="AL57">
            <v>40.046365192299888</v>
          </cell>
          <cell r="AM57">
            <v>8.4327709776531172</v>
          </cell>
        </row>
        <row r="58">
          <cell r="C58">
            <v>15000</v>
          </cell>
          <cell r="E58">
            <v>11.658160444428768</v>
          </cell>
          <cell r="F58">
            <v>15.337319304182884</v>
          </cell>
          <cell r="G58">
            <v>3.6791588597541161</v>
          </cell>
          <cell r="I58">
            <v>17.193139590457822</v>
          </cell>
          <cell r="J58">
            <v>19.338896081145013</v>
          </cell>
          <cell r="K58">
            <v>2.1457564906871909</v>
          </cell>
          <cell r="M58">
            <v>20.95022695859311</v>
          </cell>
          <cell r="N58">
            <v>28.123711806432894</v>
          </cell>
          <cell r="O58">
            <v>7.1734848478397844</v>
          </cell>
          <cell r="Q58">
            <v>29.660457364461635</v>
          </cell>
          <cell r="R58">
            <v>38.142491579049896</v>
          </cell>
          <cell r="S58">
            <v>8.4820342145882606</v>
          </cell>
          <cell r="U58">
            <v>42.74337011753682</v>
          </cell>
          <cell r="V58">
            <v>52.08553868664999</v>
          </cell>
          <cell r="W58">
            <v>9.34216856911317</v>
          </cell>
          <cell r="Y58">
            <v>57.21669371604596</v>
          </cell>
          <cell r="Z58">
            <v>65.593132242318632</v>
          </cell>
          <cell r="AA58">
            <v>8.3764385262726719</v>
          </cell>
          <cell r="AC58">
            <v>67.300364880273705</v>
          </cell>
          <cell r="AD58">
            <v>105.92389474772534</v>
          </cell>
          <cell r="AE58">
            <v>38.623529867451637</v>
          </cell>
          <cell r="AG58">
            <v>31.788690104437734</v>
          </cell>
          <cell r="AH58">
            <v>39.50623967327882</v>
          </cell>
          <cell r="AI58">
            <v>7.7175495688410862</v>
          </cell>
          <cell r="AK58">
            <v>23.934359719750507</v>
          </cell>
          <cell r="AL58">
            <v>31.000865781228033</v>
          </cell>
          <cell r="AM58">
            <v>7.0665060614775257</v>
          </cell>
        </row>
        <row r="59">
          <cell r="C59">
            <v>20000</v>
          </cell>
          <cell r="E59">
            <v>9.7181270300124503</v>
          </cell>
          <cell r="F59">
            <v>13.349315171617187</v>
          </cell>
          <cell r="G59">
            <v>3.6311881416047367</v>
          </cell>
          <cell r="I59">
            <v>13.566404736035869</v>
          </cell>
          <cell r="J59">
            <v>14.799645822749348</v>
          </cell>
          <cell r="K59">
            <v>1.2332410867134787</v>
          </cell>
          <cell r="M59">
            <v>16.522219077167396</v>
          </cell>
          <cell r="N59">
            <v>21.966526198564434</v>
          </cell>
          <cell r="O59">
            <v>5.4443071213970384</v>
          </cell>
          <cell r="Q59">
            <v>23.274788713421259</v>
          </cell>
          <cell r="R59">
            <v>30.845859204633996</v>
          </cell>
          <cell r="S59">
            <v>7.5710704912127369</v>
          </cell>
          <cell r="U59">
            <v>34.159105184938547</v>
          </cell>
          <cell r="V59">
            <v>41.704834196043947</v>
          </cell>
          <cell r="W59">
            <v>7.5457290111054007</v>
          </cell>
          <cell r="Y59">
            <v>45.369161658927375</v>
          </cell>
          <cell r="Z59">
            <v>52.152946638457912</v>
          </cell>
          <cell r="AA59">
            <v>6.7837849795305374</v>
          </cell>
          <cell r="AC59">
            <v>53.217918874505393</v>
          </cell>
          <cell r="AD59">
            <v>87.585316480562412</v>
          </cell>
          <cell r="AE59">
            <v>34.367397606057018</v>
          </cell>
          <cell r="AG59">
            <v>26.081806061552339</v>
          </cell>
          <cell r="AH59">
            <v>33.022971723064892</v>
          </cell>
          <cell r="AI59">
            <v>6.941165661512553</v>
          </cell>
          <cell r="AK59">
            <v>19.192650045210826</v>
          </cell>
          <cell r="AL59">
            <v>25.302144171430445</v>
          </cell>
          <cell r="AM59">
            <v>6.1094941262196194</v>
          </cell>
        </row>
        <row r="60">
          <cell r="C60">
            <v>25000</v>
          </cell>
          <cell r="E60">
            <v>8.3985985334555391</v>
          </cell>
          <cell r="F60">
            <v>11.975180184583422</v>
          </cell>
          <cell r="G60">
            <v>3.5765816511278832</v>
          </cell>
          <cell r="I60">
            <v>11.228730986392089</v>
          </cell>
          <cell r="J60">
            <v>12.000013284749121</v>
          </cell>
          <cell r="K60">
            <v>0.77128229835703266</v>
          </cell>
          <cell r="M60">
            <v>13.649017223463908</v>
          </cell>
          <cell r="N60">
            <v>17.967618569677242</v>
          </cell>
          <cell r="O60">
            <v>4.3186013462133346</v>
          </cell>
          <cell r="Q60">
            <v>18.698311417143376</v>
          </cell>
          <cell r="R60">
            <v>25.939399216316236</v>
          </cell>
          <cell r="S60">
            <v>7.2410877991728597</v>
          </cell>
          <cell r="U60">
            <v>28.26680920930924</v>
          </cell>
          <cell r="V60">
            <v>34.405613370322769</v>
          </cell>
          <cell r="W60">
            <v>6.1388041610135282</v>
          </cell>
          <cell r="Y60">
            <v>36.883357992655263</v>
          </cell>
          <cell r="Z60">
            <v>42.457190256920832</v>
          </cell>
          <cell r="AA60">
            <v>5.5738322642655689</v>
          </cell>
          <cell r="AC60">
            <v>43.151582657008127</v>
          </cell>
          <cell r="AD60">
            <v>73.785776623242299</v>
          </cell>
          <cell r="AE60">
            <v>30.634193966234172</v>
          </cell>
          <cell r="AG60">
            <v>21.948956099718956</v>
          </cell>
          <cell r="AH60">
            <v>28.444347957992942</v>
          </cell>
          <cell r="AI60">
            <v>6.4953918582739867</v>
          </cell>
          <cell r="AK60">
            <v>15.91429136598112</v>
          </cell>
          <cell r="AL60">
            <v>21.361741390052398</v>
          </cell>
          <cell r="AM60">
            <v>5.4474500240712782</v>
          </cell>
        </row>
        <row r="61">
          <cell r="C61">
            <v>30000</v>
          </cell>
          <cell r="E61">
            <v>7.4168588098427675</v>
          </cell>
          <cell r="F61">
            <v>10.963272940346323</v>
          </cell>
          <cell r="G61">
            <v>3.5464141305035559</v>
          </cell>
          <cell r="I61">
            <v>9.579571681746895</v>
          </cell>
          <cell r="J61">
            <v>10.01254099294013</v>
          </cell>
          <cell r="K61">
            <v>0.43296931119323467</v>
          </cell>
          <cell r="M61">
            <v>11.599904349488305</v>
          </cell>
          <cell r="N61">
            <v>15.133808196936101</v>
          </cell>
          <cell r="O61">
            <v>3.533903847447796</v>
          </cell>
          <cell r="Q61">
            <v>15.386350358534402</v>
          </cell>
          <cell r="R61">
            <v>22.251496446651128</v>
          </cell>
          <cell r="S61">
            <v>6.8651460881167257</v>
          </cell>
          <cell r="U61">
            <v>23.816241937075301</v>
          </cell>
          <cell r="V61">
            <v>28.964447160385244</v>
          </cell>
          <cell r="W61">
            <v>5.1482052233099438</v>
          </cell>
          <cell r="Y61">
            <v>30.41701508391753</v>
          </cell>
          <cell r="Z61">
            <v>35.137258324345261</v>
          </cell>
          <cell r="AA61">
            <v>4.720243240427731</v>
          </cell>
          <cell r="AC61">
            <v>35.692071399825664</v>
          </cell>
          <cell r="AD61">
            <v>63.058854631927154</v>
          </cell>
          <cell r="AE61">
            <v>27.36678323210149</v>
          </cell>
          <cell r="AG61">
            <v>18.71781686964367</v>
          </cell>
          <cell r="AH61">
            <v>24.909695838195194</v>
          </cell>
          <cell r="AI61">
            <v>6.1918789685515243</v>
          </cell>
          <cell r="AK61">
            <v>13.48480044846063</v>
          </cell>
          <cell r="AL61">
            <v>18.423846014616377</v>
          </cell>
          <cell r="AM61">
            <v>4.9390455661557464</v>
          </cell>
        </row>
        <row r="62">
          <cell r="C62">
            <v>35000</v>
          </cell>
          <cell r="E62">
            <v>6.6460305706362064</v>
          </cell>
          <cell r="F62">
            <v>10.162622072485052</v>
          </cell>
          <cell r="G62">
            <v>3.5165915018488452</v>
          </cell>
          <cell r="I62">
            <v>8.3676840356938857</v>
          </cell>
          <cell r="J62">
            <v>8.6068243610181963</v>
          </cell>
          <cell r="K62">
            <v>0.23914032532431051</v>
          </cell>
          <cell r="M62">
            <v>9.9522022654197642</v>
          </cell>
          <cell r="N62">
            <v>13.023864323348031</v>
          </cell>
          <cell r="O62">
            <v>3.0716620579282665</v>
          </cell>
          <cell r="Q62">
            <v>12.840931204924182</v>
          </cell>
          <cell r="R62">
            <v>19.362922897196295</v>
          </cell>
          <cell r="S62">
            <v>6.5219916922721133</v>
          </cell>
          <cell r="U62">
            <v>20.27316686400022</v>
          </cell>
          <cell r="V62">
            <v>24.785643085910209</v>
          </cell>
          <cell r="W62">
            <v>4.5124762219099885</v>
          </cell>
          <cell r="Y62">
            <v>25.373397561382717</v>
          </cell>
          <cell r="Z62">
            <v>29.383884717497725</v>
          </cell>
          <cell r="AA62">
            <v>4.0104871561150084</v>
          </cell>
          <cell r="AC62">
            <v>30.005097927426444</v>
          </cell>
          <cell r="AD62">
            <v>54.64290637923898</v>
          </cell>
          <cell r="AE62">
            <v>24.637808451812536</v>
          </cell>
          <cell r="AG62">
            <v>16.153887052843427</v>
          </cell>
          <cell r="AH62">
            <v>22.025659587709015</v>
          </cell>
          <cell r="AI62">
            <v>5.8717725348655883</v>
          </cell>
          <cell r="AK62">
            <v>11.596101075460803</v>
          </cell>
          <cell r="AL62">
            <v>16.15164225457163</v>
          </cell>
          <cell r="AM62">
            <v>4.5555411791108273</v>
          </cell>
        </row>
        <row r="63">
          <cell r="C63">
            <v>40000</v>
          </cell>
          <cell r="E63">
            <v>6.0030301182166435</v>
          </cell>
          <cell r="F63">
            <v>9.5213307805358056</v>
          </cell>
          <cell r="G63">
            <v>3.5183006623191622</v>
          </cell>
          <cell r="I63">
            <v>7.3983988345444631</v>
          </cell>
          <cell r="J63">
            <v>7.491371657644744</v>
          </cell>
          <cell r="K63">
            <v>9.2972823100280877E-2</v>
          </cell>
          <cell r="M63">
            <v>8.5901614761008531</v>
          </cell>
          <cell r="N63">
            <v>11.268870920950432</v>
          </cell>
          <cell r="O63">
            <v>2.678709444849579</v>
          </cell>
          <cell r="Q63">
            <v>10.865950349208356</v>
          </cell>
          <cell r="R63">
            <v>16.977883834696289</v>
          </cell>
          <cell r="S63">
            <v>6.111933485487933</v>
          </cell>
          <cell r="U63">
            <v>17.435301056967738</v>
          </cell>
          <cell r="V63">
            <v>21.480545904098179</v>
          </cell>
          <cell r="W63">
            <v>4.0452448471304407</v>
          </cell>
          <cell r="Y63">
            <v>21.532055449330766</v>
          </cell>
          <cell r="Z63">
            <v>24.894737755468896</v>
          </cell>
          <cell r="AA63">
            <v>3.3626823061381295</v>
          </cell>
          <cell r="AC63">
            <v>25.580995483712357</v>
          </cell>
          <cell r="AD63">
            <v>47.865248500827072</v>
          </cell>
          <cell r="AE63">
            <v>22.284253017114715</v>
          </cell>
          <cell r="AG63">
            <v>13.966224497762063</v>
          </cell>
          <cell r="AH63">
            <v>19.553990898483033</v>
          </cell>
          <cell r="AI63">
            <v>5.5877664007209695</v>
          </cell>
          <cell r="AK63">
            <v>10.085619268256641</v>
          </cell>
          <cell r="AL63">
            <v>14.320483209863118</v>
          </cell>
          <cell r="AM63">
            <v>4.2348639416064771</v>
          </cell>
        </row>
        <row r="64">
          <cell r="C64">
            <v>45000</v>
          </cell>
          <cell r="E64">
            <v>5.4516505088251153</v>
          </cell>
          <cell r="F64">
            <v>8.9810340683861991</v>
          </cell>
          <cell r="G64">
            <v>3.5293835595610838</v>
          </cell>
          <cell r="I64">
            <v>6.6123905344589744</v>
          </cell>
          <cell r="J64">
            <v>6.5749655180468407</v>
          </cell>
          <cell r="K64">
            <v>-3.7425016412133694E-2</v>
          </cell>
          <cell r="M64">
            <v>7.4897393688977827</v>
          </cell>
          <cell r="N64">
            <v>9.8446854908897041</v>
          </cell>
          <cell r="O64">
            <v>2.3549461219919214</v>
          </cell>
          <cell r="Q64">
            <v>9.3315587695847029</v>
          </cell>
          <cell r="R64">
            <v>15.050803056853601</v>
          </cell>
          <cell r="S64">
            <v>5.7192442872688982</v>
          </cell>
          <cell r="U64">
            <v>15.122755577755592</v>
          </cell>
          <cell r="V64">
            <v>18.720108148950121</v>
          </cell>
          <cell r="W64">
            <v>3.5973525711945289</v>
          </cell>
          <cell r="Y64">
            <v>18.469113933655013</v>
          </cell>
          <cell r="Z64">
            <v>21.366374554052925</v>
          </cell>
          <cell r="AA64">
            <v>2.8972606203979119</v>
          </cell>
          <cell r="AC64">
            <v>22.008545229950645</v>
          </cell>
          <cell r="AD64">
            <v>42.469719706368842</v>
          </cell>
          <cell r="AE64">
            <v>20.461174476418197</v>
          </cell>
          <cell r="AG64">
            <v>12.188242080427473</v>
          </cell>
          <cell r="AH64">
            <v>17.434514780241106</v>
          </cell>
          <cell r="AI64">
            <v>5.2462726998136322</v>
          </cell>
          <cell r="AK64">
            <v>8.857974329660804</v>
          </cell>
          <cell r="AL64">
            <v>12.824650274454207</v>
          </cell>
          <cell r="AM64">
            <v>3.966675944793403</v>
          </cell>
        </row>
        <row r="65">
          <cell r="C65">
            <v>50000</v>
          </cell>
          <cell r="E65">
            <v>4.9793603727467115</v>
          </cell>
          <cell r="F65">
            <v>8.5046817092956744</v>
          </cell>
          <cell r="G65">
            <v>3.5253213365489628</v>
          </cell>
          <cell r="I65">
            <v>5.9251683617127133</v>
          </cell>
          <cell r="J65">
            <v>5.8843447552978683</v>
          </cell>
          <cell r="K65">
            <v>-4.0823606414845059E-2</v>
          </cell>
          <cell r="M65">
            <v>6.584432346194574</v>
          </cell>
          <cell r="N65">
            <v>8.7269049992045549</v>
          </cell>
          <cell r="O65">
            <v>2.1424726530099809</v>
          </cell>
          <cell r="Q65">
            <v>8.0636935515626575</v>
          </cell>
          <cell r="R65">
            <v>13.577764383761695</v>
          </cell>
          <cell r="S65">
            <v>5.514070832199037</v>
          </cell>
          <cell r="U65">
            <v>13.175445326278664</v>
          </cell>
          <cell r="V65">
            <v>16.433669621309544</v>
          </cell>
          <cell r="W65">
            <v>3.25822429503088</v>
          </cell>
          <cell r="Y65">
            <v>15.976699065221988</v>
          </cell>
          <cell r="Z65">
            <v>18.41278595923561</v>
          </cell>
          <cell r="AA65">
            <v>2.4360868940136218</v>
          </cell>
          <cell r="AC65">
            <v>19.196942730341913</v>
          </cell>
          <cell r="AD65">
            <v>37.896279208023124</v>
          </cell>
          <cell r="AE65">
            <v>18.699336477681211</v>
          </cell>
          <cell r="AG65">
            <v>10.780013661913193</v>
          </cell>
          <cell r="AH65">
            <v>15.750637689614889</v>
          </cell>
          <cell r="AI65">
            <v>4.970624027701696</v>
          </cell>
          <cell r="AK65">
            <v>7.8400360534697251</v>
          </cell>
          <cell r="AL65">
            <v>11.599727815144819</v>
          </cell>
          <cell r="AM65">
            <v>3.7596917616750938</v>
          </cell>
        </row>
        <row r="66">
          <cell r="C66">
            <v>75000</v>
          </cell>
          <cell r="E66">
            <v>3.4109076417777087</v>
          </cell>
          <cell r="F66">
            <v>6.6854998910117134</v>
          </cell>
          <cell r="G66">
            <v>3.2745922492340047</v>
          </cell>
          <cell r="I66">
            <v>3.6434566768784822</v>
          </cell>
          <cell r="J66">
            <v>3.9689112929126806</v>
          </cell>
          <cell r="K66">
            <v>0.32545461603419845</v>
          </cell>
          <cell r="M66">
            <v>3.9209339342430307</v>
          </cell>
          <cell r="N66">
            <v>5.2924100433289398</v>
          </cell>
          <cell r="O66">
            <v>1.3714761090859091</v>
          </cell>
          <cell r="Q66">
            <v>3.9845970374285216</v>
          </cell>
          <cell r="R66">
            <v>8.7412753115264863</v>
          </cell>
          <cell r="S66">
            <v>4.7566782740979647</v>
          </cell>
          <cell r="U66">
            <v>7.7028431753431876</v>
          </cell>
          <cell r="V66">
            <v>9.0701694690665065</v>
          </cell>
          <cell r="W66">
            <v>1.3673262937233188</v>
          </cell>
          <cell r="Y66">
            <v>8.8100295532489401</v>
          </cell>
          <cell r="Z66">
            <v>9.0950558643767803</v>
          </cell>
          <cell r="AA66">
            <v>0.28502631112784016</v>
          </cell>
          <cell r="AC66">
            <v>10.38108513873056</v>
          </cell>
          <cell r="AD66">
            <v>23.260353391232375</v>
          </cell>
          <cell r="AE66">
            <v>12.879268252501815</v>
          </cell>
          <cell r="AG66">
            <v>6.1293411488150982</v>
          </cell>
          <cell r="AH66">
            <v>10.249687514585723</v>
          </cell>
          <cell r="AI66">
            <v>4.120346365770625</v>
          </cell>
          <cell r="AK66">
            <v>4.6768083704330969</v>
          </cell>
          <cell r="AL66">
            <v>7.6072795930711479</v>
          </cell>
          <cell r="AM66">
            <v>2.9304712226380509</v>
          </cell>
        </row>
        <row r="67">
          <cell r="C67">
            <v>100000</v>
          </cell>
          <cell r="E67">
            <v>2.5518326165127219</v>
          </cell>
          <cell r="F67">
            <v>5.4455576885047536</v>
          </cell>
          <cell r="G67">
            <v>2.8937250719920318</v>
          </cell>
          <cell r="I67">
            <v>2.3328715891279295</v>
          </cell>
          <cell r="J67">
            <v>2.8051236503571104</v>
          </cell>
          <cell r="K67">
            <v>0.47225206122918095</v>
          </cell>
          <cell r="M67">
            <v>2.7060377210524282</v>
          </cell>
          <cell r="N67">
            <v>3.3860555695930104</v>
          </cell>
          <cell r="O67">
            <v>0.68001784854058211</v>
          </cell>
          <cell r="Q67">
            <v>2.0906626150211545</v>
          </cell>
          <cell r="R67">
            <v>5.8191431318146449</v>
          </cell>
          <cell r="S67">
            <v>3.7284805167934905</v>
          </cell>
          <cell r="U67">
            <v>5.1533146791480204</v>
          </cell>
          <cell r="V67">
            <v>5.0006887588244924</v>
          </cell>
          <cell r="W67">
            <v>-0.15262592032352806</v>
          </cell>
          <cell r="Y67">
            <v>5.1977560396370022</v>
          </cell>
          <cell r="Z67">
            <v>4.7170536726679275</v>
          </cell>
          <cell r="AA67">
            <v>-0.48070236696907465</v>
          </cell>
          <cell r="AC67">
            <v>5.5278375477899644</v>
          </cell>
          <cell r="AD67">
            <v>15.804482681968503</v>
          </cell>
          <cell r="AE67">
            <v>10.276645134178539</v>
          </cell>
          <cell r="AG67">
            <v>3.8795091252905869</v>
          </cell>
          <cell r="AH67">
            <v>7.3463849863865844</v>
          </cell>
          <cell r="AI67">
            <v>3.4668758610959975</v>
          </cell>
          <cell r="AK67">
            <v>3.0598789026729221</v>
          </cell>
          <cell r="AL67">
            <v>5.3519948019701147</v>
          </cell>
          <cell r="AM67">
            <v>2.2921158992971926</v>
          </cell>
        </row>
        <row r="68">
          <cell r="C68">
            <v>125000</v>
          </cell>
          <cell r="E68">
            <v>2.0260953488918632</v>
          </cell>
          <cell r="F68">
            <v>4.5651611509611056</v>
          </cell>
          <cell r="G68">
            <v>2.5390658020692425</v>
          </cell>
          <cell r="I68">
            <v>1.4636654703381506</v>
          </cell>
          <cell r="J68">
            <v>2.0185310425170546</v>
          </cell>
          <cell r="K68">
            <v>0.55486557217890398</v>
          </cell>
          <cell r="M68">
            <v>2.0569560688938613</v>
          </cell>
          <cell r="N68">
            <v>2.1877460297406905</v>
          </cell>
          <cell r="O68">
            <v>0.13078996084682926</v>
          </cell>
          <cell r="Q68">
            <v>1.1543799479814378</v>
          </cell>
          <cell r="R68">
            <v>3.8174834258177661</v>
          </cell>
          <cell r="S68">
            <v>2.6631034778363283</v>
          </cell>
          <cell r="U68">
            <v>3.7459136850803545</v>
          </cell>
          <cell r="V68">
            <v>2.7682158242551744</v>
          </cell>
          <cell r="W68">
            <v>-0.97769786082518007</v>
          </cell>
          <cell r="Y68">
            <v>3.2815566860906102</v>
          </cell>
          <cell r="Z68">
            <v>2.6243898821869749</v>
          </cell>
          <cell r="AA68">
            <v>-0.65716680390363535</v>
          </cell>
          <cell r="AC68">
            <v>3.1848252733248721</v>
          </cell>
          <cell r="AD68">
            <v>11.079508995037179</v>
          </cell>
          <cell r="AE68">
            <v>7.8946837217123065</v>
          </cell>
          <cell r="AG68">
            <v>2.6793381128343872</v>
          </cell>
          <cell r="AH68">
            <v>5.5517687670166964</v>
          </cell>
          <cell r="AI68">
            <v>2.8724306541823093</v>
          </cell>
          <cell r="AK68">
            <v>2.156593038301549</v>
          </cell>
          <cell r="AL68">
            <v>3.9392149110241541</v>
          </cell>
          <cell r="AM68">
            <v>1.7826218727226051</v>
          </cell>
        </row>
        <row r="69">
          <cell r="C69">
            <v>150000</v>
          </cell>
          <cell r="E69">
            <v>1.5808809901525265</v>
          </cell>
          <cell r="F69">
            <v>3.9075696232825732</v>
          </cell>
          <cell r="G69">
            <v>2.3266886331300469</v>
          </cell>
          <cell r="I69">
            <v>0.87947165621731216</v>
          </cell>
          <cell r="J69">
            <v>1.5659625165694651</v>
          </cell>
          <cell r="K69">
            <v>0.6864908603521529</v>
          </cell>
          <cell r="M69">
            <v>1.6020401031251357</v>
          </cell>
          <cell r="N69">
            <v>1.3812425250568612</v>
          </cell>
          <cell r="O69">
            <v>-0.22079757806827449</v>
          </cell>
          <cell r="Q69">
            <v>0.6274772289231535</v>
          </cell>
          <cell r="R69">
            <v>2.4604656834112162</v>
          </cell>
          <cell r="S69">
            <v>1.8329884544880626</v>
          </cell>
          <cell r="U69">
            <v>2.7789156830823631</v>
          </cell>
          <cell r="V69">
            <v>1.5847929212621743</v>
          </cell>
          <cell r="W69">
            <v>-1.1941227618201888</v>
          </cell>
          <cell r="Y69">
            <v>2.0888372560623965</v>
          </cell>
          <cell r="Z69">
            <v>1.861647860836839</v>
          </cell>
          <cell r="AA69">
            <v>-0.22718939522555748</v>
          </cell>
          <cell r="AC69">
            <v>1.6923287946877938</v>
          </cell>
          <cell r="AD69">
            <v>7.587363265095064</v>
          </cell>
          <cell r="AE69">
            <v>5.8950344704072704</v>
          </cell>
          <cell r="AG69">
            <v>2.2057862756323536</v>
          </cell>
          <cell r="AH69">
            <v>4.6355349669389012</v>
          </cell>
          <cell r="AI69">
            <v>2.4297486913065476</v>
          </cell>
          <cell r="AK69">
            <v>1.5459679651099301</v>
          </cell>
          <cell r="AL69">
            <v>3.0446127899732631</v>
          </cell>
          <cell r="AM69">
            <v>1.4986448248633331</v>
          </cell>
        </row>
        <row r="70">
          <cell r="C70">
            <v>175000</v>
          </cell>
          <cell r="E70">
            <v>1.2406614256504203</v>
          </cell>
          <cell r="F70">
            <v>3.3996745520244716</v>
          </cell>
          <cell r="G70">
            <v>2.1590131263740515</v>
          </cell>
          <cell r="I70">
            <v>0.50960224304167578</v>
          </cell>
          <cell r="J70">
            <v>1.221370664938205</v>
          </cell>
          <cell r="K70">
            <v>0.71176842189652922</v>
          </cell>
          <cell r="M70">
            <v>1.2604614408108927</v>
          </cell>
          <cell r="N70">
            <v>0.87574176235530798</v>
          </cell>
          <cell r="O70">
            <v>-0.38471967845558475</v>
          </cell>
          <cell r="Q70">
            <v>0.36842060950841421</v>
          </cell>
          <cell r="R70">
            <v>1.7320638142523432</v>
          </cell>
          <cell r="S70">
            <v>1.3636432047439291</v>
          </cell>
          <cell r="U70">
            <v>1.9309981684981825</v>
          </cell>
          <cell r="V70">
            <v>0.88707515731783138</v>
          </cell>
          <cell r="W70">
            <v>-1.0439230111803512</v>
          </cell>
          <cell r="Y70">
            <v>1.3445338629396837</v>
          </cell>
          <cell r="Z70">
            <v>1.4351187118006459</v>
          </cell>
          <cell r="AA70">
            <v>9.0584848860962186E-2</v>
          </cell>
          <cell r="AC70">
            <v>0.70673066604066526</v>
          </cell>
          <cell r="AD70">
            <v>5.6374155293630537</v>
          </cell>
          <cell r="AE70">
            <v>4.9306848633223881</v>
          </cell>
          <cell r="AG70">
            <v>1.8651751760868851</v>
          </cell>
          <cell r="AH70">
            <v>3.9548659665499479</v>
          </cell>
          <cell r="AI70">
            <v>2.0896907904630631</v>
          </cell>
          <cell r="AK70">
            <v>1.11553652573562</v>
          </cell>
          <cell r="AL70">
            <v>2.4582971153890489</v>
          </cell>
          <cell r="AM70">
            <v>1.3427605896534289</v>
          </cell>
        </row>
        <row r="71">
          <cell r="C71">
            <v>200000</v>
          </cell>
          <cell r="E71">
            <v>0.987790594373536</v>
          </cell>
          <cell r="F71">
            <v>3.000194089015324</v>
          </cell>
          <cell r="G71">
            <v>2.0124034946417879</v>
          </cell>
          <cell r="I71">
            <v>0.30285981879925689</v>
          </cell>
          <cell r="J71">
            <v>0.99908508954797759</v>
          </cell>
          <cell r="K71">
            <v>0.69622527074872065</v>
          </cell>
          <cell r="M71">
            <v>1.0705433429400468</v>
          </cell>
          <cell r="N71">
            <v>0.60284529792152342</v>
          </cell>
          <cell r="O71">
            <v>-0.46769804501852341</v>
          </cell>
          <cell r="Q71">
            <v>0.15411358596535485</v>
          </cell>
          <cell r="R71">
            <v>1.2170663940810016</v>
          </cell>
          <cell r="S71">
            <v>1.0629528081156467</v>
          </cell>
          <cell r="U71">
            <v>1.3001043092709796</v>
          </cell>
          <cell r="V71">
            <v>0.63616981866161604</v>
          </cell>
          <cell r="W71">
            <v>-0.6639344906093636</v>
          </cell>
          <cell r="Y71">
            <v>0.86449023490849852</v>
          </cell>
          <cell r="Z71">
            <v>1.1276282184241673</v>
          </cell>
          <cell r="AA71">
            <v>0.26313798351566875</v>
          </cell>
          <cell r="AC71">
            <v>0.28209806157355449</v>
          </cell>
          <cell r="AD71">
            <v>4.305198407774971</v>
          </cell>
          <cell r="AE71">
            <v>4.0231003462014163</v>
          </cell>
          <cell r="AG71">
            <v>1.5398915287464039</v>
          </cell>
          <cell r="AH71">
            <v>3.3973329832749699</v>
          </cell>
          <cell r="AI71">
            <v>1.857441454528566</v>
          </cell>
          <cell r="AK71">
            <v>0.82468847968777548</v>
          </cell>
          <cell r="AL71">
            <v>2.0556935072377267</v>
          </cell>
          <cell r="AM71">
            <v>1.2310050275499513</v>
          </cell>
        </row>
        <row r="72">
          <cell r="C72">
            <v>225000</v>
          </cell>
          <cell r="E72">
            <v>0.77409867446942882</v>
          </cell>
          <cell r="F72">
            <v>2.6560193942948467</v>
          </cell>
          <cell r="G72">
            <v>1.881920719825418</v>
          </cell>
          <cell r="I72">
            <v>0.15755555654505779</v>
          </cell>
          <cell r="J72">
            <v>0.85102606438578177</v>
          </cell>
          <cell r="K72">
            <v>0.69347050784072395</v>
          </cell>
          <cell r="M72">
            <v>0.94693484590047572</v>
          </cell>
          <cell r="N72">
            <v>0.48586653190713047</v>
          </cell>
          <cell r="O72">
            <v>-0.46106831399334525</v>
          </cell>
          <cell r="Q72">
            <v>8.9349431111669972E-2</v>
          </cell>
          <cell r="R72">
            <v>0.81236322040499509</v>
          </cell>
          <cell r="S72">
            <v>0.72301378929332516</v>
          </cell>
          <cell r="U72">
            <v>0.82274423107757322</v>
          </cell>
          <cell r="V72">
            <v>0.49520403387689899</v>
          </cell>
          <cell r="W72">
            <v>-0.32754019720067423</v>
          </cell>
          <cell r="Y72">
            <v>0.48511605056299462</v>
          </cell>
          <cell r="Z72">
            <v>0.95010391603747857</v>
          </cell>
          <cell r="AA72">
            <v>0.46498786547448395</v>
          </cell>
          <cell r="AC72">
            <v>0.14236143716324312</v>
          </cell>
          <cell r="AD72">
            <v>3.3871415942927747</v>
          </cell>
          <cell r="AE72">
            <v>3.2447801571295316</v>
          </cell>
          <cell r="AG72">
            <v>1.2964187571562389</v>
          </cell>
          <cell r="AH72">
            <v>3.0438499416569145</v>
          </cell>
          <cell r="AI72">
            <v>1.7474311845006756</v>
          </cell>
          <cell r="AK72">
            <v>0.61519602874296098</v>
          </cell>
          <cell r="AL72">
            <v>1.7600560777840319</v>
          </cell>
          <cell r="AM72">
            <v>1.144860049041071</v>
          </cell>
        </row>
        <row r="73">
          <cell r="C73">
            <v>250000</v>
          </cell>
          <cell r="E73">
            <v>0.58314236527297325</v>
          </cell>
          <cell r="F73">
            <v>2.3873345063617584</v>
          </cell>
          <cell r="G73">
            <v>1.8041921410887851</v>
          </cell>
          <cell r="I73">
            <v>0.11009052614703989</v>
          </cell>
          <cell r="J73">
            <v>0.74221883047493276</v>
          </cell>
          <cell r="K73">
            <v>0.63212830432789291</v>
          </cell>
          <cell r="M73">
            <v>0.82440024212837049</v>
          </cell>
          <cell r="N73">
            <v>0.36888776589273736</v>
          </cell>
          <cell r="O73">
            <v>-0.45551247623563312</v>
          </cell>
          <cell r="Q73">
            <v>2.4585276257985161E-2</v>
          </cell>
          <cell r="R73">
            <v>0.52493156152650455</v>
          </cell>
          <cell r="S73">
            <v>0.50034628526851943</v>
          </cell>
          <cell r="U73">
            <v>0.40842410675744684</v>
          </cell>
          <cell r="V73">
            <v>0.35423824909218204</v>
          </cell>
          <cell r="W73">
            <v>-5.4185857665264792E-2</v>
          </cell>
          <cell r="Y73">
            <v>0.15110397887646254</v>
          </cell>
          <cell r="Z73">
            <v>0.84771557565196509</v>
          </cell>
          <cell r="AA73">
            <v>0.69661159677550255</v>
          </cell>
          <cell r="AC73">
            <v>2.6248127529315823E-3</v>
          </cell>
          <cell r="AD73">
            <v>2.7409463916459593</v>
          </cell>
          <cell r="AE73">
            <v>2.7383215788930277</v>
          </cell>
          <cell r="AG73">
            <v>1.0795629922625849</v>
          </cell>
          <cell r="AH73">
            <v>2.8475923376118035</v>
          </cell>
          <cell r="AI73">
            <v>1.7680293453492186</v>
          </cell>
          <cell r="AK73">
            <v>0.44016118713441915</v>
          </cell>
          <cell r="AL73">
            <v>1.5381348531772894</v>
          </cell>
          <cell r="AM73">
            <v>1.0979736660428703</v>
          </cell>
        </row>
        <row r="74">
          <cell r="C74">
            <v>275000</v>
          </cell>
          <cell r="E74">
            <v>0.41066274765563993</v>
          </cell>
          <cell r="F74">
            <v>2.121004180880067</v>
          </cell>
          <cell r="G74">
            <v>1.7103414332244271</v>
          </cell>
          <cell r="I74">
            <v>7.2983563099637896E-2</v>
          </cell>
          <cell r="J74">
            <v>0.66922570350776811</v>
          </cell>
          <cell r="K74">
            <v>0.59624214040813017</v>
          </cell>
          <cell r="M74">
            <v>0.70186563835626536</v>
          </cell>
          <cell r="N74">
            <v>0.25190899987834436</v>
          </cell>
          <cell r="O74">
            <v>-0.449956638477921</v>
          </cell>
          <cell r="Q74">
            <v>0</v>
          </cell>
          <cell r="R74">
            <v>0.34735029692369207</v>
          </cell>
          <cell r="S74">
            <v>0.34735029692369207</v>
          </cell>
          <cell r="U74">
            <v>0.19229585229586407</v>
          </cell>
          <cell r="V74">
            <v>0.21327246430746497</v>
          </cell>
          <cell r="W74">
            <v>2.0976612011600893E-2</v>
          </cell>
          <cell r="Y74">
            <v>1.3288339555194522E-3</v>
          </cell>
          <cell r="Z74">
            <v>0.76129172543486845</v>
          </cell>
          <cell r="AA74">
            <v>0.75996289147934903</v>
          </cell>
          <cell r="AC74">
            <v>0</v>
          </cell>
          <cell r="AD74">
            <v>2.0947511889991439</v>
          </cell>
          <cell r="AE74">
            <v>2.0947511889991439</v>
          </cell>
          <cell r="AG74">
            <v>0.86831624509906546</v>
          </cell>
          <cell r="AH74">
            <v>2.6531154803578167</v>
          </cell>
          <cell r="AI74">
            <v>1.7847992352587512</v>
          </cell>
          <cell r="AK74">
            <v>0.31134510350495564</v>
          </cell>
          <cell r="AL74">
            <v>1.3341622713071706</v>
          </cell>
          <cell r="AM74">
            <v>1.0228171678022149</v>
          </cell>
        </row>
        <row r="75">
          <cell r="C75">
            <v>300000</v>
          </cell>
          <cell r="E75">
            <v>0.28989207149403828</v>
          </cell>
          <cell r="F75">
            <v>1.873473540568332</v>
          </cell>
          <cell r="G75">
            <v>1.5835814690742938</v>
          </cell>
          <cell r="I75">
            <v>3.5876600052235995E-2</v>
          </cell>
          <cell r="J75">
            <v>0.59623257654060335</v>
          </cell>
          <cell r="K75">
            <v>0.56035597648836732</v>
          </cell>
          <cell r="M75">
            <v>0.57933103458415991</v>
          </cell>
          <cell r="N75">
            <v>0.13493023386395109</v>
          </cell>
          <cell r="O75">
            <v>-0.44440080072020882</v>
          </cell>
          <cell r="Q75">
            <v>0</v>
          </cell>
          <cell r="R75">
            <v>0.22566026577104412</v>
          </cell>
          <cell r="S75">
            <v>0.22566026577104412</v>
          </cell>
          <cell r="U75">
            <v>9.2876228709568423E-2</v>
          </cell>
          <cell r="V75">
            <v>7.2306679522747899E-2</v>
          </cell>
          <cell r="W75">
            <v>-2.0569549186820524E-2</v>
          </cell>
          <cell r="Y75">
            <v>0</v>
          </cell>
          <cell r="Z75">
            <v>0.67486787521777158</v>
          </cell>
          <cell r="AA75">
            <v>0.67486787521777158</v>
          </cell>
          <cell r="AC75">
            <v>0</v>
          </cell>
          <cell r="AD75">
            <v>1.4485559863523285</v>
          </cell>
          <cell r="AE75">
            <v>1.4485559863523285</v>
          </cell>
          <cell r="AG75">
            <v>0.75988836265223847</v>
          </cell>
          <cell r="AH75">
            <v>2.45863862310383</v>
          </cell>
          <cell r="AI75">
            <v>1.6987502604515914</v>
          </cell>
          <cell r="AK75">
            <v>0.23020048743217</v>
          </cell>
          <cell r="AL75">
            <v>1.143020632949989</v>
          </cell>
          <cell r="AM75">
            <v>0.91282014551781898</v>
          </cell>
        </row>
        <row r="76">
          <cell r="C76">
            <v>325000</v>
          </cell>
          <cell r="E76">
            <v>0.20755145244306319</v>
          </cell>
          <cell r="F76">
            <v>1.6655674187980916</v>
          </cell>
          <cell r="G76">
            <v>1.4580159663550283</v>
          </cell>
          <cell r="I76">
            <v>0</v>
          </cell>
          <cell r="J76">
            <v>0.5232394495734386</v>
          </cell>
          <cell r="K76">
            <v>0.5232394495734386</v>
          </cell>
          <cell r="M76">
            <v>0.46167573422734431</v>
          </cell>
          <cell r="N76">
            <v>3.1377775906122451E-2</v>
          </cell>
          <cell r="O76">
            <v>-0.43029795832122186</v>
          </cell>
          <cell r="Q76">
            <v>0</v>
          </cell>
          <cell r="R76">
            <v>0.13048396125389417</v>
          </cell>
          <cell r="S76">
            <v>0.13048396125389417</v>
          </cell>
          <cell r="U76">
            <v>1.5792818292824713E-2</v>
          </cell>
          <cell r="V76">
            <v>0</v>
          </cell>
          <cell r="W76">
            <v>-1.5792818292824713E-2</v>
          </cell>
          <cell r="Y76">
            <v>0</v>
          </cell>
          <cell r="Z76">
            <v>0.58844402500067494</v>
          </cell>
          <cell r="AA76">
            <v>0.58844402500067494</v>
          </cell>
          <cell r="AC76">
            <v>0</v>
          </cell>
          <cell r="AD76">
            <v>0.93365446650122708</v>
          </cell>
          <cell r="AE76">
            <v>0.93365446650122708</v>
          </cell>
          <cell r="AG76">
            <v>0.65146048020541159</v>
          </cell>
          <cell r="AH76">
            <v>2.2641617658498432</v>
          </cell>
          <cell r="AI76">
            <v>1.6127012856444316</v>
          </cell>
          <cell r="AK76">
            <v>0.16725077415132814</v>
          </cell>
          <cell r="AL76">
            <v>0.983011523891412</v>
          </cell>
          <cell r="AM76">
            <v>0.81576074974008383</v>
          </cell>
        </row>
        <row r="77">
          <cell r="C77">
            <v>350000</v>
          </cell>
          <cell r="E77">
            <v>0.134106718136734</v>
          </cell>
          <cell r="F77">
            <v>1.4756174803708506</v>
          </cell>
          <cell r="G77">
            <v>1.3415107622341167</v>
          </cell>
          <cell r="I77">
            <v>0</v>
          </cell>
          <cell r="J77">
            <v>0.48175228760460004</v>
          </cell>
          <cell r="K77">
            <v>0.48175228760460004</v>
          </cell>
          <cell r="M77">
            <v>0.40040843234129159</v>
          </cell>
          <cell r="N77">
            <v>0</v>
          </cell>
          <cell r="O77">
            <v>-0.40040843234129159</v>
          </cell>
          <cell r="Q77">
            <v>0</v>
          </cell>
          <cell r="R77">
            <v>6.9638945677570188E-2</v>
          </cell>
          <cell r="S77">
            <v>6.9638945677570188E-2</v>
          </cell>
          <cell r="U77">
            <v>0</v>
          </cell>
          <cell r="V77">
            <v>0</v>
          </cell>
          <cell r="W77">
            <v>0</v>
          </cell>
          <cell r="Y77">
            <v>0</v>
          </cell>
          <cell r="Z77">
            <v>0.50202017478357819</v>
          </cell>
          <cell r="AA77">
            <v>0.50202017478357819</v>
          </cell>
          <cell r="AC77">
            <v>0</v>
          </cell>
          <cell r="AD77">
            <v>0.67517638544250091</v>
          </cell>
          <cell r="AE77">
            <v>0.67517638544250091</v>
          </cell>
          <cell r="AG77">
            <v>0.54303259775858448</v>
          </cell>
          <cell r="AH77">
            <v>2.0696849085958564</v>
          </cell>
          <cell r="AI77">
            <v>1.5266523108372718</v>
          </cell>
          <cell r="AK77">
            <v>0.12402644833009191</v>
          </cell>
          <cell r="AL77">
            <v>0.86251030055802003</v>
          </cell>
          <cell r="AM77">
            <v>0.73848385222792812</v>
          </cell>
        </row>
        <row r="78">
          <cell r="C78">
            <v>375000</v>
          </cell>
          <cell r="E78">
            <v>7.2795271334226655E-2</v>
          </cell>
          <cell r="F78">
            <v>1.307078912004866</v>
          </cell>
          <cell r="G78">
            <v>1.2342836406706394</v>
          </cell>
          <cell r="I78">
            <v>0</v>
          </cell>
          <cell r="J78">
            <v>0.4452557241210176</v>
          </cell>
          <cell r="K78">
            <v>0.4452557241210176</v>
          </cell>
          <cell r="M78">
            <v>0.33914113045523903</v>
          </cell>
          <cell r="N78">
            <v>0</v>
          </cell>
          <cell r="O78">
            <v>-0.33914113045523903</v>
          </cell>
          <cell r="Q78">
            <v>0</v>
          </cell>
          <cell r="R78">
            <v>8.7939301012460724E-3</v>
          </cell>
          <cell r="S78">
            <v>8.7939301012460724E-3</v>
          </cell>
          <cell r="U78">
            <v>0</v>
          </cell>
          <cell r="V78">
            <v>0</v>
          </cell>
          <cell r="W78">
            <v>0</v>
          </cell>
          <cell r="Y78">
            <v>0</v>
          </cell>
          <cell r="Z78">
            <v>0.41559632456648155</v>
          </cell>
          <cell r="AA78">
            <v>0.41559632456648155</v>
          </cell>
          <cell r="AC78">
            <v>0</v>
          </cell>
          <cell r="AD78">
            <v>0.4166983043837747</v>
          </cell>
          <cell r="AE78">
            <v>0.4166983043837747</v>
          </cell>
          <cell r="AG78">
            <v>0.43460471531175759</v>
          </cell>
          <cell r="AH78">
            <v>1.8752080513418694</v>
          </cell>
          <cell r="AI78">
            <v>1.4406033360301118</v>
          </cell>
          <cell r="AK78">
            <v>8.6986780394451804E-2</v>
          </cell>
          <cell r="AL78">
            <v>0.75450224201992599</v>
          </cell>
          <cell r="AM78">
            <v>0.66751546162547415</v>
          </cell>
        </row>
        <row r="79">
          <cell r="C79">
            <v>400000</v>
          </cell>
          <cell r="E79">
            <v>3.9164533831581659E-2</v>
          </cell>
          <cell r="F79">
            <v>1.156788115559011</v>
          </cell>
          <cell r="G79">
            <v>1.1176235817274294</v>
          </cell>
          <cell r="I79">
            <v>0</v>
          </cell>
          <cell r="J79">
            <v>0.40875916063743523</v>
          </cell>
          <cell r="K79">
            <v>0.40875916063743523</v>
          </cell>
          <cell r="M79">
            <v>0.27787382856918635</v>
          </cell>
          <cell r="N79">
            <v>0</v>
          </cell>
          <cell r="O79">
            <v>-0.27787382856918635</v>
          </cell>
          <cell r="Q79">
            <v>0</v>
          </cell>
          <cell r="R79">
            <v>0</v>
          </cell>
          <cell r="S79">
            <v>0</v>
          </cell>
          <cell r="U79">
            <v>0</v>
          </cell>
          <cell r="V79">
            <v>0</v>
          </cell>
          <cell r="W79">
            <v>0</v>
          </cell>
          <cell r="Y79">
            <v>0</v>
          </cell>
          <cell r="Z79">
            <v>0.32917247434938474</v>
          </cell>
          <cell r="AA79">
            <v>0.32917247434938474</v>
          </cell>
          <cell r="AC79">
            <v>0</v>
          </cell>
          <cell r="AD79">
            <v>0.15822022332504795</v>
          </cell>
          <cell r="AE79">
            <v>0.15822022332504795</v>
          </cell>
          <cell r="AG79">
            <v>0.32617683286493077</v>
          </cell>
          <cell r="AH79">
            <v>1.6807311940878826</v>
          </cell>
          <cell r="AI79">
            <v>1.3545543612229518</v>
          </cell>
          <cell r="AK79">
            <v>6.1252567705853377E-2</v>
          </cell>
          <cell r="AL79">
            <v>0.65874296355922224</v>
          </cell>
          <cell r="AM79">
            <v>0.59749039585336883</v>
          </cell>
        </row>
        <row r="80">
          <cell r="C80">
            <v>425000</v>
          </cell>
          <cell r="E80">
            <v>1.4356165832337267E-2</v>
          </cell>
          <cell r="F80">
            <v>1.0303841892845222</v>
          </cell>
          <cell r="G80">
            <v>1.016028023452185</v>
          </cell>
          <cell r="I80">
            <v>0</v>
          </cell>
          <cell r="J80">
            <v>0.37226259715385285</v>
          </cell>
          <cell r="K80">
            <v>0.37226259715385285</v>
          </cell>
          <cell r="M80">
            <v>0.21660652668313377</v>
          </cell>
          <cell r="N80">
            <v>0</v>
          </cell>
          <cell r="O80">
            <v>-0.21660652668313377</v>
          </cell>
          <cell r="Q80">
            <v>0</v>
          </cell>
          <cell r="R80">
            <v>0</v>
          </cell>
          <cell r="S80">
            <v>0</v>
          </cell>
          <cell r="U80">
            <v>0</v>
          </cell>
          <cell r="V80">
            <v>0</v>
          </cell>
          <cell r="W80">
            <v>0</v>
          </cell>
          <cell r="Y80">
            <v>0</v>
          </cell>
          <cell r="Z80">
            <v>0.24274862413228812</v>
          </cell>
          <cell r="AA80">
            <v>0.24274862413228812</v>
          </cell>
          <cell r="AC80">
            <v>0</v>
          </cell>
          <cell r="AD80">
            <v>0</v>
          </cell>
          <cell r="AE80">
            <v>0</v>
          </cell>
          <cell r="AG80">
            <v>0.2177489504181036</v>
          </cell>
          <cell r="AH80">
            <v>1.4862543368338959</v>
          </cell>
          <cell r="AI80">
            <v>1.2685053864157922</v>
          </cell>
          <cell r="AK80">
            <v>3.9121619027328212E-2</v>
          </cell>
          <cell r="AL80">
            <v>0.57788332855824365</v>
          </cell>
          <cell r="AM80">
            <v>0.5387617095309154</v>
          </cell>
        </row>
        <row r="81">
          <cell r="C81">
            <v>450000</v>
          </cell>
          <cell r="E81">
            <v>0</v>
          </cell>
          <cell r="F81">
            <v>0.90709708608049144</v>
          </cell>
          <cell r="G81">
            <v>0.90709708608049144</v>
          </cell>
          <cell r="I81">
            <v>0</v>
          </cell>
          <cell r="J81">
            <v>0.33576603367027053</v>
          </cell>
          <cell r="K81">
            <v>0.33576603367027053</v>
          </cell>
          <cell r="M81">
            <v>0.1553392247970812</v>
          </cell>
          <cell r="N81">
            <v>0</v>
          </cell>
          <cell r="O81">
            <v>-0.1553392247970812</v>
          </cell>
          <cell r="Q81">
            <v>0</v>
          </cell>
          <cell r="R81">
            <v>0</v>
          </cell>
          <cell r="S81">
            <v>0</v>
          </cell>
          <cell r="U81">
            <v>0</v>
          </cell>
          <cell r="V81">
            <v>0</v>
          </cell>
          <cell r="W81">
            <v>0</v>
          </cell>
          <cell r="Y81">
            <v>0</v>
          </cell>
          <cell r="Z81">
            <v>0.15632477391519148</v>
          </cell>
          <cell r="AA81">
            <v>0.15632477391519148</v>
          </cell>
          <cell r="AC81">
            <v>0</v>
          </cell>
          <cell r="AD81">
            <v>0</v>
          </cell>
          <cell r="AE81">
            <v>0</v>
          </cell>
          <cell r="AG81">
            <v>0.10932106797127676</v>
          </cell>
          <cell r="AH81">
            <v>1.2917774795799091</v>
          </cell>
          <cell r="AI81">
            <v>1.1824564116086322</v>
          </cell>
          <cell r="AK81">
            <v>2.1259596500627771E-2</v>
          </cell>
          <cell r="AL81">
            <v>0.50524460528171733</v>
          </cell>
          <cell r="AM81">
            <v>0.48398500878108958</v>
          </cell>
        </row>
        <row r="82">
          <cell r="C82">
            <v>475000</v>
          </cell>
          <cell r="E82">
            <v>0</v>
          </cell>
          <cell r="F82">
            <v>0.81856598959103588</v>
          </cell>
          <cell r="G82">
            <v>0.81856598959103588</v>
          </cell>
          <cell r="I82">
            <v>0</v>
          </cell>
          <cell r="J82">
            <v>0.29926947018668804</v>
          </cell>
          <cell r="K82">
            <v>0.29926947018668804</v>
          </cell>
          <cell r="M82">
            <v>9.4071922911028505E-2</v>
          </cell>
          <cell r="N82">
            <v>0</v>
          </cell>
          <cell r="O82">
            <v>-9.4071922911028505E-2</v>
          </cell>
          <cell r="Q82">
            <v>0</v>
          </cell>
          <cell r="R82">
            <v>0</v>
          </cell>
          <cell r="S82">
            <v>0</v>
          </cell>
          <cell r="U82">
            <v>0</v>
          </cell>
          <cell r="V82">
            <v>0</v>
          </cell>
          <cell r="W82">
            <v>0</v>
          </cell>
          <cell r="Y82">
            <v>0</v>
          </cell>
          <cell r="Z82">
            <v>6.9900923698094822E-2</v>
          </cell>
          <cell r="AA82">
            <v>6.9900923698094822E-2</v>
          </cell>
          <cell r="AC82">
            <v>0</v>
          </cell>
          <cell r="AD82">
            <v>0</v>
          </cell>
          <cell r="AE82">
            <v>0</v>
          </cell>
          <cell r="AG82">
            <v>8.9318552444961341E-4</v>
          </cell>
          <cell r="AH82">
            <v>1.0973006223259223</v>
          </cell>
          <cell r="AI82">
            <v>1.0964074368014727</v>
          </cell>
          <cell r="AK82">
            <v>9.2609710631578936E-3</v>
          </cell>
          <cell r="AL82">
            <v>0.44667329949841061</v>
          </cell>
          <cell r="AM82">
            <v>0.43741232843525274</v>
          </cell>
        </row>
        <row r="83">
          <cell r="C83">
            <v>500000</v>
          </cell>
          <cell r="E83">
            <v>0</v>
          </cell>
          <cell r="F83">
            <v>0.74145888670161586</v>
          </cell>
          <cell r="G83">
            <v>0.74145888670161586</v>
          </cell>
          <cell r="I83">
            <v>0</v>
          </cell>
          <cell r="J83">
            <v>0.26277290670310566</v>
          </cell>
          <cell r="K83">
            <v>0.26277290670310566</v>
          </cell>
          <cell r="M83">
            <v>3.2804621024975944E-2</v>
          </cell>
          <cell r="N83">
            <v>0</v>
          </cell>
          <cell r="O83">
            <v>-3.2804621024975944E-2</v>
          </cell>
          <cell r="Q83">
            <v>0</v>
          </cell>
          <cell r="R83">
            <v>0</v>
          </cell>
          <cell r="S83">
            <v>0</v>
          </cell>
          <cell r="U83">
            <v>0</v>
          </cell>
          <cell r="V83">
            <v>0</v>
          </cell>
          <cell r="W83">
            <v>0</v>
          </cell>
          <cell r="Y83">
            <v>0</v>
          </cell>
          <cell r="Z83">
            <v>0</v>
          </cell>
          <cell r="AA83">
            <v>0</v>
          </cell>
          <cell r="AC83">
            <v>0</v>
          </cell>
          <cell r="AD83">
            <v>0</v>
          </cell>
          <cell r="AE83">
            <v>0</v>
          </cell>
          <cell r="AG83">
            <v>0</v>
          </cell>
          <cell r="AH83">
            <v>0.90282376507193562</v>
          </cell>
          <cell r="AI83">
            <v>0.90282376507193562</v>
          </cell>
          <cell r="AK83">
            <v>3.2122384059716422E-3</v>
          </cell>
          <cell r="AL83">
            <v>0.39381264581090497</v>
          </cell>
          <cell r="AM83">
            <v>0.39060040740493335</v>
          </cell>
        </row>
        <row r="84">
          <cell r="C84">
            <v>525000</v>
          </cell>
          <cell r="E84">
            <v>0</v>
          </cell>
          <cell r="F84">
            <v>0.67123448321578894</v>
          </cell>
          <cell r="G84">
            <v>0.67123448321578894</v>
          </cell>
          <cell r="I84">
            <v>0</v>
          </cell>
          <cell r="J84">
            <v>0.22627634321952339</v>
          </cell>
          <cell r="K84">
            <v>0.22627634321952339</v>
          </cell>
          <cell r="M84">
            <v>0</v>
          </cell>
          <cell r="N84">
            <v>0</v>
          </cell>
          <cell r="O84">
            <v>0</v>
          </cell>
          <cell r="Q84">
            <v>0</v>
          </cell>
          <cell r="R84">
            <v>0</v>
          </cell>
          <cell r="S84">
            <v>0</v>
          </cell>
          <cell r="U84">
            <v>0</v>
          </cell>
          <cell r="V84">
            <v>0</v>
          </cell>
          <cell r="W84">
            <v>0</v>
          </cell>
          <cell r="Y84">
            <v>0</v>
          </cell>
          <cell r="Z84">
            <v>0</v>
          </cell>
          <cell r="AA84">
            <v>0</v>
          </cell>
          <cell r="AC84">
            <v>0</v>
          </cell>
          <cell r="AD84">
            <v>0</v>
          </cell>
          <cell r="AE84">
            <v>0</v>
          </cell>
          <cell r="AG84">
            <v>0</v>
          </cell>
          <cell r="AH84">
            <v>0.70834690781794885</v>
          </cell>
          <cell r="AI84">
            <v>0.70834690781794885</v>
          </cell>
          <cell r="AK84">
            <v>0</v>
          </cell>
          <cell r="AL84">
            <v>0.34833556853170755</v>
          </cell>
          <cell r="AM84">
            <v>0.34833556853170755</v>
          </cell>
        </row>
        <row r="85">
          <cell r="C85">
            <v>550000</v>
          </cell>
          <cell r="E85">
            <v>0</v>
          </cell>
          <cell r="F85">
            <v>0.60726811901968103</v>
          </cell>
          <cell r="G85">
            <v>0.60726811901968103</v>
          </cell>
          <cell r="I85">
            <v>0</v>
          </cell>
          <cell r="J85">
            <v>0.18977977973594098</v>
          </cell>
          <cell r="K85">
            <v>0.18977977973594098</v>
          </cell>
          <cell r="M85">
            <v>0</v>
          </cell>
          <cell r="N85">
            <v>0</v>
          </cell>
          <cell r="O85">
            <v>0</v>
          </cell>
          <cell r="Q85">
            <v>0</v>
          </cell>
          <cell r="R85">
            <v>0</v>
          </cell>
          <cell r="S85">
            <v>0</v>
          </cell>
          <cell r="U85">
            <v>0</v>
          </cell>
          <cell r="V85">
            <v>0</v>
          </cell>
          <cell r="W85">
            <v>0</v>
          </cell>
          <cell r="Y85">
            <v>0</v>
          </cell>
          <cell r="Z85">
            <v>0</v>
          </cell>
          <cell r="AA85">
            <v>0</v>
          </cell>
          <cell r="AC85">
            <v>0</v>
          </cell>
          <cell r="AD85">
            <v>0</v>
          </cell>
          <cell r="AE85">
            <v>0</v>
          </cell>
          <cell r="AG85">
            <v>0</v>
          </cell>
          <cell r="AH85">
            <v>0.51387005056396207</v>
          </cell>
          <cell r="AI85">
            <v>0.51387005056396207</v>
          </cell>
          <cell r="AK85">
            <v>0</v>
          </cell>
          <cell r="AL85">
            <v>0.30539141893031746</v>
          </cell>
          <cell r="AM85">
            <v>0.30539141893031746</v>
          </cell>
        </row>
        <row r="86">
          <cell r="C86">
            <v>575000</v>
          </cell>
          <cell r="E86">
            <v>0</v>
          </cell>
          <cell r="F86">
            <v>0.55108859623101936</v>
          </cell>
          <cell r="G86">
            <v>0.55108859623101936</v>
          </cell>
          <cell r="I86">
            <v>0</v>
          </cell>
          <cell r="J86">
            <v>0.15328321625235861</v>
          </cell>
          <cell r="K86">
            <v>0.15328321625235861</v>
          </cell>
          <cell r="M86">
            <v>0</v>
          </cell>
          <cell r="N86">
            <v>0</v>
          </cell>
          <cell r="O86">
            <v>0</v>
          </cell>
          <cell r="Q86">
            <v>0</v>
          </cell>
          <cell r="R86">
            <v>0</v>
          </cell>
          <cell r="S86">
            <v>0</v>
          </cell>
          <cell r="U86">
            <v>0</v>
          </cell>
          <cell r="V86">
            <v>0</v>
          </cell>
          <cell r="W86">
            <v>0</v>
          </cell>
          <cell r="Y86">
            <v>0</v>
          </cell>
          <cell r="Z86">
            <v>0</v>
          </cell>
          <cell r="AA86">
            <v>0</v>
          </cell>
          <cell r="AC86">
            <v>0</v>
          </cell>
          <cell r="AD86">
            <v>0</v>
          </cell>
          <cell r="AE86">
            <v>0</v>
          </cell>
          <cell r="AG86">
            <v>0</v>
          </cell>
          <cell r="AH86">
            <v>0.31939319330997523</v>
          </cell>
          <cell r="AI86">
            <v>0.31939319330997523</v>
          </cell>
          <cell r="AK86">
            <v>0</v>
          </cell>
          <cell r="AL86">
            <v>0.26559897631101964</v>
          </cell>
          <cell r="AM86">
            <v>0.26559897631101964</v>
          </cell>
        </row>
        <row r="87">
          <cell r="C87">
            <v>600000</v>
          </cell>
          <cell r="E87">
            <v>0</v>
          </cell>
          <cell r="F87">
            <v>0.49490907344235779</v>
          </cell>
          <cell r="G87">
            <v>0.49490907344235779</v>
          </cell>
          <cell r="I87">
            <v>0</v>
          </cell>
          <cell r="J87">
            <v>0.1167866527687762</v>
          </cell>
          <cell r="K87">
            <v>0.1167866527687762</v>
          </cell>
          <cell r="M87">
            <v>0</v>
          </cell>
          <cell r="N87">
            <v>0</v>
          </cell>
          <cell r="O87">
            <v>0</v>
          </cell>
          <cell r="Q87">
            <v>0</v>
          </cell>
          <cell r="R87">
            <v>0</v>
          </cell>
          <cell r="S87">
            <v>0</v>
          </cell>
          <cell r="U87">
            <v>0</v>
          </cell>
          <cell r="V87">
            <v>0</v>
          </cell>
          <cell r="W87">
            <v>0</v>
          </cell>
          <cell r="Y87">
            <v>0</v>
          </cell>
          <cell r="Z87">
            <v>0</v>
          </cell>
          <cell r="AA87">
            <v>0</v>
          </cell>
          <cell r="AC87">
            <v>0</v>
          </cell>
          <cell r="AD87">
            <v>0</v>
          </cell>
          <cell r="AE87">
            <v>0</v>
          </cell>
          <cell r="AG87">
            <v>0</v>
          </cell>
          <cell r="AH87">
            <v>0.14765842084790629</v>
          </cell>
          <cell r="AI87">
            <v>0.14765842084790629</v>
          </cell>
          <cell r="AK87">
            <v>0</v>
          </cell>
          <cell r="AL87">
            <v>0.22713605377212773</v>
          </cell>
          <cell r="AM87">
            <v>0.22713605377212773</v>
          </cell>
        </row>
        <row r="88">
          <cell r="C88">
            <v>625000</v>
          </cell>
          <cell r="E88">
            <v>0</v>
          </cell>
          <cell r="F88">
            <v>0.45107524235845659</v>
          </cell>
          <cell r="G88">
            <v>0.45107524235845659</v>
          </cell>
          <cell r="I88">
            <v>0</v>
          </cell>
          <cell r="J88">
            <v>8.0290089285193808E-2</v>
          </cell>
          <cell r="K88">
            <v>8.0290089285193808E-2</v>
          </cell>
          <cell r="M88">
            <v>0</v>
          </cell>
          <cell r="N88">
            <v>0</v>
          </cell>
          <cell r="O88">
            <v>0</v>
          </cell>
          <cell r="Q88">
            <v>0</v>
          </cell>
          <cell r="R88">
            <v>0</v>
          </cell>
          <cell r="S88">
            <v>0</v>
          </cell>
          <cell r="U88">
            <v>0</v>
          </cell>
          <cell r="V88">
            <v>0</v>
          </cell>
          <cell r="W88">
            <v>0</v>
          </cell>
          <cell r="Y88">
            <v>0</v>
          </cell>
          <cell r="Z88">
            <v>0</v>
          </cell>
          <cell r="AA88">
            <v>0</v>
          </cell>
          <cell r="AC88">
            <v>0</v>
          </cell>
          <cell r="AD88">
            <v>0</v>
          </cell>
          <cell r="AE88">
            <v>0</v>
          </cell>
          <cell r="AG88">
            <v>0</v>
          </cell>
          <cell r="AH88">
            <v>5.0419992220912903E-2</v>
          </cell>
          <cell r="AI88">
            <v>5.0419992220912903E-2</v>
          </cell>
          <cell r="AK88">
            <v>0</v>
          </cell>
          <cell r="AL88">
            <v>0.19802513745448561</v>
          </cell>
          <cell r="AM88">
            <v>0.19802513745448561</v>
          </cell>
        </row>
        <row r="89">
          <cell r="C89">
            <v>650000</v>
          </cell>
          <cell r="E89">
            <v>0</v>
          </cell>
          <cell r="F89">
            <v>0.41028309985122996</v>
          </cell>
          <cell r="G89">
            <v>0.41028309985122996</v>
          </cell>
          <cell r="I89">
            <v>0</v>
          </cell>
          <cell r="J89">
            <v>4.3793525801611409E-2</v>
          </cell>
          <cell r="K89">
            <v>4.3793525801611409E-2</v>
          </cell>
          <cell r="M89">
            <v>0</v>
          </cell>
          <cell r="N89">
            <v>0</v>
          </cell>
          <cell r="O89">
            <v>0</v>
          </cell>
          <cell r="Q89">
            <v>0</v>
          </cell>
          <cell r="R89">
            <v>0</v>
          </cell>
          <cell r="S89">
            <v>0</v>
          </cell>
          <cell r="U89">
            <v>0</v>
          </cell>
          <cell r="V89">
            <v>0</v>
          </cell>
          <cell r="W89">
            <v>0</v>
          </cell>
          <cell r="Y89">
            <v>0</v>
          </cell>
          <cell r="Z89">
            <v>0</v>
          </cell>
          <cell r="AA89">
            <v>0</v>
          </cell>
          <cell r="AC89">
            <v>0</v>
          </cell>
          <cell r="AD89">
            <v>0</v>
          </cell>
          <cell r="AE89">
            <v>0</v>
          </cell>
          <cell r="AG89">
            <v>0</v>
          </cell>
          <cell r="AH89">
            <v>0</v>
          </cell>
          <cell r="AI89">
            <v>0</v>
          </cell>
          <cell r="AK89">
            <v>0</v>
          </cell>
          <cell r="AL89">
            <v>0.17288238036118653</v>
          </cell>
          <cell r="AM89">
            <v>0.17288238036118653</v>
          </cell>
        </row>
        <row r="90">
          <cell r="C90">
            <v>675000</v>
          </cell>
          <cell r="E90">
            <v>0</v>
          </cell>
          <cell r="F90">
            <v>0.38219333845689912</v>
          </cell>
          <cell r="G90">
            <v>0.38219333845689912</v>
          </cell>
          <cell r="I90">
            <v>0</v>
          </cell>
          <cell r="J90">
            <v>7.29696231802901E-3</v>
          </cell>
          <cell r="K90">
            <v>7.29696231802901E-3</v>
          </cell>
          <cell r="M90">
            <v>0</v>
          </cell>
          <cell r="N90">
            <v>0</v>
          </cell>
          <cell r="O90">
            <v>0</v>
          </cell>
          <cell r="Q90">
            <v>0</v>
          </cell>
          <cell r="R90">
            <v>0</v>
          </cell>
          <cell r="S90">
            <v>0</v>
          </cell>
          <cell r="U90">
            <v>0</v>
          </cell>
          <cell r="V90">
            <v>0</v>
          </cell>
          <cell r="W90">
            <v>0</v>
          </cell>
          <cell r="Y90">
            <v>0</v>
          </cell>
          <cell r="Z90">
            <v>0</v>
          </cell>
          <cell r="AA90">
            <v>0</v>
          </cell>
          <cell r="AC90">
            <v>0</v>
          </cell>
          <cell r="AD90">
            <v>0</v>
          </cell>
          <cell r="AE90">
            <v>0</v>
          </cell>
          <cell r="AG90">
            <v>0</v>
          </cell>
          <cell r="AH90">
            <v>0</v>
          </cell>
          <cell r="AI90">
            <v>0</v>
          </cell>
          <cell r="AK90">
            <v>0</v>
          </cell>
          <cell r="AL90">
            <v>0.15582847638148753</v>
          </cell>
          <cell r="AM90">
            <v>0.15582847638148753</v>
          </cell>
        </row>
        <row r="91">
          <cell r="C91">
            <v>700000</v>
          </cell>
          <cell r="E91">
            <v>0</v>
          </cell>
          <cell r="F91">
            <v>0</v>
          </cell>
          <cell r="G91">
            <v>0</v>
          </cell>
          <cell r="I91">
            <v>0</v>
          </cell>
          <cell r="J91">
            <v>0</v>
          </cell>
          <cell r="K91">
            <v>0</v>
          </cell>
          <cell r="M91">
            <v>0</v>
          </cell>
          <cell r="N91">
            <v>0</v>
          </cell>
          <cell r="O91">
            <v>0</v>
          </cell>
          <cell r="Q91">
            <v>0</v>
          </cell>
          <cell r="R91">
            <v>0</v>
          </cell>
          <cell r="S91">
            <v>0</v>
          </cell>
          <cell r="U91">
            <v>0</v>
          </cell>
          <cell r="V91">
            <v>0</v>
          </cell>
          <cell r="W91">
            <v>0</v>
          </cell>
          <cell r="Y91">
            <v>0</v>
          </cell>
          <cell r="Z91">
            <v>0</v>
          </cell>
          <cell r="AA91">
            <v>0</v>
          </cell>
          <cell r="AC91">
            <v>0</v>
          </cell>
          <cell r="AD91">
            <v>0</v>
          </cell>
          <cell r="AE91">
            <v>0</v>
          </cell>
          <cell r="AG91">
            <v>0</v>
          </cell>
          <cell r="AH91">
            <v>0</v>
          </cell>
          <cell r="AI91">
            <v>0</v>
          </cell>
          <cell r="AK91">
            <v>0</v>
          </cell>
          <cell r="AL91">
            <v>0</v>
          </cell>
          <cell r="AM91">
            <v>0</v>
          </cell>
        </row>
        <row r="92">
          <cell r="C92">
            <v>725000</v>
          </cell>
          <cell r="E92">
            <v>0</v>
          </cell>
          <cell r="F92">
            <v>0</v>
          </cell>
          <cell r="G92">
            <v>0</v>
          </cell>
          <cell r="I92">
            <v>0</v>
          </cell>
          <cell r="J92">
            <v>0</v>
          </cell>
          <cell r="K92">
            <v>0</v>
          </cell>
          <cell r="M92">
            <v>0</v>
          </cell>
          <cell r="N92">
            <v>0</v>
          </cell>
          <cell r="O92">
            <v>0</v>
          </cell>
          <cell r="Q92">
            <v>0</v>
          </cell>
          <cell r="R92">
            <v>0</v>
          </cell>
          <cell r="S92">
            <v>0</v>
          </cell>
          <cell r="U92">
            <v>0</v>
          </cell>
          <cell r="V92">
            <v>0</v>
          </cell>
          <cell r="W92">
            <v>0</v>
          </cell>
          <cell r="Y92">
            <v>0</v>
          </cell>
          <cell r="Z92">
            <v>0</v>
          </cell>
          <cell r="AA92">
            <v>0</v>
          </cell>
          <cell r="AC92">
            <v>0</v>
          </cell>
          <cell r="AD92">
            <v>0</v>
          </cell>
          <cell r="AE92">
            <v>0</v>
          </cell>
          <cell r="AG92">
            <v>0</v>
          </cell>
          <cell r="AH92">
            <v>0</v>
          </cell>
          <cell r="AI92">
            <v>0</v>
          </cell>
          <cell r="AK92">
            <v>0</v>
          </cell>
          <cell r="AL92">
            <v>0</v>
          </cell>
          <cell r="AM92">
            <v>0</v>
          </cell>
        </row>
        <row r="93">
          <cell r="C93">
            <v>750000</v>
          </cell>
          <cell r="E93">
            <v>0</v>
          </cell>
          <cell r="F93">
            <v>0</v>
          </cell>
          <cell r="G93">
            <v>0</v>
          </cell>
          <cell r="I93">
            <v>0</v>
          </cell>
          <cell r="J93">
            <v>0</v>
          </cell>
          <cell r="K93">
            <v>0</v>
          </cell>
          <cell r="M93">
            <v>0</v>
          </cell>
          <cell r="N93">
            <v>0</v>
          </cell>
          <cell r="O93">
            <v>0</v>
          </cell>
          <cell r="Q93">
            <v>0</v>
          </cell>
          <cell r="R93">
            <v>0</v>
          </cell>
          <cell r="S93">
            <v>0</v>
          </cell>
          <cell r="U93">
            <v>0</v>
          </cell>
          <cell r="V93">
            <v>0</v>
          </cell>
          <cell r="W93">
            <v>0</v>
          </cell>
          <cell r="Y93">
            <v>0</v>
          </cell>
          <cell r="Z93">
            <v>0</v>
          </cell>
          <cell r="AA93">
            <v>0</v>
          </cell>
          <cell r="AC93">
            <v>0</v>
          </cell>
          <cell r="AD93">
            <v>0</v>
          </cell>
          <cell r="AE93">
            <v>0</v>
          </cell>
          <cell r="AG93">
            <v>0</v>
          </cell>
          <cell r="AH93">
            <v>0</v>
          </cell>
          <cell r="AI93">
            <v>0</v>
          </cell>
          <cell r="AK93">
            <v>0</v>
          </cell>
          <cell r="AL93">
            <v>0</v>
          </cell>
          <cell r="AM93">
            <v>0</v>
          </cell>
        </row>
        <row r="94">
          <cell r="C94">
            <v>775000</v>
          </cell>
          <cell r="E94">
            <v>0</v>
          </cell>
          <cell r="F94">
            <v>0</v>
          </cell>
          <cell r="G94">
            <v>0</v>
          </cell>
          <cell r="I94">
            <v>0</v>
          </cell>
          <cell r="J94">
            <v>0</v>
          </cell>
          <cell r="K94">
            <v>0</v>
          </cell>
          <cell r="M94">
            <v>0</v>
          </cell>
          <cell r="N94">
            <v>0</v>
          </cell>
          <cell r="O94">
            <v>0</v>
          </cell>
          <cell r="Q94">
            <v>0</v>
          </cell>
          <cell r="R94">
            <v>0</v>
          </cell>
          <cell r="S94">
            <v>0</v>
          </cell>
          <cell r="U94">
            <v>0</v>
          </cell>
          <cell r="V94">
            <v>0</v>
          </cell>
          <cell r="W94">
            <v>0</v>
          </cell>
          <cell r="Y94">
            <v>0</v>
          </cell>
          <cell r="Z94">
            <v>0</v>
          </cell>
          <cell r="AA94">
            <v>0</v>
          </cell>
          <cell r="AC94">
            <v>0</v>
          </cell>
          <cell r="AD94">
            <v>0</v>
          </cell>
          <cell r="AE94">
            <v>0</v>
          </cell>
          <cell r="AG94">
            <v>0</v>
          </cell>
          <cell r="AH94">
            <v>0</v>
          </cell>
          <cell r="AI94">
            <v>0</v>
          </cell>
          <cell r="AK94">
            <v>0</v>
          </cell>
          <cell r="AL94">
            <v>0</v>
          </cell>
          <cell r="AM94">
            <v>0</v>
          </cell>
        </row>
        <row r="95">
          <cell r="C95">
            <v>800000</v>
          </cell>
          <cell r="E95">
            <v>0</v>
          </cell>
          <cell r="F95">
            <v>0</v>
          </cell>
          <cell r="G95">
            <v>0</v>
          </cell>
          <cell r="I95">
            <v>0</v>
          </cell>
          <cell r="J95">
            <v>0</v>
          </cell>
          <cell r="K95">
            <v>0</v>
          </cell>
          <cell r="M95">
            <v>0</v>
          </cell>
          <cell r="N95">
            <v>0</v>
          </cell>
          <cell r="O95">
            <v>0</v>
          </cell>
          <cell r="Q95">
            <v>0</v>
          </cell>
          <cell r="R95">
            <v>0</v>
          </cell>
          <cell r="S95">
            <v>0</v>
          </cell>
          <cell r="U95">
            <v>0</v>
          </cell>
          <cell r="V95">
            <v>0</v>
          </cell>
          <cell r="W95">
            <v>0</v>
          </cell>
          <cell r="Y95">
            <v>0</v>
          </cell>
          <cell r="Z95">
            <v>0</v>
          </cell>
          <cell r="AA95">
            <v>0</v>
          </cell>
          <cell r="AC95">
            <v>0</v>
          </cell>
          <cell r="AD95">
            <v>0</v>
          </cell>
          <cell r="AE95">
            <v>0</v>
          </cell>
          <cell r="AG95">
            <v>0</v>
          </cell>
          <cell r="AH95">
            <v>0</v>
          </cell>
          <cell r="AI95">
            <v>0</v>
          </cell>
          <cell r="AK95">
            <v>0</v>
          </cell>
          <cell r="AL95">
            <v>0</v>
          </cell>
          <cell r="AM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9">
          <cell r="B9" t="str">
            <v>ADVANCED PCS</v>
          </cell>
          <cell r="C9">
            <v>0</v>
          </cell>
          <cell r="D9">
            <v>1900069</v>
          </cell>
          <cell r="E9">
            <v>57913</v>
          </cell>
          <cell r="F9">
            <v>0</v>
          </cell>
          <cell r="G9" t="str">
            <v>termed 1/04</v>
          </cell>
          <cell r="H9" t="str">
            <v>Michael</v>
          </cell>
          <cell r="I9" t="str">
            <v>Engel</v>
          </cell>
          <cell r="J9" t="str">
            <v>Weekly Wire</v>
          </cell>
          <cell r="K9" t="str">
            <v>NETTIE</v>
          </cell>
          <cell r="L9" t="str">
            <v>NONE</v>
          </cell>
          <cell r="M9">
            <v>0</v>
          </cell>
          <cell r="N9">
            <v>31000</v>
          </cell>
          <cell r="O9" t="str">
            <v>NASCO</v>
          </cell>
          <cell r="P9" t="str">
            <v>NATIONAL</v>
          </cell>
          <cell r="Q9" t="str">
            <v>run-out</v>
          </cell>
          <cell r="R9">
            <v>0</v>
          </cell>
          <cell r="S9">
            <v>0</v>
          </cell>
          <cell r="T9">
            <v>0</v>
          </cell>
          <cell r="U9">
            <v>0</v>
          </cell>
          <cell r="V9">
            <v>0</v>
          </cell>
          <cell r="W9">
            <v>0</v>
          </cell>
          <cell r="X9">
            <v>0</v>
          </cell>
          <cell r="Y9">
            <v>0</v>
          </cell>
          <cell r="Z9">
            <v>0</v>
          </cell>
          <cell r="AA9">
            <v>0</v>
          </cell>
          <cell r="AB9">
            <v>60584</v>
          </cell>
          <cell r="AC9">
            <v>60584</v>
          </cell>
          <cell r="AD9">
            <v>-15</v>
          </cell>
          <cell r="AE9">
            <v>60569</v>
          </cell>
          <cell r="AF9">
            <v>0</v>
          </cell>
          <cell r="AG9">
            <v>0</v>
          </cell>
          <cell r="AH9">
            <v>6350</v>
          </cell>
          <cell r="AI9">
            <v>432222</v>
          </cell>
          <cell r="AJ9">
            <v>492806</v>
          </cell>
          <cell r="AK9">
            <v>60584</v>
          </cell>
          <cell r="AL9">
            <v>492806</v>
          </cell>
          <cell r="AM9">
            <v>0</v>
          </cell>
          <cell r="AN9">
            <v>0</v>
          </cell>
          <cell r="AO9">
            <v>0</v>
          </cell>
          <cell r="AP9">
            <v>0</v>
          </cell>
          <cell r="AQ9">
            <v>0</v>
          </cell>
          <cell r="AR9">
            <v>0</v>
          </cell>
          <cell r="AS9">
            <v>0</v>
          </cell>
          <cell r="AT9">
            <v>42662.072379502693</v>
          </cell>
          <cell r="AU9">
            <v>24256.927620497307</v>
          </cell>
          <cell r="AW9">
            <v>432222</v>
          </cell>
          <cell r="AX9">
            <v>266</v>
          </cell>
          <cell r="AY9">
            <v>432488</v>
          </cell>
          <cell r="AZ9">
            <v>0</v>
          </cell>
          <cell r="BA9">
            <v>432488</v>
          </cell>
          <cell r="BB9">
            <v>0</v>
          </cell>
          <cell r="BC9">
            <v>432488</v>
          </cell>
          <cell r="BD9">
            <v>-15</v>
          </cell>
          <cell r="BE9">
            <v>60584</v>
          </cell>
          <cell r="BF9">
            <v>6350</v>
          </cell>
          <cell r="BH9">
            <v>499407</v>
          </cell>
          <cell r="BI9">
            <v>0</v>
          </cell>
          <cell r="BJ9">
            <v>499407</v>
          </cell>
          <cell r="BK9">
            <v>0</v>
          </cell>
          <cell r="BL9">
            <v>499407</v>
          </cell>
        </row>
        <row r="10">
          <cell r="B10" t="str">
            <v>AEGON</v>
          </cell>
          <cell r="C10">
            <v>0</v>
          </cell>
          <cell r="D10">
            <v>1900161</v>
          </cell>
          <cell r="E10">
            <v>28020</v>
          </cell>
          <cell r="F10" t="str">
            <v>ASC</v>
          </cell>
          <cell r="G10" t="str">
            <v>JAN</v>
          </cell>
          <cell r="H10" t="str">
            <v>Lentz</v>
          </cell>
          <cell r="I10" t="str">
            <v>Maier</v>
          </cell>
          <cell r="J10" t="str">
            <v>Bi-weekly Wire</v>
          </cell>
          <cell r="K10" t="str">
            <v>BARBARA</v>
          </cell>
          <cell r="L10" t="str">
            <v>None</v>
          </cell>
          <cell r="M10">
            <v>0</v>
          </cell>
          <cell r="N10">
            <v>0</v>
          </cell>
          <cell r="O10" t="str">
            <v>NASCO-S</v>
          </cell>
          <cell r="P10" t="str">
            <v>NATIONAL</v>
          </cell>
          <cell r="Q10">
            <v>5488</v>
          </cell>
          <cell r="R10">
            <v>0</v>
          </cell>
          <cell r="S10">
            <v>0</v>
          </cell>
          <cell r="T10">
            <v>0</v>
          </cell>
          <cell r="U10">
            <v>0</v>
          </cell>
          <cell r="V10">
            <v>0</v>
          </cell>
          <cell r="W10">
            <v>0</v>
          </cell>
          <cell r="X10">
            <v>0</v>
          </cell>
          <cell r="Y10">
            <v>0</v>
          </cell>
          <cell r="Z10">
            <v>0</v>
          </cell>
          <cell r="AA10">
            <v>0</v>
          </cell>
          <cell r="AB10">
            <v>2253263</v>
          </cell>
          <cell r="AC10">
            <v>2253263</v>
          </cell>
          <cell r="AD10">
            <v>-18</v>
          </cell>
          <cell r="AE10">
            <v>2253245</v>
          </cell>
          <cell r="AF10">
            <v>0</v>
          </cell>
          <cell r="AG10">
            <v>0</v>
          </cell>
          <cell r="AH10">
            <v>-13122</v>
          </cell>
          <cell r="AI10">
            <v>33859063</v>
          </cell>
          <cell r="AJ10">
            <v>36112326</v>
          </cell>
          <cell r="AK10">
            <v>2253263</v>
          </cell>
          <cell r="AL10">
            <v>36112326</v>
          </cell>
          <cell r="AM10">
            <v>0</v>
          </cell>
          <cell r="AN10">
            <v>0</v>
          </cell>
          <cell r="AO10">
            <v>0</v>
          </cell>
          <cell r="AP10">
            <v>0</v>
          </cell>
          <cell r="AQ10">
            <v>0</v>
          </cell>
          <cell r="AR10">
            <v>0</v>
          </cell>
          <cell r="AS10">
            <v>0</v>
          </cell>
          <cell r="AT10">
            <v>3303761.3417732371</v>
          </cell>
          <cell r="AU10">
            <v>-1063638.3417732371</v>
          </cell>
          <cell r="AW10">
            <v>33859063</v>
          </cell>
          <cell r="AX10">
            <v>510212</v>
          </cell>
          <cell r="AY10">
            <v>34369275</v>
          </cell>
          <cell r="AZ10">
            <v>0</v>
          </cell>
          <cell r="BA10">
            <v>34369275</v>
          </cell>
          <cell r="BB10">
            <v>0</v>
          </cell>
          <cell r="BC10">
            <v>34369275</v>
          </cell>
          <cell r="BD10">
            <v>-18</v>
          </cell>
          <cell r="BE10">
            <v>2253263</v>
          </cell>
          <cell r="BF10">
            <v>-13122</v>
          </cell>
          <cell r="BH10">
            <v>36609398</v>
          </cell>
          <cell r="BI10">
            <v>0</v>
          </cell>
          <cell r="BJ10">
            <v>36609398</v>
          </cell>
          <cell r="BK10">
            <v>0</v>
          </cell>
          <cell r="BL10">
            <v>36609398</v>
          </cell>
        </row>
        <row r="11">
          <cell r="B11" t="str">
            <v>AETHER SYSTEMS</v>
          </cell>
          <cell r="C11">
            <v>0</v>
          </cell>
          <cell r="D11">
            <v>1900126</v>
          </cell>
          <cell r="E11">
            <v>57692</v>
          </cell>
          <cell r="F11">
            <v>0</v>
          </cell>
          <cell r="G11" t="str">
            <v>FI 1/04</v>
          </cell>
          <cell r="H11" t="str">
            <v>Delong</v>
          </cell>
          <cell r="I11" t="str">
            <v>Drusano</v>
          </cell>
          <cell r="J11" t="str">
            <v>Direct Debit--Weekly</v>
          </cell>
          <cell r="K11" t="str">
            <v>LISA</v>
          </cell>
          <cell r="L11" t="str">
            <v>Huber, Oros &amp; Co.</v>
          </cell>
          <cell r="M11">
            <v>0</v>
          </cell>
          <cell r="N11">
            <v>59000</v>
          </cell>
          <cell r="O11" t="str">
            <v>NASCO</v>
          </cell>
          <cell r="P11" t="str">
            <v>NATIONAL</v>
          </cell>
          <cell r="Q11" t="str">
            <v>termed</v>
          </cell>
          <cell r="R11">
            <v>0</v>
          </cell>
          <cell r="S11">
            <v>0</v>
          </cell>
          <cell r="T11">
            <v>0</v>
          </cell>
          <cell r="U11">
            <v>0</v>
          </cell>
          <cell r="V11">
            <v>0</v>
          </cell>
          <cell r="W11">
            <v>0</v>
          </cell>
          <cell r="X11">
            <v>0</v>
          </cell>
          <cell r="Y11">
            <v>0</v>
          </cell>
          <cell r="Z11">
            <v>0</v>
          </cell>
          <cell r="AA11">
            <v>0</v>
          </cell>
          <cell r="AB11">
            <v>16248</v>
          </cell>
          <cell r="AC11">
            <v>16248</v>
          </cell>
          <cell r="AD11">
            <v>0</v>
          </cell>
          <cell r="AE11">
            <v>16248</v>
          </cell>
          <cell r="AF11">
            <v>0</v>
          </cell>
          <cell r="AG11">
            <v>0</v>
          </cell>
          <cell r="AH11">
            <v>0</v>
          </cell>
          <cell r="AI11">
            <v>156689</v>
          </cell>
          <cell r="AJ11">
            <v>172937</v>
          </cell>
          <cell r="AK11">
            <v>16248</v>
          </cell>
          <cell r="AL11">
            <v>172937</v>
          </cell>
          <cell r="AM11">
            <v>0</v>
          </cell>
          <cell r="AN11">
            <v>0</v>
          </cell>
          <cell r="AO11">
            <v>0</v>
          </cell>
          <cell r="AP11">
            <v>0</v>
          </cell>
          <cell r="AQ11">
            <v>0</v>
          </cell>
          <cell r="AR11">
            <v>0</v>
          </cell>
          <cell r="AS11">
            <v>0</v>
          </cell>
          <cell r="AT11">
            <v>15689.077624346179</v>
          </cell>
          <cell r="AU11">
            <v>558.92237565382129</v>
          </cell>
          <cell r="AW11">
            <v>156689</v>
          </cell>
          <cell r="AX11">
            <v>5004</v>
          </cell>
          <cell r="AY11">
            <v>161693</v>
          </cell>
          <cell r="AZ11">
            <v>0</v>
          </cell>
          <cell r="BA11">
            <v>161693</v>
          </cell>
          <cell r="BB11">
            <v>0</v>
          </cell>
          <cell r="BC11">
            <v>161693</v>
          </cell>
          <cell r="BD11">
            <v>0</v>
          </cell>
          <cell r="BE11">
            <v>16248</v>
          </cell>
          <cell r="BF11">
            <v>0</v>
          </cell>
          <cell r="BH11">
            <v>177941</v>
          </cell>
          <cell r="BI11">
            <v>0</v>
          </cell>
          <cell r="BJ11">
            <v>177941</v>
          </cell>
          <cell r="BK11">
            <v>0</v>
          </cell>
          <cell r="BL11">
            <v>177941</v>
          </cell>
        </row>
        <row r="12">
          <cell r="B12" t="str">
            <v>AHOLD/GIANT</v>
          </cell>
          <cell r="C12">
            <v>0</v>
          </cell>
          <cell r="D12">
            <v>1900403</v>
          </cell>
          <cell r="E12">
            <v>63697</v>
          </cell>
          <cell r="F12" t="str">
            <v>ASC</v>
          </cell>
          <cell r="G12" t="str">
            <v>JAN</v>
          </cell>
          <cell r="H12" t="str">
            <v>Michael</v>
          </cell>
          <cell r="I12" t="str">
            <v>Maier</v>
          </cell>
          <cell r="J12" t="str">
            <v>Weekly Wire</v>
          </cell>
          <cell r="K12" t="str">
            <v>LISA</v>
          </cell>
          <cell r="L12" t="str">
            <v>None</v>
          </cell>
          <cell r="M12">
            <v>0</v>
          </cell>
          <cell r="N12">
            <v>138125</v>
          </cell>
          <cell r="O12" t="str">
            <v>NASCO</v>
          </cell>
          <cell r="P12" t="str">
            <v>NATIONAL</v>
          </cell>
          <cell r="Q12">
            <v>7514</v>
          </cell>
          <cell r="R12">
            <v>0</v>
          </cell>
          <cell r="S12">
            <v>200000</v>
          </cell>
          <cell r="T12">
            <v>0</v>
          </cell>
          <cell r="U12">
            <v>694156.89</v>
          </cell>
          <cell r="V12">
            <v>0</v>
          </cell>
          <cell r="W12">
            <v>694156.89</v>
          </cell>
          <cell r="X12">
            <v>0</v>
          </cell>
          <cell r="Y12">
            <v>0</v>
          </cell>
          <cell r="Z12">
            <v>0</v>
          </cell>
          <cell r="AA12">
            <v>0</v>
          </cell>
          <cell r="AB12">
            <v>2611352.11</v>
          </cell>
          <cell r="AC12">
            <v>3305509</v>
          </cell>
          <cell r="AD12">
            <v>2473</v>
          </cell>
          <cell r="AE12">
            <v>3307982</v>
          </cell>
          <cell r="AF12">
            <v>0</v>
          </cell>
          <cell r="AG12">
            <v>0</v>
          </cell>
          <cell r="AH12">
            <v>0</v>
          </cell>
          <cell r="AI12">
            <v>30650035</v>
          </cell>
          <cell r="AJ12">
            <v>33955544</v>
          </cell>
          <cell r="AK12">
            <v>3305509</v>
          </cell>
          <cell r="AL12">
            <v>33955544</v>
          </cell>
          <cell r="AM12">
            <v>0</v>
          </cell>
          <cell r="AN12">
            <v>0</v>
          </cell>
          <cell r="AO12">
            <v>0</v>
          </cell>
          <cell r="AP12">
            <v>0</v>
          </cell>
          <cell r="AQ12">
            <v>690131</v>
          </cell>
          <cell r="AR12">
            <v>0</v>
          </cell>
          <cell r="AS12">
            <v>690131</v>
          </cell>
          <cell r="AT12">
            <v>3049771.9193066461</v>
          </cell>
          <cell r="AU12">
            <v>-431920.9193066461</v>
          </cell>
          <cell r="AW12">
            <v>31340166</v>
          </cell>
          <cell r="AX12">
            <v>562764</v>
          </cell>
          <cell r="AY12">
            <v>31902930</v>
          </cell>
          <cell r="AZ12">
            <v>0</v>
          </cell>
          <cell r="BA12">
            <v>31902930</v>
          </cell>
          <cell r="BB12">
            <v>0</v>
          </cell>
          <cell r="BC12">
            <v>31902930</v>
          </cell>
          <cell r="BD12">
            <v>2473</v>
          </cell>
          <cell r="BE12">
            <v>3305509</v>
          </cell>
          <cell r="BF12">
            <v>0</v>
          </cell>
          <cell r="BH12">
            <v>35210912</v>
          </cell>
          <cell r="BI12">
            <v>690131</v>
          </cell>
          <cell r="BJ12">
            <v>34520781</v>
          </cell>
          <cell r="BK12">
            <v>0</v>
          </cell>
          <cell r="BL12">
            <v>34520781</v>
          </cell>
        </row>
        <row r="13">
          <cell r="B13" t="str">
            <v xml:space="preserve">ALLEGANY CO P S </v>
          </cell>
          <cell r="C13">
            <v>0</v>
          </cell>
          <cell r="D13" t="str">
            <v>n/a</v>
          </cell>
          <cell r="E13">
            <v>60924</v>
          </cell>
          <cell r="F13" t="str">
            <v>ASC</v>
          </cell>
          <cell r="G13" t="str">
            <v>JUL</v>
          </cell>
          <cell r="H13" t="str">
            <v>Michael</v>
          </cell>
          <cell r="I13" t="str">
            <v>Lopez</v>
          </cell>
          <cell r="J13" t="str">
            <v>Weekly Wire</v>
          </cell>
          <cell r="K13" t="str">
            <v>LISA</v>
          </cell>
          <cell r="L13" t="str">
            <v>None</v>
          </cell>
          <cell r="M13">
            <v>0</v>
          </cell>
          <cell r="N13">
            <v>235000</v>
          </cell>
          <cell r="O13" t="str">
            <v>CARE</v>
          </cell>
          <cell r="P13" t="str">
            <v>LOCAL</v>
          </cell>
          <cell r="Q13">
            <v>1787</v>
          </cell>
          <cell r="R13">
            <v>0</v>
          </cell>
          <cell r="S13">
            <v>0</v>
          </cell>
          <cell r="T13">
            <v>0</v>
          </cell>
          <cell r="U13">
            <v>0</v>
          </cell>
          <cell r="V13">
            <v>0</v>
          </cell>
          <cell r="W13">
            <v>0</v>
          </cell>
          <cell r="X13">
            <v>0</v>
          </cell>
          <cell r="Y13">
            <v>51524.58</v>
          </cell>
          <cell r="Z13">
            <v>0</v>
          </cell>
          <cell r="AA13">
            <v>0</v>
          </cell>
          <cell r="AB13">
            <v>807218.42</v>
          </cell>
          <cell r="AC13">
            <v>858743</v>
          </cell>
          <cell r="AD13">
            <v>302</v>
          </cell>
          <cell r="AE13">
            <v>859045</v>
          </cell>
          <cell r="AF13">
            <v>0</v>
          </cell>
          <cell r="AG13">
            <v>0</v>
          </cell>
          <cell r="AH13">
            <v>600</v>
          </cell>
          <cell r="AI13">
            <v>10445998</v>
          </cell>
          <cell r="AJ13">
            <v>11304741</v>
          </cell>
          <cell r="AK13">
            <v>858743</v>
          </cell>
          <cell r="AL13">
            <v>11304741</v>
          </cell>
          <cell r="AM13">
            <v>0</v>
          </cell>
          <cell r="AN13">
            <v>0</v>
          </cell>
          <cell r="AO13">
            <v>0</v>
          </cell>
          <cell r="AP13">
            <v>0</v>
          </cell>
          <cell r="AQ13">
            <v>0</v>
          </cell>
          <cell r="AR13">
            <v>0</v>
          </cell>
          <cell r="AS13">
            <v>0</v>
          </cell>
          <cell r="AT13">
            <v>1017296.0667168743</v>
          </cell>
          <cell r="AU13">
            <v>-157651.06671687425</v>
          </cell>
          <cell r="AW13">
            <v>10445998</v>
          </cell>
          <cell r="AX13">
            <v>39892</v>
          </cell>
          <cell r="AY13">
            <v>10485890</v>
          </cell>
          <cell r="AZ13">
            <v>750792</v>
          </cell>
          <cell r="BA13">
            <v>11236682</v>
          </cell>
          <cell r="BB13">
            <v>0</v>
          </cell>
          <cell r="BC13">
            <v>11236682</v>
          </cell>
          <cell r="BD13">
            <v>302</v>
          </cell>
          <cell r="BE13">
            <v>858743</v>
          </cell>
          <cell r="BF13">
            <v>600</v>
          </cell>
          <cell r="BH13">
            <v>12096327</v>
          </cell>
          <cell r="BI13">
            <v>0</v>
          </cell>
          <cell r="BJ13">
            <v>12096327</v>
          </cell>
          <cell r="BK13">
            <v>0</v>
          </cell>
          <cell r="BL13">
            <v>12096327</v>
          </cell>
        </row>
        <row r="14">
          <cell r="B14" t="str">
            <v>ALLEGIS/MAXIM INTERNAL</v>
          </cell>
          <cell r="C14" t="str">
            <v>AEROTEK</v>
          </cell>
          <cell r="D14">
            <v>1900224</v>
          </cell>
          <cell r="E14">
            <v>40117</v>
          </cell>
          <cell r="F14" t="str">
            <v>ASC</v>
          </cell>
          <cell r="G14" t="str">
            <v>JAN</v>
          </cell>
          <cell r="H14" t="str">
            <v>Michael</v>
          </cell>
          <cell r="I14" t="str">
            <v>Engel</v>
          </cell>
          <cell r="J14" t="str">
            <v>Weekly Wire</v>
          </cell>
          <cell r="K14" t="str">
            <v>BARBARA</v>
          </cell>
          <cell r="L14" t="str">
            <v>Wachovia</v>
          </cell>
          <cell r="M14">
            <v>0</v>
          </cell>
          <cell r="N14">
            <v>204000</v>
          </cell>
          <cell r="O14" t="str">
            <v>NASCO</v>
          </cell>
          <cell r="P14" t="str">
            <v>NATIONAL</v>
          </cell>
          <cell r="Q14">
            <v>9846</v>
          </cell>
          <cell r="R14">
            <v>0</v>
          </cell>
          <cell r="S14">
            <v>200000</v>
          </cell>
          <cell r="T14">
            <v>0</v>
          </cell>
          <cell r="U14">
            <v>717354.2</v>
          </cell>
          <cell r="V14">
            <v>0</v>
          </cell>
          <cell r="W14">
            <v>717354.2</v>
          </cell>
          <cell r="X14">
            <v>0</v>
          </cell>
          <cell r="Y14">
            <v>251073.97</v>
          </cell>
          <cell r="Z14">
            <v>0</v>
          </cell>
          <cell r="AA14">
            <v>179338.55</v>
          </cell>
          <cell r="AB14">
            <v>2439004.2799999998</v>
          </cell>
          <cell r="AC14">
            <v>3586771</v>
          </cell>
          <cell r="AD14">
            <v>-268</v>
          </cell>
          <cell r="AE14">
            <v>3586503</v>
          </cell>
          <cell r="AF14">
            <v>0</v>
          </cell>
          <cell r="AG14">
            <v>0</v>
          </cell>
          <cell r="AH14">
            <v>-17583</v>
          </cell>
          <cell r="AI14">
            <v>27972395</v>
          </cell>
          <cell r="AJ14">
            <v>31559166</v>
          </cell>
          <cell r="AK14">
            <v>3586771</v>
          </cell>
          <cell r="AL14">
            <v>31379827.449999999</v>
          </cell>
          <cell r="AM14">
            <v>0</v>
          </cell>
          <cell r="AN14">
            <v>0</v>
          </cell>
          <cell r="AO14">
            <v>0</v>
          </cell>
          <cell r="AP14">
            <v>0</v>
          </cell>
          <cell r="AQ14">
            <v>174304</v>
          </cell>
          <cell r="AR14">
            <v>0</v>
          </cell>
          <cell r="AS14">
            <v>174304</v>
          </cell>
          <cell r="AT14">
            <v>2724983.0460975794</v>
          </cell>
          <cell r="AU14">
            <v>490294.40390242077</v>
          </cell>
          <cell r="AW14">
            <v>28146699</v>
          </cell>
          <cell r="AX14">
            <v>379826</v>
          </cell>
          <cell r="AY14">
            <v>28526525</v>
          </cell>
          <cell r="AZ14">
            <v>0</v>
          </cell>
          <cell r="BA14">
            <v>28526525</v>
          </cell>
          <cell r="BB14">
            <v>0</v>
          </cell>
          <cell r="BC14">
            <v>28526525</v>
          </cell>
          <cell r="BD14">
            <v>-268</v>
          </cell>
          <cell r="BE14">
            <v>3586771</v>
          </cell>
          <cell r="BF14">
            <v>-17583</v>
          </cell>
          <cell r="BH14">
            <v>32095445</v>
          </cell>
          <cell r="BI14">
            <v>174304</v>
          </cell>
          <cell r="BJ14">
            <v>31921141</v>
          </cell>
          <cell r="BK14">
            <v>0</v>
          </cell>
          <cell r="BL14">
            <v>31921141</v>
          </cell>
        </row>
        <row r="15">
          <cell r="B15" t="str">
            <v>AMERICAN BANKERS</v>
          </cell>
          <cell r="C15">
            <v>0</v>
          </cell>
          <cell r="D15">
            <v>1900277</v>
          </cell>
          <cell r="E15">
            <v>61273</v>
          </cell>
          <cell r="F15" t="str">
            <v>ASC</v>
          </cell>
          <cell r="G15" t="str">
            <v>SEP</v>
          </cell>
          <cell r="H15" t="str">
            <v>Howard</v>
          </cell>
          <cell r="I15" t="str">
            <v>Engel</v>
          </cell>
          <cell r="J15" t="str">
            <v>Direct Debit--Weekly</v>
          </cell>
          <cell r="K15" t="str">
            <v>LISA</v>
          </cell>
          <cell r="L15" t="str">
            <v>Crawford, Slevin &amp; Hicks</v>
          </cell>
          <cell r="M15">
            <v>0</v>
          </cell>
          <cell r="N15">
            <v>3603</v>
          </cell>
          <cell r="O15" t="str">
            <v>NASCO</v>
          </cell>
          <cell r="P15" t="str">
            <v>LOCAL</v>
          </cell>
          <cell r="Q15">
            <v>394</v>
          </cell>
          <cell r="R15">
            <v>0</v>
          </cell>
          <cell r="S15">
            <v>0</v>
          </cell>
          <cell r="T15">
            <v>0</v>
          </cell>
          <cell r="U15">
            <v>0</v>
          </cell>
          <cell r="V15">
            <v>0</v>
          </cell>
          <cell r="W15">
            <v>0</v>
          </cell>
          <cell r="X15">
            <v>0</v>
          </cell>
          <cell r="Y15">
            <v>6058.52</v>
          </cell>
          <cell r="Z15">
            <v>0</v>
          </cell>
          <cell r="AA15">
            <v>81790.02</v>
          </cell>
          <cell r="AB15">
            <v>215077.46</v>
          </cell>
          <cell r="AC15">
            <v>302926</v>
          </cell>
          <cell r="AD15">
            <v>60</v>
          </cell>
          <cell r="AE15">
            <v>302986</v>
          </cell>
          <cell r="AF15">
            <v>0</v>
          </cell>
          <cell r="AG15">
            <v>0</v>
          </cell>
          <cell r="AH15">
            <v>0</v>
          </cell>
          <cell r="AI15">
            <v>1937850</v>
          </cell>
          <cell r="AJ15">
            <v>2240776</v>
          </cell>
          <cell r="AK15">
            <v>302926</v>
          </cell>
          <cell r="AL15">
            <v>2158985.98</v>
          </cell>
          <cell r="AM15">
            <v>0</v>
          </cell>
          <cell r="AN15">
            <v>0</v>
          </cell>
          <cell r="AO15">
            <v>0</v>
          </cell>
          <cell r="AP15">
            <v>0</v>
          </cell>
          <cell r="AQ15">
            <v>0</v>
          </cell>
          <cell r="AR15">
            <v>0</v>
          </cell>
          <cell r="AS15">
            <v>0</v>
          </cell>
          <cell r="AT15">
            <v>188286.28312108939</v>
          </cell>
          <cell r="AU15">
            <v>32909.696878910589</v>
          </cell>
          <cell r="AW15">
            <v>1937850</v>
          </cell>
          <cell r="AX15">
            <v>20678</v>
          </cell>
          <cell r="AY15">
            <v>1958528</v>
          </cell>
          <cell r="AZ15">
            <v>0</v>
          </cell>
          <cell r="BA15">
            <v>1958528</v>
          </cell>
          <cell r="BB15">
            <v>0</v>
          </cell>
          <cell r="BC15">
            <v>1958528</v>
          </cell>
          <cell r="BD15">
            <v>60</v>
          </cell>
          <cell r="BE15">
            <v>302926</v>
          </cell>
          <cell r="BF15">
            <v>0</v>
          </cell>
          <cell r="BH15">
            <v>2261514</v>
          </cell>
          <cell r="BI15">
            <v>0</v>
          </cell>
          <cell r="BJ15">
            <v>2261514</v>
          </cell>
          <cell r="BK15">
            <v>0</v>
          </cell>
          <cell r="BL15">
            <v>2261514</v>
          </cell>
        </row>
        <row r="16">
          <cell r="B16" t="str">
            <v>AMERICAN WOOD</v>
          </cell>
          <cell r="C16">
            <v>0</v>
          </cell>
          <cell r="D16">
            <v>1900465</v>
          </cell>
          <cell r="E16">
            <v>63901</v>
          </cell>
          <cell r="F16" t="str">
            <v>ASC</v>
          </cell>
          <cell r="G16" t="str">
            <v>JAN</v>
          </cell>
          <cell r="H16" t="str">
            <v>Michael</v>
          </cell>
          <cell r="I16" t="str">
            <v>Engel</v>
          </cell>
          <cell r="J16" t="str">
            <v>Direct Debit--Weekly</v>
          </cell>
          <cell r="K16" t="str">
            <v>LISA</v>
          </cell>
          <cell r="L16" t="str">
            <v>Wachovia</v>
          </cell>
          <cell r="M16">
            <v>0</v>
          </cell>
          <cell r="N16">
            <v>26100</v>
          </cell>
          <cell r="O16" t="str">
            <v>NASCO</v>
          </cell>
          <cell r="P16" t="str">
            <v>NATIONAL</v>
          </cell>
          <cell r="Q16">
            <v>579</v>
          </cell>
          <cell r="R16">
            <v>0</v>
          </cell>
          <cell r="S16">
            <v>0</v>
          </cell>
          <cell r="T16">
            <v>0</v>
          </cell>
          <cell r="U16">
            <v>0</v>
          </cell>
          <cell r="V16">
            <v>0</v>
          </cell>
          <cell r="W16">
            <v>0</v>
          </cell>
          <cell r="X16">
            <v>0</v>
          </cell>
          <cell r="Y16">
            <v>15535.41</v>
          </cell>
          <cell r="Z16">
            <v>0</v>
          </cell>
          <cell r="AA16">
            <v>144997.16</v>
          </cell>
          <cell r="AB16">
            <v>357314.43</v>
          </cell>
          <cell r="AC16">
            <v>517847</v>
          </cell>
          <cell r="AD16">
            <v>0</v>
          </cell>
          <cell r="AE16">
            <v>517847</v>
          </cell>
          <cell r="AF16">
            <v>0</v>
          </cell>
          <cell r="AG16">
            <v>0</v>
          </cell>
          <cell r="AH16">
            <v>0</v>
          </cell>
          <cell r="AI16">
            <v>2221586</v>
          </cell>
          <cell r="AJ16">
            <v>2739433</v>
          </cell>
          <cell r="AK16">
            <v>517847</v>
          </cell>
          <cell r="AL16">
            <v>2594435.84</v>
          </cell>
          <cell r="AM16">
            <v>0</v>
          </cell>
          <cell r="AN16">
            <v>0</v>
          </cell>
          <cell r="AO16">
            <v>0</v>
          </cell>
          <cell r="AP16">
            <v>0</v>
          </cell>
          <cell r="AQ16">
            <v>15005</v>
          </cell>
          <cell r="AR16">
            <v>0</v>
          </cell>
          <cell r="AS16">
            <v>15005</v>
          </cell>
          <cell r="AT16">
            <v>217963.09714191488</v>
          </cell>
          <cell r="AU16">
            <v>139881.74285808508</v>
          </cell>
          <cell r="AW16">
            <v>2236591</v>
          </cell>
          <cell r="AX16">
            <v>116017</v>
          </cell>
          <cell r="AY16">
            <v>2352608</v>
          </cell>
          <cell r="AZ16">
            <v>0</v>
          </cell>
          <cell r="BA16">
            <v>2352608</v>
          </cell>
          <cell r="BB16">
            <v>0</v>
          </cell>
          <cell r="BC16">
            <v>2352608</v>
          </cell>
          <cell r="BD16">
            <v>0</v>
          </cell>
          <cell r="BE16">
            <v>517847</v>
          </cell>
          <cell r="BF16">
            <v>0</v>
          </cell>
          <cell r="BH16">
            <v>2870455</v>
          </cell>
          <cell r="BI16">
            <v>15005</v>
          </cell>
          <cell r="BJ16">
            <v>2855450</v>
          </cell>
          <cell r="BK16">
            <v>0</v>
          </cell>
          <cell r="BL16">
            <v>2855450</v>
          </cell>
        </row>
        <row r="17">
          <cell r="B17" t="str">
            <v>ANNE ARUNDEL CO BD OF ED</v>
          </cell>
          <cell r="C17">
            <v>0</v>
          </cell>
          <cell r="D17" t="str">
            <v>n/a</v>
          </cell>
          <cell r="E17" t="str">
            <v>07319</v>
          </cell>
          <cell r="F17" t="str">
            <v>ASC-Adjustable Retro</v>
          </cell>
          <cell r="G17" t="str">
            <v>JAN</v>
          </cell>
          <cell r="H17" t="str">
            <v>Richardson</v>
          </cell>
          <cell r="I17" t="str">
            <v>Lehmann</v>
          </cell>
          <cell r="J17" t="str">
            <v>Deposit--2 Month</v>
          </cell>
          <cell r="K17" t="str">
            <v>DONNA</v>
          </cell>
          <cell r="L17" t="str">
            <v>None</v>
          </cell>
          <cell r="M17">
            <v>7079200</v>
          </cell>
          <cell r="N17">
            <v>1516100</v>
          </cell>
          <cell r="O17" t="str">
            <v>CARE</v>
          </cell>
          <cell r="P17" t="str">
            <v>LOCAL</v>
          </cell>
          <cell r="Q17">
            <v>8538</v>
          </cell>
          <cell r="R17">
            <v>0</v>
          </cell>
          <cell r="S17">
            <v>500000</v>
          </cell>
          <cell r="T17">
            <v>1.25</v>
          </cell>
          <cell r="U17">
            <v>744926.49</v>
          </cell>
          <cell r="V17">
            <v>135441.18</v>
          </cell>
          <cell r="W17">
            <v>880367.67</v>
          </cell>
          <cell r="X17">
            <v>677205.9</v>
          </cell>
          <cell r="Y17">
            <v>270882.36</v>
          </cell>
          <cell r="Z17">
            <v>0</v>
          </cell>
          <cell r="AA17">
            <v>0</v>
          </cell>
          <cell r="AB17">
            <v>4943603.07</v>
          </cell>
          <cell r="AC17">
            <v>6772059</v>
          </cell>
          <cell r="AD17">
            <v>1223</v>
          </cell>
          <cell r="AE17">
            <v>6773282</v>
          </cell>
          <cell r="AF17">
            <v>0</v>
          </cell>
          <cell r="AG17">
            <v>0</v>
          </cell>
          <cell r="AH17">
            <v>-5252</v>
          </cell>
          <cell r="AI17">
            <v>44414825</v>
          </cell>
          <cell r="AJ17">
            <v>51186884</v>
          </cell>
          <cell r="AK17">
            <v>6772059</v>
          </cell>
          <cell r="AL17">
            <v>51186884</v>
          </cell>
          <cell r="AM17">
            <v>0</v>
          </cell>
          <cell r="AN17">
            <v>0</v>
          </cell>
          <cell r="AO17">
            <v>0</v>
          </cell>
          <cell r="AP17">
            <v>0</v>
          </cell>
          <cell r="AQ17">
            <v>0</v>
          </cell>
          <cell r="AR17">
            <v>0</v>
          </cell>
          <cell r="AS17">
            <v>0</v>
          </cell>
          <cell r="AT17">
            <v>4318197.447373962</v>
          </cell>
          <cell r="AU17">
            <v>2449832.552626038</v>
          </cell>
          <cell r="AW17">
            <v>44414825</v>
          </cell>
          <cell r="AX17">
            <v>253752</v>
          </cell>
          <cell r="AY17">
            <v>44668577</v>
          </cell>
          <cell r="AZ17">
            <v>0</v>
          </cell>
          <cell r="BA17">
            <v>44668577</v>
          </cell>
          <cell r="BB17">
            <v>0</v>
          </cell>
          <cell r="BC17">
            <v>44668577</v>
          </cell>
          <cell r="BD17">
            <v>1223</v>
          </cell>
          <cell r="BE17">
            <v>6772059</v>
          </cell>
          <cell r="BF17">
            <v>-5252</v>
          </cell>
          <cell r="BH17">
            <v>51436607</v>
          </cell>
          <cell r="BI17">
            <v>0</v>
          </cell>
          <cell r="BJ17">
            <v>51436607</v>
          </cell>
          <cell r="BK17">
            <v>0</v>
          </cell>
          <cell r="BL17">
            <v>51436607</v>
          </cell>
        </row>
        <row r="18">
          <cell r="B18" t="str">
            <v>ANNE ARUNDEL CO GOVT RETRO</v>
          </cell>
          <cell r="C18">
            <v>0</v>
          </cell>
          <cell r="D18" t="str">
            <v>n/a</v>
          </cell>
          <cell r="E18" t="str">
            <v>08173</v>
          </cell>
          <cell r="F18" t="str">
            <v>Standard Retro</v>
          </cell>
          <cell r="G18" t="str">
            <v>JUL</v>
          </cell>
          <cell r="H18" t="str">
            <v>Richardson</v>
          </cell>
          <cell r="I18" t="str">
            <v>Lehmann</v>
          </cell>
          <cell r="J18" t="str">
            <v>Retrospective</v>
          </cell>
          <cell r="K18" t="str">
            <v>DONNA</v>
          </cell>
          <cell r="L18" t="str">
            <v>None</v>
          </cell>
          <cell r="M18">
            <v>1700000</v>
          </cell>
          <cell r="N18">
            <v>0</v>
          </cell>
          <cell r="O18" t="str">
            <v>CARE-S</v>
          </cell>
          <cell r="P18" t="str">
            <v>LOCAL</v>
          </cell>
          <cell r="Q18">
            <v>5130</v>
          </cell>
          <cell r="R18">
            <v>0</v>
          </cell>
          <cell r="S18">
            <v>0</v>
          </cell>
          <cell r="T18">
            <v>0</v>
          </cell>
          <cell r="U18">
            <v>0</v>
          </cell>
          <cell r="V18">
            <v>0</v>
          </cell>
          <cell r="W18">
            <v>0</v>
          </cell>
          <cell r="X18">
            <v>316071.57</v>
          </cell>
          <cell r="Y18">
            <v>75902.759999999995</v>
          </cell>
          <cell r="Z18">
            <v>0</v>
          </cell>
          <cell r="AA18">
            <v>0</v>
          </cell>
          <cell r="AB18">
            <v>2138117.67</v>
          </cell>
          <cell r="AC18">
            <v>2530092</v>
          </cell>
          <cell r="AD18">
            <v>5827</v>
          </cell>
          <cell r="AE18">
            <v>2535919</v>
          </cell>
          <cell r="AF18">
            <v>0</v>
          </cell>
          <cell r="AG18">
            <v>0</v>
          </cell>
          <cell r="AH18">
            <v>-24606</v>
          </cell>
          <cell r="AI18">
            <v>33312552</v>
          </cell>
          <cell r="AJ18">
            <v>35842644</v>
          </cell>
          <cell r="AK18">
            <v>2530092</v>
          </cell>
          <cell r="AL18">
            <v>35842644</v>
          </cell>
          <cell r="AM18">
            <v>0</v>
          </cell>
          <cell r="AN18">
            <v>0</v>
          </cell>
          <cell r="AO18">
            <v>0</v>
          </cell>
          <cell r="AP18">
            <v>0</v>
          </cell>
          <cell r="AQ18">
            <v>0</v>
          </cell>
          <cell r="AR18">
            <v>0</v>
          </cell>
          <cell r="AS18">
            <v>0</v>
          </cell>
          <cell r="AT18">
            <v>3244070.9182949741</v>
          </cell>
          <cell r="AU18">
            <v>-732757.91829497414</v>
          </cell>
          <cell r="AW18">
            <v>33312552</v>
          </cell>
          <cell r="AX18">
            <v>197453</v>
          </cell>
          <cell r="AY18">
            <v>33510005</v>
          </cell>
          <cell r="AZ18">
            <v>0</v>
          </cell>
          <cell r="BA18">
            <v>33510005</v>
          </cell>
          <cell r="BB18">
            <v>0</v>
          </cell>
          <cell r="BC18">
            <v>33510005</v>
          </cell>
          <cell r="BD18">
            <v>5827</v>
          </cell>
          <cell r="BE18">
            <v>2530092</v>
          </cell>
          <cell r="BF18">
            <v>-24606</v>
          </cell>
          <cell r="BH18">
            <v>36021318</v>
          </cell>
          <cell r="BI18">
            <v>0</v>
          </cell>
          <cell r="BJ18">
            <v>36021318</v>
          </cell>
          <cell r="BK18">
            <v>0</v>
          </cell>
          <cell r="BL18">
            <v>36021318</v>
          </cell>
        </row>
        <row r="19">
          <cell r="B19" t="str">
            <v>ARBITRON</v>
          </cell>
          <cell r="C19">
            <v>0</v>
          </cell>
          <cell r="D19">
            <v>1900400</v>
          </cell>
          <cell r="E19">
            <v>63840</v>
          </cell>
          <cell r="F19" t="str">
            <v>ASC</v>
          </cell>
          <cell r="G19" t="str">
            <v>JAN</v>
          </cell>
          <cell r="H19" t="str">
            <v>Michael</v>
          </cell>
          <cell r="I19" t="str">
            <v>Maier</v>
          </cell>
          <cell r="J19" t="str">
            <v>Direct Debit--Weekly</v>
          </cell>
          <cell r="K19" t="str">
            <v>LISA</v>
          </cell>
          <cell r="L19" t="str">
            <v>None</v>
          </cell>
          <cell r="M19">
            <v>0</v>
          </cell>
          <cell r="N19">
            <v>70000</v>
          </cell>
          <cell r="O19" t="str">
            <v>NASCO</v>
          </cell>
          <cell r="P19" t="str">
            <v>NATIONAL</v>
          </cell>
          <cell r="Q19">
            <v>810</v>
          </cell>
          <cell r="R19">
            <v>0</v>
          </cell>
          <cell r="S19">
            <v>75000</v>
          </cell>
          <cell r="T19">
            <v>0</v>
          </cell>
          <cell r="U19">
            <v>335471.09999999998</v>
          </cell>
          <cell r="V19">
            <v>0</v>
          </cell>
          <cell r="W19">
            <v>335471.09999999998</v>
          </cell>
          <cell r="X19">
            <v>0</v>
          </cell>
          <cell r="Y19">
            <v>21878.55</v>
          </cell>
          <cell r="Z19">
            <v>0</v>
          </cell>
          <cell r="AA19">
            <v>0</v>
          </cell>
          <cell r="AB19">
            <v>371935.35</v>
          </cell>
          <cell r="AC19">
            <v>729285</v>
          </cell>
          <cell r="AD19">
            <v>-14</v>
          </cell>
          <cell r="AE19">
            <v>729271</v>
          </cell>
          <cell r="AF19">
            <v>0</v>
          </cell>
          <cell r="AG19">
            <v>0</v>
          </cell>
          <cell r="AH19">
            <v>-880</v>
          </cell>
          <cell r="AI19">
            <v>5277167</v>
          </cell>
          <cell r="AJ19">
            <v>6006452</v>
          </cell>
          <cell r="AK19">
            <v>729285</v>
          </cell>
          <cell r="AL19">
            <v>6006452</v>
          </cell>
          <cell r="AM19">
            <v>0</v>
          </cell>
          <cell r="AN19">
            <v>0</v>
          </cell>
          <cell r="AO19">
            <v>0</v>
          </cell>
          <cell r="AP19">
            <v>0</v>
          </cell>
          <cell r="AQ19">
            <v>191309</v>
          </cell>
          <cell r="AR19">
            <v>0</v>
          </cell>
          <cell r="AS19">
            <v>191309</v>
          </cell>
          <cell r="AT19">
            <v>536216.05537840491</v>
          </cell>
          <cell r="AU19">
            <v>865.94462159508839</v>
          </cell>
          <cell r="AW19">
            <v>5468476</v>
          </cell>
          <cell r="AX19">
            <v>112925</v>
          </cell>
          <cell r="AY19">
            <v>5581401</v>
          </cell>
          <cell r="AZ19">
            <v>0</v>
          </cell>
          <cell r="BA19">
            <v>5581401</v>
          </cell>
          <cell r="BB19">
            <v>0</v>
          </cell>
          <cell r="BC19">
            <v>5581401</v>
          </cell>
          <cell r="BD19">
            <v>-14</v>
          </cell>
          <cell r="BE19">
            <v>729285</v>
          </cell>
          <cell r="BF19">
            <v>-880</v>
          </cell>
          <cell r="BH19">
            <v>6309792</v>
          </cell>
          <cell r="BI19">
            <v>191309</v>
          </cell>
          <cell r="BJ19">
            <v>6118483</v>
          </cell>
          <cell r="BK19">
            <v>0</v>
          </cell>
          <cell r="BL19">
            <v>6118483</v>
          </cell>
        </row>
        <row r="20">
          <cell r="B20" t="str">
            <v>ARCHDIOCESE OF BALT</v>
          </cell>
          <cell r="C20">
            <v>0</v>
          </cell>
          <cell r="D20" t="str">
            <v>n/a</v>
          </cell>
          <cell r="E20">
            <v>51204</v>
          </cell>
          <cell r="F20">
            <v>0</v>
          </cell>
          <cell r="G20" t="str">
            <v>termed 7/03</v>
          </cell>
          <cell r="H20" t="str">
            <v>Howard</v>
          </cell>
          <cell r="I20" t="str">
            <v>Fox</v>
          </cell>
          <cell r="J20" t="str">
            <v>Deposit--2 Month</v>
          </cell>
          <cell r="K20" t="str">
            <v>BARBARA</v>
          </cell>
          <cell r="L20" t="str">
            <v>None</v>
          </cell>
          <cell r="M20">
            <v>2388010</v>
          </cell>
          <cell r="N20">
            <v>454392</v>
          </cell>
          <cell r="O20" t="str">
            <v>CARE-S</v>
          </cell>
          <cell r="P20" t="str">
            <v>LOCAL</v>
          </cell>
          <cell r="Q20" t="str">
            <v>run-out</v>
          </cell>
          <cell r="R20">
            <v>0</v>
          </cell>
          <cell r="S20">
            <v>0</v>
          </cell>
          <cell r="T20">
            <v>0</v>
          </cell>
          <cell r="U20">
            <v>0</v>
          </cell>
          <cell r="V20">
            <v>0</v>
          </cell>
          <cell r="W20">
            <v>0</v>
          </cell>
          <cell r="X20">
            <v>0</v>
          </cell>
          <cell r="Y20">
            <v>0</v>
          </cell>
          <cell r="Z20">
            <v>0</v>
          </cell>
          <cell r="AA20">
            <v>0</v>
          </cell>
          <cell r="AB20">
            <v>30329</v>
          </cell>
          <cell r="AC20">
            <v>30329</v>
          </cell>
          <cell r="AD20">
            <v>5308</v>
          </cell>
          <cell r="AE20">
            <v>35637</v>
          </cell>
          <cell r="AF20">
            <v>0</v>
          </cell>
          <cell r="AG20">
            <v>0</v>
          </cell>
          <cell r="AH20">
            <v>-13000</v>
          </cell>
          <cell r="AI20">
            <v>294255</v>
          </cell>
          <cell r="AJ20">
            <v>324584</v>
          </cell>
          <cell r="AK20">
            <v>30329</v>
          </cell>
          <cell r="AL20">
            <v>324584</v>
          </cell>
          <cell r="AM20">
            <v>0</v>
          </cell>
          <cell r="AN20">
            <v>0</v>
          </cell>
          <cell r="AO20">
            <v>0</v>
          </cell>
          <cell r="AP20">
            <v>0</v>
          </cell>
          <cell r="AQ20">
            <v>0</v>
          </cell>
          <cell r="AR20">
            <v>0</v>
          </cell>
          <cell r="AS20">
            <v>0</v>
          </cell>
          <cell r="AT20">
            <v>29140.168272665935</v>
          </cell>
          <cell r="AU20">
            <v>-6503.1682726659346</v>
          </cell>
          <cell r="AW20">
            <v>294255</v>
          </cell>
          <cell r="AX20">
            <v>48</v>
          </cell>
          <cell r="AY20">
            <v>294303</v>
          </cell>
          <cell r="AZ20">
            <v>0</v>
          </cell>
          <cell r="BA20">
            <v>294303</v>
          </cell>
          <cell r="BB20">
            <v>0</v>
          </cell>
          <cell r="BC20">
            <v>294303</v>
          </cell>
          <cell r="BD20">
            <v>5308</v>
          </cell>
          <cell r="BE20">
            <v>30329</v>
          </cell>
          <cell r="BF20">
            <v>-13000</v>
          </cell>
          <cell r="BH20">
            <v>316940</v>
          </cell>
          <cell r="BI20">
            <v>0</v>
          </cell>
          <cell r="BJ20">
            <v>316940</v>
          </cell>
          <cell r="BK20">
            <v>0</v>
          </cell>
          <cell r="BL20">
            <v>316940</v>
          </cell>
        </row>
        <row r="21">
          <cell r="B21" t="str">
            <v>ARINC</v>
          </cell>
          <cell r="C21">
            <v>0</v>
          </cell>
          <cell r="D21">
            <v>1900324</v>
          </cell>
          <cell r="E21">
            <v>61841</v>
          </cell>
          <cell r="F21" t="str">
            <v>ASC</v>
          </cell>
          <cell r="G21" t="str">
            <v>JAN</v>
          </cell>
          <cell r="H21" t="str">
            <v>Delong</v>
          </cell>
          <cell r="I21" t="str">
            <v>Drusano</v>
          </cell>
          <cell r="J21" t="str">
            <v>Direct Debit--Weekly</v>
          </cell>
          <cell r="K21" t="str">
            <v>BARBARA</v>
          </cell>
          <cell r="L21" t="str">
            <v>Huber, Oros &amp; Co.</v>
          </cell>
          <cell r="M21">
            <v>0</v>
          </cell>
          <cell r="N21">
            <v>125000</v>
          </cell>
          <cell r="O21" t="str">
            <v>NASCO</v>
          </cell>
          <cell r="P21" t="str">
            <v>NATIONAL</v>
          </cell>
          <cell r="Q21">
            <v>1649</v>
          </cell>
          <cell r="R21">
            <v>0</v>
          </cell>
          <cell r="S21">
            <v>150000</v>
          </cell>
          <cell r="T21">
            <v>1.25</v>
          </cell>
          <cell r="U21">
            <v>487124.7</v>
          </cell>
          <cell r="V21">
            <v>31427.4</v>
          </cell>
          <cell r="W21">
            <v>518552.1</v>
          </cell>
          <cell r="X21">
            <v>0</v>
          </cell>
          <cell r="Y21">
            <v>47141.1</v>
          </cell>
          <cell r="Z21">
            <v>0</v>
          </cell>
          <cell r="AA21">
            <v>204278.1</v>
          </cell>
          <cell r="AB21">
            <v>801398.7</v>
          </cell>
          <cell r="AC21">
            <v>1571370</v>
          </cell>
          <cell r="AD21">
            <v>24</v>
          </cell>
          <cell r="AE21">
            <v>1571394</v>
          </cell>
          <cell r="AF21">
            <v>0</v>
          </cell>
          <cell r="AG21">
            <v>0</v>
          </cell>
          <cell r="AH21">
            <v>0</v>
          </cell>
          <cell r="AI21">
            <v>7480773</v>
          </cell>
          <cell r="AJ21">
            <v>9052143</v>
          </cell>
          <cell r="AK21">
            <v>1571370</v>
          </cell>
          <cell r="AL21">
            <v>8847864.9000000004</v>
          </cell>
          <cell r="AM21">
            <v>0</v>
          </cell>
          <cell r="AN21">
            <v>0</v>
          </cell>
          <cell r="AO21">
            <v>0</v>
          </cell>
          <cell r="AP21">
            <v>0</v>
          </cell>
          <cell r="AQ21">
            <v>23597</v>
          </cell>
          <cell r="AR21">
            <v>0</v>
          </cell>
          <cell r="AS21">
            <v>23597</v>
          </cell>
          <cell r="AT21">
            <v>725543.88860926672</v>
          </cell>
          <cell r="AU21">
            <v>617975.01139073318</v>
          </cell>
          <cell r="AW21">
            <v>7504370</v>
          </cell>
          <cell r="AX21">
            <v>235663</v>
          </cell>
          <cell r="AY21">
            <v>7740033</v>
          </cell>
          <cell r="AZ21">
            <v>0</v>
          </cell>
          <cell r="BA21">
            <v>7740033</v>
          </cell>
          <cell r="BB21">
            <v>0</v>
          </cell>
          <cell r="BC21">
            <v>7740033</v>
          </cell>
          <cell r="BD21">
            <v>24</v>
          </cell>
          <cell r="BE21">
            <v>1571370</v>
          </cell>
          <cell r="BF21">
            <v>0</v>
          </cell>
          <cell r="BH21">
            <v>9311427</v>
          </cell>
          <cell r="BI21">
            <v>23597</v>
          </cell>
          <cell r="BJ21">
            <v>9287830</v>
          </cell>
          <cell r="BK21">
            <v>0</v>
          </cell>
          <cell r="BL21">
            <v>9287830</v>
          </cell>
        </row>
        <row r="22">
          <cell r="B22" t="str">
            <v>ASBURY SERVICES</v>
          </cell>
          <cell r="C22">
            <v>0</v>
          </cell>
          <cell r="D22">
            <v>1900299</v>
          </cell>
          <cell r="E22">
            <v>60918</v>
          </cell>
          <cell r="F22" t="str">
            <v>ASC</v>
          </cell>
          <cell r="G22" t="str">
            <v>AUG</v>
          </cell>
          <cell r="H22" t="str">
            <v>Delong</v>
          </cell>
          <cell r="I22" t="str">
            <v>Drusano</v>
          </cell>
          <cell r="J22" t="str">
            <v>Direct Debit--Weekly</v>
          </cell>
          <cell r="K22" t="str">
            <v>BARBARA</v>
          </cell>
          <cell r="L22" t="str">
            <v>Huber, Oros &amp; Co.</v>
          </cell>
          <cell r="M22">
            <v>0</v>
          </cell>
          <cell r="N22">
            <v>16000</v>
          </cell>
          <cell r="O22" t="str">
            <v>NASCO</v>
          </cell>
          <cell r="P22" t="str">
            <v>NATIONAL</v>
          </cell>
          <cell r="Q22">
            <v>983</v>
          </cell>
          <cell r="R22">
            <v>0</v>
          </cell>
          <cell r="S22">
            <v>0</v>
          </cell>
          <cell r="T22">
            <v>0</v>
          </cell>
          <cell r="U22">
            <v>0</v>
          </cell>
          <cell r="V22">
            <v>0</v>
          </cell>
          <cell r="W22">
            <v>0</v>
          </cell>
          <cell r="X22">
            <v>0</v>
          </cell>
          <cell r="Y22">
            <v>14861.88</v>
          </cell>
          <cell r="Z22">
            <v>0</v>
          </cell>
          <cell r="AA22">
            <v>152203.57999999999</v>
          </cell>
          <cell r="AB22">
            <v>344282.54</v>
          </cell>
          <cell r="AC22">
            <v>511348</v>
          </cell>
          <cell r="AD22">
            <v>0</v>
          </cell>
          <cell r="AE22">
            <v>511348</v>
          </cell>
          <cell r="AF22">
            <v>0</v>
          </cell>
          <cell r="AG22">
            <v>0</v>
          </cell>
          <cell r="AH22">
            <v>0</v>
          </cell>
          <cell r="AI22">
            <v>3859886</v>
          </cell>
          <cell r="AJ22">
            <v>4371234</v>
          </cell>
          <cell r="AK22">
            <v>511348</v>
          </cell>
          <cell r="AL22">
            <v>4219030.42</v>
          </cell>
          <cell r="AM22">
            <v>0</v>
          </cell>
          <cell r="AN22">
            <v>0</v>
          </cell>
          <cell r="AO22">
            <v>0</v>
          </cell>
          <cell r="AP22">
            <v>0</v>
          </cell>
          <cell r="AQ22">
            <v>0</v>
          </cell>
          <cell r="AR22">
            <v>0</v>
          </cell>
          <cell r="AS22">
            <v>0</v>
          </cell>
          <cell r="AT22">
            <v>375006.88081163296</v>
          </cell>
          <cell r="AU22">
            <v>-15862.460811632976</v>
          </cell>
          <cell r="AW22">
            <v>3859886</v>
          </cell>
          <cell r="AX22">
            <v>74453</v>
          </cell>
          <cell r="AY22">
            <v>3934339</v>
          </cell>
          <cell r="AZ22">
            <v>0</v>
          </cell>
          <cell r="BA22">
            <v>3934339</v>
          </cell>
          <cell r="BB22">
            <v>0</v>
          </cell>
          <cell r="BC22">
            <v>3934339</v>
          </cell>
          <cell r="BD22">
            <v>0</v>
          </cell>
          <cell r="BE22">
            <v>511348</v>
          </cell>
          <cell r="BF22">
            <v>0</v>
          </cell>
          <cell r="BH22">
            <v>4445687</v>
          </cell>
          <cell r="BI22">
            <v>0</v>
          </cell>
          <cell r="BJ22">
            <v>4445687</v>
          </cell>
          <cell r="BK22">
            <v>0</v>
          </cell>
          <cell r="BL22">
            <v>4445687</v>
          </cell>
        </row>
        <row r="23">
          <cell r="B23" t="str">
            <v>ASTRA ZENECA</v>
          </cell>
          <cell r="C23">
            <v>0</v>
          </cell>
          <cell r="D23">
            <v>1900144</v>
          </cell>
          <cell r="E23">
            <v>59288</v>
          </cell>
          <cell r="F23" t="str">
            <v>ASC</v>
          </cell>
          <cell r="G23" t="str">
            <v>JAN</v>
          </cell>
          <cell r="H23" t="str">
            <v>Parker Mann</v>
          </cell>
          <cell r="I23" t="str">
            <v>Barrett</v>
          </cell>
          <cell r="J23" t="str">
            <v>Direct Debit--Weekly</v>
          </cell>
          <cell r="K23" t="str">
            <v>LISA</v>
          </cell>
          <cell r="L23" t="str">
            <v>None</v>
          </cell>
          <cell r="M23">
            <v>0</v>
          </cell>
          <cell r="N23">
            <v>25000</v>
          </cell>
          <cell r="O23" t="str">
            <v>NASCO</v>
          </cell>
          <cell r="P23" t="str">
            <v>NATIONAL</v>
          </cell>
          <cell r="Q23">
            <v>5000</v>
          </cell>
          <cell r="R23">
            <v>0</v>
          </cell>
          <cell r="S23">
            <v>0</v>
          </cell>
          <cell r="T23">
            <v>0</v>
          </cell>
          <cell r="U23">
            <v>0</v>
          </cell>
          <cell r="V23">
            <v>0</v>
          </cell>
          <cell r="W23">
            <v>0</v>
          </cell>
          <cell r="X23">
            <v>0</v>
          </cell>
          <cell r="Y23">
            <v>0</v>
          </cell>
          <cell r="Z23">
            <v>0</v>
          </cell>
          <cell r="AA23">
            <v>0</v>
          </cell>
          <cell r="AB23">
            <v>1947932</v>
          </cell>
          <cell r="AC23">
            <v>1947932</v>
          </cell>
          <cell r="AD23">
            <v>2</v>
          </cell>
          <cell r="AE23">
            <v>1947934</v>
          </cell>
          <cell r="AF23">
            <v>0</v>
          </cell>
          <cell r="AG23">
            <v>0</v>
          </cell>
          <cell r="AH23">
            <v>4100</v>
          </cell>
          <cell r="AI23">
            <v>21531438</v>
          </cell>
          <cell r="AJ23">
            <v>23479370</v>
          </cell>
          <cell r="AK23">
            <v>1947932</v>
          </cell>
          <cell r="AL23">
            <v>23479370</v>
          </cell>
          <cell r="AM23">
            <v>0</v>
          </cell>
          <cell r="AN23">
            <v>0</v>
          </cell>
          <cell r="AO23">
            <v>0</v>
          </cell>
          <cell r="AP23">
            <v>0</v>
          </cell>
          <cell r="AQ23">
            <v>0</v>
          </cell>
          <cell r="AR23">
            <v>0</v>
          </cell>
          <cell r="AS23">
            <v>0</v>
          </cell>
          <cell r="AT23">
            <v>2088348.214785079</v>
          </cell>
          <cell r="AU23">
            <v>-136314.21478507901</v>
          </cell>
          <cell r="AW23">
            <v>21531438</v>
          </cell>
          <cell r="AX23">
            <v>876846</v>
          </cell>
          <cell r="AY23">
            <v>22408284</v>
          </cell>
          <cell r="AZ23">
            <v>0</v>
          </cell>
          <cell r="BA23">
            <v>22408284</v>
          </cell>
          <cell r="BB23">
            <v>0</v>
          </cell>
          <cell r="BC23">
            <v>22408284</v>
          </cell>
          <cell r="BD23">
            <v>2</v>
          </cell>
          <cell r="BE23">
            <v>1947932</v>
          </cell>
          <cell r="BF23">
            <v>4100</v>
          </cell>
          <cell r="BH23">
            <v>24360318</v>
          </cell>
          <cell r="BI23">
            <v>0</v>
          </cell>
          <cell r="BJ23">
            <v>24360318</v>
          </cell>
          <cell r="BK23">
            <v>0</v>
          </cell>
          <cell r="BL23">
            <v>24360318</v>
          </cell>
        </row>
        <row r="24">
          <cell r="B24" t="str">
            <v>BALTIMORE CO ENTITES</v>
          </cell>
          <cell r="C24">
            <v>0</v>
          </cell>
          <cell r="D24" t="str">
            <v>n/a</v>
          </cell>
          <cell r="E24" t="str">
            <v>07320</v>
          </cell>
          <cell r="F24" t="str">
            <v>ASC</v>
          </cell>
          <cell r="G24" t="str">
            <v>SEP</v>
          </cell>
          <cell r="H24" t="str">
            <v>Parker Mann</v>
          </cell>
          <cell r="I24" t="str">
            <v>Pederson</v>
          </cell>
          <cell r="J24" t="str">
            <v>Deposit--1 Month</v>
          </cell>
          <cell r="K24" t="str">
            <v>BARBARA</v>
          </cell>
          <cell r="L24" t="str">
            <v>None</v>
          </cell>
          <cell r="M24">
            <v>0</v>
          </cell>
          <cell r="N24">
            <v>2135972</v>
          </cell>
          <cell r="O24" t="str">
            <v>CARE-S</v>
          </cell>
          <cell r="P24" t="str">
            <v>LOCAL</v>
          </cell>
          <cell r="Q24">
            <v>27442</v>
          </cell>
          <cell r="R24">
            <v>0</v>
          </cell>
          <cell r="S24">
            <v>0</v>
          </cell>
          <cell r="T24">
            <v>1.2</v>
          </cell>
          <cell r="U24">
            <v>0</v>
          </cell>
          <cell r="V24">
            <v>408392.4</v>
          </cell>
          <cell r="W24">
            <v>408392.4</v>
          </cell>
          <cell r="X24">
            <v>1020981</v>
          </cell>
          <cell r="Y24">
            <v>51049.05</v>
          </cell>
          <cell r="Z24">
            <v>0</v>
          </cell>
          <cell r="AA24">
            <v>0</v>
          </cell>
          <cell r="AB24">
            <v>8729387.5499999989</v>
          </cell>
          <cell r="AC24">
            <v>10209810</v>
          </cell>
          <cell r="AD24">
            <v>0</v>
          </cell>
          <cell r="AE24">
            <v>10209810</v>
          </cell>
          <cell r="AF24">
            <v>0</v>
          </cell>
          <cell r="AG24">
            <v>0</v>
          </cell>
          <cell r="AH24">
            <v>68222</v>
          </cell>
          <cell r="AI24">
            <v>120100210</v>
          </cell>
          <cell r="AJ24">
            <v>130310020</v>
          </cell>
          <cell r="AK24">
            <v>10209810</v>
          </cell>
          <cell r="AL24">
            <v>130310020</v>
          </cell>
          <cell r="AM24">
            <v>0</v>
          </cell>
          <cell r="AN24">
            <v>25924</v>
          </cell>
          <cell r="AO24">
            <v>0</v>
          </cell>
          <cell r="AP24">
            <v>0</v>
          </cell>
          <cell r="AQ24">
            <v>0</v>
          </cell>
          <cell r="AR24">
            <v>0</v>
          </cell>
          <cell r="AS24">
            <v>0</v>
          </cell>
          <cell r="AT24">
            <v>11696645.953246748</v>
          </cell>
          <cell r="AU24">
            <v>-1418613.9532467481</v>
          </cell>
          <cell r="AW24">
            <v>120100210</v>
          </cell>
          <cell r="AX24">
            <v>358761</v>
          </cell>
          <cell r="AY24">
            <v>120458971</v>
          </cell>
          <cell r="AZ24">
            <v>0</v>
          </cell>
          <cell r="BA24">
            <v>120458971</v>
          </cell>
          <cell r="BB24">
            <v>0</v>
          </cell>
          <cell r="BC24">
            <v>120458971</v>
          </cell>
          <cell r="BD24">
            <v>0</v>
          </cell>
          <cell r="BE24">
            <v>10209810</v>
          </cell>
          <cell r="BF24">
            <v>68222</v>
          </cell>
          <cell r="BH24">
            <v>130737003</v>
          </cell>
          <cell r="BI24">
            <v>0</v>
          </cell>
          <cell r="BJ24">
            <v>130737003</v>
          </cell>
          <cell r="BK24">
            <v>0</v>
          </cell>
          <cell r="BL24">
            <v>130737003</v>
          </cell>
        </row>
        <row r="25">
          <cell r="B25" t="str">
            <v>BALTIMORE LIFE</v>
          </cell>
          <cell r="C25">
            <v>0</v>
          </cell>
          <cell r="D25">
            <v>1900167</v>
          </cell>
          <cell r="E25">
            <v>28286</v>
          </cell>
          <cell r="F25" t="str">
            <v>ASC</v>
          </cell>
          <cell r="G25" t="str">
            <v>JAN</v>
          </cell>
          <cell r="H25" t="str">
            <v>Hauff</v>
          </cell>
          <cell r="I25" t="str">
            <v>Maier</v>
          </cell>
          <cell r="J25" t="str">
            <v>Direct Debit--Weekly</v>
          </cell>
          <cell r="K25" t="str">
            <v>LISA</v>
          </cell>
          <cell r="L25" t="str">
            <v>None</v>
          </cell>
          <cell r="M25">
            <v>0</v>
          </cell>
          <cell r="N25">
            <v>47000</v>
          </cell>
          <cell r="O25" t="str">
            <v>NASCO</v>
          </cell>
          <cell r="P25" t="str">
            <v>NATIONAL</v>
          </cell>
          <cell r="Q25">
            <v>275</v>
          </cell>
          <cell r="R25">
            <v>0</v>
          </cell>
          <cell r="S25">
            <v>200000</v>
          </cell>
          <cell r="T25">
            <v>1.2</v>
          </cell>
          <cell r="U25">
            <v>78879.149999999994</v>
          </cell>
          <cell r="V25">
            <v>27044.28</v>
          </cell>
          <cell r="W25">
            <v>105923.43</v>
          </cell>
          <cell r="X25">
            <v>6761.07</v>
          </cell>
          <cell r="Y25">
            <v>6761.07</v>
          </cell>
          <cell r="Z25">
            <v>0</v>
          </cell>
          <cell r="AA25">
            <v>0</v>
          </cell>
          <cell r="AB25">
            <v>105923.43</v>
          </cell>
          <cell r="AC25">
            <v>225369</v>
          </cell>
          <cell r="AD25">
            <v>-264</v>
          </cell>
          <cell r="AE25">
            <v>225105</v>
          </cell>
          <cell r="AF25">
            <v>0</v>
          </cell>
          <cell r="AG25">
            <v>0</v>
          </cell>
          <cell r="AH25">
            <v>0</v>
          </cell>
          <cell r="AI25">
            <v>1438907</v>
          </cell>
          <cell r="AJ25">
            <v>1664276</v>
          </cell>
          <cell r="AK25">
            <v>225369</v>
          </cell>
          <cell r="AL25">
            <v>1664276</v>
          </cell>
          <cell r="AM25">
            <v>0</v>
          </cell>
          <cell r="AN25">
            <v>0</v>
          </cell>
          <cell r="AO25">
            <v>0</v>
          </cell>
          <cell r="AP25">
            <v>0</v>
          </cell>
          <cell r="AQ25">
            <v>0</v>
          </cell>
          <cell r="AR25">
            <v>0</v>
          </cell>
          <cell r="AS25">
            <v>0</v>
          </cell>
          <cell r="AT25">
            <v>139820.13855855199</v>
          </cell>
          <cell r="AU25">
            <v>85284.861441448011</v>
          </cell>
          <cell r="AW25">
            <v>1438907</v>
          </cell>
          <cell r="AX25">
            <v>10392</v>
          </cell>
          <cell r="AY25">
            <v>1449299</v>
          </cell>
          <cell r="AZ25">
            <v>0</v>
          </cell>
          <cell r="BA25">
            <v>1449299</v>
          </cell>
          <cell r="BB25">
            <v>0</v>
          </cell>
          <cell r="BC25">
            <v>1449299</v>
          </cell>
          <cell r="BD25">
            <v>-264</v>
          </cell>
          <cell r="BE25">
            <v>225369</v>
          </cell>
          <cell r="BF25">
            <v>0</v>
          </cell>
          <cell r="BH25">
            <v>1674404</v>
          </cell>
          <cell r="BI25">
            <v>0</v>
          </cell>
          <cell r="BJ25">
            <v>1674404</v>
          </cell>
          <cell r="BK25">
            <v>0</v>
          </cell>
          <cell r="BL25">
            <v>1674404</v>
          </cell>
        </row>
        <row r="26">
          <cell r="B26" t="str">
            <v>BALTIMORE REGIONAL JOINT</v>
          </cell>
          <cell r="C26" t="str">
            <v>A C T W U</v>
          </cell>
          <cell r="D26" t="str">
            <v>n/a</v>
          </cell>
          <cell r="E26">
            <v>51600</v>
          </cell>
          <cell r="F26" t="str">
            <v>ASC</v>
          </cell>
          <cell r="G26" t="str">
            <v>JUL</v>
          </cell>
          <cell r="H26" t="str">
            <v>Howard</v>
          </cell>
          <cell r="I26" t="str">
            <v>Yocum</v>
          </cell>
          <cell r="J26" t="str">
            <v>Deposit--2 Month</v>
          </cell>
          <cell r="K26" t="str">
            <v>BARBARA</v>
          </cell>
          <cell r="L26" t="str">
            <v>None</v>
          </cell>
          <cell r="M26">
            <v>89573</v>
          </cell>
          <cell r="N26">
            <v>0</v>
          </cell>
          <cell r="O26" t="str">
            <v>CARE-S</v>
          </cell>
          <cell r="P26" t="str">
            <v>LOCAL</v>
          </cell>
          <cell r="Q26">
            <v>1256</v>
          </cell>
          <cell r="R26">
            <v>0</v>
          </cell>
          <cell r="S26">
            <v>0</v>
          </cell>
          <cell r="T26">
            <v>0</v>
          </cell>
          <cell r="U26">
            <v>0</v>
          </cell>
          <cell r="V26">
            <v>0</v>
          </cell>
          <cell r="W26">
            <v>0</v>
          </cell>
          <cell r="X26">
            <v>0</v>
          </cell>
          <cell r="Y26">
            <v>0</v>
          </cell>
          <cell r="Z26">
            <v>0</v>
          </cell>
          <cell r="AA26">
            <v>0</v>
          </cell>
          <cell r="AB26">
            <v>17604</v>
          </cell>
          <cell r="AC26">
            <v>17604</v>
          </cell>
          <cell r="AD26">
            <v>0</v>
          </cell>
          <cell r="AE26">
            <v>17604</v>
          </cell>
          <cell r="AF26">
            <v>0</v>
          </cell>
          <cell r="AG26">
            <v>0</v>
          </cell>
          <cell r="AH26">
            <v>0</v>
          </cell>
          <cell r="AI26">
            <v>301695</v>
          </cell>
          <cell r="AJ26">
            <v>319299</v>
          </cell>
          <cell r="AK26">
            <v>17604</v>
          </cell>
          <cell r="AL26">
            <v>319299</v>
          </cell>
          <cell r="AM26">
            <v>0</v>
          </cell>
          <cell r="AN26">
            <v>0</v>
          </cell>
          <cell r="AO26">
            <v>0</v>
          </cell>
          <cell r="AP26">
            <v>0</v>
          </cell>
          <cell r="AQ26">
            <v>0</v>
          </cell>
          <cell r="AR26">
            <v>0</v>
          </cell>
          <cell r="AS26">
            <v>0</v>
          </cell>
          <cell r="AT26">
            <v>29342.181770540028</v>
          </cell>
          <cell r="AU26">
            <v>-11738.181770540028</v>
          </cell>
          <cell r="AW26">
            <v>301695</v>
          </cell>
          <cell r="AX26">
            <v>0</v>
          </cell>
          <cell r="AY26">
            <v>301695</v>
          </cell>
          <cell r="AZ26">
            <v>0</v>
          </cell>
          <cell r="BA26">
            <v>301695</v>
          </cell>
          <cell r="BB26">
            <v>0</v>
          </cell>
          <cell r="BC26">
            <v>301695</v>
          </cell>
          <cell r="BD26">
            <v>0</v>
          </cell>
          <cell r="BE26">
            <v>17604</v>
          </cell>
          <cell r="BF26">
            <v>0</v>
          </cell>
          <cell r="BH26">
            <v>319299</v>
          </cell>
          <cell r="BI26">
            <v>0</v>
          </cell>
          <cell r="BJ26">
            <v>319299</v>
          </cell>
          <cell r="BK26">
            <v>0</v>
          </cell>
          <cell r="BL26">
            <v>319299</v>
          </cell>
        </row>
        <row r="27">
          <cell r="B27" t="str">
            <v>BAY BUSINESS SOLUTIONS</v>
          </cell>
          <cell r="C27" t="str">
            <v>MARCOR</v>
          </cell>
          <cell r="D27">
            <v>1900235</v>
          </cell>
          <cell r="E27">
            <v>49213</v>
          </cell>
          <cell r="F27" t="str">
            <v>ASC</v>
          </cell>
          <cell r="G27" t="str">
            <v>JAN</v>
          </cell>
          <cell r="H27" t="str">
            <v>Flowers</v>
          </cell>
          <cell r="I27" t="str">
            <v>Waters</v>
          </cell>
          <cell r="J27" t="str">
            <v>Deposit--2 Months</v>
          </cell>
          <cell r="K27" t="str">
            <v>BARBARA</v>
          </cell>
          <cell r="L27" t="str">
            <v>Kelly &amp; Associates</v>
          </cell>
          <cell r="M27">
            <v>0</v>
          </cell>
          <cell r="N27">
            <v>0</v>
          </cell>
          <cell r="O27" t="str">
            <v>NASCO</v>
          </cell>
          <cell r="P27" t="str">
            <v>NATIONAL</v>
          </cell>
          <cell r="Q27">
            <v>293</v>
          </cell>
          <cell r="R27">
            <v>0</v>
          </cell>
          <cell r="S27">
            <v>125000</v>
          </cell>
          <cell r="T27">
            <v>1.25</v>
          </cell>
          <cell r="U27">
            <v>79616.34</v>
          </cell>
          <cell r="V27">
            <v>48462.12</v>
          </cell>
          <cell r="W27">
            <v>128078.46</v>
          </cell>
          <cell r="X27">
            <v>17307.900000000001</v>
          </cell>
          <cell r="Y27">
            <v>0</v>
          </cell>
          <cell r="Z27">
            <v>0</v>
          </cell>
          <cell r="AA27">
            <v>27692.639999999999</v>
          </cell>
          <cell r="AB27">
            <v>173079</v>
          </cell>
          <cell r="AC27">
            <v>346158</v>
          </cell>
          <cell r="AD27">
            <v>0</v>
          </cell>
          <cell r="AE27">
            <v>346158</v>
          </cell>
          <cell r="AF27">
            <v>0</v>
          </cell>
          <cell r="AG27">
            <v>0</v>
          </cell>
          <cell r="AH27">
            <v>0</v>
          </cell>
          <cell r="AI27">
            <v>1551722</v>
          </cell>
          <cell r="AJ27">
            <v>1897880</v>
          </cell>
          <cell r="AK27">
            <v>346158</v>
          </cell>
          <cell r="AL27">
            <v>1870187.36</v>
          </cell>
          <cell r="AM27">
            <v>0</v>
          </cell>
          <cell r="AN27">
            <v>0</v>
          </cell>
          <cell r="AO27">
            <v>0</v>
          </cell>
          <cell r="AP27">
            <v>0</v>
          </cell>
          <cell r="AQ27">
            <v>0</v>
          </cell>
          <cell r="AR27">
            <v>0</v>
          </cell>
          <cell r="AS27">
            <v>0</v>
          </cell>
          <cell r="AT27">
            <v>151895.79748040321</v>
          </cell>
          <cell r="AU27">
            <v>166569.56251959677</v>
          </cell>
          <cell r="AW27">
            <v>1551722</v>
          </cell>
          <cell r="AX27">
            <v>48736</v>
          </cell>
          <cell r="AY27">
            <v>1600458</v>
          </cell>
          <cell r="AZ27">
            <v>0</v>
          </cell>
          <cell r="BA27">
            <v>1600458</v>
          </cell>
          <cell r="BB27">
            <v>0</v>
          </cell>
          <cell r="BC27">
            <v>1600458</v>
          </cell>
          <cell r="BD27">
            <v>0</v>
          </cell>
          <cell r="BE27">
            <v>346158</v>
          </cell>
          <cell r="BF27">
            <v>0</v>
          </cell>
          <cell r="BH27">
            <v>1946616</v>
          </cell>
          <cell r="BI27">
            <v>0</v>
          </cell>
          <cell r="BJ27">
            <v>1946616</v>
          </cell>
          <cell r="BK27">
            <v>0</v>
          </cell>
          <cell r="BL27">
            <v>1946616</v>
          </cell>
        </row>
        <row r="28">
          <cell r="B28" t="str">
            <v>BIEDERLACK OF AMERICA CORP</v>
          </cell>
          <cell r="C28">
            <v>0</v>
          </cell>
          <cell r="D28">
            <v>1900061</v>
          </cell>
          <cell r="E28">
            <v>51149</v>
          </cell>
          <cell r="F28" t="str">
            <v>ASC-Adjustable Retro</v>
          </cell>
          <cell r="G28" t="str">
            <v>JUN</v>
          </cell>
          <cell r="H28" t="str">
            <v>Michael</v>
          </cell>
          <cell r="I28" t="str">
            <v>Lopez</v>
          </cell>
          <cell r="J28" t="str">
            <v>Direct Debit--Weekly</v>
          </cell>
          <cell r="K28" t="str">
            <v>NETTIE</v>
          </cell>
          <cell r="L28" t="str">
            <v>Beall,Garner,Screen&amp;Geare</v>
          </cell>
          <cell r="M28">
            <v>0</v>
          </cell>
          <cell r="N28">
            <v>57500</v>
          </cell>
          <cell r="O28" t="str">
            <v>NASCO</v>
          </cell>
          <cell r="P28" t="str">
            <v>LOCAL</v>
          </cell>
          <cell r="Q28">
            <v>287</v>
          </cell>
          <cell r="R28">
            <v>0</v>
          </cell>
          <cell r="S28">
            <v>50000</v>
          </cell>
          <cell r="T28">
            <v>1.25</v>
          </cell>
          <cell r="U28">
            <v>81430.679999999993</v>
          </cell>
          <cell r="V28">
            <v>9580.08</v>
          </cell>
          <cell r="W28">
            <v>91010.76</v>
          </cell>
          <cell r="X28">
            <v>4790.04</v>
          </cell>
          <cell r="Y28">
            <v>7185.06</v>
          </cell>
          <cell r="Z28">
            <v>0</v>
          </cell>
          <cell r="AA28">
            <v>35925.300000000003</v>
          </cell>
          <cell r="AB28">
            <v>100590.84</v>
          </cell>
          <cell r="AC28">
            <v>239502</v>
          </cell>
          <cell r="AD28">
            <v>0</v>
          </cell>
          <cell r="AE28">
            <v>239502</v>
          </cell>
          <cell r="AF28">
            <v>0</v>
          </cell>
          <cell r="AG28">
            <v>0</v>
          </cell>
          <cell r="AH28">
            <v>0</v>
          </cell>
          <cell r="AI28">
            <v>822926</v>
          </cell>
          <cell r="AJ28">
            <v>1062428</v>
          </cell>
          <cell r="AK28">
            <v>239502</v>
          </cell>
          <cell r="AL28">
            <v>1026502.7</v>
          </cell>
          <cell r="AM28">
            <v>0</v>
          </cell>
          <cell r="AN28">
            <v>0</v>
          </cell>
          <cell r="AO28">
            <v>0</v>
          </cell>
          <cell r="AP28">
            <v>0</v>
          </cell>
          <cell r="AQ28">
            <v>7284</v>
          </cell>
          <cell r="AR28">
            <v>0</v>
          </cell>
          <cell r="AS28">
            <v>7284</v>
          </cell>
          <cell r="AT28">
            <v>80000.738048907719</v>
          </cell>
          <cell r="AU28">
            <v>116291.96195109229</v>
          </cell>
          <cell r="AW28">
            <v>830210</v>
          </cell>
          <cell r="AX28">
            <v>2630</v>
          </cell>
          <cell r="AY28">
            <v>832840</v>
          </cell>
          <cell r="AZ28">
            <v>0</v>
          </cell>
          <cell r="BA28">
            <v>832840</v>
          </cell>
          <cell r="BB28">
            <v>0</v>
          </cell>
          <cell r="BC28">
            <v>832840</v>
          </cell>
          <cell r="BD28">
            <v>0</v>
          </cell>
          <cell r="BE28">
            <v>239502</v>
          </cell>
          <cell r="BF28">
            <v>0</v>
          </cell>
          <cell r="BH28">
            <v>1072342</v>
          </cell>
          <cell r="BI28">
            <v>7284</v>
          </cell>
          <cell r="BJ28">
            <v>1065058</v>
          </cell>
          <cell r="BK28">
            <v>0</v>
          </cell>
          <cell r="BL28">
            <v>1065058</v>
          </cell>
        </row>
        <row r="29">
          <cell r="B29" t="str">
            <v>BOARD OF CHILD CARE</v>
          </cell>
          <cell r="C29">
            <v>0</v>
          </cell>
          <cell r="D29" t="str">
            <v>n/a</v>
          </cell>
          <cell r="E29">
            <v>46919</v>
          </cell>
          <cell r="F29" t="str">
            <v>ASC</v>
          </cell>
          <cell r="G29" t="str">
            <v>JUL</v>
          </cell>
          <cell r="H29" t="str">
            <v>Hauff</v>
          </cell>
          <cell r="I29" t="str">
            <v>Drusano</v>
          </cell>
          <cell r="J29" t="str">
            <v>Weekly Wire</v>
          </cell>
          <cell r="K29" t="str">
            <v>NETTIE</v>
          </cell>
          <cell r="L29" t="str">
            <v>None</v>
          </cell>
          <cell r="M29">
            <v>0</v>
          </cell>
          <cell r="N29">
            <v>20000</v>
          </cell>
          <cell r="O29" t="str">
            <v>CARE</v>
          </cell>
          <cell r="P29" t="str">
            <v>LOCAL</v>
          </cell>
          <cell r="Q29">
            <v>251</v>
          </cell>
          <cell r="R29">
            <v>0</v>
          </cell>
          <cell r="S29">
            <v>100000</v>
          </cell>
          <cell r="T29">
            <v>1.25</v>
          </cell>
          <cell r="U29">
            <v>56487.41</v>
          </cell>
          <cell r="V29">
            <v>32129.01</v>
          </cell>
          <cell r="W29">
            <v>88616.42</v>
          </cell>
          <cell r="X29">
            <v>10498.19</v>
          </cell>
          <cell r="Y29">
            <v>7453.39</v>
          </cell>
          <cell r="Z29">
            <v>0</v>
          </cell>
          <cell r="AA29">
            <v>0</v>
          </cell>
          <cell r="AB29">
            <v>197912</v>
          </cell>
          <cell r="AC29">
            <v>304480</v>
          </cell>
          <cell r="AD29">
            <v>0</v>
          </cell>
          <cell r="AE29">
            <v>304480</v>
          </cell>
          <cell r="AF29">
            <v>0</v>
          </cell>
          <cell r="AG29">
            <v>0</v>
          </cell>
          <cell r="AH29">
            <v>0</v>
          </cell>
          <cell r="AI29">
            <v>1178902</v>
          </cell>
          <cell r="AJ29">
            <v>1483382</v>
          </cell>
          <cell r="AK29">
            <v>304480</v>
          </cell>
          <cell r="AL29">
            <v>1483382</v>
          </cell>
          <cell r="AM29">
            <v>0</v>
          </cell>
          <cell r="AN29">
            <v>0</v>
          </cell>
          <cell r="AO29">
            <v>0</v>
          </cell>
          <cell r="AP29">
            <v>0</v>
          </cell>
          <cell r="AQ29">
            <v>0</v>
          </cell>
          <cell r="AR29">
            <v>0</v>
          </cell>
          <cell r="AS29">
            <v>0</v>
          </cell>
          <cell r="AT29">
            <v>115082.77677202607</v>
          </cell>
          <cell r="AU29">
            <v>189397.22322797391</v>
          </cell>
          <cell r="AW29">
            <v>1178902</v>
          </cell>
          <cell r="AX29">
            <v>7291</v>
          </cell>
          <cell r="AY29">
            <v>1186193</v>
          </cell>
          <cell r="AZ29">
            <v>0</v>
          </cell>
          <cell r="BA29">
            <v>1186193</v>
          </cell>
          <cell r="BB29">
            <v>0</v>
          </cell>
          <cell r="BC29">
            <v>1186193</v>
          </cell>
          <cell r="BD29">
            <v>0</v>
          </cell>
          <cell r="BE29">
            <v>304480</v>
          </cell>
          <cell r="BF29">
            <v>0</v>
          </cell>
          <cell r="BH29">
            <v>1490673</v>
          </cell>
          <cell r="BI29">
            <v>0</v>
          </cell>
          <cell r="BJ29">
            <v>1490673</v>
          </cell>
          <cell r="BK29">
            <v>0</v>
          </cell>
          <cell r="BL29">
            <v>1490673</v>
          </cell>
        </row>
        <row r="30">
          <cell r="B30" t="str">
            <v>CALVERT CO ENTITIES   RETRO</v>
          </cell>
          <cell r="C30">
            <v>0</v>
          </cell>
          <cell r="D30" t="str">
            <v>n/a</v>
          </cell>
          <cell r="E30" t="str">
            <v>08262</v>
          </cell>
          <cell r="F30" t="str">
            <v>Modified Retro</v>
          </cell>
          <cell r="G30" t="str">
            <v>JUL</v>
          </cell>
          <cell r="H30" t="str">
            <v>Richardson</v>
          </cell>
          <cell r="I30" t="str">
            <v>Lehmann</v>
          </cell>
          <cell r="J30" t="str">
            <v>Retrospective</v>
          </cell>
          <cell r="K30" t="str">
            <v>BARBARA</v>
          </cell>
          <cell r="L30" t="str">
            <v>None</v>
          </cell>
          <cell r="M30">
            <v>0</v>
          </cell>
          <cell r="N30">
            <v>0</v>
          </cell>
          <cell r="O30" t="str">
            <v>CARE</v>
          </cell>
          <cell r="P30" t="str">
            <v>LOCAL</v>
          </cell>
          <cell r="Q30">
            <v>2460</v>
          </cell>
          <cell r="R30">
            <v>0</v>
          </cell>
          <cell r="S30">
            <v>100000</v>
          </cell>
          <cell r="T30">
            <v>1.25</v>
          </cell>
          <cell r="U30">
            <v>689738.17</v>
          </cell>
          <cell r="V30">
            <v>101788.4</v>
          </cell>
          <cell r="W30">
            <v>791526.57</v>
          </cell>
          <cell r="X30">
            <v>101788.4</v>
          </cell>
          <cell r="Y30">
            <v>24229.5</v>
          </cell>
          <cell r="Z30">
            <v>0</v>
          </cell>
          <cell r="AA30">
            <v>0</v>
          </cell>
          <cell r="AB30">
            <v>1360518.53</v>
          </cell>
          <cell r="AC30">
            <v>2278063</v>
          </cell>
          <cell r="AD30">
            <v>1286</v>
          </cell>
          <cell r="AE30">
            <v>2279349</v>
          </cell>
          <cell r="AF30">
            <v>0</v>
          </cell>
          <cell r="AG30">
            <v>0</v>
          </cell>
          <cell r="AH30">
            <v>0</v>
          </cell>
          <cell r="AI30">
            <v>16334503</v>
          </cell>
          <cell r="AJ30">
            <v>18612566</v>
          </cell>
          <cell r="AK30">
            <v>2278063</v>
          </cell>
          <cell r="AL30">
            <v>18612566</v>
          </cell>
          <cell r="AM30">
            <v>0</v>
          </cell>
          <cell r="AN30">
            <v>0</v>
          </cell>
          <cell r="AO30">
            <v>0</v>
          </cell>
          <cell r="AP30">
            <v>0</v>
          </cell>
          <cell r="AQ30">
            <v>170948</v>
          </cell>
          <cell r="AR30">
            <v>0</v>
          </cell>
          <cell r="AS30">
            <v>170948</v>
          </cell>
          <cell r="AT30">
            <v>1606322.3685081259</v>
          </cell>
          <cell r="AU30">
            <v>502078.63149187411</v>
          </cell>
          <cell r="AW30">
            <v>16505451</v>
          </cell>
          <cell r="AX30">
            <v>129828</v>
          </cell>
          <cell r="AY30">
            <v>16635279</v>
          </cell>
          <cell r="AZ30">
            <v>0</v>
          </cell>
          <cell r="BA30">
            <v>16635279</v>
          </cell>
          <cell r="BB30">
            <v>0</v>
          </cell>
          <cell r="BC30">
            <v>16635279</v>
          </cell>
          <cell r="BD30">
            <v>1286</v>
          </cell>
          <cell r="BE30">
            <v>2278063</v>
          </cell>
          <cell r="BF30">
            <v>0</v>
          </cell>
          <cell r="BH30">
            <v>18914628</v>
          </cell>
          <cell r="BI30">
            <v>170948</v>
          </cell>
          <cell r="BJ30">
            <v>18743680</v>
          </cell>
          <cell r="BK30">
            <v>0</v>
          </cell>
          <cell r="BL30">
            <v>18743680</v>
          </cell>
        </row>
        <row r="31">
          <cell r="B31" t="str">
            <v>CAMBREX BIOWHITTAKER</v>
          </cell>
          <cell r="C31">
            <v>0</v>
          </cell>
          <cell r="D31">
            <v>1900344</v>
          </cell>
          <cell r="E31">
            <v>56828</v>
          </cell>
          <cell r="F31" t="str">
            <v>ASC</v>
          </cell>
          <cell r="G31" t="str">
            <v>JAN</v>
          </cell>
          <cell r="H31" t="str">
            <v>Delong</v>
          </cell>
          <cell r="I31" t="str">
            <v>Engel</v>
          </cell>
          <cell r="J31" t="str">
            <v>Weekly Wire</v>
          </cell>
          <cell r="K31" t="str">
            <v>NETTIE</v>
          </cell>
          <cell r="L31" t="str">
            <v>Wachovia</v>
          </cell>
          <cell r="M31">
            <v>0</v>
          </cell>
          <cell r="N31">
            <v>55026</v>
          </cell>
          <cell r="O31" t="str">
            <v>NASCO</v>
          </cell>
          <cell r="P31" t="str">
            <v>NATIONAL</v>
          </cell>
          <cell r="Q31">
            <v>704</v>
          </cell>
          <cell r="R31">
            <v>0</v>
          </cell>
          <cell r="S31">
            <v>50000</v>
          </cell>
          <cell r="T31">
            <v>1.1499999999999999</v>
          </cell>
          <cell r="U31">
            <v>458924.4</v>
          </cell>
          <cell r="V31">
            <v>30594.959999999999</v>
          </cell>
          <cell r="W31">
            <v>489519.35999999999</v>
          </cell>
          <cell r="X31">
            <v>20396.64</v>
          </cell>
          <cell r="Y31">
            <v>10198.32</v>
          </cell>
          <cell r="Z31">
            <v>0</v>
          </cell>
          <cell r="AA31">
            <v>142776.48000000001</v>
          </cell>
          <cell r="AB31">
            <v>356941.2</v>
          </cell>
          <cell r="AC31">
            <v>1019832</v>
          </cell>
          <cell r="AD31">
            <v>6524</v>
          </cell>
          <cell r="AE31">
            <v>1026356</v>
          </cell>
          <cell r="AF31">
            <v>0</v>
          </cell>
          <cell r="AG31">
            <v>0</v>
          </cell>
          <cell r="AH31">
            <v>-5344</v>
          </cell>
          <cell r="AI31">
            <v>2235205</v>
          </cell>
          <cell r="AJ31">
            <v>3255037</v>
          </cell>
          <cell r="AK31">
            <v>1019832</v>
          </cell>
          <cell r="AL31">
            <v>3112260.52</v>
          </cell>
          <cell r="AM31">
            <v>0</v>
          </cell>
          <cell r="AN31">
            <v>0</v>
          </cell>
          <cell r="AO31">
            <v>0</v>
          </cell>
          <cell r="AP31">
            <v>0</v>
          </cell>
          <cell r="AQ31">
            <v>565526</v>
          </cell>
          <cell r="AR31">
            <v>0</v>
          </cell>
          <cell r="AS31">
            <v>565526</v>
          </cell>
          <cell r="AT31">
            <v>273604.94206173054</v>
          </cell>
          <cell r="AU31">
            <v>39104.577938269358</v>
          </cell>
          <cell r="AW31">
            <v>2800731</v>
          </cell>
          <cell r="AX31">
            <v>85138</v>
          </cell>
          <cell r="AY31">
            <v>2885869</v>
          </cell>
          <cell r="AZ31">
            <v>0</v>
          </cell>
          <cell r="BA31">
            <v>2885869</v>
          </cell>
          <cell r="BB31">
            <v>0</v>
          </cell>
          <cell r="BC31">
            <v>2885869</v>
          </cell>
          <cell r="BD31">
            <v>6524</v>
          </cell>
          <cell r="BE31">
            <v>1019832</v>
          </cell>
          <cell r="BF31">
            <v>-5344</v>
          </cell>
          <cell r="BH31">
            <v>3906881</v>
          </cell>
          <cell r="BI31">
            <v>565526</v>
          </cell>
          <cell r="BJ31">
            <v>3341355</v>
          </cell>
          <cell r="BK31">
            <v>0</v>
          </cell>
          <cell r="BL31">
            <v>3341355</v>
          </cell>
        </row>
        <row r="32">
          <cell r="B32" t="str">
            <v>CAREFIRST</v>
          </cell>
          <cell r="C32">
            <v>0</v>
          </cell>
          <cell r="D32">
            <v>1900045</v>
          </cell>
          <cell r="E32" t="str">
            <v>07277</v>
          </cell>
          <cell r="F32" t="str">
            <v>ASC</v>
          </cell>
          <cell r="G32" t="str">
            <v>APR</v>
          </cell>
          <cell r="H32" t="str">
            <v>Parker Mann</v>
          </cell>
          <cell r="I32" t="str">
            <v>Waters</v>
          </cell>
          <cell r="J32" t="str">
            <v>N/A</v>
          </cell>
          <cell r="K32" t="str">
            <v>DONNA</v>
          </cell>
          <cell r="L32" t="str">
            <v>None</v>
          </cell>
          <cell r="M32">
            <v>0</v>
          </cell>
          <cell r="N32">
            <v>0</v>
          </cell>
          <cell r="O32" t="str">
            <v>NASCO-S</v>
          </cell>
          <cell r="P32" t="str">
            <v>NATIONAL</v>
          </cell>
          <cell r="Q32">
            <v>1777</v>
          </cell>
          <cell r="R32">
            <v>0</v>
          </cell>
          <cell r="S32">
            <v>0</v>
          </cell>
          <cell r="T32">
            <v>0</v>
          </cell>
          <cell r="U32">
            <v>0</v>
          </cell>
          <cell r="V32">
            <v>0</v>
          </cell>
          <cell r="W32">
            <v>0</v>
          </cell>
          <cell r="X32">
            <v>0</v>
          </cell>
          <cell r="Y32">
            <v>67332.52</v>
          </cell>
          <cell r="Z32">
            <v>0</v>
          </cell>
          <cell r="AA32">
            <v>0</v>
          </cell>
          <cell r="AB32">
            <v>1615980.48</v>
          </cell>
          <cell r="AC32">
            <v>1683313</v>
          </cell>
          <cell r="AD32">
            <v>-705</v>
          </cell>
          <cell r="AE32">
            <v>1682608</v>
          </cell>
          <cell r="AF32">
            <v>0</v>
          </cell>
          <cell r="AG32">
            <v>0</v>
          </cell>
          <cell r="AH32">
            <v>0</v>
          </cell>
          <cell r="AI32">
            <v>31555568</v>
          </cell>
          <cell r="AJ32">
            <v>33238881</v>
          </cell>
          <cell r="AK32">
            <v>1683313</v>
          </cell>
          <cell r="AL32">
            <v>33238881</v>
          </cell>
          <cell r="AM32">
            <v>0</v>
          </cell>
          <cell r="AN32">
            <v>0</v>
          </cell>
          <cell r="AO32">
            <v>0</v>
          </cell>
          <cell r="AP32">
            <v>0</v>
          </cell>
          <cell r="AQ32">
            <v>0</v>
          </cell>
          <cell r="AR32">
            <v>0</v>
          </cell>
          <cell r="AS32">
            <v>0</v>
          </cell>
          <cell r="AT32">
            <v>3060541.2159547638</v>
          </cell>
          <cell r="AU32">
            <v>-1377933.2159547638</v>
          </cell>
          <cell r="AW32">
            <v>31555568</v>
          </cell>
          <cell r="AX32">
            <v>79635</v>
          </cell>
          <cell r="AY32">
            <v>31635203</v>
          </cell>
          <cell r="AZ32">
            <v>0</v>
          </cell>
          <cell r="BA32">
            <v>31635203</v>
          </cell>
          <cell r="BB32">
            <v>0</v>
          </cell>
          <cell r="BC32">
            <v>31635203</v>
          </cell>
          <cell r="BD32">
            <v>-705</v>
          </cell>
          <cell r="BE32">
            <v>1683313</v>
          </cell>
          <cell r="BF32">
            <v>0</v>
          </cell>
          <cell r="BH32">
            <v>33317811</v>
          </cell>
          <cell r="BI32">
            <v>0</v>
          </cell>
          <cell r="BJ32">
            <v>33317811</v>
          </cell>
          <cell r="BK32">
            <v>0</v>
          </cell>
          <cell r="BL32">
            <v>33317811</v>
          </cell>
        </row>
        <row r="33">
          <cell r="B33" t="str">
            <v>CARPENTERS</v>
          </cell>
          <cell r="C33">
            <v>0</v>
          </cell>
          <cell r="D33" t="str">
            <v>n/a</v>
          </cell>
          <cell r="E33">
            <v>59344</v>
          </cell>
          <cell r="F33">
            <v>0</v>
          </cell>
          <cell r="G33" t="str">
            <v>termed 9/03</v>
          </cell>
          <cell r="H33" t="str">
            <v>Howard</v>
          </cell>
          <cell r="I33" t="str">
            <v>Yocum</v>
          </cell>
          <cell r="J33" t="str">
            <v>Wire--1 Month</v>
          </cell>
          <cell r="K33" t="str">
            <v>GINNY</v>
          </cell>
          <cell r="L33" t="str">
            <v>None</v>
          </cell>
          <cell r="M33">
            <v>227777</v>
          </cell>
          <cell r="N33">
            <v>0</v>
          </cell>
          <cell r="O33" t="str">
            <v>CARE</v>
          </cell>
          <cell r="P33" t="str">
            <v>LOCAL</v>
          </cell>
          <cell r="Q33" t="str">
            <v>termed</v>
          </cell>
          <cell r="R33">
            <v>0</v>
          </cell>
          <cell r="S33">
            <v>0</v>
          </cell>
          <cell r="T33">
            <v>0</v>
          </cell>
          <cell r="U33">
            <v>0</v>
          </cell>
          <cell r="V33">
            <v>0</v>
          </cell>
          <cell r="W33">
            <v>0</v>
          </cell>
          <cell r="X33">
            <v>0</v>
          </cell>
          <cell r="Y33">
            <v>0</v>
          </cell>
          <cell r="Z33">
            <v>0</v>
          </cell>
          <cell r="AA33">
            <v>0</v>
          </cell>
          <cell r="AB33">
            <v>158</v>
          </cell>
          <cell r="AC33">
            <v>158</v>
          </cell>
          <cell r="AD33">
            <v>0</v>
          </cell>
          <cell r="AE33">
            <v>158</v>
          </cell>
          <cell r="AF33">
            <v>0</v>
          </cell>
          <cell r="AG33">
            <v>0</v>
          </cell>
          <cell r="AH33">
            <v>0</v>
          </cell>
          <cell r="AI33">
            <v>1215</v>
          </cell>
          <cell r="AJ33">
            <v>1373</v>
          </cell>
          <cell r="AK33">
            <v>158</v>
          </cell>
          <cell r="AL33">
            <v>1373</v>
          </cell>
          <cell r="AM33">
            <v>0</v>
          </cell>
          <cell r="AN33">
            <v>0</v>
          </cell>
          <cell r="AO33">
            <v>0</v>
          </cell>
          <cell r="AP33">
            <v>0</v>
          </cell>
          <cell r="AQ33">
            <v>0</v>
          </cell>
          <cell r="AR33">
            <v>0</v>
          </cell>
          <cell r="AS33">
            <v>0</v>
          </cell>
          <cell r="AT33">
            <v>112.51317803080238</v>
          </cell>
          <cell r="AU33">
            <v>45.486821969197621</v>
          </cell>
          <cell r="AW33">
            <v>1215</v>
          </cell>
          <cell r="AX33">
            <v>0</v>
          </cell>
          <cell r="AY33">
            <v>1215</v>
          </cell>
          <cell r="AZ33">
            <v>0</v>
          </cell>
          <cell r="BA33">
            <v>1215</v>
          </cell>
          <cell r="BB33">
            <v>0</v>
          </cell>
          <cell r="BC33">
            <v>1215</v>
          </cell>
          <cell r="BD33">
            <v>0</v>
          </cell>
          <cell r="BE33">
            <v>158</v>
          </cell>
          <cell r="BF33">
            <v>0</v>
          </cell>
          <cell r="BH33">
            <v>1373</v>
          </cell>
          <cell r="BI33">
            <v>0</v>
          </cell>
          <cell r="BJ33">
            <v>1373</v>
          </cell>
          <cell r="BK33">
            <v>0</v>
          </cell>
          <cell r="BL33">
            <v>1373</v>
          </cell>
        </row>
        <row r="34">
          <cell r="B34" t="str">
            <v>CARROLL CO GOVT</v>
          </cell>
          <cell r="C34">
            <v>0</v>
          </cell>
          <cell r="D34" t="str">
            <v>n/a</v>
          </cell>
          <cell r="E34">
            <v>59765</v>
          </cell>
          <cell r="F34" t="str">
            <v>ASC</v>
          </cell>
          <cell r="G34" t="str">
            <v>JAN</v>
          </cell>
          <cell r="H34" t="str">
            <v>Parker Mann</v>
          </cell>
          <cell r="I34" t="str">
            <v>Pederson</v>
          </cell>
          <cell r="J34" t="str">
            <v>Direct Debit--Weekly</v>
          </cell>
          <cell r="K34" t="str">
            <v>NETTIE</v>
          </cell>
          <cell r="L34" t="str">
            <v>None</v>
          </cell>
          <cell r="M34">
            <v>0</v>
          </cell>
          <cell r="N34">
            <v>149257</v>
          </cell>
          <cell r="O34" t="str">
            <v>CARE</v>
          </cell>
          <cell r="P34" t="str">
            <v>LOCAL</v>
          </cell>
          <cell r="Q34">
            <v>1125</v>
          </cell>
          <cell r="R34">
            <v>0</v>
          </cell>
          <cell r="S34">
            <v>250000</v>
          </cell>
          <cell r="T34">
            <v>1.25</v>
          </cell>
          <cell r="U34">
            <v>201753.76</v>
          </cell>
          <cell r="V34">
            <v>46558.559999999998</v>
          </cell>
          <cell r="W34">
            <v>248312.32000000001</v>
          </cell>
          <cell r="X34">
            <v>0</v>
          </cell>
          <cell r="Y34">
            <v>15519.52</v>
          </cell>
          <cell r="Z34">
            <v>0</v>
          </cell>
          <cell r="AA34">
            <v>0</v>
          </cell>
          <cell r="AB34">
            <v>512144.16</v>
          </cell>
          <cell r="AC34">
            <v>775976</v>
          </cell>
          <cell r="AD34">
            <v>240</v>
          </cell>
          <cell r="AE34">
            <v>776216</v>
          </cell>
          <cell r="AF34">
            <v>0</v>
          </cell>
          <cell r="AG34">
            <v>0</v>
          </cell>
          <cell r="AH34">
            <v>0</v>
          </cell>
          <cell r="AI34">
            <v>8151809</v>
          </cell>
          <cell r="AJ34">
            <v>8927785</v>
          </cell>
          <cell r="AK34">
            <v>775976</v>
          </cell>
          <cell r="AL34">
            <v>8927785</v>
          </cell>
          <cell r="AM34">
            <v>0</v>
          </cell>
          <cell r="AN34">
            <v>0</v>
          </cell>
          <cell r="AO34">
            <v>0</v>
          </cell>
          <cell r="AP34">
            <v>0</v>
          </cell>
          <cell r="AQ34">
            <v>0</v>
          </cell>
          <cell r="AR34">
            <v>0</v>
          </cell>
          <cell r="AS34">
            <v>0</v>
          </cell>
          <cell r="AT34">
            <v>799978.67807763047</v>
          </cell>
          <cell r="AU34">
            <v>-23762.678077630466</v>
          </cell>
          <cell r="AW34">
            <v>8151809</v>
          </cell>
          <cell r="AX34">
            <v>22606</v>
          </cell>
          <cell r="AY34">
            <v>8174415</v>
          </cell>
          <cell r="AZ34">
            <v>0</v>
          </cell>
          <cell r="BA34">
            <v>8174415</v>
          </cell>
          <cell r="BB34">
            <v>0</v>
          </cell>
          <cell r="BC34">
            <v>8174415</v>
          </cell>
          <cell r="BD34">
            <v>240</v>
          </cell>
          <cell r="BE34">
            <v>775976</v>
          </cell>
          <cell r="BF34">
            <v>0</v>
          </cell>
          <cell r="BH34">
            <v>8950631</v>
          </cell>
          <cell r="BI34">
            <v>0</v>
          </cell>
          <cell r="BJ34">
            <v>8950631</v>
          </cell>
          <cell r="BK34">
            <v>0</v>
          </cell>
          <cell r="BL34">
            <v>8950631</v>
          </cell>
        </row>
        <row r="35">
          <cell r="B35" t="str">
            <v>CARROLL CO P S</v>
          </cell>
          <cell r="C35">
            <v>0</v>
          </cell>
          <cell r="D35" t="str">
            <v>n/a</v>
          </cell>
          <cell r="E35">
            <v>25698</v>
          </cell>
          <cell r="F35" t="str">
            <v>ASC</v>
          </cell>
          <cell r="G35" t="str">
            <v>JAN</v>
          </cell>
          <cell r="H35" t="str">
            <v>Solloway</v>
          </cell>
          <cell r="I35" t="str">
            <v>Lopez</v>
          </cell>
          <cell r="J35" t="str">
            <v>Deposit--2 Month</v>
          </cell>
          <cell r="K35" t="str">
            <v>NETTIE</v>
          </cell>
          <cell r="L35" t="str">
            <v>None</v>
          </cell>
          <cell r="M35">
            <v>183325</v>
          </cell>
          <cell r="N35">
            <v>0</v>
          </cell>
          <cell r="O35" t="str">
            <v>CARE-S</v>
          </cell>
          <cell r="P35" t="str">
            <v>LOCAL</v>
          </cell>
          <cell r="Q35" t="str">
            <v>dental</v>
          </cell>
          <cell r="R35">
            <v>0</v>
          </cell>
          <cell r="S35">
            <v>0</v>
          </cell>
          <cell r="T35">
            <v>0</v>
          </cell>
          <cell r="U35">
            <v>0</v>
          </cell>
          <cell r="V35">
            <v>0</v>
          </cell>
          <cell r="W35">
            <v>0</v>
          </cell>
          <cell r="X35">
            <v>0</v>
          </cell>
          <cell r="Y35">
            <v>0</v>
          </cell>
          <cell r="Z35">
            <v>0</v>
          </cell>
          <cell r="AA35">
            <v>0</v>
          </cell>
          <cell r="AB35">
            <v>126357</v>
          </cell>
          <cell r="AC35">
            <v>126357</v>
          </cell>
          <cell r="AD35">
            <v>0</v>
          </cell>
          <cell r="AE35">
            <v>126357</v>
          </cell>
          <cell r="AF35">
            <v>0</v>
          </cell>
          <cell r="AG35">
            <v>0</v>
          </cell>
          <cell r="AH35">
            <v>0</v>
          </cell>
          <cell r="AI35">
            <v>1031202</v>
          </cell>
          <cell r="AJ35">
            <v>1157559</v>
          </cell>
          <cell r="AK35">
            <v>126357</v>
          </cell>
          <cell r="AL35">
            <v>1157559</v>
          </cell>
          <cell r="AM35">
            <v>0</v>
          </cell>
          <cell r="AN35">
            <v>0</v>
          </cell>
          <cell r="AO35">
            <v>0</v>
          </cell>
          <cell r="AP35">
            <v>0</v>
          </cell>
          <cell r="AQ35">
            <v>0</v>
          </cell>
          <cell r="AR35">
            <v>0</v>
          </cell>
          <cell r="AS35">
            <v>0</v>
          </cell>
          <cell r="AT35">
            <v>99363.550935537394</v>
          </cell>
          <cell r="AU35">
            <v>26993.449064462606</v>
          </cell>
          <cell r="AW35">
            <v>1031202</v>
          </cell>
          <cell r="AX35">
            <v>0</v>
          </cell>
          <cell r="AY35">
            <v>1031202</v>
          </cell>
          <cell r="AZ35">
            <v>0</v>
          </cell>
          <cell r="BA35">
            <v>1031202</v>
          </cell>
          <cell r="BB35">
            <v>0</v>
          </cell>
          <cell r="BC35">
            <v>1031202</v>
          </cell>
          <cell r="BD35">
            <v>0</v>
          </cell>
          <cell r="BE35">
            <v>126357</v>
          </cell>
          <cell r="BF35">
            <v>0</v>
          </cell>
          <cell r="BH35">
            <v>1157559</v>
          </cell>
          <cell r="BI35">
            <v>0</v>
          </cell>
          <cell r="BJ35">
            <v>1157559</v>
          </cell>
          <cell r="BK35">
            <v>0</v>
          </cell>
          <cell r="BL35">
            <v>1157559</v>
          </cell>
        </row>
        <row r="36">
          <cell r="B36" t="str">
            <v>CECIL CO BD OF ED</v>
          </cell>
          <cell r="C36">
            <v>0</v>
          </cell>
          <cell r="D36" t="str">
            <v>n/a</v>
          </cell>
          <cell r="E36">
            <v>28209</v>
          </cell>
          <cell r="F36" t="str">
            <v>ASC</v>
          </cell>
          <cell r="G36" t="str">
            <v>SEP</v>
          </cell>
          <cell r="H36" t="str">
            <v>Michael</v>
          </cell>
          <cell r="I36" t="str">
            <v>Drusano</v>
          </cell>
          <cell r="J36" t="str">
            <v>Bi-weekly Wire</v>
          </cell>
          <cell r="K36" t="str">
            <v>DONNA</v>
          </cell>
          <cell r="L36" t="str">
            <v>None</v>
          </cell>
          <cell r="M36">
            <v>0</v>
          </cell>
          <cell r="N36">
            <v>197600</v>
          </cell>
          <cell r="O36" t="str">
            <v>CARE -S</v>
          </cell>
          <cell r="P36" t="str">
            <v>LOCAL</v>
          </cell>
          <cell r="Q36">
            <v>1362</v>
          </cell>
          <cell r="R36">
            <v>0</v>
          </cell>
          <cell r="S36">
            <v>150000</v>
          </cell>
          <cell r="T36">
            <v>1.1499999999999999</v>
          </cell>
          <cell r="U36">
            <v>226668.28</v>
          </cell>
          <cell r="V36">
            <v>57389.599999999999</v>
          </cell>
          <cell r="W36">
            <v>284057.88</v>
          </cell>
          <cell r="X36">
            <v>80345.440000000002</v>
          </cell>
          <cell r="Y36">
            <v>0</v>
          </cell>
          <cell r="Z36">
            <v>0</v>
          </cell>
          <cell r="AA36">
            <v>0</v>
          </cell>
          <cell r="AB36">
            <v>783388.68</v>
          </cell>
          <cell r="AC36">
            <v>1147792</v>
          </cell>
          <cell r="AD36">
            <v>179</v>
          </cell>
          <cell r="AE36">
            <v>1147971</v>
          </cell>
          <cell r="AF36">
            <v>0</v>
          </cell>
          <cell r="AG36">
            <v>0</v>
          </cell>
          <cell r="AH36">
            <v>-1240</v>
          </cell>
          <cell r="AI36">
            <v>9554993</v>
          </cell>
          <cell r="AJ36">
            <v>10702785</v>
          </cell>
          <cell r="AK36">
            <v>1147792</v>
          </cell>
          <cell r="AL36">
            <v>10702785</v>
          </cell>
          <cell r="AM36">
            <v>0</v>
          </cell>
          <cell r="AN36">
            <v>0</v>
          </cell>
          <cell r="AO36">
            <v>0</v>
          </cell>
          <cell r="AP36">
            <v>0</v>
          </cell>
          <cell r="AQ36">
            <v>190097</v>
          </cell>
          <cell r="AR36">
            <v>0</v>
          </cell>
          <cell r="AS36">
            <v>190097</v>
          </cell>
          <cell r="AT36">
            <v>949806.15584560751</v>
          </cell>
          <cell r="AU36">
            <v>6827.8441543924855</v>
          </cell>
          <cell r="AW36">
            <v>9745090</v>
          </cell>
          <cell r="AX36">
            <v>43805</v>
          </cell>
          <cell r="AY36">
            <v>9788895</v>
          </cell>
          <cell r="AZ36">
            <v>0</v>
          </cell>
          <cell r="BA36">
            <v>9788895</v>
          </cell>
          <cell r="BB36">
            <v>0</v>
          </cell>
          <cell r="BC36">
            <v>9788895</v>
          </cell>
          <cell r="BD36">
            <v>179</v>
          </cell>
          <cell r="BE36">
            <v>1147792</v>
          </cell>
          <cell r="BF36">
            <v>-1240</v>
          </cell>
          <cell r="BH36">
            <v>10935626</v>
          </cell>
          <cell r="BI36">
            <v>190097</v>
          </cell>
          <cell r="BJ36">
            <v>10745529</v>
          </cell>
          <cell r="BK36">
            <v>0</v>
          </cell>
          <cell r="BL36">
            <v>10745529</v>
          </cell>
        </row>
        <row r="37">
          <cell r="B37" t="str">
            <v>CECIL CO GOVT</v>
          </cell>
          <cell r="C37">
            <v>0</v>
          </cell>
          <cell r="D37">
            <v>1900543</v>
          </cell>
          <cell r="E37">
            <v>65766</v>
          </cell>
          <cell r="F37" t="str">
            <v>ASC</v>
          </cell>
          <cell r="G37" t="str">
            <v>JAN</v>
          </cell>
          <cell r="H37">
            <v>0</v>
          </cell>
          <cell r="I37">
            <v>0</v>
          </cell>
          <cell r="J37" t="str">
            <v>Weekly Wire</v>
          </cell>
          <cell r="K37" t="str">
            <v>DONNA</v>
          </cell>
          <cell r="L37">
            <v>0</v>
          </cell>
          <cell r="M37">
            <v>0</v>
          </cell>
          <cell r="N37">
            <v>0</v>
          </cell>
          <cell r="O37" t="str">
            <v>NASCO</v>
          </cell>
          <cell r="P37" t="str">
            <v>LOCAL</v>
          </cell>
          <cell r="Q37">
            <v>630</v>
          </cell>
          <cell r="R37">
            <v>0</v>
          </cell>
          <cell r="S37">
            <v>0</v>
          </cell>
          <cell r="T37">
            <v>0</v>
          </cell>
          <cell r="U37">
            <v>0</v>
          </cell>
          <cell r="V37">
            <v>0</v>
          </cell>
          <cell r="W37">
            <v>0</v>
          </cell>
          <cell r="X37">
            <v>0</v>
          </cell>
          <cell r="Y37">
            <v>0</v>
          </cell>
          <cell r="Z37">
            <v>0</v>
          </cell>
          <cell r="AA37">
            <v>0</v>
          </cell>
          <cell r="AB37">
            <v>340994</v>
          </cell>
          <cell r="AC37">
            <v>340994</v>
          </cell>
          <cell r="AD37">
            <v>0</v>
          </cell>
          <cell r="AE37">
            <v>340994</v>
          </cell>
          <cell r="AF37">
            <v>0</v>
          </cell>
          <cell r="AG37">
            <v>0</v>
          </cell>
          <cell r="AH37">
            <v>0</v>
          </cell>
          <cell r="AI37">
            <v>3838877</v>
          </cell>
          <cell r="AJ37">
            <v>4179871</v>
          </cell>
          <cell r="AK37">
            <v>340994</v>
          </cell>
          <cell r="AL37">
            <v>4179871</v>
          </cell>
          <cell r="AM37">
            <v>0</v>
          </cell>
          <cell r="AN37">
            <v>0</v>
          </cell>
          <cell r="AO37">
            <v>0</v>
          </cell>
          <cell r="AP37">
            <v>0</v>
          </cell>
          <cell r="AQ37">
            <v>0</v>
          </cell>
          <cell r="AR37">
            <v>0</v>
          </cell>
          <cell r="AS37">
            <v>0</v>
          </cell>
          <cell r="AT37">
            <v>377614.23116998636</v>
          </cell>
          <cell r="AU37">
            <v>-36620.231169986364</v>
          </cell>
          <cell r="AW37">
            <v>3838877</v>
          </cell>
          <cell r="AX37">
            <v>16616</v>
          </cell>
          <cell r="AY37">
            <v>3855493</v>
          </cell>
          <cell r="AZ37">
            <v>0</v>
          </cell>
          <cell r="BA37">
            <v>3855493</v>
          </cell>
          <cell r="BB37">
            <v>0</v>
          </cell>
          <cell r="BC37">
            <v>3855493</v>
          </cell>
          <cell r="BD37">
            <v>0</v>
          </cell>
          <cell r="BE37">
            <v>340994</v>
          </cell>
          <cell r="BF37">
            <v>0</v>
          </cell>
          <cell r="BH37">
            <v>4196487</v>
          </cell>
          <cell r="BI37">
            <v>0</v>
          </cell>
          <cell r="BJ37">
            <v>4196487</v>
          </cell>
          <cell r="BK37">
            <v>0</v>
          </cell>
          <cell r="BL37">
            <v>4196487</v>
          </cell>
        </row>
        <row r="38">
          <cell r="B38" t="str">
            <v>CEDAR ENTERPRISE SOLUTIONS</v>
          </cell>
          <cell r="C38">
            <v>0</v>
          </cell>
          <cell r="D38">
            <v>1900471</v>
          </cell>
          <cell r="E38">
            <v>64048</v>
          </cell>
          <cell r="F38" t="str">
            <v>ASC</v>
          </cell>
          <cell r="G38" t="str">
            <v>JAN</v>
          </cell>
          <cell r="H38" t="str">
            <v>Pospisil</v>
          </cell>
          <cell r="I38" t="str">
            <v>Waters</v>
          </cell>
          <cell r="J38" t="str">
            <v>Weekly Check</v>
          </cell>
          <cell r="K38" t="str">
            <v>GINNY</v>
          </cell>
          <cell r="L38" t="str">
            <v>Laslett Blue</v>
          </cell>
          <cell r="M38">
            <v>0</v>
          </cell>
          <cell r="N38">
            <v>0</v>
          </cell>
          <cell r="O38" t="str">
            <v>NASCO-S</v>
          </cell>
          <cell r="P38" t="str">
            <v>NATIONAL</v>
          </cell>
          <cell r="Q38">
            <v>197</v>
          </cell>
          <cell r="R38">
            <v>0</v>
          </cell>
          <cell r="S38">
            <v>0</v>
          </cell>
          <cell r="T38">
            <v>0</v>
          </cell>
          <cell r="U38">
            <v>0</v>
          </cell>
          <cell r="V38">
            <v>0</v>
          </cell>
          <cell r="W38">
            <v>0</v>
          </cell>
          <cell r="X38">
            <v>0</v>
          </cell>
          <cell r="Y38">
            <v>0</v>
          </cell>
          <cell r="Z38">
            <v>0</v>
          </cell>
          <cell r="AA38">
            <v>0</v>
          </cell>
          <cell r="AB38">
            <v>51092</v>
          </cell>
          <cell r="AC38">
            <v>51092</v>
          </cell>
          <cell r="AD38">
            <v>0</v>
          </cell>
          <cell r="AE38">
            <v>51092</v>
          </cell>
          <cell r="AF38">
            <v>0</v>
          </cell>
          <cell r="AG38">
            <v>0</v>
          </cell>
          <cell r="AH38">
            <v>0</v>
          </cell>
          <cell r="AI38">
            <v>242634</v>
          </cell>
          <cell r="AJ38">
            <v>293726</v>
          </cell>
          <cell r="AK38">
            <v>51092</v>
          </cell>
          <cell r="AL38">
            <v>293726</v>
          </cell>
          <cell r="AM38">
            <v>0</v>
          </cell>
          <cell r="AN38">
            <v>0</v>
          </cell>
          <cell r="AO38">
            <v>0</v>
          </cell>
          <cell r="AP38">
            <v>0</v>
          </cell>
          <cell r="AQ38">
            <v>0</v>
          </cell>
          <cell r="AR38">
            <v>0</v>
          </cell>
          <cell r="AS38">
            <v>0</v>
          </cell>
          <cell r="AT38">
            <v>24315.881140964673</v>
          </cell>
          <cell r="AU38">
            <v>26776.118859035327</v>
          </cell>
          <cell r="AW38">
            <v>242634</v>
          </cell>
          <cell r="AX38">
            <v>29131</v>
          </cell>
          <cell r="AY38">
            <v>271765</v>
          </cell>
          <cell r="AZ38">
            <v>0</v>
          </cell>
          <cell r="BA38">
            <v>271765</v>
          </cell>
          <cell r="BB38">
            <v>0</v>
          </cell>
          <cell r="BC38">
            <v>271765</v>
          </cell>
          <cell r="BD38">
            <v>0</v>
          </cell>
          <cell r="BE38">
            <v>51092</v>
          </cell>
          <cell r="BF38">
            <v>0</v>
          </cell>
          <cell r="BH38">
            <v>322857</v>
          </cell>
          <cell r="BI38">
            <v>0</v>
          </cell>
          <cell r="BJ38">
            <v>322857</v>
          </cell>
          <cell r="BK38">
            <v>0</v>
          </cell>
          <cell r="BL38">
            <v>322857</v>
          </cell>
        </row>
        <row r="39">
          <cell r="B39" t="str">
            <v>CHARLES CO COMM</v>
          </cell>
          <cell r="C39">
            <v>0</v>
          </cell>
          <cell r="D39" t="str">
            <v>n/a</v>
          </cell>
          <cell r="E39" t="str">
            <v>08174</v>
          </cell>
          <cell r="F39" t="str">
            <v>ASC</v>
          </cell>
          <cell r="G39" t="str">
            <v>JUL</v>
          </cell>
          <cell r="H39" t="str">
            <v>Richardson</v>
          </cell>
          <cell r="I39" t="str">
            <v>Lehmann</v>
          </cell>
          <cell r="J39" t="str">
            <v>Deposit--2 Months</v>
          </cell>
          <cell r="K39" t="str">
            <v>LISA</v>
          </cell>
          <cell r="L39" t="str">
            <v>None</v>
          </cell>
          <cell r="M39">
            <v>944000</v>
          </cell>
          <cell r="N39">
            <v>115000</v>
          </cell>
          <cell r="O39" t="str">
            <v>CARE-S</v>
          </cell>
          <cell r="P39" t="str">
            <v>LOCAL</v>
          </cell>
          <cell r="Q39">
            <v>718</v>
          </cell>
          <cell r="R39">
            <v>0</v>
          </cell>
          <cell r="S39">
            <v>100000</v>
          </cell>
          <cell r="T39">
            <v>1.1499999999999999</v>
          </cell>
          <cell r="U39">
            <v>142506.42000000001</v>
          </cell>
          <cell r="V39">
            <v>54288.160000000003</v>
          </cell>
          <cell r="W39">
            <v>196794.58</v>
          </cell>
          <cell r="X39">
            <v>40716.120000000003</v>
          </cell>
          <cell r="Y39">
            <v>12824.2</v>
          </cell>
          <cell r="Z39">
            <v>0</v>
          </cell>
          <cell r="AA39">
            <v>0</v>
          </cell>
          <cell r="AB39">
            <v>428267.1</v>
          </cell>
          <cell r="AC39">
            <v>678602</v>
          </cell>
          <cell r="AD39">
            <v>220</v>
          </cell>
          <cell r="AE39">
            <v>678822</v>
          </cell>
          <cell r="AF39">
            <v>0</v>
          </cell>
          <cell r="AG39">
            <v>0</v>
          </cell>
          <cell r="AH39">
            <v>3600</v>
          </cell>
          <cell r="AI39">
            <v>5496725</v>
          </cell>
          <cell r="AJ39">
            <v>6175327</v>
          </cell>
          <cell r="AK39">
            <v>678602</v>
          </cell>
          <cell r="AL39">
            <v>6175327</v>
          </cell>
          <cell r="AM39">
            <v>0</v>
          </cell>
          <cell r="AN39">
            <v>0</v>
          </cell>
          <cell r="AO39">
            <v>0</v>
          </cell>
          <cell r="AP39">
            <v>0</v>
          </cell>
          <cell r="AQ39">
            <v>315562</v>
          </cell>
          <cell r="AR39">
            <v>0</v>
          </cell>
          <cell r="AS39">
            <v>315562</v>
          </cell>
          <cell r="AT39">
            <v>561814.21906633</v>
          </cell>
          <cell r="AU39">
            <v>-194954.21906633</v>
          </cell>
          <cell r="AW39">
            <v>5812287</v>
          </cell>
          <cell r="AX39">
            <v>89608</v>
          </cell>
          <cell r="AY39">
            <v>5901895</v>
          </cell>
          <cell r="AZ39">
            <v>0</v>
          </cell>
          <cell r="BA39">
            <v>5901895</v>
          </cell>
          <cell r="BB39">
            <v>0</v>
          </cell>
          <cell r="BC39">
            <v>5901895</v>
          </cell>
          <cell r="BD39">
            <v>220</v>
          </cell>
          <cell r="BE39">
            <v>678602</v>
          </cell>
          <cell r="BF39">
            <v>3600</v>
          </cell>
          <cell r="BH39">
            <v>6584317</v>
          </cell>
          <cell r="BI39">
            <v>315562</v>
          </cell>
          <cell r="BJ39">
            <v>6268755</v>
          </cell>
          <cell r="BK39">
            <v>0</v>
          </cell>
          <cell r="BL39">
            <v>6268755</v>
          </cell>
        </row>
        <row r="40">
          <cell r="B40" t="str">
            <v>CHESAPEAKE PUBLISHING</v>
          </cell>
          <cell r="C40">
            <v>0</v>
          </cell>
          <cell r="D40">
            <v>1900094</v>
          </cell>
          <cell r="E40">
            <v>17940</v>
          </cell>
          <cell r="F40" t="str">
            <v>ASC</v>
          </cell>
          <cell r="G40" t="str">
            <v>JAN</v>
          </cell>
          <cell r="H40" t="str">
            <v>Lentz</v>
          </cell>
          <cell r="I40" t="str">
            <v>Fox</v>
          </cell>
          <cell r="J40" t="str">
            <v>Direct Debit--Weekly</v>
          </cell>
          <cell r="K40" t="str">
            <v>BARBARA</v>
          </cell>
          <cell r="L40" t="str">
            <v>Acordia NorthEast</v>
          </cell>
          <cell r="M40">
            <v>0</v>
          </cell>
          <cell r="N40">
            <v>34200</v>
          </cell>
          <cell r="O40" t="str">
            <v>NASCO</v>
          </cell>
          <cell r="P40" t="str">
            <v>NATIONAL</v>
          </cell>
          <cell r="Q40">
            <v>256</v>
          </cell>
          <cell r="R40">
            <v>0</v>
          </cell>
          <cell r="S40">
            <v>75000</v>
          </cell>
          <cell r="T40">
            <v>0</v>
          </cell>
          <cell r="U40">
            <v>136438.20000000001</v>
          </cell>
          <cell r="V40">
            <v>0</v>
          </cell>
          <cell r="W40">
            <v>136438.20000000001</v>
          </cell>
          <cell r="X40">
            <v>11369.85</v>
          </cell>
          <cell r="Y40">
            <v>3789.95</v>
          </cell>
          <cell r="Z40">
            <v>0</v>
          </cell>
          <cell r="AA40">
            <v>34109.550000000003</v>
          </cell>
          <cell r="AB40">
            <v>193287.45</v>
          </cell>
          <cell r="AC40">
            <v>378995</v>
          </cell>
          <cell r="AD40">
            <v>-101</v>
          </cell>
          <cell r="AE40">
            <v>378894</v>
          </cell>
          <cell r="AF40">
            <v>0</v>
          </cell>
          <cell r="AG40">
            <v>0</v>
          </cell>
          <cell r="AH40">
            <v>0</v>
          </cell>
          <cell r="AI40">
            <v>1138175</v>
          </cell>
          <cell r="AJ40">
            <v>1517170</v>
          </cell>
          <cell r="AK40">
            <v>378995</v>
          </cell>
          <cell r="AL40">
            <v>1483060.45</v>
          </cell>
          <cell r="AM40">
            <v>0</v>
          </cell>
          <cell r="AN40">
            <v>0</v>
          </cell>
          <cell r="AO40">
            <v>0</v>
          </cell>
          <cell r="AP40">
            <v>0</v>
          </cell>
          <cell r="AQ40">
            <v>11932</v>
          </cell>
          <cell r="AR40">
            <v>0</v>
          </cell>
          <cell r="AS40">
            <v>11932</v>
          </cell>
          <cell r="AT40">
            <v>111460.70172256239</v>
          </cell>
          <cell r="AU40">
            <v>221391.74827743764</v>
          </cell>
          <cell r="AW40">
            <v>1150107</v>
          </cell>
          <cell r="AX40">
            <v>5593</v>
          </cell>
          <cell r="AY40">
            <v>1155700</v>
          </cell>
          <cell r="AZ40">
            <v>0</v>
          </cell>
          <cell r="BA40">
            <v>1155700</v>
          </cell>
          <cell r="BB40">
            <v>0</v>
          </cell>
          <cell r="BC40">
            <v>1155700</v>
          </cell>
          <cell r="BD40">
            <v>-101</v>
          </cell>
          <cell r="BE40">
            <v>378995</v>
          </cell>
          <cell r="BF40">
            <v>0</v>
          </cell>
          <cell r="BH40">
            <v>1534594</v>
          </cell>
          <cell r="BI40">
            <v>11932</v>
          </cell>
          <cell r="BJ40">
            <v>1522662</v>
          </cell>
          <cell r="BK40">
            <v>0</v>
          </cell>
          <cell r="BL40">
            <v>1522662</v>
          </cell>
        </row>
        <row r="41">
          <cell r="B41" t="str">
            <v>CIENA</v>
          </cell>
          <cell r="C41">
            <v>0</v>
          </cell>
          <cell r="D41">
            <v>1900532</v>
          </cell>
          <cell r="E41">
            <v>65740</v>
          </cell>
          <cell r="F41" t="str">
            <v>ASC</v>
          </cell>
          <cell r="G41" t="str">
            <v>FEB</v>
          </cell>
          <cell r="H41" t="str">
            <v>Daniels</v>
          </cell>
          <cell r="I41" t="str">
            <v>Patton</v>
          </cell>
          <cell r="J41" t="str">
            <v>Direct Debit--Weekly</v>
          </cell>
          <cell r="K41" t="str">
            <v>NETTIE</v>
          </cell>
          <cell r="L41" t="str">
            <v>NONE</v>
          </cell>
          <cell r="M41">
            <v>0</v>
          </cell>
          <cell r="N41">
            <v>0</v>
          </cell>
          <cell r="O41" t="str">
            <v>NASCO</v>
          </cell>
          <cell r="P41" t="str">
            <v>NATIONAL</v>
          </cell>
          <cell r="Q41">
            <v>397</v>
          </cell>
          <cell r="R41">
            <v>0</v>
          </cell>
          <cell r="S41">
            <v>0</v>
          </cell>
          <cell r="T41">
            <v>0</v>
          </cell>
          <cell r="U41">
            <v>0</v>
          </cell>
          <cell r="V41">
            <v>0</v>
          </cell>
          <cell r="W41">
            <v>0</v>
          </cell>
          <cell r="X41">
            <v>7250.6</v>
          </cell>
          <cell r="Y41">
            <v>0</v>
          </cell>
          <cell r="Z41">
            <v>0</v>
          </cell>
          <cell r="AA41">
            <v>0</v>
          </cell>
          <cell r="AB41">
            <v>174014.4</v>
          </cell>
          <cell r="AC41">
            <v>181265</v>
          </cell>
          <cell r="AD41">
            <v>0</v>
          </cell>
          <cell r="AE41">
            <v>181265</v>
          </cell>
          <cell r="AF41">
            <v>0</v>
          </cell>
          <cell r="AG41">
            <v>0</v>
          </cell>
          <cell r="AH41">
            <v>-4493</v>
          </cell>
          <cell r="AI41">
            <v>1943429</v>
          </cell>
          <cell r="AJ41">
            <v>2124694</v>
          </cell>
          <cell r="AK41">
            <v>181265</v>
          </cell>
          <cell r="AL41">
            <v>2124694</v>
          </cell>
          <cell r="AM41">
            <v>0</v>
          </cell>
          <cell r="AN41">
            <v>0</v>
          </cell>
          <cell r="AO41">
            <v>0</v>
          </cell>
          <cell r="AP41">
            <v>0</v>
          </cell>
          <cell r="AQ41">
            <v>0</v>
          </cell>
          <cell r="AR41">
            <v>0</v>
          </cell>
          <cell r="AS41">
            <v>0</v>
          </cell>
          <cell r="AT41">
            <v>191639.4028500524</v>
          </cell>
          <cell r="AU41">
            <v>-14867.4028500524</v>
          </cell>
          <cell r="AW41">
            <v>1943429</v>
          </cell>
          <cell r="AX41">
            <v>45048</v>
          </cell>
          <cell r="AY41">
            <v>1988477</v>
          </cell>
          <cell r="AZ41">
            <v>0</v>
          </cell>
          <cell r="BA41">
            <v>1988477</v>
          </cell>
          <cell r="BB41">
            <v>0</v>
          </cell>
          <cell r="BC41">
            <v>1988477</v>
          </cell>
          <cell r="BD41">
            <v>0</v>
          </cell>
          <cell r="BE41">
            <v>181265</v>
          </cell>
          <cell r="BF41">
            <v>-4493</v>
          </cell>
          <cell r="BH41">
            <v>2165249</v>
          </cell>
          <cell r="BI41">
            <v>0</v>
          </cell>
          <cell r="BJ41">
            <v>2165249</v>
          </cell>
          <cell r="BK41">
            <v>0</v>
          </cell>
          <cell r="BL41">
            <v>2165249</v>
          </cell>
        </row>
        <row r="42">
          <cell r="B42" t="str">
            <v>CITY OF ANNAPOLIS</v>
          </cell>
          <cell r="C42">
            <v>0</v>
          </cell>
          <cell r="D42" t="str">
            <v>n/a</v>
          </cell>
          <cell r="E42">
            <v>12598</v>
          </cell>
          <cell r="F42" t="str">
            <v>ASC</v>
          </cell>
          <cell r="G42" t="str">
            <v>JUL</v>
          </cell>
          <cell r="H42" t="str">
            <v>Hauff</v>
          </cell>
          <cell r="I42" t="str">
            <v>Heinze</v>
          </cell>
          <cell r="J42" t="str">
            <v>Weekly Wire</v>
          </cell>
          <cell r="K42" t="str">
            <v>NETTIE</v>
          </cell>
          <cell r="L42">
            <v>0</v>
          </cell>
          <cell r="M42">
            <v>0</v>
          </cell>
          <cell r="N42">
            <v>0</v>
          </cell>
          <cell r="O42" t="str">
            <v>CARE</v>
          </cell>
          <cell r="P42" t="str">
            <v>LOCAL</v>
          </cell>
          <cell r="Q42">
            <v>551</v>
          </cell>
          <cell r="R42">
            <v>0</v>
          </cell>
          <cell r="S42">
            <v>0</v>
          </cell>
          <cell r="T42">
            <v>0</v>
          </cell>
          <cell r="U42">
            <v>0</v>
          </cell>
          <cell r="V42">
            <v>0</v>
          </cell>
          <cell r="W42">
            <v>0</v>
          </cell>
          <cell r="X42">
            <v>8521.2800000000007</v>
          </cell>
          <cell r="Y42">
            <v>10651.6</v>
          </cell>
          <cell r="Z42">
            <v>0</v>
          </cell>
          <cell r="AA42">
            <v>44556.37</v>
          </cell>
          <cell r="AB42">
            <v>380061.75</v>
          </cell>
          <cell r="AC42">
            <v>443791</v>
          </cell>
          <cell r="AD42">
            <v>0</v>
          </cell>
          <cell r="AE42">
            <v>443791</v>
          </cell>
          <cell r="AF42">
            <v>0</v>
          </cell>
          <cell r="AG42">
            <v>0</v>
          </cell>
          <cell r="AH42">
            <v>0</v>
          </cell>
          <cell r="AI42">
            <v>3059381</v>
          </cell>
          <cell r="AJ42">
            <v>3503172</v>
          </cell>
          <cell r="AK42">
            <v>443791</v>
          </cell>
          <cell r="AL42">
            <v>3458615.63</v>
          </cell>
          <cell r="AM42">
            <v>0</v>
          </cell>
          <cell r="AN42">
            <v>0</v>
          </cell>
          <cell r="AO42">
            <v>0</v>
          </cell>
          <cell r="AP42">
            <v>0</v>
          </cell>
          <cell r="AQ42">
            <v>0</v>
          </cell>
          <cell r="AR42">
            <v>0</v>
          </cell>
          <cell r="AS42">
            <v>0</v>
          </cell>
          <cell r="AT42">
            <v>301236.95596690429</v>
          </cell>
          <cell r="AU42">
            <v>97997.674033095711</v>
          </cell>
          <cell r="AW42">
            <v>3059381</v>
          </cell>
          <cell r="AX42">
            <v>31982</v>
          </cell>
          <cell r="AY42">
            <v>3091363</v>
          </cell>
          <cell r="AZ42">
            <v>0</v>
          </cell>
          <cell r="BA42">
            <v>3091363</v>
          </cell>
          <cell r="BB42">
            <v>0</v>
          </cell>
          <cell r="BC42">
            <v>3091363</v>
          </cell>
          <cell r="BD42">
            <v>0</v>
          </cell>
          <cell r="BE42">
            <v>443791</v>
          </cell>
          <cell r="BF42">
            <v>0</v>
          </cell>
          <cell r="BH42">
            <v>3535154</v>
          </cell>
          <cell r="BI42">
            <v>0</v>
          </cell>
          <cell r="BJ42">
            <v>3535154</v>
          </cell>
          <cell r="BK42">
            <v>0</v>
          </cell>
          <cell r="BL42">
            <v>3535154</v>
          </cell>
        </row>
        <row r="43">
          <cell r="B43" t="str">
            <v>CITY OF BALT. BD OF ED RETRO</v>
          </cell>
          <cell r="C43">
            <v>0</v>
          </cell>
          <cell r="D43" t="str">
            <v>n/a</v>
          </cell>
          <cell r="E43">
            <v>63584</v>
          </cell>
          <cell r="F43" t="str">
            <v>Standard Retro</v>
          </cell>
          <cell r="G43" t="str">
            <v>JAN</v>
          </cell>
          <cell r="H43" t="str">
            <v>Parker Mann</v>
          </cell>
          <cell r="I43" t="str">
            <v>Tomko</v>
          </cell>
          <cell r="J43" t="str">
            <v>Retrospective</v>
          </cell>
          <cell r="K43" t="str">
            <v>LISA</v>
          </cell>
          <cell r="L43" t="str">
            <v>None</v>
          </cell>
          <cell r="M43">
            <v>0</v>
          </cell>
          <cell r="N43">
            <v>0</v>
          </cell>
          <cell r="O43" t="str">
            <v>CARE</v>
          </cell>
          <cell r="P43" t="str">
            <v>LOCAL</v>
          </cell>
          <cell r="Q43">
            <v>6656</v>
          </cell>
          <cell r="R43">
            <v>0</v>
          </cell>
          <cell r="S43">
            <v>0</v>
          </cell>
          <cell r="T43">
            <v>0</v>
          </cell>
          <cell r="U43">
            <v>0</v>
          </cell>
          <cell r="V43">
            <v>0</v>
          </cell>
          <cell r="W43">
            <v>0</v>
          </cell>
          <cell r="X43">
            <v>0</v>
          </cell>
          <cell r="Y43">
            <v>0</v>
          </cell>
          <cell r="Z43">
            <v>0</v>
          </cell>
          <cell r="AA43">
            <v>0</v>
          </cell>
          <cell r="AB43">
            <v>2355253</v>
          </cell>
          <cell r="AC43">
            <v>2355253</v>
          </cell>
          <cell r="AD43">
            <v>8178</v>
          </cell>
          <cell r="AE43">
            <v>2363431</v>
          </cell>
          <cell r="AF43">
            <v>0</v>
          </cell>
          <cell r="AG43">
            <v>0</v>
          </cell>
          <cell r="AH43">
            <v>0</v>
          </cell>
          <cell r="AM43">
            <v>0</v>
          </cell>
          <cell r="AN43">
            <v>0</v>
          </cell>
          <cell r="AO43">
            <v>0</v>
          </cell>
          <cell r="AP43">
            <v>0</v>
          </cell>
          <cell r="AQ43">
            <v>0</v>
          </cell>
          <cell r="AR43">
            <v>0</v>
          </cell>
          <cell r="AS43">
            <v>0</v>
          </cell>
          <cell r="AT43">
            <v>4188130.2790420018</v>
          </cell>
          <cell r="AU43">
            <v>-1824699.2790420018</v>
          </cell>
          <cell r="AW43">
            <v>43380485</v>
          </cell>
          <cell r="AX43">
            <v>96022</v>
          </cell>
          <cell r="AY43">
            <v>43476507</v>
          </cell>
          <cell r="AZ43">
            <v>0</v>
          </cell>
          <cell r="BA43">
            <v>43476507</v>
          </cell>
          <cell r="BB43">
            <v>0</v>
          </cell>
          <cell r="BC43">
            <v>43476507</v>
          </cell>
          <cell r="BD43">
            <v>8178</v>
          </cell>
          <cell r="BE43">
            <v>2355253</v>
          </cell>
          <cell r="BF43">
            <v>0</v>
          </cell>
          <cell r="BH43">
            <v>45839938</v>
          </cell>
          <cell r="BI43">
            <v>0</v>
          </cell>
          <cell r="BJ43">
            <v>45839938</v>
          </cell>
          <cell r="BK43">
            <v>0</v>
          </cell>
          <cell r="BL43">
            <v>45839938</v>
          </cell>
        </row>
        <row r="44">
          <cell r="B44" t="str">
            <v>CITY OF BALTIMORE RETRO</v>
          </cell>
          <cell r="C44">
            <v>0</v>
          </cell>
          <cell r="D44" t="str">
            <v>n/a</v>
          </cell>
          <cell r="E44" t="str">
            <v>07495</v>
          </cell>
          <cell r="F44" t="str">
            <v>Standard Retro</v>
          </cell>
          <cell r="G44" t="str">
            <v>JAN</v>
          </cell>
          <cell r="H44" t="str">
            <v>Parker Mann</v>
          </cell>
          <cell r="I44" t="str">
            <v>Tomko</v>
          </cell>
          <cell r="J44" t="str">
            <v>Retrospective</v>
          </cell>
          <cell r="K44" t="str">
            <v>LISA</v>
          </cell>
          <cell r="L44" t="str">
            <v>None</v>
          </cell>
          <cell r="M44">
            <v>0</v>
          </cell>
          <cell r="N44">
            <v>0</v>
          </cell>
          <cell r="O44" t="str">
            <v>CARE</v>
          </cell>
          <cell r="P44" t="str">
            <v>LOCAL</v>
          </cell>
          <cell r="Q44">
            <v>27587</v>
          </cell>
          <cell r="R44">
            <v>0</v>
          </cell>
          <cell r="S44">
            <v>0</v>
          </cell>
          <cell r="T44">
            <v>0</v>
          </cell>
          <cell r="U44">
            <v>0</v>
          </cell>
          <cell r="V44">
            <v>0</v>
          </cell>
          <cell r="W44">
            <v>0</v>
          </cell>
          <cell r="X44">
            <v>0</v>
          </cell>
          <cell r="Y44">
            <v>0</v>
          </cell>
          <cell r="Z44">
            <v>0</v>
          </cell>
          <cell r="AA44">
            <v>0</v>
          </cell>
          <cell r="AB44">
            <v>7945182</v>
          </cell>
          <cell r="AC44">
            <v>7945182</v>
          </cell>
          <cell r="AD44">
            <v>38730</v>
          </cell>
          <cell r="AE44">
            <v>7983912</v>
          </cell>
          <cell r="AF44">
            <v>0</v>
          </cell>
          <cell r="AG44">
            <v>0</v>
          </cell>
          <cell r="AH44">
            <v>132918</v>
          </cell>
          <cell r="AI44">
            <v>108530497</v>
          </cell>
          <cell r="AJ44">
            <v>116475679</v>
          </cell>
          <cell r="AK44">
            <v>7945182</v>
          </cell>
          <cell r="AL44">
            <v>116475679</v>
          </cell>
          <cell r="AM44">
            <v>0</v>
          </cell>
          <cell r="AN44">
            <v>0</v>
          </cell>
          <cell r="AO44">
            <v>0</v>
          </cell>
          <cell r="AP44">
            <v>0</v>
          </cell>
          <cell r="AQ44">
            <v>0</v>
          </cell>
          <cell r="AR44">
            <v>0</v>
          </cell>
          <cell r="AS44">
            <v>0</v>
          </cell>
          <cell r="AT44">
            <v>10551761.984046098</v>
          </cell>
          <cell r="AU44">
            <v>-2434931.9840460978</v>
          </cell>
          <cell r="AW44">
            <v>108530497</v>
          </cell>
          <cell r="AX44">
            <v>378371</v>
          </cell>
          <cell r="AY44">
            <v>108908868</v>
          </cell>
          <cell r="AZ44">
            <v>0</v>
          </cell>
          <cell r="BA44">
            <v>108908868</v>
          </cell>
          <cell r="BB44">
            <v>0</v>
          </cell>
          <cell r="BC44">
            <v>108908868</v>
          </cell>
          <cell r="BD44">
            <v>38730</v>
          </cell>
          <cell r="BE44">
            <v>7945182</v>
          </cell>
          <cell r="BF44">
            <v>132918</v>
          </cell>
          <cell r="BH44">
            <v>117025698</v>
          </cell>
          <cell r="BI44">
            <v>0</v>
          </cell>
          <cell r="BJ44">
            <v>117025698</v>
          </cell>
          <cell r="BK44">
            <v>0</v>
          </cell>
          <cell r="BL44">
            <v>117025698</v>
          </cell>
        </row>
        <row r="45">
          <cell r="B45" t="str">
            <v>CJ MILLER</v>
          </cell>
          <cell r="C45">
            <v>0</v>
          </cell>
          <cell r="D45" t="str">
            <v>n/a</v>
          </cell>
          <cell r="E45">
            <v>62461</v>
          </cell>
          <cell r="F45" t="str">
            <v>ASC</v>
          </cell>
          <cell r="G45" t="str">
            <v>MAR</v>
          </cell>
          <cell r="H45" t="str">
            <v>Solloway</v>
          </cell>
          <cell r="I45" t="str">
            <v>Heinze</v>
          </cell>
          <cell r="J45" t="str">
            <v>Direct Debit--Weekly</v>
          </cell>
          <cell r="K45" t="str">
            <v>NETTIE</v>
          </cell>
          <cell r="L45" t="str">
            <v>Kelly &amp; Associates</v>
          </cell>
          <cell r="M45">
            <v>0</v>
          </cell>
          <cell r="N45">
            <v>0</v>
          </cell>
          <cell r="O45" t="str">
            <v>CARE</v>
          </cell>
          <cell r="P45" t="str">
            <v>LOCAL</v>
          </cell>
          <cell r="Q45">
            <v>192</v>
          </cell>
          <cell r="R45">
            <v>0</v>
          </cell>
          <cell r="S45">
            <v>0</v>
          </cell>
          <cell r="T45">
            <v>0</v>
          </cell>
          <cell r="U45">
            <v>0</v>
          </cell>
          <cell r="V45">
            <v>0</v>
          </cell>
          <cell r="W45">
            <v>0</v>
          </cell>
          <cell r="X45">
            <v>15049.53</v>
          </cell>
          <cell r="Y45">
            <v>0</v>
          </cell>
          <cell r="Z45">
            <v>0</v>
          </cell>
          <cell r="AA45">
            <v>53509.440000000002</v>
          </cell>
          <cell r="AB45">
            <v>98658.03</v>
          </cell>
          <cell r="AC45">
            <v>167217</v>
          </cell>
          <cell r="AD45">
            <v>0</v>
          </cell>
          <cell r="AE45">
            <v>167217</v>
          </cell>
          <cell r="AF45">
            <v>0</v>
          </cell>
          <cell r="AG45">
            <v>0</v>
          </cell>
          <cell r="AH45">
            <v>0</v>
          </cell>
          <cell r="AI45">
            <v>981645</v>
          </cell>
          <cell r="AJ45">
            <v>1148862</v>
          </cell>
          <cell r="AK45">
            <v>167217</v>
          </cell>
          <cell r="AL45">
            <v>1095352.56</v>
          </cell>
          <cell r="AM45">
            <v>0</v>
          </cell>
          <cell r="AN45">
            <v>0</v>
          </cell>
          <cell r="AO45">
            <v>0</v>
          </cell>
          <cell r="AP45">
            <v>0</v>
          </cell>
          <cell r="AQ45">
            <v>0</v>
          </cell>
          <cell r="AR45">
            <v>0</v>
          </cell>
          <cell r="AS45">
            <v>0</v>
          </cell>
          <cell r="AT45">
            <v>95357.615998157344</v>
          </cell>
          <cell r="AU45">
            <v>18349.944001842654</v>
          </cell>
          <cell r="AW45">
            <v>981645</v>
          </cell>
          <cell r="AX45">
            <v>3825</v>
          </cell>
          <cell r="AY45">
            <v>985470</v>
          </cell>
          <cell r="AZ45">
            <v>0</v>
          </cell>
          <cell r="BA45">
            <v>985470</v>
          </cell>
          <cell r="BB45">
            <v>0</v>
          </cell>
          <cell r="BC45">
            <v>985470</v>
          </cell>
          <cell r="BD45">
            <v>0</v>
          </cell>
          <cell r="BE45">
            <v>167217</v>
          </cell>
          <cell r="BF45">
            <v>0</v>
          </cell>
          <cell r="BH45">
            <v>1152687</v>
          </cell>
          <cell r="BI45">
            <v>0</v>
          </cell>
          <cell r="BJ45">
            <v>1152687</v>
          </cell>
          <cell r="BK45">
            <v>0</v>
          </cell>
          <cell r="BL45">
            <v>1152687</v>
          </cell>
        </row>
        <row r="46">
          <cell r="B46" t="str">
            <v>COLUMBIA NATIONAL</v>
          </cell>
          <cell r="C46">
            <v>0</v>
          </cell>
          <cell r="D46">
            <v>1900174</v>
          </cell>
          <cell r="E46">
            <v>27416</v>
          </cell>
          <cell r="F46" t="str">
            <v>ASC</v>
          </cell>
          <cell r="G46" t="str">
            <v>termed 6/04</v>
          </cell>
          <cell r="H46" t="str">
            <v>Michael</v>
          </cell>
          <cell r="I46" t="str">
            <v>Maier</v>
          </cell>
          <cell r="J46" t="str">
            <v>Deposit--2 Months</v>
          </cell>
          <cell r="K46" t="str">
            <v>BARBARA</v>
          </cell>
          <cell r="L46" t="str">
            <v>None</v>
          </cell>
          <cell r="M46">
            <v>154000</v>
          </cell>
          <cell r="N46">
            <v>21800</v>
          </cell>
          <cell r="O46" t="str">
            <v>NASCO</v>
          </cell>
          <cell r="P46" t="str">
            <v>NATIONAL</v>
          </cell>
          <cell r="Q46" t="str">
            <v>run-out</v>
          </cell>
          <cell r="R46">
            <v>0</v>
          </cell>
          <cell r="S46">
            <v>50000</v>
          </cell>
          <cell r="T46">
            <v>1.25</v>
          </cell>
          <cell r="U46">
            <v>55607.37</v>
          </cell>
          <cell r="V46">
            <v>11406.64</v>
          </cell>
          <cell r="W46">
            <v>67014.009999999995</v>
          </cell>
          <cell r="X46">
            <v>4277.49</v>
          </cell>
          <cell r="Y46">
            <v>2851.66</v>
          </cell>
          <cell r="Z46">
            <v>0</v>
          </cell>
          <cell r="AA46">
            <v>0</v>
          </cell>
          <cell r="AB46">
            <v>78073.84</v>
          </cell>
          <cell r="AC46">
            <v>152217</v>
          </cell>
          <cell r="AD46">
            <v>0</v>
          </cell>
          <cell r="AE46">
            <v>152217</v>
          </cell>
          <cell r="AF46">
            <v>0</v>
          </cell>
          <cell r="AG46">
            <v>0</v>
          </cell>
          <cell r="AH46">
            <v>0</v>
          </cell>
          <cell r="AI46">
            <v>415417</v>
          </cell>
          <cell r="AJ46">
            <v>567634</v>
          </cell>
          <cell r="AK46">
            <v>152217</v>
          </cell>
          <cell r="AL46">
            <v>567634</v>
          </cell>
          <cell r="AM46">
            <v>0</v>
          </cell>
          <cell r="AN46">
            <v>0</v>
          </cell>
          <cell r="AO46">
            <v>0</v>
          </cell>
          <cell r="AP46">
            <v>0</v>
          </cell>
          <cell r="AQ46">
            <v>0</v>
          </cell>
          <cell r="AR46">
            <v>0</v>
          </cell>
          <cell r="AS46">
            <v>0</v>
          </cell>
          <cell r="AT46">
            <v>40272.014871584528</v>
          </cell>
          <cell r="AU46">
            <v>111944.98512841547</v>
          </cell>
          <cell r="AW46">
            <v>415417</v>
          </cell>
          <cell r="AX46">
            <v>18523</v>
          </cell>
          <cell r="AY46">
            <v>433940</v>
          </cell>
          <cell r="AZ46">
            <v>0</v>
          </cell>
          <cell r="BA46">
            <v>433940</v>
          </cell>
          <cell r="BB46">
            <v>0</v>
          </cell>
          <cell r="BC46">
            <v>433940</v>
          </cell>
          <cell r="BD46">
            <v>0</v>
          </cell>
          <cell r="BE46">
            <v>152217</v>
          </cell>
          <cell r="BF46">
            <v>0</v>
          </cell>
          <cell r="BH46">
            <v>586157</v>
          </cell>
          <cell r="BI46">
            <v>0</v>
          </cell>
          <cell r="BJ46">
            <v>586157</v>
          </cell>
          <cell r="BK46">
            <v>0</v>
          </cell>
          <cell r="BL46">
            <v>586157</v>
          </cell>
        </row>
        <row r="47">
          <cell r="B47" t="str">
            <v>COMPUDYNE</v>
          </cell>
          <cell r="C47">
            <v>0</v>
          </cell>
          <cell r="D47">
            <v>1900362</v>
          </cell>
          <cell r="E47">
            <v>60328</v>
          </cell>
          <cell r="F47" t="str">
            <v>ASC</v>
          </cell>
          <cell r="G47" t="str">
            <v>MAR</v>
          </cell>
          <cell r="H47" t="str">
            <v>Richardson</v>
          </cell>
          <cell r="I47" t="str">
            <v>Waters</v>
          </cell>
          <cell r="J47" t="str">
            <v>Direct Debit--Weekly</v>
          </cell>
          <cell r="K47" t="str">
            <v>BARBARA</v>
          </cell>
          <cell r="L47" t="str">
            <v>Green Financial</v>
          </cell>
          <cell r="M47">
            <v>0</v>
          </cell>
          <cell r="N47">
            <v>17072</v>
          </cell>
          <cell r="O47" t="str">
            <v>NASCO</v>
          </cell>
          <cell r="P47" t="str">
            <v>NATIONAL</v>
          </cell>
          <cell r="Q47">
            <v>633</v>
          </cell>
          <cell r="R47">
            <v>0</v>
          </cell>
          <cell r="S47">
            <v>0</v>
          </cell>
          <cell r="T47">
            <v>0</v>
          </cell>
          <cell r="U47">
            <v>0</v>
          </cell>
          <cell r="V47">
            <v>0</v>
          </cell>
          <cell r="W47">
            <v>0</v>
          </cell>
          <cell r="X47">
            <v>0</v>
          </cell>
          <cell r="Y47">
            <v>24251.279999999999</v>
          </cell>
          <cell r="Z47">
            <v>0</v>
          </cell>
          <cell r="AA47">
            <v>76795.72</v>
          </cell>
          <cell r="AB47">
            <v>303141</v>
          </cell>
          <cell r="AC47">
            <v>404188</v>
          </cell>
          <cell r="AD47">
            <v>-45</v>
          </cell>
          <cell r="AE47">
            <v>404143</v>
          </cell>
          <cell r="AF47">
            <v>0</v>
          </cell>
          <cell r="AG47">
            <v>0</v>
          </cell>
          <cell r="AH47">
            <v>-12162</v>
          </cell>
          <cell r="AI47">
            <v>3635185</v>
          </cell>
          <cell r="AJ47">
            <v>4039373</v>
          </cell>
          <cell r="AK47">
            <v>404188</v>
          </cell>
          <cell r="AL47">
            <v>3962577.28</v>
          </cell>
          <cell r="AM47">
            <v>0</v>
          </cell>
          <cell r="AN47">
            <v>0</v>
          </cell>
          <cell r="AO47">
            <v>0</v>
          </cell>
          <cell r="AP47">
            <v>0</v>
          </cell>
          <cell r="AQ47">
            <v>0</v>
          </cell>
          <cell r="AR47">
            <v>0</v>
          </cell>
          <cell r="AS47">
            <v>0</v>
          </cell>
          <cell r="AT47">
            <v>350444.94506346964</v>
          </cell>
          <cell r="AU47">
            <v>-35259.665063469613</v>
          </cell>
          <cell r="AW47">
            <v>3635185</v>
          </cell>
          <cell r="AX47">
            <v>104915</v>
          </cell>
          <cell r="AY47">
            <v>3740100</v>
          </cell>
          <cell r="AZ47">
            <v>0</v>
          </cell>
          <cell r="BA47">
            <v>3740100</v>
          </cell>
          <cell r="BB47">
            <v>0</v>
          </cell>
          <cell r="BC47">
            <v>3740100</v>
          </cell>
          <cell r="BD47">
            <v>-45</v>
          </cell>
          <cell r="BE47">
            <v>404188</v>
          </cell>
          <cell r="BF47">
            <v>-12162</v>
          </cell>
          <cell r="BH47">
            <v>4132081</v>
          </cell>
          <cell r="BI47">
            <v>0</v>
          </cell>
          <cell r="BJ47">
            <v>4132081</v>
          </cell>
          <cell r="BK47">
            <v>0</v>
          </cell>
          <cell r="BL47">
            <v>4132081</v>
          </cell>
        </row>
        <row r="48">
          <cell r="B48" t="str">
            <v>CONSTELLATION ENERGY GROUP</v>
          </cell>
          <cell r="C48" t="str">
            <v>BGE</v>
          </cell>
          <cell r="D48">
            <v>1900292</v>
          </cell>
          <cell r="E48">
            <v>54748</v>
          </cell>
          <cell r="F48" t="str">
            <v>ASC</v>
          </cell>
          <cell r="G48" t="str">
            <v>JAN</v>
          </cell>
          <cell r="H48" t="str">
            <v>Richardson</v>
          </cell>
          <cell r="I48" t="str">
            <v>Fox</v>
          </cell>
          <cell r="J48" t="str">
            <v>Deposit-2 Month</v>
          </cell>
          <cell r="K48" t="str">
            <v>DONNA</v>
          </cell>
          <cell r="L48" t="str">
            <v>Aon</v>
          </cell>
          <cell r="M48">
            <v>5742071</v>
          </cell>
          <cell r="N48">
            <v>856900</v>
          </cell>
          <cell r="O48" t="str">
            <v>NASCO-S</v>
          </cell>
          <cell r="P48" t="str">
            <v>NATIONAL</v>
          </cell>
          <cell r="Q48">
            <v>16920</v>
          </cell>
          <cell r="R48">
            <v>0</v>
          </cell>
          <cell r="S48">
            <v>0</v>
          </cell>
          <cell r="T48">
            <v>0</v>
          </cell>
          <cell r="U48">
            <v>0</v>
          </cell>
          <cell r="V48">
            <v>0</v>
          </cell>
          <cell r="W48">
            <v>0</v>
          </cell>
          <cell r="X48">
            <v>0</v>
          </cell>
          <cell r="Y48">
            <v>0</v>
          </cell>
          <cell r="Z48">
            <v>0</v>
          </cell>
          <cell r="AA48">
            <v>0</v>
          </cell>
          <cell r="AB48">
            <v>3736529</v>
          </cell>
          <cell r="AC48">
            <v>3736529</v>
          </cell>
          <cell r="AD48">
            <v>11286</v>
          </cell>
          <cell r="AE48">
            <v>3747815</v>
          </cell>
          <cell r="AF48">
            <v>0</v>
          </cell>
          <cell r="AG48">
            <v>0</v>
          </cell>
          <cell r="AH48">
            <v>-39337</v>
          </cell>
          <cell r="AI48">
            <v>30002085</v>
          </cell>
          <cell r="AJ48">
            <v>33738614</v>
          </cell>
          <cell r="AK48">
            <v>3736529</v>
          </cell>
          <cell r="AL48">
            <v>33738614</v>
          </cell>
          <cell r="AM48">
            <v>0</v>
          </cell>
          <cell r="AN48">
            <v>0</v>
          </cell>
          <cell r="AO48">
            <v>0</v>
          </cell>
          <cell r="AP48">
            <v>0</v>
          </cell>
          <cell r="AQ48">
            <v>0</v>
          </cell>
          <cell r="AR48">
            <v>0</v>
          </cell>
          <cell r="AS48">
            <v>0</v>
          </cell>
          <cell r="AT48">
            <v>2914196.2543622917</v>
          </cell>
          <cell r="AU48">
            <v>794281.74563770834</v>
          </cell>
          <cell r="AW48">
            <v>30002085</v>
          </cell>
          <cell r="AX48">
            <v>299248</v>
          </cell>
          <cell r="AY48">
            <v>30301333</v>
          </cell>
          <cell r="AZ48">
            <v>0</v>
          </cell>
          <cell r="BA48">
            <v>30301333</v>
          </cell>
          <cell r="BB48">
            <v>0</v>
          </cell>
          <cell r="BC48">
            <v>30301333</v>
          </cell>
          <cell r="BD48">
            <v>11286</v>
          </cell>
          <cell r="BE48">
            <v>3736529</v>
          </cell>
          <cell r="BF48">
            <v>-39337</v>
          </cell>
          <cell r="BH48">
            <v>34009811</v>
          </cell>
          <cell r="BI48">
            <v>0</v>
          </cell>
          <cell r="BJ48">
            <v>34009811</v>
          </cell>
          <cell r="BK48">
            <v>0</v>
          </cell>
          <cell r="BL48">
            <v>34009811</v>
          </cell>
        </row>
        <row r="49">
          <cell r="B49" t="str">
            <v>CORVIS</v>
          </cell>
          <cell r="C49">
            <v>0</v>
          </cell>
          <cell r="D49" t="str">
            <v>n/a</v>
          </cell>
          <cell r="E49">
            <v>61500</v>
          </cell>
          <cell r="F49" t="str">
            <v>ASC</v>
          </cell>
          <cell r="G49" t="str">
            <v>termed 10/04</v>
          </cell>
          <cell r="H49" t="str">
            <v>Michael</v>
          </cell>
          <cell r="I49" t="str">
            <v>Engel</v>
          </cell>
          <cell r="J49" t="str">
            <v>Weekly Wire</v>
          </cell>
          <cell r="K49" t="str">
            <v>LISA</v>
          </cell>
          <cell r="L49" t="str">
            <v>Crawford, Slevin &amp; Hicks</v>
          </cell>
          <cell r="M49">
            <v>0</v>
          </cell>
          <cell r="N49">
            <v>80000</v>
          </cell>
          <cell r="O49" t="str">
            <v>CARE</v>
          </cell>
          <cell r="P49" t="str">
            <v>LOCAL</v>
          </cell>
          <cell r="Q49" t="str">
            <v>termed</v>
          </cell>
          <cell r="R49">
            <v>0</v>
          </cell>
          <cell r="S49">
            <v>100000</v>
          </cell>
          <cell r="T49">
            <v>1.25</v>
          </cell>
          <cell r="U49">
            <v>40896.57</v>
          </cell>
          <cell r="V49">
            <v>6196.45</v>
          </cell>
          <cell r="W49">
            <v>47093.02</v>
          </cell>
          <cell r="X49">
            <v>0</v>
          </cell>
          <cell r="Y49">
            <v>3717.87</v>
          </cell>
          <cell r="Z49">
            <v>0</v>
          </cell>
          <cell r="AA49">
            <v>16110.77</v>
          </cell>
          <cell r="AB49">
            <v>62469.34</v>
          </cell>
          <cell r="AC49">
            <v>129391</v>
          </cell>
          <cell r="AD49">
            <v>25</v>
          </cell>
          <cell r="AE49">
            <v>129416</v>
          </cell>
          <cell r="AF49">
            <v>0</v>
          </cell>
          <cell r="AG49">
            <v>0</v>
          </cell>
          <cell r="AH49">
            <v>0</v>
          </cell>
          <cell r="AI49">
            <v>757507</v>
          </cell>
          <cell r="AJ49">
            <v>886898</v>
          </cell>
          <cell r="AK49">
            <v>129391</v>
          </cell>
          <cell r="AL49">
            <v>870787.23</v>
          </cell>
          <cell r="AM49">
            <v>0</v>
          </cell>
          <cell r="AN49">
            <v>0</v>
          </cell>
          <cell r="AO49">
            <v>0</v>
          </cell>
          <cell r="AP49">
            <v>0</v>
          </cell>
          <cell r="AQ49">
            <v>0</v>
          </cell>
          <cell r="AR49">
            <v>0</v>
          </cell>
          <cell r="AS49">
            <v>0</v>
          </cell>
          <cell r="AT49">
            <v>71581.86712838721</v>
          </cell>
          <cell r="AU49">
            <v>41723.362871612786</v>
          </cell>
          <cell r="AW49">
            <v>757507</v>
          </cell>
          <cell r="AX49">
            <v>12112</v>
          </cell>
          <cell r="AY49">
            <v>769619</v>
          </cell>
          <cell r="AZ49">
            <v>0</v>
          </cell>
          <cell r="BA49">
            <v>769619</v>
          </cell>
          <cell r="BB49">
            <v>0</v>
          </cell>
          <cell r="BC49">
            <v>769619</v>
          </cell>
          <cell r="BD49">
            <v>25</v>
          </cell>
          <cell r="BE49">
            <v>129391</v>
          </cell>
          <cell r="BF49">
            <v>0</v>
          </cell>
          <cell r="BH49">
            <v>899035</v>
          </cell>
          <cell r="BI49">
            <v>0</v>
          </cell>
          <cell r="BJ49">
            <v>899035</v>
          </cell>
          <cell r="BK49">
            <v>0</v>
          </cell>
          <cell r="BL49">
            <v>899035</v>
          </cell>
        </row>
        <row r="50">
          <cell r="B50" t="str">
            <v>DANIEL G SCHUSTER INC</v>
          </cell>
          <cell r="C50">
            <v>0</v>
          </cell>
          <cell r="D50" t="str">
            <v>n/a</v>
          </cell>
          <cell r="E50">
            <v>55220</v>
          </cell>
          <cell r="F50" t="str">
            <v>ASC</v>
          </cell>
          <cell r="G50" t="str">
            <v>MAY</v>
          </cell>
          <cell r="H50" t="str">
            <v>Howard</v>
          </cell>
          <cell r="I50" t="str">
            <v>Pederson</v>
          </cell>
          <cell r="J50" t="str">
            <v>Deposit--2 months</v>
          </cell>
          <cell r="K50" t="str">
            <v>LISA</v>
          </cell>
          <cell r="L50" t="str">
            <v>Kelly &amp; Associates</v>
          </cell>
          <cell r="M50">
            <v>214800</v>
          </cell>
          <cell r="N50">
            <v>40200</v>
          </cell>
          <cell r="O50" t="str">
            <v>EAB</v>
          </cell>
          <cell r="P50" t="str">
            <v>LOCAL</v>
          </cell>
          <cell r="Q50">
            <v>346</v>
          </cell>
          <cell r="R50">
            <v>0</v>
          </cell>
          <cell r="S50">
            <v>50000</v>
          </cell>
          <cell r="T50">
            <v>1.25</v>
          </cell>
          <cell r="U50">
            <v>142955.93</v>
          </cell>
          <cell r="V50">
            <v>10460.19</v>
          </cell>
          <cell r="W50">
            <v>153416.12</v>
          </cell>
          <cell r="X50">
            <v>0</v>
          </cell>
          <cell r="Y50">
            <v>0</v>
          </cell>
          <cell r="Z50">
            <v>0</v>
          </cell>
          <cell r="AA50">
            <v>6973.46</v>
          </cell>
          <cell r="AB50">
            <v>188283.42</v>
          </cell>
          <cell r="AC50">
            <v>348673</v>
          </cell>
          <cell r="AD50">
            <v>0</v>
          </cell>
          <cell r="AE50">
            <v>348673</v>
          </cell>
          <cell r="AF50">
            <v>0</v>
          </cell>
          <cell r="AG50">
            <v>0</v>
          </cell>
          <cell r="AH50">
            <v>0</v>
          </cell>
          <cell r="AI50">
            <v>1040604</v>
          </cell>
          <cell r="AJ50">
            <v>1389277</v>
          </cell>
          <cell r="AK50">
            <v>348673</v>
          </cell>
          <cell r="AL50">
            <v>1382303.54</v>
          </cell>
          <cell r="AM50">
            <v>0</v>
          </cell>
          <cell r="AN50">
            <v>0</v>
          </cell>
          <cell r="AO50">
            <v>0</v>
          </cell>
          <cell r="AP50">
            <v>0</v>
          </cell>
          <cell r="AQ50">
            <v>0</v>
          </cell>
          <cell r="AR50">
            <v>0</v>
          </cell>
          <cell r="AS50">
            <v>0</v>
          </cell>
          <cell r="AT50">
            <v>103377.32932102455</v>
          </cell>
          <cell r="AU50">
            <v>238322.21067897545</v>
          </cell>
          <cell r="AW50">
            <v>1040604</v>
          </cell>
          <cell r="AX50">
            <v>3694</v>
          </cell>
          <cell r="AY50">
            <v>1044298</v>
          </cell>
          <cell r="AZ50">
            <v>0</v>
          </cell>
          <cell r="BA50">
            <v>1044298</v>
          </cell>
          <cell r="BB50">
            <v>0</v>
          </cell>
          <cell r="BC50">
            <v>1044298</v>
          </cell>
          <cell r="BD50">
            <v>0</v>
          </cell>
          <cell r="BE50">
            <v>348673</v>
          </cell>
          <cell r="BF50">
            <v>0</v>
          </cell>
          <cell r="BH50">
            <v>1392971</v>
          </cell>
          <cell r="BI50">
            <v>0</v>
          </cell>
          <cell r="BJ50">
            <v>1392971</v>
          </cell>
          <cell r="BK50">
            <v>0</v>
          </cell>
          <cell r="BL50">
            <v>1392971</v>
          </cell>
        </row>
        <row r="51">
          <cell r="B51" t="str">
            <v>DIAMOND COMICS</v>
          </cell>
          <cell r="C51">
            <v>0</v>
          </cell>
          <cell r="D51">
            <v>1900070</v>
          </cell>
          <cell r="E51">
            <v>52326</v>
          </cell>
          <cell r="F51" t="str">
            <v>ASC</v>
          </cell>
          <cell r="G51" t="str">
            <v>JAN</v>
          </cell>
          <cell r="H51" t="str">
            <v>Flowers</v>
          </cell>
          <cell r="I51" t="str">
            <v>Waters</v>
          </cell>
          <cell r="J51" t="str">
            <v>Direct Debit--Weekly</v>
          </cell>
          <cell r="K51" t="str">
            <v>LISA</v>
          </cell>
          <cell r="L51" t="str">
            <v>The Mather Companies</v>
          </cell>
          <cell r="M51">
            <v>0</v>
          </cell>
          <cell r="N51">
            <v>32000</v>
          </cell>
          <cell r="O51" t="str">
            <v>NASCO</v>
          </cell>
          <cell r="P51" t="str">
            <v>NATIONAL</v>
          </cell>
          <cell r="Q51">
            <v>302</v>
          </cell>
          <cell r="R51">
            <v>0</v>
          </cell>
          <cell r="S51">
            <v>75000</v>
          </cell>
          <cell r="T51">
            <v>1.25</v>
          </cell>
          <cell r="U51">
            <v>77749.440000000002</v>
          </cell>
          <cell r="V51">
            <v>16197.8</v>
          </cell>
          <cell r="W51">
            <v>93947.24</v>
          </cell>
          <cell r="X51">
            <v>9718.68</v>
          </cell>
          <cell r="Y51">
            <v>0</v>
          </cell>
          <cell r="Z51">
            <v>0</v>
          </cell>
          <cell r="AA51">
            <v>25916.48</v>
          </cell>
          <cell r="AB51">
            <v>194373.6</v>
          </cell>
          <cell r="AC51">
            <v>323956</v>
          </cell>
          <cell r="AD51">
            <v>0</v>
          </cell>
          <cell r="AE51">
            <v>323956</v>
          </cell>
          <cell r="AF51">
            <v>0</v>
          </cell>
          <cell r="AG51">
            <v>0</v>
          </cell>
          <cell r="AH51">
            <v>-6233</v>
          </cell>
          <cell r="AI51">
            <v>847668</v>
          </cell>
          <cell r="AJ51">
            <v>1171624</v>
          </cell>
          <cell r="AK51">
            <v>323956</v>
          </cell>
          <cell r="AL51">
            <v>1145707.52</v>
          </cell>
          <cell r="AM51">
            <v>0</v>
          </cell>
          <cell r="AN51">
            <v>0</v>
          </cell>
          <cell r="AO51">
            <v>0</v>
          </cell>
          <cell r="AP51">
            <v>0</v>
          </cell>
          <cell r="AQ51">
            <v>11248</v>
          </cell>
          <cell r="AR51">
            <v>40051</v>
          </cell>
          <cell r="AS51">
            <v>51299</v>
          </cell>
          <cell r="AT51">
            <v>89681.398272563965</v>
          </cell>
          <cell r="AU51">
            <v>150826.12172743605</v>
          </cell>
          <cell r="AW51">
            <v>898967</v>
          </cell>
          <cell r="AX51">
            <v>24623</v>
          </cell>
          <cell r="AY51">
            <v>923590</v>
          </cell>
          <cell r="AZ51">
            <v>0</v>
          </cell>
          <cell r="BA51">
            <v>923590</v>
          </cell>
          <cell r="BB51">
            <v>0</v>
          </cell>
          <cell r="BC51">
            <v>923590</v>
          </cell>
          <cell r="BD51">
            <v>0</v>
          </cell>
          <cell r="BE51">
            <v>323956</v>
          </cell>
          <cell r="BF51">
            <v>-6233</v>
          </cell>
          <cell r="BH51">
            <v>1241313</v>
          </cell>
          <cell r="BI51">
            <v>51299</v>
          </cell>
          <cell r="BJ51">
            <v>1190014</v>
          </cell>
          <cell r="BK51">
            <v>0</v>
          </cell>
          <cell r="BL51">
            <v>1190014</v>
          </cell>
        </row>
        <row r="52">
          <cell r="B52" t="str">
            <v>DIGEX</v>
          </cell>
          <cell r="C52">
            <v>0</v>
          </cell>
          <cell r="D52">
            <v>1900288</v>
          </cell>
          <cell r="E52">
            <v>61863</v>
          </cell>
          <cell r="F52" t="str">
            <v>ASC</v>
          </cell>
          <cell r="G52" t="str">
            <v>JAN</v>
          </cell>
          <cell r="H52" t="str">
            <v>Lentz</v>
          </cell>
          <cell r="I52" t="str">
            <v>Dunn</v>
          </cell>
          <cell r="J52" t="str">
            <v>Weekly Wire</v>
          </cell>
          <cell r="K52" t="str">
            <v>BARBARA</v>
          </cell>
          <cell r="L52" t="str">
            <v>Watson Wyatt</v>
          </cell>
          <cell r="M52">
            <v>0</v>
          </cell>
          <cell r="N52">
            <v>126643</v>
          </cell>
          <cell r="O52" t="str">
            <v>Nasco</v>
          </cell>
          <cell r="P52" t="str">
            <v>NATIONAL</v>
          </cell>
          <cell r="Q52">
            <v>436</v>
          </cell>
          <cell r="R52">
            <v>0</v>
          </cell>
          <cell r="S52">
            <v>200000</v>
          </cell>
          <cell r="T52">
            <v>1.25</v>
          </cell>
          <cell r="U52">
            <v>19581.060000000001</v>
          </cell>
          <cell r="V52">
            <v>13054.04</v>
          </cell>
          <cell r="W52">
            <v>32635.1</v>
          </cell>
          <cell r="X52">
            <v>0</v>
          </cell>
          <cell r="Y52">
            <v>0</v>
          </cell>
          <cell r="Z52">
            <v>0</v>
          </cell>
          <cell r="AA52">
            <v>0</v>
          </cell>
          <cell r="AB52">
            <v>293715.90000000002</v>
          </cell>
          <cell r="AC52">
            <v>326351</v>
          </cell>
          <cell r="AD52">
            <v>121</v>
          </cell>
          <cell r="AE52">
            <v>326472</v>
          </cell>
          <cell r="AF52">
            <v>0</v>
          </cell>
          <cell r="AG52">
            <v>0</v>
          </cell>
          <cell r="AH52">
            <v>0</v>
          </cell>
          <cell r="AI52">
            <v>2779974</v>
          </cell>
          <cell r="AJ52">
            <v>3106325</v>
          </cell>
          <cell r="AK52">
            <v>326351</v>
          </cell>
          <cell r="AL52">
            <v>3106325</v>
          </cell>
          <cell r="AM52">
            <v>0</v>
          </cell>
          <cell r="AN52">
            <v>0</v>
          </cell>
          <cell r="AO52">
            <v>0</v>
          </cell>
          <cell r="AP52">
            <v>0</v>
          </cell>
          <cell r="AQ52">
            <v>171705</v>
          </cell>
          <cell r="AR52">
            <v>0</v>
          </cell>
          <cell r="AS52">
            <v>171705</v>
          </cell>
          <cell r="AT52">
            <v>286350.81772649707</v>
          </cell>
          <cell r="AU52">
            <v>-131583.81772649707</v>
          </cell>
          <cell r="AW52">
            <v>2951679</v>
          </cell>
          <cell r="AX52">
            <v>28002</v>
          </cell>
          <cell r="AY52">
            <v>2979681</v>
          </cell>
          <cell r="AZ52">
            <v>0</v>
          </cell>
          <cell r="BA52">
            <v>2979681</v>
          </cell>
          <cell r="BB52">
            <v>0</v>
          </cell>
          <cell r="BC52">
            <v>2979681</v>
          </cell>
          <cell r="BD52">
            <v>121</v>
          </cell>
          <cell r="BE52">
            <v>326351</v>
          </cell>
          <cell r="BF52">
            <v>0</v>
          </cell>
          <cell r="BH52">
            <v>3306153</v>
          </cell>
          <cell r="BI52">
            <v>171705</v>
          </cell>
          <cell r="BJ52">
            <v>3134448</v>
          </cell>
          <cell r="BK52">
            <v>0</v>
          </cell>
          <cell r="BL52">
            <v>3134448</v>
          </cell>
        </row>
        <row r="53">
          <cell r="B53" t="str">
            <v>DRAPER COMMUNICATIONS</v>
          </cell>
          <cell r="C53">
            <v>0</v>
          </cell>
          <cell r="D53">
            <v>1900207</v>
          </cell>
          <cell r="E53">
            <v>29216</v>
          </cell>
          <cell r="F53" t="str">
            <v>ASC</v>
          </cell>
          <cell r="G53" t="str">
            <v>MAY</v>
          </cell>
          <cell r="H53" t="str">
            <v>Delong</v>
          </cell>
          <cell r="I53" t="str">
            <v>Engel</v>
          </cell>
          <cell r="J53" t="str">
            <v>Deposit--2 Months</v>
          </cell>
          <cell r="K53" t="str">
            <v>BARBARA</v>
          </cell>
          <cell r="L53" t="str">
            <v>Huber, Oros &amp; Co.</v>
          </cell>
          <cell r="M53">
            <v>50000</v>
          </cell>
          <cell r="N53">
            <v>0</v>
          </cell>
          <cell r="O53" t="str">
            <v>NASCO</v>
          </cell>
          <cell r="P53" t="str">
            <v>LOCAL</v>
          </cell>
          <cell r="Q53">
            <v>159</v>
          </cell>
          <cell r="R53">
            <v>0</v>
          </cell>
          <cell r="S53">
            <v>75000</v>
          </cell>
          <cell r="T53">
            <v>1.25</v>
          </cell>
          <cell r="U53">
            <v>50720.3</v>
          </cell>
          <cell r="V53">
            <v>10925.26</v>
          </cell>
          <cell r="W53">
            <v>61645.56</v>
          </cell>
          <cell r="X53">
            <v>0</v>
          </cell>
          <cell r="Y53">
            <v>4893.96</v>
          </cell>
          <cell r="Z53">
            <v>0</v>
          </cell>
          <cell r="AA53">
            <v>9787.92</v>
          </cell>
          <cell r="AB53">
            <v>86804.56</v>
          </cell>
          <cell r="AC53">
            <v>163132</v>
          </cell>
          <cell r="AD53">
            <v>0</v>
          </cell>
          <cell r="AE53">
            <v>163132</v>
          </cell>
          <cell r="AF53">
            <v>0</v>
          </cell>
          <cell r="AG53">
            <v>0</v>
          </cell>
          <cell r="AH53">
            <v>0</v>
          </cell>
          <cell r="AI53">
            <v>510975</v>
          </cell>
          <cell r="AJ53">
            <v>674107</v>
          </cell>
          <cell r="AK53">
            <v>163132</v>
          </cell>
          <cell r="AL53">
            <v>664319.07999999996</v>
          </cell>
          <cell r="AM53">
            <v>0</v>
          </cell>
          <cell r="AN53">
            <v>0</v>
          </cell>
          <cell r="AO53">
            <v>0</v>
          </cell>
          <cell r="AP53">
            <v>0</v>
          </cell>
          <cell r="AQ53">
            <v>0</v>
          </cell>
          <cell r="AR53">
            <v>0</v>
          </cell>
          <cell r="AS53">
            <v>0</v>
          </cell>
          <cell r="AT53">
            <v>49531.029318645938</v>
          </cell>
          <cell r="AU53">
            <v>103813.05068135407</v>
          </cell>
          <cell r="AW53">
            <v>510975</v>
          </cell>
          <cell r="AX53">
            <v>1439</v>
          </cell>
          <cell r="AY53">
            <v>512414</v>
          </cell>
          <cell r="AZ53">
            <v>0</v>
          </cell>
          <cell r="BA53">
            <v>512414</v>
          </cell>
          <cell r="BB53">
            <v>0</v>
          </cell>
          <cell r="BC53">
            <v>512414</v>
          </cell>
          <cell r="BD53">
            <v>0</v>
          </cell>
          <cell r="BE53">
            <v>163132</v>
          </cell>
          <cell r="BF53">
            <v>0</v>
          </cell>
          <cell r="BH53">
            <v>675546</v>
          </cell>
          <cell r="BI53">
            <v>0</v>
          </cell>
          <cell r="BJ53">
            <v>675546</v>
          </cell>
          <cell r="BK53">
            <v>0</v>
          </cell>
          <cell r="BL53">
            <v>675546</v>
          </cell>
        </row>
        <row r="54">
          <cell r="B54" t="str">
            <v>DUNBAR ARMORED</v>
          </cell>
          <cell r="C54">
            <v>0</v>
          </cell>
          <cell r="D54">
            <v>1900173</v>
          </cell>
          <cell r="E54">
            <v>29032</v>
          </cell>
          <cell r="F54" t="str">
            <v>ASC</v>
          </cell>
          <cell r="G54" t="str">
            <v>JAN</v>
          </cell>
          <cell r="H54" t="str">
            <v>Michael</v>
          </cell>
          <cell r="I54" t="str">
            <v>Engel</v>
          </cell>
          <cell r="J54" t="str">
            <v>Weekly Wire</v>
          </cell>
          <cell r="K54" t="str">
            <v>NETTIE</v>
          </cell>
          <cell r="L54" t="str">
            <v>Wachovia</v>
          </cell>
          <cell r="M54">
            <v>0</v>
          </cell>
          <cell r="N54">
            <v>53000</v>
          </cell>
          <cell r="O54" t="str">
            <v>NASCO</v>
          </cell>
          <cell r="P54" t="str">
            <v>NATIONAL</v>
          </cell>
          <cell r="Q54">
            <v>1295</v>
          </cell>
          <cell r="R54">
            <v>0</v>
          </cell>
          <cell r="S54">
            <v>100000</v>
          </cell>
          <cell r="T54">
            <v>1.25</v>
          </cell>
          <cell r="U54">
            <v>569490.18000000005</v>
          </cell>
          <cell r="V54">
            <v>13559.29</v>
          </cell>
          <cell r="W54">
            <v>583049.47</v>
          </cell>
          <cell r="X54">
            <v>67796.45</v>
          </cell>
          <cell r="Y54">
            <v>0</v>
          </cell>
          <cell r="Z54">
            <v>0</v>
          </cell>
          <cell r="AA54">
            <v>94915.03</v>
          </cell>
          <cell r="AB54">
            <v>610168.05000000005</v>
          </cell>
          <cell r="AC54">
            <v>1355929</v>
          </cell>
          <cell r="AD54">
            <v>-179</v>
          </cell>
          <cell r="AE54">
            <v>1355750</v>
          </cell>
          <cell r="AF54">
            <v>0</v>
          </cell>
          <cell r="AG54">
            <v>0</v>
          </cell>
          <cell r="AH54">
            <v>-9753</v>
          </cell>
          <cell r="AI54">
            <v>4646873</v>
          </cell>
          <cell r="AJ54">
            <v>6002802</v>
          </cell>
          <cell r="AK54">
            <v>1355929</v>
          </cell>
          <cell r="AL54">
            <v>5907886.9699999997</v>
          </cell>
          <cell r="AM54">
            <v>0</v>
          </cell>
          <cell r="AN54">
            <v>0</v>
          </cell>
          <cell r="AO54">
            <v>0</v>
          </cell>
          <cell r="AP54">
            <v>0</v>
          </cell>
          <cell r="AQ54">
            <v>63215</v>
          </cell>
          <cell r="AR54">
            <v>0</v>
          </cell>
          <cell r="AS54">
            <v>63215</v>
          </cell>
          <cell r="AT54">
            <v>461322.77918613015</v>
          </cell>
          <cell r="AU54">
            <v>726544.19081386982</v>
          </cell>
          <cell r="AW54">
            <v>4710088</v>
          </cell>
          <cell r="AX54">
            <v>115217</v>
          </cell>
          <cell r="AY54">
            <v>4825305</v>
          </cell>
          <cell r="AZ54">
            <v>0</v>
          </cell>
          <cell r="BA54">
            <v>4825305</v>
          </cell>
          <cell r="BB54">
            <v>0</v>
          </cell>
          <cell r="BC54">
            <v>4825305</v>
          </cell>
          <cell r="BD54">
            <v>-179</v>
          </cell>
          <cell r="BE54">
            <v>1355929</v>
          </cell>
          <cell r="BF54">
            <v>-9753</v>
          </cell>
          <cell r="BH54">
            <v>6171302</v>
          </cell>
          <cell r="BI54">
            <v>63215</v>
          </cell>
          <cell r="BJ54">
            <v>6108087</v>
          </cell>
          <cell r="BK54">
            <v>0</v>
          </cell>
          <cell r="BL54">
            <v>6108087</v>
          </cell>
        </row>
        <row r="55">
          <cell r="B55" t="str">
            <v>DURON INC</v>
          </cell>
          <cell r="C55">
            <v>0</v>
          </cell>
          <cell r="D55">
            <v>1900076</v>
          </cell>
          <cell r="E55">
            <v>56824</v>
          </cell>
          <cell r="F55" t="str">
            <v>ASC</v>
          </cell>
          <cell r="G55" t="str">
            <v>JAN</v>
          </cell>
          <cell r="H55" t="str">
            <v>Delong</v>
          </cell>
          <cell r="I55" t="str">
            <v>Engel</v>
          </cell>
          <cell r="J55" t="str">
            <v>Direct Debit--Weekly</v>
          </cell>
          <cell r="K55" t="str">
            <v>NETTIE</v>
          </cell>
          <cell r="L55" t="str">
            <v>Wachovia</v>
          </cell>
          <cell r="M55">
            <v>0</v>
          </cell>
          <cell r="N55">
            <v>27000</v>
          </cell>
          <cell r="O55" t="str">
            <v>NASCO</v>
          </cell>
          <cell r="P55" t="str">
            <v>NATIONAL</v>
          </cell>
          <cell r="Q55">
            <v>1405</v>
          </cell>
          <cell r="R55">
            <v>0</v>
          </cell>
          <cell r="S55">
            <v>0</v>
          </cell>
          <cell r="T55">
            <v>1.25</v>
          </cell>
          <cell r="U55">
            <v>0</v>
          </cell>
          <cell r="V55">
            <v>56344.98</v>
          </cell>
          <cell r="W55">
            <v>56344.98</v>
          </cell>
          <cell r="X55">
            <v>0</v>
          </cell>
          <cell r="Y55">
            <v>0</v>
          </cell>
          <cell r="Z55">
            <v>0</v>
          </cell>
          <cell r="AA55">
            <v>140862.45000000001</v>
          </cell>
          <cell r="AB55">
            <v>741875.57</v>
          </cell>
          <cell r="AC55">
            <v>939083</v>
          </cell>
          <cell r="AD55">
            <v>22</v>
          </cell>
          <cell r="AE55">
            <v>939105</v>
          </cell>
          <cell r="AF55">
            <v>0</v>
          </cell>
          <cell r="AG55">
            <v>0</v>
          </cell>
          <cell r="AH55">
            <v>3600</v>
          </cell>
          <cell r="AI55">
            <v>6821824</v>
          </cell>
          <cell r="AJ55">
            <v>7760907</v>
          </cell>
          <cell r="AK55">
            <v>939083</v>
          </cell>
          <cell r="AL55">
            <v>7620044.5499999998</v>
          </cell>
          <cell r="AM55">
            <v>0</v>
          </cell>
          <cell r="AN55">
            <v>0</v>
          </cell>
          <cell r="AO55">
            <v>0</v>
          </cell>
          <cell r="AP55">
            <v>0</v>
          </cell>
          <cell r="AQ55">
            <v>0</v>
          </cell>
          <cell r="AR55">
            <v>0</v>
          </cell>
          <cell r="AS55">
            <v>0</v>
          </cell>
          <cell r="AT55">
            <v>661436.97640930163</v>
          </cell>
          <cell r="AU55">
            <v>140405.57359069842</v>
          </cell>
          <cell r="AW55">
            <v>6821824</v>
          </cell>
          <cell r="AX55">
            <v>105646</v>
          </cell>
          <cell r="AY55">
            <v>6927470</v>
          </cell>
          <cell r="AZ55">
            <v>0</v>
          </cell>
          <cell r="BA55">
            <v>6927470</v>
          </cell>
          <cell r="BB55">
            <v>0</v>
          </cell>
          <cell r="BC55">
            <v>6927470</v>
          </cell>
          <cell r="BD55">
            <v>22</v>
          </cell>
          <cell r="BE55">
            <v>939083</v>
          </cell>
          <cell r="BF55">
            <v>3600</v>
          </cell>
          <cell r="BH55">
            <v>7870175</v>
          </cell>
          <cell r="BI55">
            <v>0</v>
          </cell>
          <cell r="BJ55">
            <v>7870175</v>
          </cell>
          <cell r="BK55">
            <v>0</v>
          </cell>
          <cell r="BL55">
            <v>7870175</v>
          </cell>
        </row>
        <row r="56">
          <cell r="B56" t="str">
            <v>DUTY FREE AMERICAS</v>
          </cell>
          <cell r="C56" t="str">
            <v>WORLD DUTY</v>
          </cell>
          <cell r="D56">
            <v>1900284</v>
          </cell>
          <cell r="E56">
            <v>59982</v>
          </cell>
          <cell r="F56">
            <v>0</v>
          </cell>
          <cell r="G56" t="str">
            <v>termed 2/04</v>
          </cell>
          <cell r="H56" t="str">
            <v>Michael</v>
          </cell>
          <cell r="I56" t="str">
            <v>Drusano</v>
          </cell>
          <cell r="J56" t="str">
            <v>Direct Debit--Weekly</v>
          </cell>
          <cell r="K56" t="str">
            <v>NETTIE</v>
          </cell>
          <cell r="L56" t="str">
            <v>None</v>
          </cell>
          <cell r="M56">
            <v>0</v>
          </cell>
          <cell r="N56">
            <v>21000</v>
          </cell>
          <cell r="O56" t="str">
            <v>NASCO</v>
          </cell>
          <cell r="P56" t="str">
            <v>NATIONAL</v>
          </cell>
          <cell r="Q56" t="str">
            <v>run-out</v>
          </cell>
          <cell r="R56">
            <v>0</v>
          </cell>
          <cell r="S56">
            <v>150000</v>
          </cell>
          <cell r="T56">
            <v>1.25</v>
          </cell>
          <cell r="U56">
            <v>11090.25</v>
          </cell>
          <cell r="V56">
            <v>2053.75</v>
          </cell>
          <cell r="W56">
            <v>13144</v>
          </cell>
          <cell r="X56">
            <v>0</v>
          </cell>
          <cell r="Y56">
            <v>1643</v>
          </cell>
          <cell r="Z56">
            <v>0</v>
          </cell>
          <cell r="AA56">
            <v>0</v>
          </cell>
          <cell r="AB56">
            <v>69977</v>
          </cell>
          <cell r="AC56">
            <v>84764</v>
          </cell>
          <cell r="AD56">
            <v>5</v>
          </cell>
          <cell r="AE56">
            <v>84769</v>
          </cell>
          <cell r="AF56">
            <v>0</v>
          </cell>
          <cell r="AG56">
            <v>0</v>
          </cell>
          <cell r="AH56">
            <v>0</v>
          </cell>
          <cell r="AI56">
            <v>506660</v>
          </cell>
          <cell r="AJ56">
            <v>591424</v>
          </cell>
          <cell r="AK56">
            <v>84764</v>
          </cell>
          <cell r="AL56">
            <v>591424</v>
          </cell>
          <cell r="AM56">
            <v>0</v>
          </cell>
          <cell r="AN56">
            <v>0</v>
          </cell>
          <cell r="AO56">
            <v>0</v>
          </cell>
          <cell r="AP56">
            <v>0</v>
          </cell>
          <cell r="AQ56">
            <v>0</v>
          </cell>
          <cell r="AR56">
            <v>0</v>
          </cell>
          <cell r="AS56">
            <v>0</v>
          </cell>
          <cell r="AT56">
            <v>49531.152202716636</v>
          </cell>
          <cell r="AU56">
            <v>35237.847797283364</v>
          </cell>
          <cell r="AW56">
            <v>506660</v>
          </cell>
          <cell r="AX56">
            <v>29860</v>
          </cell>
          <cell r="AY56">
            <v>536520</v>
          </cell>
          <cell r="AZ56">
            <v>0</v>
          </cell>
          <cell r="BA56">
            <v>536520</v>
          </cell>
          <cell r="BB56">
            <v>0</v>
          </cell>
          <cell r="BC56">
            <v>536520</v>
          </cell>
          <cell r="BD56">
            <v>5</v>
          </cell>
          <cell r="BE56">
            <v>84764</v>
          </cell>
          <cell r="BF56">
            <v>0</v>
          </cell>
          <cell r="BH56">
            <v>621289</v>
          </cell>
          <cell r="BI56">
            <v>0</v>
          </cell>
          <cell r="BJ56">
            <v>621289</v>
          </cell>
          <cell r="BK56">
            <v>0</v>
          </cell>
          <cell r="BL56">
            <v>621289</v>
          </cell>
        </row>
        <row r="57">
          <cell r="B57" t="str">
            <v>DVCC</v>
          </cell>
          <cell r="C57">
            <v>0</v>
          </cell>
          <cell r="D57">
            <v>1900009</v>
          </cell>
          <cell r="E57">
            <v>48987</v>
          </cell>
          <cell r="F57" t="str">
            <v>ASC</v>
          </cell>
          <cell r="G57" t="str">
            <v>JAN</v>
          </cell>
          <cell r="H57" t="str">
            <v>McManus</v>
          </cell>
          <cell r="I57" t="str">
            <v>Waters</v>
          </cell>
          <cell r="J57" t="str">
            <v>Weekly Check</v>
          </cell>
          <cell r="K57" t="str">
            <v>GINNY</v>
          </cell>
          <cell r="L57" t="str">
            <v>Laslett Blue</v>
          </cell>
          <cell r="M57">
            <v>0</v>
          </cell>
          <cell r="N57">
            <v>0</v>
          </cell>
          <cell r="O57" t="str">
            <v>NASCO-S</v>
          </cell>
          <cell r="P57" t="str">
            <v>NATIONAL</v>
          </cell>
          <cell r="Q57">
            <v>814</v>
          </cell>
          <cell r="R57">
            <v>0</v>
          </cell>
          <cell r="S57">
            <v>0</v>
          </cell>
          <cell r="T57">
            <v>0</v>
          </cell>
          <cell r="U57">
            <v>0</v>
          </cell>
          <cell r="V57">
            <v>0</v>
          </cell>
          <cell r="W57">
            <v>0</v>
          </cell>
          <cell r="X57">
            <v>0</v>
          </cell>
          <cell r="Y57">
            <v>0</v>
          </cell>
          <cell r="Z57">
            <v>0</v>
          </cell>
          <cell r="AA57">
            <v>0</v>
          </cell>
          <cell r="AB57">
            <v>151382</v>
          </cell>
          <cell r="AC57">
            <v>151382</v>
          </cell>
          <cell r="AD57">
            <v>194</v>
          </cell>
          <cell r="AE57">
            <v>151576</v>
          </cell>
          <cell r="AF57">
            <v>0</v>
          </cell>
          <cell r="AG57">
            <v>0</v>
          </cell>
          <cell r="AH57">
            <v>0</v>
          </cell>
          <cell r="AI57">
            <v>2205013</v>
          </cell>
          <cell r="AJ57">
            <v>2356395</v>
          </cell>
          <cell r="AK57">
            <v>151382</v>
          </cell>
          <cell r="AL57">
            <v>2356395</v>
          </cell>
          <cell r="AM57">
            <v>0</v>
          </cell>
          <cell r="AN57">
            <v>0</v>
          </cell>
          <cell r="AO57">
            <v>0</v>
          </cell>
          <cell r="AP57">
            <v>0</v>
          </cell>
          <cell r="AQ57">
            <v>0</v>
          </cell>
          <cell r="AR57">
            <v>0</v>
          </cell>
          <cell r="AS57">
            <v>0</v>
          </cell>
          <cell r="AT57">
            <v>215597.95688253574</v>
          </cell>
          <cell r="AU57">
            <v>-64021.956882535742</v>
          </cell>
          <cell r="AW57">
            <v>2205013</v>
          </cell>
          <cell r="AX57">
            <v>111735</v>
          </cell>
          <cell r="AY57">
            <v>2316748</v>
          </cell>
          <cell r="AZ57">
            <v>0</v>
          </cell>
          <cell r="BA57">
            <v>2316748</v>
          </cell>
          <cell r="BB57">
            <v>0</v>
          </cell>
          <cell r="BC57">
            <v>2316748</v>
          </cell>
          <cell r="BD57">
            <v>194</v>
          </cell>
          <cell r="BE57">
            <v>151382</v>
          </cell>
          <cell r="BF57">
            <v>0</v>
          </cell>
          <cell r="BH57">
            <v>2468324</v>
          </cell>
          <cell r="BI57">
            <v>0</v>
          </cell>
          <cell r="BJ57">
            <v>2468324</v>
          </cell>
          <cell r="BK57">
            <v>0</v>
          </cell>
          <cell r="BL57">
            <v>2468324</v>
          </cell>
        </row>
        <row r="58">
          <cell r="B58" t="str">
            <v>EA ENGINEERING</v>
          </cell>
          <cell r="C58">
            <v>0</v>
          </cell>
          <cell r="D58">
            <v>1900024</v>
          </cell>
          <cell r="E58">
            <v>44713</v>
          </cell>
          <cell r="F58" t="str">
            <v>ASC</v>
          </cell>
          <cell r="G58" t="str">
            <v>JAN</v>
          </cell>
          <cell r="H58" t="str">
            <v>Delong</v>
          </cell>
          <cell r="I58" t="str">
            <v>Drusano</v>
          </cell>
          <cell r="J58" t="str">
            <v>Direct Debit--Weekly</v>
          </cell>
          <cell r="K58" t="str">
            <v>BARBARA</v>
          </cell>
          <cell r="L58" t="str">
            <v>Huber, Oros &amp; Co.</v>
          </cell>
          <cell r="M58">
            <v>0</v>
          </cell>
          <cell r="N58">
            <v>14342</v>
          </cell>
          <cell r="O58" t="str">
            <v>NASCO</v>
          </cell>
          <cell r="P58" t="str">
            <v>NATIONAL</v>
          </cell>
          <cell r="Q58">
            <v>287</v>
          </cell>
          <cell r="R58">
            <v>0</v>
          </cell>
          <cell r="S58">
            <v>75000</v>
          </cell>
          <cell r="T58">
            <v>1.25</v>
          </cell>
          <cell r="U58">
            <v>91874.19</v>
          </cell>
          <cell r="V58">
            <v>19972.650000000001</v>
          </cell>
          <cell r="W58">
            <v>111846.84</v>
          </cell>
          <cell r="X58">
            <v>11983.59</v>
          </cell>
          <cell r="Y58">
            <v>0</v>
          </cell>
          <cell r="Z58">
            <v>0</v>
          </cell>
          <cell r="AA58">
            <v>71901.539999999994</v>
          </cell>
          <cell r="AB58">
            <v>203721.03</v>
          </cell>
          <cell r="AC58">
            <v>399453</v>
          </cell>
          <cell r="AD58">
            <v>1</v>
          </cell>
          <cell r="AE58">
            <v>399454</v>
          </cell>
          <cell r="AF58">
            <v>0</v>
          </cell>
          <cell r="AG58">
            <v>0</v>
          </cell>
          <cell r="AH58">
            <v>0</v>
          </cell>
          <cell r="AI58">
            <v>867098</v>
          </cell>
          <cell r="AJ58">
            <v>1266551</v>
          </cell>
          <cell r="AK58">
            <v>399453</v>
          </cell>
          <cell r="AL58">
            <v>1194649.46</v>
          </cell>
          <cell r="AM58">
            <v>0</v>
          </cell>
          <cell r="AN58">
            <v>0</v>
          </cell>
          <cell r="AO58">
            <v>0</v>
          </cell>
          <cell r="AP58">
            <v>0</v>
          </cell>
          <cell r="AQ58">
            <v>0</v>
          </cell>
          <cell r="AR58">
            <v>0</v>
          </cell>
          <cell r="AS58">
            <v>0</v>
          </cell>
          <cell r="AT58">
            <v>84413.6159997738</v>
          </cell>
          <cell r="AU58">
            <v>243138.84400022618</v>
          </cell>
          <cell r="AW58">
            <v>867098</v>
          </cell>
          <cell r="AX58">
            <v>39530</v>
          </cell>
          <cell r="AY58">
            <v>906628</v>
          </cell>
          <cell r="AZ58">
            <v>0</v>
          </cell>
          <cell r="BA58">
            <v>906628</v>
          </cell>
          <cell r="BB58">
            <v>0</v>
          </cell>
          <cell r="BC58">
            <v>906628</v>
          </cell>
          <cell r="BD58">
            <v>1</v>
          </cell>
          <cell r="BE58">
            <v>399453</v>
          </cell>
          <cell r="BF58">
            <v>0</v>
          </cell>
          <cell r="BH58">
            <v>1306082</v>
          </cell>
          <cell r="BI58">
            <v>0</v>
          </cell>
          <cell r="BJ58">
            <v>1306082</v>
          </cell>
          <cell r="BK58">
            <v>0</v>
          </cell>
          <cell r="BL58">
            <v>1306082</v>
          </cell>
        </row>
        <row r="59">
          <cell r="B59" t="str">
            <v>EAI CORPORATION</v>
          </cell>
          <cell r="C59">
            <v>0</v>
          </cell>
          <cell r="D59">
            <v>1900479</v>
          </cell>
          <cell r="E59">
            <v>52612</v>
          </cell>
          <cell r="F59" t="str">
            <v>ASC</v>
          </cell>
          <cell r="G59" t="str">
            <v>JUL</v>
          </cell>
          <cell r="H59" t="str">
            <v>Lentz</v>
          </cell>
          <cell r="I59" t="str">
            <v>Waters</v>
          </cell>
          <cell r="J59" t="str">
            <v>Direct Debit--Weekly</v>
          </cell>
          <cell r="K59" t="str">
            <v>LISA</v>
          </cell>
          <cell r="L59">
            <v>0</v>
          </cell>
          <cell r="M59">
            <v>0</v>
          </cell>
          <cell r="N59">
            <v>0</v>
          </cell>
          <cell r="O59" t="str">
            <v>NASCO</v>
          </cell>
          <cell r="P59" t="str">
            <v>NATIONAL</v>
          </cell>
          <cell r="Q59">
            <v>393</v>
          </cell>
          <cell r="R59">
            <v>0</v>
          </cell>
          <cell r="S59">
            <v>75000</v>
          </cell>
          <cell r="T59">
            <v>1.25</v>
          </cell>
          <cell r="U59">
            <v>171800.82</v>
          </cell>
          <cell r="V59">
            <v>30042.81</v>
          </cell>
          <cell r="W59">
            <v>201843.63</v>
          </cell>
          <cell r="X59">
            <v>0</v>
          </cell>
          <cell r="Y59">
            <v>8843.1299999999992</v>
          </cell>
          <cell r="Z59">
            <v>0</v>
          </cell>
          <cell r="AA59">
            <v>75300.570000000007</v>
          </cell>
          <cell r="AB59">
            <v>173537.67</v>
          </cell>
          <cell r="AC59">
            <v>459525</v>
          </cell>
          <cell r="AD59">
            <v>0</v>
          </cell>
          <cell r="AE59">
            <v>459525</v>
          </cell>
          <cell r="AF59">
            <v>0</v>
          </cell>
          <cell r="AG59">
            <v>0</v>
          </cell>
          <cell r="AH59">
            <v>0</v>
          </cell>
          <cell r="AI59">
            <v>1401757</v>
          </cell>
          <cell r="AJ59">
            <v>1861282</v>
          </cell>
          <cell r="AK59">
            <v>459525</v>
          </cell>
          <cell r="AL59">
            <v>1785981.43</v>
          </cell>
          <cell r="AM59">
            <v>0</v>
          </cell>
          <cell r="AN59">
            <v>0</v>
          </cell>
          <cell r="AO59">
            <v>0</v>
          </cell>
          <cell r="AP59">
            <v>0</v>
          </cell>
          <cell r="AQ59">
            <v>10403</v>
          </cell>
          <cell r="AR59">
            <v>0</v>
          </cell>
          <cell r="AS59">
            <v>10403</v>
          </cell>
          <cell r="AT59">
            <v>137719.68658180625</v>
          </cell>
          <cell r="AU59">
            <v>236101.74341819374</v>
          </cell>
          <cell r="AW59">
            <v>1412160</v>
          </cell>
          <cell r="AX59">
            <v>8520</v>
          </cell>
          <cell r="AY59">
            <v>1420680</v>
          </cell>
          <cell r="AZ59">
            <v>0</v>
          </cell>
          <cell r="BA59">
            <v>1420680</v>
          </cell>
          <cell r="BB59">
            <v>0</v>
          </cell>
          <cell r="BC59">
            <v>1420680</v>
          </cell>
          <cell r="BD59">
            <v>0</v>
          </cell>
          <cell r="BE59">
            <v>459525</v>
          </cell>
          <cell r="BF59">
            <v>0</v>
          </cell>
          <cell r="BH59">
            <v>1880205</v>
          </cell>
          <cell r="BI59">
            <v>10403</v>
          </cell>
          <cell r="BJ59">
            <v>1869802</v>
          </cell>
          <cell r="BK59">
            <v>0</v>
          </cell>
          <cell r="BL59">
            <v>1869802</v>
          </cell>
        </row>
        <row r="60">
          <cell r="B60" t="str">
            <v>EDUCATE</v>
          </cell>
          <cell r="C60">
            <v>0</v>
          </cell>
          <cell r="D60">
            <v>1900534</v>
          </cell>
          <cell r="E60">
            <v>65575</v>
          </cell>
          <cell r="F60" t="str">
            <v>ASC-Adjustable Retro</v>
          </cell>
          <cell r="G60" t="str">
            <v>JAN</v>
          </cell>
          <cell r="H60" t="str">
            <v>Delong</v>
          </cell>
          <cell r="I60" t="str">
            <v>Engel</v>
          </cell>
          <cell r="J60" t="str">
            <v>Direct Debit--Weekly</v>
          </cell>
          <cell r="K60" t="str">
            <v>BARBARA</v>
          </cell>
          <cell r="L60" t="str">
            <v>Huber, Oros &amp; Co.</v>
          </cell>
          <cell r="M60">
            <v>0</v>
          </cell>
          <cell r="N60">
            <v>80400</v>
          </cell>
          <cell r="O60" t="str">
            <v>NASCO</v>
          </cell>
          <cell r="P60" t="str">
            <v>NATIONAL</v>
          </cell>
          <cell r="Q60">
            <v>1406</v>
          </cell>
          <cell r="R60">
            <v>0</v>
          </cell>
          <cell r="S60">
            <v>150000</v>
          </cell>
          <cell r="T60">
            <v>1.25</v>
          </cell>
          <cell r="U60">
            <v>163966.32</v>
          </cell>
          <cell r="V60">
            <v>35135.64</v>
          </cell>
          <cell r="W60">
            <v>199101.96</v>
          </cell>
          <cell r="X60">
            <v>58559.4</v>
          </cell>
          <cell r="Y60">
            <v>35135.64</v>
          </cell>
          <cell r="Z60">
            <v>0</v>
          </cell>
          <cell r="AA60">
            <v>210813.84</v>
          </cell>
          <cell r="AB60">
            <v>667577.16</v>
          </cell>
          <cell r="AC60">
            <v>1171188</v>
          </cell>
          <cell r="AD60">
            <v>0</v>
          </cell>
          <cell r="AE60">
            <v>1171188</v>
          </cell>
          <cell r="AF60">
            <v>0</v>
          </cell>
          <cell r="AG60">
            <v>0</v>
          </cell>
          <cell r="AH60">
            <v>0</v>
          </cell>
          <cell r="AI60">
            <v>4685255</v>
          </cell>
          <cell r="AJ60">
            <v>5856443</v>
          </cell>
          <cell r="AK60">
            <v>1171188</v>
          </cell>
          <cell r="AL60">
            <v>5645629.1600000001</v>
          </cell>
          <cell r="AM60">
            <v>0</v>
          </cell>
          <cell r="AN60">
            <v>0</v>
          </cell>
          <cell r="AO60">
            <v>0</v>
          </cell>
          <cell r="AP60">
            <v>0</v>
          </cell>
          <cell r="AQ60">
            <v>19694</v>
          </cell>
          <cell r="AR60">
            <v>0</v>
          </cell>
          <cell r="AS60">
            <v>19694</v>
          </cell>
          <cell r="AT60">
            <v>456938.90206200059</v>
          </cell>
          <cell r="AU60">
            <v>483741.25793799944</v>
          </cell>
          <cell r="AW60">
            <v>4704949</v>
          </cell>
          <cell r="AX60">
            <v>239674</v>
          </cell>
          <cell r="AY60">
            <v>4944623</v>
          </cell>
          <cell r="AZ60">
            <v>0</v>
          </cell>
          <cell r="BA60">
            <v>4944623</v>
          </cell>
          <cell r="BB60">
            <v>0</v>
          </cell>
          <cell r="BC60">
            <v>4944623</v>
          </cell>
          <cell r="BD60">
            <v>0</v>
          </cell>
          <cell r="BE60">
            <v>1171188</v>
          </cell>
          <cell r="BF60">
            <v>0</v>
          </cell>
          <cell r="BH60">
            <v>6115811</v>
          </cell>
          <cell r="BI60">
            <v>19694</v>
          </cell>
          <cell r="BJ60">
            <v>6096117</v>
          </cell>
          <cell r="BK60">
            <v>0</v>
          </cell>
          <cell r="BL60">
            <v>6096117</v>
          </cell>
        </row>
        <row r="61">
          <cell r="B61" t="str">
            <v>ENTERPRISE FOUNDATION</v>
          </cell>
          <cell r="C61">
            <v>0</v>
          </cell>
          <cell r="D61" t="str">
            <v>n/a</v>
          </cell>
          <cell r="E61">
            <v>27413</v>
          </cell>
          <cell r="F61" t="str">
            <v>ASC</v>
          </cell>
          <cell r="G61" t="str">
            <v>JAN</v>
          </cell>
          <cell r="H61" t="str">
            <v>Flowers</v>
          </cell>
          <cell r="I61" t="str">
            <v>Heinze</v>
          </cell>
          <cell r="J61" t="str">
            <v>Direct Debit--Weekly</v>
          </cell>
          <cell r="K61" t="str">
            <v>BARBARA</v>
          </cell>
          <cell r="L61" t="str">
            <v>Benefit Mall</v>
          </cell>
          <cell r="M61">
            <v>0</v>
          </cell>
          <cell r="N61">
            <v>61500</v>
          </cell>
          <cell r="O61" t="str">
            <v>CARE</v>
          </cell>
          <cell r="P61" t="str">
            <v>LOCAL</v>
          </cell>
          <cell r="Q61">
            <v>368</v>
          </cell>
          <cell r="R61">
            <v>0</v>
          </cell>
          <cell r="S61">
            <v>50000</v>
          </cell>
          <cell r="T61">
            <v>1.25</v>
          </cell>
          <cell r="U61">
            <v>181037.22</v>
          </cell>
          <cell r="V61">
            <v>4641.9799999999996</v>
          </cell>
          <cell r="W61">
            <v>185679.2</v>
          </cell>
          <cell r="X61">
            <v>0</v>
          </cell>
          <cell r="Y61">
            <v>0</v>
          </cell>
          <cell r="Z61">
            <v>0</v>
          </cell>
          <cell r="AA61">
            <v>83555.64</v>
          </cell>
          <cell r="AB61">
            <v>194963.16</v>
          </cell>
          <cell r="AC61">
            <v>464198</v>
          </cell>
          <cell r="AD61">
            <v>0</v>
          </cell>
          <cell r="AE61">
            <v>464198</v>
          </cell>
          <cell r="AF61">
            <v>0</v>
          </cell>
          <cell r="AG61">
            <v>0</v>
          </cell>
          <cell r="AH61">
            <v>0</v>
          </cell>
          <cell r="AI61">
            <v>1297183</v>
          </cell>
          <cell r="AJ61">
            <v>1761381</v>
          </cell>
          <cell r="AK61">
            <v>464198</v>
          </cell>
          <cell r="AL61">
            <v>1677825.36</v>
          </cell>
          <cell r="AM61">
            <v>0</v>
          </cell>
          <cell r="AN61">
            <v>0</v>
          </cell>
          <cell r="AO61">
            <v>0</v>
          </cell>
          <cell r="AP61">
            <v>0</v>
          </cell>
          <cell r="AQ61">
            <v>0</v>
          </cell>
          <cell r="AR61">
            <v>0</v>
          </cell>
          <cell r="AS61">
            <v>0</v>
          </cell>
          <cell r="AT61">
            <v>125197.76751649147</v>
          </cell>
          <cell r="AU61">
            <v>255444.59248350852</v>
          </cell>
          <cell r="AW61">
            <v>1297183</v>
          </cell>
          <cell r="AX61">
            <v>39984</v>
          </cell>
          <cell r="AY61">
            <v>1337167</v>
          </cell>
          <cell r="AZ61">
            <v>0</v>
          </cell>
          <cell r="BA61">
            <v>1337167</v>
          </cell>
          <cell r="BB61">
            <v>0</v>
          </cell>
          <cell r="BC61">
            <v>1337167</v>
          </cell>
          <cell r="BD61">
            <v>0</v>
          </cell>
          <cell r="BE61">
            <v>464198</v>
          </cell>
          <cell r="BF61">
            <v>0</v>
          </cell>
          <cell r="BH61">
            <v>1801365</v>
          </cell>
          <cell r="BI61">
            <v>0</v>
          </cell>
          <cell r="BJ61">
            <v>1801365</v>
          </cell>
          <cell r="BK61">
            <v>0</v>
          </cell>
          <cell r="BL61">
            <v>1801365</v>
          </cell>
        </row>
        <row r="62">
          <cell r="B62" t="str">
            <v>ESMEC DENTAL &amp; DRUG</v>
          </cell>
          <cell r="C62">
            <v>0</v>
          </cell>
          <cell r="D62" t="str">
            <v>n/a</v>
          </cell>
          <cell r="E62" t="str">
            <v>08266</v>
          </cell>
          <cell r="F62" t="str">
            <v>ASC</v>
          </cell>
          <cell r="G62" t="str">
            <v>SEP</v>
          </cell>
          <cell r="H62" t="str">
            <v>Hauff</v>
          </cell>
          <cell r="I62" t="str">
            <v>Tilghman</v>
          </cell>
          <cell r="J62" t="str">
            <v>Deposit--2 Months</v>
          </cell>
          <cell r="K62" t="str">
            <v>BARBARA</v>
          </cell>
          <cell r="L62" t="str">
            <v>None</v>
          </cell>
          <cell r="M62">
            <v>1375382</v>
          </cell>
          <cell r="N62">
            <v>0</v>
          </cell>
          <cell r="O62" t="str">
            <v>CARE-S</v>
          </cell>
          <cell r="P62" t="str">
            <v>LOCAL</v>
          </cell>
          <cell r="Q62" t="str">
            <v>dental/drug</v>
          </cell>
          <cell r="R62">
            <v>0</v>
          </cell>
          <cell r="S62">
            <v>0</v>
          </cell>
          <cell r="T62">
            <v>0</v>
          </cell>
          <cell r="U62">
            <v>0</v>
          </cell>
          <cell r="V62">
            <v>0</v>
          </cell>
          <cell r="W62">
            <v>0</v>
          </cell>
          <cell r="X62">
            <v>0</v>
          </cell>
          <cell r="Y62">
            <v>0</v>
          </cell>
          <cell r="Z62">
            <v>0</v>
          </cell>
          <cell r="AA62">
            <v>0</v>
          </cell>
          <cell r="AB62">
            <v>337430</v>
          </cell>
          <cell r="AC62">
            <v>337430</v>
          </cell>
          <cell r="AD62">
            <v>0</v>
          </cell>
          <cell r="AE62">
            <v>337430</v>
          </cell>
          <cell r="AF62">
            <v>0</v>
          </cell>
          <cell r="AG62">
            <v>0</v>
          </cell>
          <cell r="AH62">
            <v>0</v>
          </cell>
          <cell r="AI62">
            <v>10530862</v>
          </cell>
          <cell r="AJ62">
            <v>10868292</v>
          </cell>
          <cell r="AK62">
            <v>337430</v>
          </cell>
          <cell r="AL62">
            <v>10868292</v>
          </cell>
          <cell r="AM62">
            <v>0</v>
          </cell>
          <cell r="AN62">
            <v>0</v>
          </cell>
          <cell r="AO62">
            <v>0</v>
          </cell>
          <cell r="AP62">
            <v>0</v>
          </cell>
          <cell r="AQ62">
            <v>0</v>
          </cell>
          <cell r="AR62">
            <v>0</v>
          </cell>
          <cell r="AS62">
            <v>0</v>
          </cell>
          <cell r="AT62">
            <v>1023529.3686947498</v>
          </cell>
          <cell r="AU62">
            <v>-686099.36869474978</v>
          </cell>
          <cell r="AW62">
            <v>10530862</v>
          </cell>
          <cell r="AX62">
            <v>0</v>
          </cell>
          <cell r="AY62">
            <v>10530862</v>
          </cell>
          <cell r="AZ62">
            <v>0</v>
          </cell>
          <cell r="BA62">
            <v>10530862</v>
          </cell>
          <cell r="BB62">
            <v>0</v>
          </cell>
          <cell r="BC62">
            <v>10530862</v>
          </cell>
          <cell r="BD62">
            <v>0</v>
          </cell>
          <cell r="BE62">
            <v>337430</v>
          </cell>
          <cell r="BF62">
            <v>0</v>
          </cell>
          <cell r="BH62">
            <v>10868292</v>
          </cell>
          <cell r="BI62">
            <v>0</v>
          </cell>
          <cell r="BJ62">
            <v>10868292</v>
          </cell>
          <cell r="BK62">
            <v>0</v>
          </cell>
          <cell r="BL62">
            <v>10868292</v>
          </cell>
        </row>
        <row r="63">
          <cell r="B63" t="str">
            <v>ESMEC MEDICAL RETRO</v>
          </cell>
          <cell r="C63">
            <v>0</v>
          </cell>
          <cell r="D63" t="str">
            <v>n/a</v>
          </cell>
          <cell r="E63" t="str">
            <v>08266</v>
          </cell>
          <cell r="F63" t="str">
            <v>Modified Retro</v>
          </cell>
          <cell r="G63" t="str">
            <v>SEP</v>
          </cell>
          <cell r="H63" t="str">
            <v>Hauff</v>
          </cell>
          <cell r="I63" t="str">
            <v>Tilghman</v>
          </cell>
          <cell r="J63" t="str">
            <v>Retrospective</v>
          </cell>
          <cell r="K63" t="str">
            <v>BARBARA</v>
          </cell>
          <cell r="L63" t="str">
            <v>None</v>
          </cell>
          <cell r="M63">
            <v>0</v>
          </cell>
          <cell r="N63">
            <v>0</v>
          </cell>
          <cell r="O63" t="str">
            <v>CARE</v>
          </cell>
          <cell r="P63" t="str">
            <v>LOCAL</v>
          </cell>
          <cell r="Q63">
            <v>4714</v>
          </cell>
          <cell r="R63">
            <v>0</v>
          </cell>
          <cell r="S63">
            <v>150000</v>
          </cell>
          <cell r="T63">
            <v>1.1499999999999999</v>
          </cell>
          <cell r="U63">
            <v>599045.24</v>
          </cell>
          <cell r="V63">
            <v>195744.18</v>
          </cell>
          <cell r="W63">
            <v>794789.42</v>
          </cell>
          <cell r="X63">
            <v>195744.18</v>
          </cell>
          <cell r="Y63">
            <v>106870.72</v>
          </cell>
          <cell r="Z63">
            <v>0</v>
          </cell>
          <cell r="AA63">
            <v>0</v>
          </cell>
          <cell r="AB63">
            <v>2164998.6800000002</v>
          </cell>
          <cell r="AC63">
            <v>3262403</v>
          </cell>
          <cell r="AD63">
            <v>1319</v>
          </cell>
          <cell r="AE63">
            <v>3263722</v>
          </cell>
          <cell r="AF63">
            <v>0</v>
          </cell>
          <cell r="AG63">
            <v>0</v>
          </cell>
          <cell r="AH63">
            <v>0</v>
          </cell>
          <cell r="AI63">
            <v>20624453</v>
          </cell>
          <cell r="AJ63">
            <v>23886856</v>
          </cell>
          <cell r="AK63">
            <v>3262403</v>
          </cell>
          <cell r="AL63">
            <v>23886856</v>
          </cell>
          <cell r="AM63">
            <v>0</v>
          </cell>
          <cell r="AN63">
            <v>0</v>
          </cell>
          <cell r="AO63">
            <v>0</v>
          </cell>
          <cell r="AP63">
            <v>0</v>
          </cell>
          <cell r="AQ63">
            <v>693295</v>
          </cell>
          <cell r="AR63">
            <v>0</v>
          </cell>
          <cell r="AS63">
            <v>693295</v>
          </cell>
          <cell r="AT63">
            <v>2076783.9543179476</v>
          </cell>
          <cell r="AU63">
            <v>493643.04568205238</v>
          </cell>
          <cell r="AW63">
            <v>21317748</v>
          </cell>
          <cell r="AX63">
            <v>98378</v>
          </cell>
          <cell r="AY63">
            <v>21416126</v>
          </cell>
          <cell r="AZ63">
            <v>0</v>
          </cell>
          <cell r="BA63">
            <v>21416126</v>
          </cell>
          <cell r="BB63">
            <v>0</v>
          </cell>
          <cell r="BC63">
            <v>21416126</v>
          </cell>
          <cell r="BD63">
            <v>1319</v>
          </cell>
          <cell r="BE63">
            <v>3262403</v>
          </cell>
          <cell r="BF63">
            <v>0</v>
          </cell>
          <cell r="BH63">
            <v>24679848</v>
          </cell>
          <cell r="BI63">
            <v>693295</v>
          </cell>
          <cell r="BJ63">
            <v>23986553</v>
          </cell>
          <cell r="BK63">
            <v>0</v>
          </cell>
          <cell r="BL63">
            <v>23986553</v>
          </cell>
        </row>
        <row r="64">
          <cell r="B64" t="str">
            <v>EVAPCO</v>
          </cell>
          <cell r="C64">
            <v>0</v>
          </cell>
          <cell r="D64">
            <v>1900143</v>
          </cell>
          <cell r="E64">
            <v>9136</v>
          </cell>
          <cell r="F64" t="str">
            <v>ASC</v>
          </cell>
          <cell r="G64" t="str">
            <v>JUN</v>
          </cell>
          <cell r="H64" t="str">
            <v>Hauff</v>
          </cell>
          <cell r="I64" t="str">
            <v>Maier</v>
          </cell>
          <cell r="J64" t="str">
            <v>Deposit--2 Months</v>
          </cell>
          <cell r="K64" t="str">
            <v>BARBARA</v>
          </cell>
          <cell r="L64" t="str">
            <v>None</v>
          </cell>
          <cell r="M64">
            <v>670000</v>
          </cell>
          <cell r="N64">
            <v>69000</v>
          </cell>
          <cell r="O64" t="str">
            <v>NASCO-S</v>
          </cell>
          <cell r="P64" t="str">
            <v>NATIONAL</v>
          </cell>
          <cell r="Q64">
            <v>735</v>
          </cell>
          <cell r="R64">
            <v>0</v>
          </cell>
          <cell r="S64">
            <v>100000</v>
          </cell>
          <cell r="T64">
            <v>1.1499999999999999</v>
          </cell>
          <cell r="U64">
            <v>219644.61</v>
          </cell>
          <cell r="V64">
            <v>85023.72</v>
          </cell>
          <cell r="W64">
            <v>304668.33</v>
          </cell>
          <cell r="X64">
            <v>35426.550000000003</v>
          </cell>
          <cell r="Y64">
            <v>0</v>
          </cell>
          <cell r="Z64">
            <v>0</v>
          </cell>
          <cell r="AA64">
            <v>0</v>
          </cell>
          <cell r="AB64">
            <v>368436.12</v>
          </cell>
          <cell r="AC64">
            <v>708531</v>
          </cell>
          <cell r="AD64">
            <v>0</v>
          </cell>
          <cell r="AE64">
            <v>708531</v>
          </cell>
          <cell r="AF64">
            <v>0</v>
          </cell>
          <cell r="AG64">
            <v>0</v>
          </cell>
          <cell r="AH64">
            <v>0</v>
          </cell>
          <cell r="AI64">
            <v>3581641</v>
          </cell>
          <cell r="AJ64">
            <v>4290172</v>
          </cell>
          <cell r="AK64">
            <v>708531</v>
          </cell>
          <cell r="AL64">
            <v>4290172</v>
          </cell>
          <cell r="AM64">
            <v>0</v>
          </cell>
          <cell r="AN64">
            <v>0</v>
          </cell>
          <cell r="AO64">
            <v>0</v>
          </cell>
          <cell r="AP64">
            <v>0</v>
          </cell>
          <cell r="AQ64">
            <v>49044</v>
          </cell>
          <cell r="AR64">
            <v>0</v>
          </cell>
          <cell r="AS64">
            <v>49044</v>
          </cell>
          <cell r="AT64">
            <v>351540.06181072653</v>
          </cell>
          <cell r="AU64">
            <v>307946.93818927347</v>
          </cell>
          <cell r="AW64">
            <v>3630685</v>
          </cell>
          <cell r="AX64">
            <v>67452</v>
          </cell>
          <cell r="AY64">
            <v>3698137</v>
          </cell>
          <cell r="AZ64">
            <v>0</v>
          </cell>
          <cell r="BA64">
            <v>3698137</v>
          </cell>
          <cell r="BB64">
            <v>0</v>
          </cell>
          <cell r="BC64">
            <v>3698137</v>
          </cell>
          <cell r="BD64">
            <v>0</v>
          </cell>
          <cell r="BE64">
            <v>708531</v>
          </cell>
          <cell r="BF64">
            <v>0</v>
          </cell>
          <cell r="BH64">
            <v>4406668</v>
          </cell>
          <cell r="BI64">
            <v>49044</v>
          </cell>
          <cell r="BJ64">
            <v>4357624</v>
          </cell>
          <cell r="BK64">
            <v>0</v>
          </cell>
          <cell r="BL64">
            <v>4357624</v>
          </cell>
        </row>
        <row r="65">
          <cell r="B65" t="str">
            <v>FIELDSTONE MORTGAGE COMPANY</v>
          </cell>
          <cell r="C65">
            <v>0</v>
          </cell>
          <cell r="D65">
            <v>1900332</v>
          </cell>
          <cell r="E65">
            <v>62874</v>
          </cell>
          <cell r="F65">
            <v>0</v>
          </cell>
          <cell r="G65" t="str">
            <v>JUL</v>
          </cell>
          <cell r="H65" t="str">
            <v>Flowers</v>
          </cell>
          <cell r="I65" t="str">
            <v>Engel</v>
          </cell>
          <cell r="J65" t="str">
            <v>Weekly Wire</v>
          </cell>
          <cell r="K65" t="str">
            <v>DONNA</v>
          </cell>
          <cell r="L65" t="str">
            <v>Crawford, Slevin &amp; Hicks</v>
          </cell>
          <cell r="M65">
            <v>0</v>
          </cell>
          <cell r="N65">
            <v>21000</v>
          </cell>
          <cell r="O65" t="str">
            <v>NASCO</v>
          </cell>
          <cell r="P65" t="str">
            <v>NATIONAL</v>
          </cell>
          <cell r="Q65">
            <v>1075</v>
          </cell>
          <cell r="R65">
            <v>0</v>
          </cell>
          <cell r="S65">
            <v>100000</v>
          </cell>
          <cell r="T65">
            <v>1.25</v>
          </cell>
          <cell r="U65">
            <v>173370.55</v>
          </cell>
          <cell r="V65">
            <v>7537.85</v>
          </cell>
          <cell r="W65">
            <v>180908.4</v>
          </cell>
          <cell r="X65">
            <v>0</v>
          </cell>
          <cell r="Y65">
            <v>15075.7</v>
          </cell>
          <cell r="Z65">
            <v>0</v>
          </cell>
          <cell r="AA65">
            <v>211059.8</v>
          </cell>
          <cell r="AB65">
            <v>346741.1</v>
          </cell>
          <cell r="AC65">
            <v>753785</v>
          </cell>
          <cell r="AD65">
            <v>136</v>
          </cell>
          <cell r="AE65">
            <v>753921</v>
          </cell>
          <cell r="AF65">
            <v>0</v>
          </cell>
          <cell r="AG65">
            <v>0</v>
          </cell>
          <cell r="AH65">
            <v>0</v>
          </cell>
          <cell r="AI65">
            <v>2273045</v>
          </cell>
          <cell r="AJ65">
            <v>3026830</v>
          </cell>
          <cell r="AK65">
            <v>753785</v>
          </cell>
          <cell r="AL65">
            <v>2815770.2</v>
          </cell>
          <cell r="AM65">
            <v>0</v>
          </cell>
          <cell r="AN65">
            <v>0</v>
          </cell>
          <cell r="AO65">
            <v>0</v>
          </cell>
          <cell r="AP65">
            <v>0</v>
          </cell>
          <cell r="AQ65">
            <v>0</v>
          </cell>
          <cell r="AR65">
            <v>0</v>
          </cell>
          <cell r="AS65">
            <v>0</v>
          </cell>
          <cell r="AT65">
            <v>229494.30673885351</v>
          </cell>
          <cell r="AU65">
            <v>313366.89326114644</v>
          </cell>
          <cell r="AW65">
            <v>2273045</v>
          </cell>
          <cell r="AX65">
            <v>58803</v>
          </cell>
          <cell r="AY65">
            <v>2331848</v>
          </cell>
          <cell r="AZ65">
            <v>0</v>
          </cell>
          <cell r="BA65">
            <v>2331848</v>
          </cell>
          <cell r="BB65">
            <v>0</v>
          </cell>
          <cell r="BC65">
            <v>2331848</v>
          </cell>
          <cell r="BD65">
            <v>136</v>
          </cell>
          <cell r="BE65">
            <v>753785</v>
          </cell>
          <cell r="BF65">
            <v>0</v>
          </cell>
          <cell r="BH65">
            <v>3085769</v>
          </cell>
          <cell r="BI65">
            <v>0</v>
          </cell>
          <cell r="BJ65">
            <v>3085769</v>
          </cell>
          <cell r="BK65">
            <v>0</v>
          </cell>
          <cell r="BL65">
            <v>3085769</v>
          </cell>
        </row>
        <row r="66">
          <cell r="B66" t="str">
            <v>FREDERICK CO P S</v>
          </cell>
          <cell r="C66">
            <v>0</v>
          </cell>
          <cell r="D66" t="str">
            <v>n/a</v>
          </cell>
          <cell r="E66">
            <v>57887</v>
          </cell>
          <cell r="F66" t="str">
            <v>ASC</v>
          </cell>
          <cell r="G66" t="str">
            <v>JUL</v>
          </cell>
          <cell r="H66" t="str">
            <v>Michael</v>
          </cell>
          <cell r="I66" t="str">
            <v>Lopez</v>
          </cell>
          <cell r="J66" t="str">
            <v>Deposit--2 Months</v>
          </cell>
          <cell r="K66" t="str">
            <v>BARBARA</v>
          </cell>
          <cell r="L66" t="str">
            <v>None</v>
          </cell>
          <cell r="M66">
            <v>3200000</v>
          </cell>
          <cell r="N66">
            <v>600000</v>
          </cell>
          <cell r="O66" t="str">
            <v>CARE-S</v>
          </cell>
          <cell r="P66" t="str">
            <v>LOCAL</v>
          </cell>
          <cell r="Q66">
            <v>5690</v>
          </cell>
          <cell r="R66">
            <v>0</v>
          </cell>
          <cell r="S66">
            <v>250000</v>
          </cell>
          <cell r="T66">
            <v>0</v>
          </cell>
          <cell r="U66">
            <v>356789.57</v>
          </cell>
          <cell r="V66">
            <v>0</v>
          </cell>
          <cell r="W66">
            <v>356789.57</v>
          </cell>
          <cell r="X66">
            <v>279548.17</v>
          </cell>
          <cell r="Y66">
            <v>203307.76</v>
          </cell>
          <cell r="Z66">
            <v>0</v>
          </cell>
          <cell r="AA66">
            <v>0</v>
          </cell>
          <cell r="AB66">
            <v>1701701.5</v>
          </cell>
          <cell r="AC66">
            <v>2541347</v>
          </cell>
          <cell r="AD66">
            <v>1101</v>
          </cell>
          <cell r="AE66">
            <v>2542448</v>
          </cell>
          <cell r="AF66">
            <v>0</v>
          </cell>
          <cell r="AG66">
            <v>0</v>
          </cell>
          <cell r="AH66">
            <v>0</v>
          </cell>
          <cell r="AI66">
            <v>22767875</v>
          </cell>
          <cell r="AJ66">
            <v>25309222</v>
          </cell>
          <cell r="AK66">
            <v>2541347</v>
          </cell>
          <cell r="AL66">
            <v>25309222</v>
          </cell>
          <cell r="AM66">
            <v>0</v>
          </cell>
          <cell r="AN66">
            <v>0</v>
          </cell>
          <cell r="AO66">
            <v>0</v>
          </cell>
          <cell r="AP66">
            <v>0</v>
          </cell>
          <cell r="AQ66">
            <v>508489</v>
          </cell>
          <cell r="AR66">
            <v>0</v>
          </cell>
          <cell r="AS66">
            <v>508489</v>
          </cell>
          <cell r="AT66">
            <v>2265127.5251364573</v>
          </cell>
          <cell r="AU66">
            <v>-231168.52513645729</v>
          </cell>
          <cell r="AW66">
            <v>23276364</v>
          </cell>
          <cell r="AX66">
            <v>235542</v>
          </cell>
          <cell r="AY66">
            <v>23511906</v>
          </cell>
          <cell r="AZ66">
            <v>0</v>
          </cell>
          <cell r="BA66">
            <v>23511906</v>
          </cell>
          <cell r="BB66">
            <v>0</v>
          </cell>
          <cell r="BC66">
            <v>23511906</v>
          </cell>
          <cell r="BD66">
            <v>1101</v>
          </cell>
          <cell r="BE66">
            <v>2541347</v>
          </cell>
          <cell r="BF66">
            <v>0</v>
          </cell>
          <cell r="BH66">
            <v>26054354</v>
          </cell>
          <cell r="BI66">
            <v>508489</v>
          </cell>
          <cell r="BJ66">
            <v>25545865</v>
          </cell>
          <cell r="BK66">
            <v>0</v>
          </cell>
          <cell r="BL66">
            <v>25545865</v>
          </cell>
        </row>
        <row r="67">
          <cell r="B67" t="str">
            <v>FTI CONSULTING</v>
          </cell>
          <cell r="C67">
            <v>0</v>
          </cell>
          <cell r="D67">
            <v>1900445</v>
          </cell>
          <cell r="E67">
            <v>63835</v>
          </cell>
          <cell r="F67" t="str">
            <v>ASC</v>
          </cell>
          <cell r="G67" t="str">
            <v>JAN</v>
          </cell>
          <cell r="H67" t="str">
            <v>Michael</v>
          </cell>
          <cell r="I67" t="str">
            <v>Patton</v>
          </cell>
          <cell r="J67" t="str">
            <v>Direct Debit--Weekly</v>
          </cell>
          <cell r="K67" t="str">
            <v>NETTIE</v>
          </cell>
          <cell r="L67" t="str">
            <v>RCM&amp;D</v>
          </cell>
          <cell r="M67">
            <v>0</v>
          </cell>
          <cell r="N67">
            <v>19000</v>
          </cell>
          <cell r="O67" t="str">
            <v>NASCO</v>
          </cell>
          <cell r="P67" t="str">
            <v>NATIONAL</v>
          </cell>
          <cell r="Q67">
            <v>981</v>
          </cell>
          <cell r="R67">
            <v>0</v>
          </cell>
          <cell r="S67">
            <v>75000</v>
          </cell>
          <cell r="T67">
            <v>1.25</v>
          </cell>
          <cell r="U67">
            <v>476749.52</v>
          </cell>
          <cell r="V67">
            <v>51820.6</v>
          </cell>
          <cell r="W67">
            <v>528570.12</v>
          </cell>
          <cell r="X67">
            <v>0</v>
          </cell>
          <cell r="Y67">
            <v>0</v>
          </cell>
          <cell r="Z67">
            <v>0</v>
          </cell>
          <cell r="AA67">
            <v>51820.6</v>
          </cell>
          <cell r="AB67">
            <v>456021.28</v>
          </cell>
          <cell r="AC67">
            <v>1036412</v>
          </cell>
          <cell r="AD67">
            <v>0</v>
          </cell>
          <cell r="AE67">
            <v>1036412</v>
          </cell>
          <cell r="AF67">
            <v>0</v>
          </cell>
          <cell r="AG67">
            <v>0</v>
          </cell>
          <cell r="AH67">
            <v>0</v>
          </cell>
          <cell r="AI67">
            <v>4782781</v>
          </cell>
          <cell r="AJ67">
            <v>5819193</v>
          </cell>
          <cell r="AK67">
            <v>1036412</v>
          </cell>
          <cell r="AL67">
            <v>5767372.4000000004</v>
          </cell>
          <cell r="AM67">
            <v>0</v>
          </cell>
          <cell r="AN67">
            <v>0</v>
          </cell>
          <cell r="AO67">
            <v>0</v>
          </cell>
          <cell r="AP67">
            <v>0</v>
          </cell>
          <cell r="AQ67">
            <v>682295</v>
          </cell>
          <cell r="AR67">
            <v>0</v>
          </cell>
          <cell r="AS67">
            <v>682295</v>
          </cell>
          <cell r="AT67">
            <v>525152.22258923412</v>
          </cell>
          <cell r="AU67">
            <v>-222855.8225892341</v>
          </cell>
          <cell r="AW67">
            <v>5465076</v>
          </cell>
          <cell r="AX67">
            <v>83310</v>
          </cell>
          <cell r="AY67">
            <v>5548386</v>
          </cell>
          <cell r="AZ67">
            <v>0</v>
          </cell>
          <cell r="BA67">
            <v>5548386</v>
          </cell>
          <cell r="BB67">
            <v>0</v>
          </cell>
          <cell r="BC67">
            <v>5548386</v>
          </cell>
          <cell r="BD67">
            <v>0</v>
          </cell>
          <cell r="BE67">
            <v>1036412</v>
          </cell>
          <cell r="BF67">
            <v>0</v>
          </cell>
          <cell r="BH67">
            <v>6584798</v>
          </cell>
          <cell r="BI67">
            <v>682295</v>
          </cell>
          <cell r="BJ67">
            <v>5902503</v>
          </cell>
          <cell r="BK67">
            <v>0</v>
          </cell>
          <cell r="BL67">
            <v>5902503</v>
          </cell>
        </row>
        <row r="68">
          <cell r="B68" t="str">
            <v>GAMES WORKSHOP</v>
          </cell>
          <cell r="C68">
            <v>0</v>
          </cell>
          <cell r="D68">
            <v>1900552</v>
          </cell>
          <cell r="E68">
            <v>65730</v>
          </cell>
          <cell r="F68" t="str">
            <v>ASC</v>
          </cell>
          <cell r="G68" t="str">
            <v>JAN</v>
          </cell>
          <cell r="H68" t="str">
            <v>Parker Mann</v>
          </cell>
          <cell r="I68" t="str">
            <v>Grabarek</v>
          </cell>
          <cell r="J68" t="str">
            <v>Direct Debit--Weekly</v>
          </cell>
          <cell r="K68" t="str">
            <v>LISA</v>
          </cell>
          <cell r="L68" t="str">
            <v>None</v>
          </cell>
          <cell r="M68">
            <v>0</v>
          </cell>
          <cell r="N68">
            <v>0</v>
          </cell>
          <cell r="O68" t="str">
            <v>NASCO</v>
          </cell>
          <cell r="P68" t="str">
            <v>NATIONAL</v>
          </cell>
          <cell r="Q68">
            <v>300</v>
          </cell>
          <cell r="R68">
            <v>0</v>
          </cell>
          <cell r="S68">
            <v>0</v>
          </cell>
          <cell r="T68">
            <v>0</v>
          </cell>
          <cell r="U68">
            <v>0</v>
          </cell>
          <cell r="V68">
            <v>0</v>
          </cell>
          <cell r="W68">
            <v>0</v>
          </cell>
          <cell r="X68">
            <v>0</v>
          </cell>
          <cell r="Y68">
            <v>0</v>
          </cell>
          <cell r="Z68">
            <v>0</v>
          </cell>
          <cell r="AA68">
            <v>0</v>
          </cell>
          <cell r="AB68">
            <v>232967</v>
          </cell>
          <cell r="AC68">
            <v>232967</v>
          </cell>
          <cell r="AD68">
            <v>0</v>
          </cell>
          <cell r="AE68">
            <v>232967</v>
          </cell>
          <cell r="AF68">
            <v>0</v>
          </cell>
          <cell r="AG68">
            <v>0</v>
          </cell>
          <cell r="AH68">
            <v>0</v>
          </cell>
          <cell r="AI68">
            <v>792014</v>
          </cell>
          <cell r="AJ68">
            <v>1024981</v>
          </cell>
          <cell r="AK68">
            <v>232967</v>
          </cell>
          <cell r="AL68">
            <v>1024981</v>
          </cell>
          <cell r="AM68">
            <v>0</v>
          </cell>
          <cell r="AN68">
            <v>0</v>
          </cell>
          <cell r="AO68">
            <v>0</v>
          </cell>
          <cell r="AP68">
            <v>0</v>
          </cell>
          <cell r="AQ68">
            <v>0</v>
          </cell>
          <cell r="AR68">
            <v>0</v>
          </cell>
          <cell r="AS68">
            <v>0</v>
          </cell>
          <cell r="AT68">
            <v>77217.777231051077</v>
          </cell>
          <cell r="AU68">
            <v>155749.22276894894</v>
          </cell>
          <cell r="AW68">
            <v>792014</v>
          </cell>
          <cell r="AX68">
            <v>38291</v>
          </cell>
          <cell r="AY68">
            <v>830305</v>
          </cell>
          <cell r="AZ68">
            <v>0</v>
          </cell>
          <cell r="BA68">
            <v>830305</v>
          </cell>
          <cell r="BB68">
            <v>0</v>
          </cell>
          <cell r="BC68">
            <v>830305</v>
          </cell>
          <cell r="BD68">
            <v>0</v>
          </cell>
          <cell r="BE68">
            <v>232967</v>
          </cell>
          <cell r="BF68">
            <v>0</v>
          </cell>
          <cell r="BH68">
            <v>1063272</v>
          </cell>
          <cell r="BI68">
            <v>0</v>
          </cell>
          <cell r="BJ68">
            <v>1063272</v>
          </cell>
          <cell r="BK68">
            <v>0</v>
          </cell>
          <cell r="BL68">
            <v>1063272</v>
          </cell>
        </row>
        <row r="69">
          <cell r="B69" t="str">
            <v>GBMC</v>
          </cell>
          <cell r="C69">
            <v>0</v>
          </cell>
          <cell r="D69">
            <v>1900330</v>
          </cell>
          <cell r="E69">
            <v>61838</v>
          </cell>
          <cell r="F69" t="str">
            <v>ASC</v>
          </cell>
          <cell r="G69" t="str">
            <v>JAN</v>
          </cell>
          <cell r="H69" t="str">
            <v>Lentz</v>
          </cell>
          <cell r="I69" t="str">
            <v>Drumgoole</v>
          </cell>
          <cell r="J69" t="str">
            <v>Weekly Wire</v>
          </cell>
          <cell r="K69" t="str">
            <v>LISA</v>
          </cell>
          <cell r="L69" t="str">
            <v>model</v>
          </cell>
          <cell r="M69">
            <v>0</v>
          </cell>
          <cell r="N69">
            <v>263122</v>
          </cell>
          <cell r="O69" t="str">
            <v>NASCO</v>
          </cell>
          <cell r="P69" t="str">
            <v>LOCAL</v>
          </cell>
          <cell r="Q69">
            <v>1810</v>
          </cell>
          <cell r="R69">
            <v>0</v>
          </cell>
          <cell r="S69">
            <v>150000</v>
          </cell>
          <cell r="T69">
            <v>0</v>
          </cell>
          <cell r="U69">
            <v>462313.85</v>
          </cell>
          <cell r="V69">
            <v>0</v>
          </cell>
          <cell r="W69">
            <v>462313.85</v>
          </cell>
          <cell r="X69">
            <v>0</v>
          </cell>
          <cell r="Y69">
            <v>29826.7</v>
          </cell>
          <cell r="Z69">
            <v>0</v>
          </cell>
          <cell r="AA69">
            <v>223700.25</v>
          </cell>
          <cell r="AB69">
            <v>775494.2</v>
          </cell>
          <cell r="AC69">
            <v>1491335</v>
          </cell>
          <cell r="AD69">
            <v>-94</v>
          </cell>
          <cell r="AE69">
            <v>1491241</v>
          </cell>
          <cell r="AF69">
            <v>0</v>
          </cell>
          <cell r="AG69">
            <v>0</v>
          </cell>
          <cell r="AH69">
            <v>-704</v>
          </cell>
          <cell r="AI69">
            <v>8996446</v>
          </cell>
          <cell r="AJ69">
            <v>10487781</v>
          </cell>
          <cell r="AK69">
            <v>1491335</v>
          </cell>
          <cell r="AL69">
            <v>10264080.75</v>
          </cell>
          <cell r="AM69">
            <v>0</v>
          </cell>
          <cell r="AN69">
            <v>0</v>
          </cell>
          <cell r="AO69">
            <v>0</v>
          </cell>
          <cell r="AP69">
            <v>0</v>
          </cell>
          <cell r="AQ69">
            <v>272449</v>
          </cell>
          <cell r="AR69">
            <v>0</v>
          </cell>
          <cell r="AS69">
            <v>272449</v>
          </cell>
          <cell r="AT69">
            <v>896745.3681434918</v>
          </cell>
          <cell r="AU69">
            <v>97642.381856508204</v>
          </cell>
          <cell r="AW69">
            <v>9268895</v>
          </cell>
          <cell r="AX69">
            <v>13523</v>
          </cell>
          <cell r="AY69">
            <v>9282418</v>
          </cell>
          <cell r="AZ69">
            <v>0</v>
          </cell>
          <cell r="BA69">
            <v>9282418</v>
          </cell>
          <cell r="BB69">
            <v>0</v>
          </cell>
          <cell r="BC69">
            <v>9282418</v>
          </cell>
          <cell r="BD69">
            <v>-94</v>
          </cell>
          <cell r="BE69">
            <v>1491335</v>
          </cell>
          <cell r="BF69">
            <v>-704</v>
          </cell>
          <cell r="BH69">
            <v>10772955</v>
          </cell>
          <cell r="BI69">
            <v>272449</v>
          </cell>
          <cell r="BJ69">
            <v>10500506</v>
          </cell>
          <cell r="BK69">
            <v>0</v>
          </cell>
          <cell r="BL69">
            <v>10500506</v>
          </cell>
        </row>
        <row r="70">
          <cell r="B70" t="str">
            <v>GENE LOGIC</v>
          </cell>
          <cell r="C70">
            <v>0</v>
          </cell>
          <cell r="D70">
            <v>1900475</v>
          </cell>
          <cell r="E70">
            <v>65160</v>
          </cell>
          <cell r="F70" t="str">
            <v>ASC</v>
          </cell>
          <cell r="G70" t="str">
            <v>SEP-DEC 05</v>
          </cell>
          <cell r="H70" t="str">
            <v>Michael</v>
          </cell>
          <cell r="I70" t="str">
            <v>Engel</v>
          </cell>
          <cell r="J70" t="str">
            <v>Direct Debit--Weekly</v>
          </cell>
          <cell r="K70" t="str">
            <v>NETTIE</v>
          </cell>
          <cell r="L70" t="str">
            <v>Wachovia</v>
          </cell>
          <cell r="M70">
            <v>0</v>
          </cell>
          <cell r="N70">
            <v>66000</v>
          </cell>
          <cell r="O70" t="str">
            <v>NASCO</v>
          </cell>
          <cell r="P70" t="str">
            <v>NATIONAL</v>
          </cell>
          <cell r="Q70">
            <v>368</v>
          </cell>
          <cell r="R70">
            <v>0</v>
          </cell>
          <cell r="S70">
            <v>0</v>
          </cell>
          <cell r="T70">
            <v>0</v>
          </cell>
          <cell r="U70">
            <v>0</v>
          </cell>
          <cell r="V70">
            <v>0</v>
          </cell>
          <cell r="W70">
            <v>0</v>
          </cell>
          <cell r="X70">
            <v>0</v>
          </cell>
          <cell r="Y70">
            <v>10810.3</v>
          </cell>
          <cell r="Z70">
            <v>0</v>
          </cell>
          <cell r="AA70">
            <v>33862.800000000003</v>
          </cell>
          <cell r="AB70">
            <v>171532.9</v>
          </cell>
          <cell r="AC70">
            <v>216206</v>
          </cell>
          <cell r="AD70">
            <v>0</v>
          </cell>
          <cell r="AE70">
            <v>216206</v>
          </cell>
          <cell r="AF70">
            <v>0</v>
          </cell>
          <cell r="AG70">
            <v>0</v>
          </cell>
          <cell r="AH70">
            <v>0</v>
          </cell>
          <cell r="AI70">
            <v>1185129</v>
          </cell>
          <cell r="AJ70">
            <v>1401335</v>
          </cell>
          <cell r="AK70">
            <v>216206</v>
          </cell>
          <cell r="AL70">
            <v>1367472.2</v>
          </cell>
          <cell r="AM70">
            <v>0</v>
          </cell>
          <cell r="AN70">
            <v>0</v>
          </cell>
          <cell r="AO70">
            <v>0</v>
          </cell>
          <cell r="AP70">
            <v>0</v>
          </cell>
          <cell r="AQ70">
            <v>0</v>
          </cell>
          <cell r="AR70">
            <v>0</v>
          </cell>
          <cell r="AS70">
            <v>0</v>
          </cell>
          <cell r="AT70">
            <v>113330.95452641549</v>
          </cell>
          <cell r="AU70">
            <v>69012.245473584524</v>
          </cell>
          <cell r="AW70">
            <v>1185129</v>
          </cell>
          <cell r="AX70">
            <v>13563</v>
          </cell>
          <cell r="AY70">
            <v>1198692</v>
          </cell>
          <cell r="AZ70">
            <v>0</v>
          </cell>
          <cell r="BA70">
            <v>1198692</v>
          </cell>
          <cell r="BB70">
            <v>0</v>
          </cell>
          <cell r="BC70">
            <v>1198692</v>
          </cell>
          <cell r="BD70">
            <v>0</v>
          </cell>
          <cell r="BE70">
            <v>216206</v>
          </cell>
          <cell r="BF70">
            <v>0</v>
          </cell>
          <cell r="BH70">
            <v>1414898</v>
          </cell>
          <cell r="BI70">
            <v>0</v>
          </cell>
          <cell r="BJ70">
            <v>1414898</v>
          </cell>
          <cell r="BK70">
            <v>0</v>
          </cell>
          <cell r="BL70">
            <v>1414898</v>
          </cell>
        </row>
        <row r="71">
          <cell r="B71" t="str">
            <v>GRAULS MARKET</v>
          </cell>
          <cell r="C71">
            <v>0</v>
          </cell>
          <cell r="D71" t="str">
            <v>n/a</v>
          </cell>
          <cell r="E71">
            <v>28563</v>
          </cell>
          <cell r="F71">
            <v>0</v>
          </cell>
          <cell r="G71" t="str">
            <v>termed 7/03</v>
          </cell>
          <cell r="H71" t="str">
            <v>Flowers</v>
          </cell>
          <cell r="I71" t="str">
            <v>Engel</v>
          </cell>
          <cell r="J71" t="str">
            <v>Direct Debit--Weekly</v>
          </cell>
          <cell r="K71" t="str">
            <v>LISA</v>
          </cell>
          <cell r="L71" t="str">
            <v>Kelly &amp; Associates</v>
          </cell>
          <cell r="M71">
            <v>0</v>
          </cell>
          <cell r="N71">
            <v>22300</v>
          </cell>
          <cell r="O71" t="str">
            <v>CARE</v>
          </cell>
          <cell r="P71" t="str">
            <v>LOCAL</v>
          </cell>
          <cell r="Q71" t="str">
            <v>termed</v>
          </cell>
          <cell r="R71">
            <v>0</v>
          </cell>
          <cell r="S71">
            <v>0</v>
          </cell>
          <cell r="T71">
            <v>0</v>
          </cell>
          <cell r="U71">
            <v>0</v>
          </cell>
          <cell r="V71">
            <v>0</v>
          </cell>
          <cell r="W71">
            <v>0</v>
          </cell>
          <cell r="X71">
            <v>0</v>
          </cell>
          <cell r="Y71">
            <v>0</v>
          </cell>
          <cell r="Z71">
            <v>0</v>
          </cell>
          <cell r="AA71">
            <v>0</v>
          </cell>
          <cell r="AB71">
            <v>348</v>
          </cell>
          <cell r="AC71">
            <v>348</v>
          </cell>
          <cell r="AD71">
            <v>53</v>
          </cell>
          <cell r="AE71">
            <v>401</v>
          </cell>
          <cell r="AF71">
            <v>0</v>
          </cell>
          <cell r="AG71">
            <v>0</v>
          </cell>
          <cell r="AH71">
            <v>0</v>
          </cell>
          <cell r="AI71">
            <v>-1215</v>
          </cell>
          <cell r="AJ71">
            <v>-867</v>
          </cell>
          <cell r="AK71">
            <v>348</v>
          </cell>
          <cell r="AL71">
            <v>-867</v>
          </cell>
          <cell r="AM71">
            <v>0</v>
          </cell>
          <cell r="AN71">
            <v>0</v>
          </cell>
          <cell r="AO71">
            <v>0</v>
          </cell>
          <cell r="AP71">
            <v>0</v>
          </cell>
          <cell r="AQ71">
            <v>0</v>
          </cell>
          <cell r="AR71">
            <v>0</v>
          </cell>
          <cell r="AS71">
            <v>0</v>
          </cell>
          <cell r="AT71">
            <v>-126.28550739296566</v>
          </cell>
          <cell r="AU71">
            <v>527.28550739296566</v>
          </cell>
          <cell r="AW71">
            <v>-1215</v>
          </cell>
          <cell r="AX71">
            <v>1</v>
          </cell>
          <cell r="AY71">
            <v>-1214</v>
          </cell>
          <cell r="AZ71">
            <v>0</v>
          </cell>
          <cell r="BA71">
            <v>-1214</v>
          </cell>
          <cell r="BB71">
            <v>0</v>
          </cell>
          <cell r="BC71">
            <v>-1214</v>
          </cell>
          <cell r="BD71">
            <v>53</v>
          </cell>
          <cell r="BE71">
            <v>348</v>
          </cell>
          <cell r="BF71">
            <v>0</v>
          </cell>
          <cell r="BH71">
            <v>-813</v>
          </cell>
          <cell r="BI71">
            <v>0</v>
          </cell>
          <cell r="BJ71">
            <v>-813</v>
          </cell>
          <cell r="BK71">
            <v>0</v>
          </cell>
          <cell r="BL71">
            <v>-813</v>
          </cell>
        </row>
        <row r="72">
          <cell r="B72" t="str">
            <v>GTS DURATEK</v>
          </cell>
          <cell r="C72">
            <v>0</v>
          </cell>
          <cell r="D72">
            <v>1900120</v>
          </cell>
          <cell r="E72">
            <v>59327</v>
          </cell>
          <cell r="F72" t="str">
            <v>ASC</v>
          </cell>
          <cell r="G72" t="str">
            <v>JAN</v>
          </cell>
          <cell r="H72" t="str">
            <v>Richardson</v>
          </cell>
          <cell r="I72" t="str">
            <v>Patton</v>
          </cell>
          <cell r="J72" t="str">
            <v>Direct Debit--Weekly</v>
          </cell>
          <cell r="K72" t="str">
            <v>LISA</v>
          </cell>
          <cell r="L72" t="str">
            <v>Aon</v>
          </cell>
          <cell r="M72">
            <v>0</v>
          </cell>
          <cell r="N72">
            <v>17065</v>
          </cell>
          <cell r="O72" t="str">
            <v>NASCO</v>
          </cell>
          <cell r="P72" t="str">
            <v>NATIONAL</v>
          </cell>
          <cell r="Q72">
            <v>936</v>
          </cell>
          <cell r="R72">
            <v>0</v>
          </cell>
          <cell r="S72">
            <v>150000</v>
          </cell>
          <cell r="T72">
            <v>1.25</v>
          </cell>
          <cell r="U72">
            <v>303207.58</v>
          </cell>
          <cell r="V72">
            <v>17835.740000000002</v>
          </cell>
          <cell r="W72">
            <v>321043.32</v>
          </cell>
          <cell r="X72">
            <v>71342.960000000006</v>
          </cell>
          <cell r="Y72">
            <v>0</v>
          </cell>
          <cell r="Z72">
            <v>0</v>
          </cell>
          <cell r="AA72">
            <v>0</v>
          </cell>
          <cell r="AB72">
            <v>499400.72</v>
          </cell>
          <cell r="AC72">
            <v>891787</v>
          </cell>
          <cell r="AD72">
            <v>-28</v>
          </cell>
          <cell r="AE72">
            <v>891759</v>
          </cell>
          <cell r="AF72">
            <v>0</v>
          </cell>
          <cell r="AG72">
            <v>0</v>
          </cell>
          <cell r="AH72">
            <v>0</v>
          </cell>
          <cell r="AI72">
            <v>5315655</v>
          </cell>
          <cell r="AJ72">
            <v>6207442</v>
          </cell>
          <cell r="AK72">
            <v>891787</v>
          </cell>
          <cell r="AL72">
            <v>6207442</v>
          </cell>
          <cell r="AM72">
            <v>0</v>
          </cell>
          <cell r="AN72">
            <v>0</v>
          </cell>
          <cell r="AO72">
            <v>0</v>
          </cell>
          <cell r="AP72">
            <v>0</v>
          </cell>
          <cell r="AQ72">
            <v>0</v>
          </cell>
          <cell r="AR72">
            <v>0</v>
          </cell>
          <cell r="AS72">
            <v>0</v>
          </cell>
          <cell r="AT72">
            <v>519309.83170887316</v>
          </cell>
          <cell r="AU72">
            <v>372449.16829112684</v>
          </cell>
          <cell r="AW72">
            <v>5315655</v>
          </cell>
          <cell r="AX72">
            <v>66550</v>
          </cell>
          <cell r="AY72">
            <v>5382205</v>
          </cell>
          <cell r="AZ72">
            <v>0</v>
          </cell>
          <cell r="BA72">
            <v>5382205</v>
          </cell>
          <cell r="BB72">
            <v>0</v>
          </cell>
          <cell r="BC72">
            <v>5382205</v>
          </cell>
          <cell r="BD72">
            <v>-28</v>
          </cell>
          <cell r="BE72">
            <v>891787</v>
          </cell>
          <cell r="BF72">
            <v>0</v>
          </cell>
          <cell r="BH72">
            <v>6273964</v>
          </cell>
          <cell r="BI72">
            <v>0</v>
          </cell>
          <cell r="BJ72">
            <v>6273964</v>
          </cell>
          <cell r="BK72">
            <v>0</v>
          </cell>
          <cell r="BL72">
            <v>6273964</v>
          </cell>
        </row>
        <row r="73">
          <cell r="B73" t="str">
            <v>H&amp;S BAKERY</v>
          </cell>
          <cell r="C73">
            <v>0</v>
          </cell>
          <cell r="D73">
            <v>1900204</v>
          </cell>
          <cell r="E73">
            <v>10058</v>
          </cell>
          <cell r="F73" t="str">
            <v>ASC</v>
          </cell>
          <cell r="G73" t="str">
            <v>JAN</v>
          </cell>
          <cell r="H73" t="str">
            <v>Richardson</v>
          </cell>
          <cell r="I73" t="str">
            <v>Drusano</v>
          </cell>
          <cell r="J73" t="str">
            <v>Deposit--2 Month</v>
          </cell>
          <cell r="K73" t="str">
            <v>LISA</v>
          </cell>
          <cell r="L73" t="str">
            <v>None</v>
          </cell>
          <cell r="M73">
            <v>1108919</v>
          </cell>
          <cell r="N73">
            <v>93736</v>
          </cell>
          <cell r="O73" t="str">
            <v>NASCO-S</v>
          </cell>
          <cell r="P73" t="str">
            <v>NATIONAL</v>
          </cell>
          <cell r="Q73">
            <v>1700</v>
          </cell>
          <cell r="R73">
            <v>0</v>
          </cell>
          <cell r="S73">
            <v>125000</v>
          </cell>
          <cell r="T73">
            <v>1.25</v>
          </cell>
          <cell r="U73">
            <v>718437.72</v>
          </cell>
          <cell r="V73">
            <v>17105.66</v>
          </cell>
          <cell r="W73">
            <v>735543.38</v>
          </cell>
          <cell r="X73">
            <v>119739.62</v>
          </cell>
          <cell r="Y73">
            <v>0</v>
          </cell>
          <cell r="Z73">
            <v>0</v>
          </cell>
          <cell r="AA73">
            <v>0</v>
          </cell>
          <cell r="AB73">
            <v>855283</v>
          </cell>
          <cell r="AC73">
            <v>1710566</v>
          </cell>
          <cell r="AD73">
            <v>30</v>
          </cell>
          <cell r="AE73">
            <v>1710596</v>
          </cell>
          <cell r="AF73">
            <v>0</v>
          </cell>
          <cell r="AG73">
            <v>0</v>
          </cell>
          <cell r="AH73">
            <v>0</v>
          </cell>
          <cell r="AI73">
            <v>10933625</v>
          </cell>
          <cell r="AJ73">
            <v>12644191</v>
          </cell>
          <cell r="AK73">
            <v>1710566</v>
          </cell>
          <cell r="AL73">
            <v>12644191</v>
          </cell>
          <cell r="AM73">
            <v>0</v>
          </cell>
          <cell r="AN73">
            <v>0</v>
          </cell>
          <cell r="AO73">
            <v>0</v>
          </cell>
          <cell r="AP73">
            <v>0</v>
          </cell>
          <cell r="AQ73">
            <v>808581</v>
          </cell>
          <cell r="AR73">
            <v>0</v>
          </cell>
          <cell r="AS73">
            <v>808581</v>
          </cell>
          <cell r="AT73">
            <v>1141863.0531719669</v>
          </cell>
          <cell r="AU73">
            <v>-239848.05317196692</v>
          </cell>
          <cell r="AW73">
            <v>11742206</v>
          </cell>
          <cell r="AX73">
            <v>327350</v>
          </cell>
          <cell r="AY73">
            <v>12069556</v>
          </cell>
          <cell r="AZ73">
            <v>1691192</v>
          </cell>
          <cell r="BA73">
            <v>13760748</v>
          </cell>
          <cell r="BB73">
            <v>0</v>
          </cell>
          <cell r="BC73">
            <v>13760748</v>
          </cell>
          <cell r="BD73">
            <v>30</v>
          </cell>
          <cell r="BE73">
            <v>1710566</v>
          </cell>
          <cell r="BF73">
            <v>0</v>
          </cell>
          <cell r="BH73">
            <v>15471344</v>
          </cell>
          <cell r="BI73">
            <v>808581</v>
          </cell>
          <cell r="BJ73">
            <v>14662763</v>
          </cell>
          <cell r="BK73">
            <v>0</v>
          </cell>
          <cell r="BL73">
            <v>14662763</v>
          </cell>
        </row>
        <row r="74">
          <cell r="B74" t="str">
            <v>HANLEY WOOD</v>
          </cell>
          <cell r="C74">
            <v>0</v>
          </cell>
          <cell r="D74">
            <v>1900321</v>
          </cell>
          <cell r="E74">
            <v>61846</v>
          </cell>
          <cell r="F74" t="str">
            <v>ASC-Adjustable Retro</v>
          </cell>
          <cell r="G74" t="str">
            <v>JAN</v>
          </cell>
          <cell r="H74" t="str">
            <v>McManus</v>
          </cell>
          <cell r="I74" t="str">
            <v>Drusano</v>
          </cell>
          <cell r="J74" t="str">
            <v>Direct Debit--Weekly</v>
          </cell>
          <cell r="K74" t="str">
            <v>LISA</v>
          </cell>
          <cell r="L74" t="str">
            <v>Huber, Oros &amp; Co.</v>
          </cell>
          <cell r="M74">
            <v>0</v>
          </cell>
          <cell r="N74">
            <v>6463</v>
          </cell>
          <cell r="O74" t="str">
            <v>NASCO</v>
          </cell>
          <cell r="P74" t="str">
            <v>NATIONAL</v>
          </cell>
          <cell r="Q74">
            <v>494</v>
          </cell>
          <cell r="R74">
            <v>0</v>
          </cell>
          <cell r="S74">
            <v>75000</v>
          </cell>
          <cell r="T74">
            <v>1.25</v>
          </cell>
          <cell r="U74">
            <v>233427.16</v>
          </cell>
          <cell r="V74">
            <v>61428.2</v>
          </cell>
          <cell r="W74">
            <v>294855.36</v>
          </cell>
          <cell r="X74">
            <v>0</v>
          </cell>
          <cell r="Y74">
            <v>0</v>
          </cell>
          <cell r="Z74">
            <v>0</v>
          </cell>
          <cell r="AA74">
            <v>73713.84</v>
          </cell>
          <cell r="AB74">
            <v>245712.8</v>
          </cell>
          <cell r="AC74">
            <v>614282</v>
          </cell>
          <cell r="AD74">
            <v>0</v>
          </cell>
          <cell r="AE74">
            <v>614282</v>
          </cell>
          <cell r="AF74">
            <v>0</v>
          </cell>
          <cell r="AG74">
            <v>0</v>
          </cell>
          <cell r="AH74">
            <v>0</v>
          </cell>
          <cell r="AI74">
            <v>1693758</v>
          </cell>
          <cell r="AJ74">
            <v>2308040</v>
          </cell>
          <cell r="AK74">
            <v>614282</v>
          </cell>
          <cell r="AL74">
            <v>2234326.16</v>
          </cell>
          <cell r="AM74">
            <v>0</v>
          </cell>
          <cell r="AN74">
            <v>0</v>
          </cell>
          <cell r="AO74">
            <v>0</v>
          </cell>
          <cell r="AP74">
            <v>0</v>
          </cell>
          <cell r="AQ74">
            <v>482288</v>
          </cell>
          <cell r="AR74">
            <v>0</v>
          </cell>
          <cell r="AS74">
            <v>482288</v>
          </cell>
          <cell r="AT74">
            <v>208435.92539270213</v>
          </cell>
          <cell r="AU74">
            <v>-150155.7653927021</v>
          </cell>
          <cell r="AW74">
            <v>2176046</v>
          </cell>
          <cell r="AX74">
            <v>135738</v>
          </cell>
          <cell r="AY74">
            <v>2311784</v>
          </cell>
          <cell r="AZ74">
            <v>0</v>
          </cell>
          <cell r="BA74">
            <v>2311784</v>
          </cell>
          <cell r="BB74">
            <v>0</v>
          </cell>
          <cell r="BC74">
            <v>2311784</v>
          </cell>
          <cell r="BD74">
            <v>0</v>
          </cell>
          <cell r="BE74">
            <v>614282</v>
          </cell>
          <cell r="BF74">
            <v>0</v>
          </cell>
          <cell r="BH74">
            <v>2926066</v>
          </cell>
          <cell r="BI74">
            <v>482288</v>
          </cell>
          <cell r="BJ74">
            <v>2443778</v>
          </cell>
          <cell r="BK74">
            <v>0</v>
          </cell>
          <cell r="BL74">
            <v>2443778</v>
          </cell>
        </row>
        <row r="75">
          <cell r="B75" t="str">
            <v>HARFORD CO BD &amp; GOVT RETRO</v>
          </cell>
          <cell r="C75">
            <v>0</v>
          </cell>
          <cell r="D75" t="str">
            <v>n/a</v>
          </cell>
          <cell r="E75">
            <v>10383</v>
          </cell>
          <cell r="F75" t="str">
            <v>Modified Retro</v>
          </cell>
          <cell r="G75" t="str">
            <v>JUL</v>
          </cell>
          <cell r="H75" t="str">
            <v>Parker Mann</v>
          </cell>
          <cell r="I75" t="str">
            <v>Drusano</v>
          </cell>
          <cell r="J75" t="str">
            <v>Retrospective</v>
          </cell>
          <cell r="K75" t="str">
            <v>BARBARA</v>
          </cell>
          <cell r="L75" t="str">
            <v>None</v>
          </cell>
          <cell r="M75">
            <v>0</v>
          </cell>
          <cell r="N75">
            <v>0</v>
          </cell>
          <cell r="O75" t="str">
            <v>CARE</v>
          </cell>
          <cell r="P75" t="str">
            <v>LOCAL</v>
          </cell>
          <cell r="Q75">
            <v>7336</v>
          </cell>
          <cell r="R75">
            <v>0</v>
          </cell>
          <cell r="S75">
            <v>250000</v>
          </cell>
          <cell r="T75">
            <v>1.5</v>
          </cell>
          <cell r="U75">
            <v>890947.18</v>
          </cell>
          <cell r="V75">
            <v>469671.3</v>
          </cell>
          <cell r="W75">
            <v>1360618.48</v>
          </cell>
          <cell r="X75">
            <v>0</v>
          </cell>
          <cell r="Y75">
            <v>104371.4</v>
          </cell>
          <cell r="Z75">
            <v>0</v>
          </cell>
          <cell r="AA75">
            <v>0</v>
          </cell>
          <cell r="AB75">
            <v>3753580.12</v>
          </cell>
          <cell r="AC75">
            <v>5218570</v>
          </cell>
          <cell r="AD75">
            <v>11518</v>
          </cell>
          <cell r="AE75">
            <v>5230088</v>
          </cell>
          <cell r="AF75">
            <v>0</v>
          </cell>
          <cell r="AG75">
            <v>0</v>
          </cell>
          <cell r="AH75">
            <v>0</v>
          </cell>
          <cell r="AI75">
            <v>47238250</v>
          </cell>
          <cell r="AJ75">
            <v>52456820</v>
          </cell>
          <cell r="AK75">
            <v>5218570</v>
          </cell>
          <cell r="AL75">
            <v>52456820</v>
          </cell>
          <cell r="AM75">
            <v>0</v>
          </cell>
          <cell r="AN75">
            <v>0</v>
          </cell>
          <cell r="AO75">
            <v>0</v>
          </cell>
          <cell r="AP75">
            <v>0</v>
          </cell>
          <cell r="AQ75">
            <v>0</v>
          </cell>
          <cell r="AR75">
            <v>0</v>
          </cell>
          <cell r="AS75">
            <v>0</v>
          </cell>
          <cell r="AT75">
            <v>4596138.066015481</v>
          </cell>
          <cell r="AU75">
            <v>633949.93398451898</v>
          </cell>
          <cell r="AW75">
            <v>47238250</v>
          </cell>
          <cell r="AX75">
            <v>149304</v>
          </cell>
          <cell r="AY75">
            <v>47387554</v>
          </cell>
          <cell r="AZ75">
            <v>0</v>
          </cell>
          <cell r="BA75">
            <v>47387554</v>
          </cell>
          <cell r="BB75">
            <v>0</v>
          </cell>
          <cell r="BC75">
            <v>47387554</v>
          </cell>
          <cell r="BD75">
            <v>11518</v>
          </cell>
          <cell r="BE75">
            <v>5218570</v>
          </cell>
          <cell r="BF75">
            <v>0</v>
          </cell>
          <cell r="BH75">
            <v>52617642</v>
          </cell>
          <cell r="BI75">
            <v>0</v>
          </cell>
          <cell r="BJ75">
            <v>52617642</v>
          </cell>
          <cell r="BK75">
            <v>0</v>
          </cell>
          <cell r="BL75">
            <v>52617642</v>
          </cell>
        </row>
        <row r="76">
          <cell r="B76" t="str">
            <v>HOMEWOOD RETIREMENT</v>
          </cell>
          <cell r="C76">
            <v>0</v>
          </cell>
          <cell r="D76">
            <v>1900003</v>
          </cell>
          <cell r="E76">
            <v>50951</v>
          </cell>
          <cell r="F76" t="str">
            <v>ASC</v>
          </cell>
          <cell r="G76" t="str">
            <v>JAN</v>
          </cell>
          <cell r="H76" t="str">
            <v>Michael</v>
          </cell>
          <cell r="I76" t="str">
            <v>Engel</v>
          </cell>
          <cell r="J76" t="str">
            <v>Direct Debit--Weekly</v>
          </cell>
          <cell r="K76" t="str">
            <v>BARBARA</v>
          </cell>
          <cell r="L76" t="str">
            <v>Wachovia</v>
          </cell>
          <cell r="M76">
            <v>0</v>
          </cell>
          <cell r="N76">
            <v>45000</v>
          </cell>
          <cell r="O76" t="str">
            <v>NASCO</v>
          </cell>
          <cell r="P76" t="str">
            <v>NATIONAL</v>
          </cell>
          <cell r="Q76">
            <v>627</v>
          </cell>
          <cell r="R76">
            <v>0</v>
          </cell>
          <cell r="S76">
            <v>75000</v>
          </cell>
          <cell r="T76">
            <v>1.25</v>
          </cell>
          <cell r="U76">
            <v>170826.76</v>
          </cell>
          <cell r="V76">
            <v>26281.040000000001</v>
          </cell>
          <cell r="W76">
            <v>197107.8</v>
          </cell>
          <cell r="X76">
            <v>19710.78</v>
          </cell>
          <cell r="Y76">
            <v>19710.78</v>
          </cell>
          <cell r="Z76">
            <v>0</v>
          </cell>
          <cell r="AA76">
            <v>131405.20000000001</v>
          </cell>
          <cell r="AB76">
            <v>289091.44</v>
          </cell>
          <cell r="AC76">
            <v>657026</v>
          </cell>
          <cell r="AD76">
            <v>0</v>
          </cell>
          <cell r="AE76">
            <v>657026</v>
          </cell>
          <cell r="AF76">
            <v>0</v>
          </cell>
          <cell r="AG76">
            <v>0</v>
          </cell>
          <cell r="AH76">
            <v>7200</v>
          </cell>
          <cell r="AI76">
            <v>2738079</v>
          </cell>
          <cell r="AJ76">
            <v>3395105</v>
          </cell>
          <cell r="AK76">
            <v>657026</v>
          </cell>
          <cell r="AL76">
            <v>3263699.8</v>
          </cell>
          <cell r="AM76">
            <v>0</v>
          </cell>
          <cell r="AN76">
            <v>0</v>
          </cell>
          <cell r="AO76">
            <v>0</v>
          </cell>
          <cell r="AP76">
            <v>0</v>
          </cell>
          <cell r="AQ76">
            <v>38361</v>
          </cell>
          <cell r="AR76">
            <v>0</v>
          </cell>
          <cell r="AS76">
            <v>38361</v>
          </cell>
          <cell r="AT76">
            <v>270438.85931391665</v>
          </cell>
          <cell r="AU76">
            <v>224020.9406860834</v>
          </cell>
          <cell r="AW76">
            <v>2776440</v>
          </cell>
          <cell r="AX76">
            <v>101020</v>
          </cell>
          <cell r="AY76">
            <v>2877460</v>
          </cell>
          <cell r="AZ76">
            <v>0</v>
          </cell>
          <cell r="BA76">
            <v>2877460</v>
          </cell>
          <cell r="BB76">
            <v>0</v>
          </cell>
          <cell r="BC76">
            <v>2877460</v>
          </cell>
          <cell r="BD76">
            <v>0</v>
          </cell>
          <cell r="BE76">
            <v>657026</v>
          </cell>
          <cell r="BF76">
            <v>7200</v>
          </cell>
          <cell r="BH76">
            <v>3541686</v>
          </cell>
          <cell r="BI76">
            <v>38361</v>
          </cell>
          <cell r="BJ76">
            <v>3503325</v>
          </cell>
          <cell r="BK76">
            <v>0</v>
          </cell>
          <cell r="BL76">
            <v>3503325</v>
          </cell>
        </row>
        <row r="77">
          <cell r="B77" t="str">
            <v>HORIZON LINES</v>
          </cell>
          <cell r="C77">
            <v>0</v>
          </cell>
          <cell r="D77">
            <v>1900501</v>
          </cell>
          <cell r="E77">
            <v>65576</v>
          </cell>
          <cell r="F77" t="str">
            <v>ASC</v>
          </cell>
          <cell r="G77" t="str">
            <v>JAN</v>
          </cell>
          <cell r="H77" t="str">
            <v>McManus</v>
          </cell>
          <cell r="I77" t="str">
            <v>Engel</v>
          </cell>
          <cell r="J77" t="str">
            <v>Direct Debit--Weekly</v>
          </cell>
          <cell r="K77" t="str">
            <v>LISA</v>
          </cell>
          <cell r="L77" t="str">
            <v>Wachovia</v>
          </cell>
          <cell r="M77">
            <v>0</v>
          </cell>
          <cell r="N77">
            <v>0</v>
          </cell>
          <cell r="O77" t="str">
            <v>NASCO</v>
          </cell>
          <cell r="P77" t="str">
            <v>NATIONAL</v>
          </cell>
          <cell r="Q77">
            <v>393</v>
          </cell>
          <cell r="R77">
            <v>0</v>
          </cell>
          <cell r="S77">
            <v>0</v>
          </cell>
          <cell r="T77">
            <v>0</v>
          </cell>
          <cell r="U77">
            <v>0</v>
          </cell>
          <cell r="V77">
            <v>0</v>
          </cell>
          <cell r="W77">
            <v>0</v>
          </cell>
          <cell r="X77">
            <v>0</v>
          </cell>
          <cell r="Y77">
            <v>0</v>
          </cell>
          <cell r="Z77">
            <v>0</v>
          </cell>
          <cell r="AA77">
            <v>0</v>
          </cell>
          <cell r="AB77">
            <v>262333</v>
          </cell>
          <cell r="AC77">
            <v>262333</v>
          </cell>
          <cell r="AD77">
            <v>0</v>
          </cell>
          <cell r="AE77">
            <v>262333</v>
          </cell>
          <cell r="AF77">
            <v>0</v>
          </cell>
          <cell r="AG77">
            <v>0</v>
          </cell>
          <cell r="AH77">
            <v>0</v>
          </cell>
          <cell r="AI77">
            <v>1986902</v>
          </cell>
          <cell r="AJ77">
            <v>2249235</v>
          </cell>
          <cell r="AK77">
            <v>262333</v>
          </cell>
          <cell r="AL77">
            <v>2249235</v>
          </cell>
          <cell r="AM77">
            <v>0</v>
          </cell>
          <cell r="AN77">
            <v>0</v>
          </cell>
          <cell r="AO77">
            <v>0</v>
          </cell>
          <cell r="AP77">
            <v>0</v>
          </cell>
          <cell r="AQ77">
            <v>0</v>
          </cell>
          <cell r="AR77">
            <v>0</v>
          </cell>
          <cell r="AS77">
            <v>0</v>
          </cell>
          <cell r="AT77">
            <v>190601.96393550179</v>
          </cell>
          <cell r="AU77">
            <v>71731.036064498214</v>
          </cell>
          <cell r="AW77">
            <v>1986902</v>
          </cell>
          <cell r="AX77">
            <v>184415</v>
          </cell>
          <cell r="AY77">
            <v>2171317</v>
          </cell>
          <cell r="AZ77">
            <v>0</v>
          </cell>
          <cell r="BA77">
            <v>2171317</v>
          </cell>
          <cell r="BB77">
            <v>0</v>
          </cell>
          <cell r="BC77">
            <v>2171317</v>
          </cell>
          <cell r="BD77">
            <v>0</v>
          </cell>
          <cell r="BE77">
            <v>262333</v>
          </cell>
          <cell r="BF77">
            <v>0</v>
          </cell>
          <cell r="BH77">
            <v>2433650</v>
          </cell>
          <cell r="BI77">
            <v>0</v>
          </cell>
          <cell r="BJ77">
            <v>2433650</v>
          </cell>
          <cell r="BK77">
            <v>0</v>
          </cell>
          <cell r="BL77">
            <v>2433650</v>
          </cell>
        </row>
        <row r="78">
          <cell r="B78" t="str">
            <v>HOWARD CO GOVT</v>
          </cell>
          <cell r="C78">
            <v>0</v>
          </cell>
          <cell r="D78" t="str">
            <v>n/a</v>
          </cell>
          <cell r="E78">
            <v>10989</v>
          </cell>
          <cell r="F78" t="str">
            <v>ASC</v>
          </cell>
          <cell r="G78" t="str">
            <v>JUL</v>
          </cell>
          <cell r="H78" t="str">
            <v>Michael</v>
          </cell>
          <cell r="I78" t="str">
            <v>Drumgoole</v>
          </cell>
          <cell r="J78" t="str">
            <v>Deposit --2 month</v>
          </cell>
          <cell r="K78" t="str">
            <v>DONNA</v>
          </cell>
          <cell r="L78" t="str">
            <v>None</v>
          </cell>
          <cell r="M78">
            <v>1068696</v>
          </cell>
          <cell r="N78">
            <v>154569</v>
          </cell>
          <cell r="O78" t="str">
            <v>CARE-S</v>
          </cell>
          <cell r="P78" t="str">
            <v>LOCAL</v>
          </cell>
          <cell r="Q78">
            <v>905</v>
          </cell>
          <cell r="R78">
            <v>0</v>
          </cell>
          <cell r="S78">
            <v>125000</v>
          </cell>
          <cell r="T78">
            <v>1.1499999999999999</v>
          </cell>
          <cell r="U78">
            <v>233216.55</v>
          </cell>
          <cell r="V78">
            <v>50288.7</v>
          </cell>
          <cell r="W78">
            <v>283505.25</v>
          </cell>
          <cell r="X78">
            <v>25766.65</v>
          </cell>
          <cell r="Y78">
            <v>28736.400000000001</v>
          </cell>
          <cell r="Z78">
            <v>0</v>
          </cell>
          <cell r="AA78">
            <v>0</v>
          </cell>
          <cell r="AB78">
            <v>380401.7</v>
          </cell>
          <cell r="AC78">
            <v>718410</v>
          </cell>
          <cell r="AD78">
            <v>90</v>
          </cell>
          <cell r="AE78">
            <v>718500</v>
          </cell>
          <cell r="AF78">
            <v>0</v>
          </cell>
          <cell r="AG78">
            <v>0</v>
          </cell>
          <cell r="AH78">
            <v>0</v>
          </cell>
          <cell r="AI78">
            <v>6423933</v>
          </cell>
          <cell r="AJ78">
            <v>7142343</v>
          </cell>
          <cell r="AK78">
            <v>718410</v>
          </cell>
          <cell r="AL78">
            <v>7142343</v>
          </cell>
          <cell r="AM78">
            <v>0</v>
          </cell>
          <cell r="AN78">
            <v>0</v>
          </cell>
          <cell r="AO78">
            <v>0</v>
          </cell>
          <cell r="AP78">
            <v>0</v>
          </cell>
          <cell r="AQ78">
            <v>147716</v>
          </cell>
          <cell r="AR78">
            <v>0</v>
          </cell>
          <cell r="AS78">
            <v>147716</v>
          </cell>
          <cell r="AT78">
            <v>639685.1838663551</v>
          </cell>
          <cell r="AU78">
            <v>-68901.183866355103</v>
          </cell>
          <cell r="AW78">
            <v>6571649</v>
          </cell>
          <cell r="AX78">
            <v>26572</v>
          </cell>
          <cell r="AY78">
            <v>6598221</v>
          </cell>
          <cell r="AZ78">
            <v>0</v>
          </cell>
          <cell r="BA78">
            <v>6598221</v>
          </cell>
          <cell r="BB78">
            <v>0</v>
          </cell>
          <cell r="BC78">
            <v>6598221</v>
          </cell>
          <cell r="BD78">
            <v>90</v>
          </cell>
          <cell r="BE78">
            <v>718410</v>
          </cell>
          <cell r="BF78">
            <v>0</v>
          </cell>
          <cell r="BH78">
            <v>7316721</v>
          </cell>
          <cell r="BI78">
            <v>147716</v>
          </cell>
          <cell r="BJ78">
            <v>7169005</v>
          </cell>
          <cell r="BK78">
            <v>0</v>
          </cell>
          <cell r="BL78">
            <v>7169005</v>
          </cell>
        </row>
        <row r="79">
          <cell r="B79" t="str">
            <v>INTERNATIONAL CODE COUNCIL</v>
          </cell>
          <cell r="C79">
            <v>0</v>
          </cell>
          <cell r="D79">
            <v>1900484</v>
          </cell>
          <cell r="E79">
            <v>64778</v>
          </cell>
          <cell r="F79" t="str">
            <v>ASC</v>
          </cell>
          <cell r="G79" t="str">
            <v>JUL</v>
          </cell>
          <cell r="H79" t="str">
            <v>Mamoun</v>
          </cell>
          <cell r="I79" t="str">
            <v>Dunn</v>
          </cell>
          <cell r="J79" t="str">
            <v>Direct Debit--Weekly</v>
          </cell>
          <cell r="K79" t="str">
            <v>NETTIE</v>
          </cell>
          <cell r="L79" t="str">
            <v>None</v>
          </cell>
          <cell r="M79">
            <v>0</v>
          </cell>
          <cell r="N79">
            <v>0</v>
          </cell>
          <cell r="O79" t="str">
            <v>NASCO</v>
          </cell>
          <cell r="P79" t="str">
            <v>NATIONAL</v>
          </cell>
          <cell r="Q79">
            <v>338</v>
          </cell>
          <cell r="R79">
            <v>0</v>
          </cell>
          <cell r="S79">
            <v>50000</v>
          </cell>
          <cell r="T79">
            <v>1.25</v>
          </cell>
          <cell r="U79">
            <v>315696.96000000002</v>
          </cell>
          <cell r="V79">
            <v>52616.160000000003</v>
          </cell>
          <cell r="W79">
            <v>368313.12</v>
          </cell>
          <cell r="X79">
            <v>0</v>
          </cell>
          <cell r="Y79">
            <v>0</v>
          </cell>
          <cell r="Z79">
            <v>0</v>
          </cell>
          <cell r="AA79">
            <v>105232.32000000001</v>
          </cell>
          <cell r="AB79">
            <v>184156.56</v>
          </cell>
          <cell r="AC79">
            <v>657702</v>
          </cell>
          <cell r="AD79">
            <v>0</v>
          </cell>
          <cell r="AE79">
            <v>657702</v>
          </cell>
          <cell r="AF79">
            <v>0</v>
          </cell>
          <cell r="AG79">
            <v>0</v>
          </cell>
          <cell r="AH79">
            <v>0</v>
          </cell>
          <cell r="AI79">
            <v>2408909</v>
          </cell>
          <cell r="AJ79">
            <v>3066611</v>
          </cell>
          <cell r="AK79">
            <v>657702</v>
          </cell>
          <cell r="AL79">
            <v>2961378.68</v>
          </cell>
          <cell r="AM79">
            <v>0</v>
          </cell>
          <cell r="AN79">
            <v>0</v>
          </cell>
          <cell r="AO79">
            <v>0</v>
          </cell>
          <cell r="AP79">
            <v>0</v>
          </cell>
          <cell r="AQ79">
            <v>107279</v>
          </cell>
          <cell r="AR79">
            <v>0</v>
          </cell>
          <cell r="AS79">
            <v>107279</v>
          </cell>
          <cell r="AT79">
            <v>242750.653829171</v>
          </cell>
          <cell r="AU79">
            <v>202440.02617082905</v>
          </cell>
          <cell r="AW79">
            <v>2516188</v>
          </cell>
          <cell r="AX79">
            <v>140312</v>
          </cell>
          <cell r="AY79">
            <v>2656500</v>
          </cell>
          <cell r="AZ79">
            <v>0</v>
          </cell>
          <cell r="BA79">
            <v>2656500</v>
          </cell>
          <cell r="BB79">
            <v>0</v>
          </cell>
          <cell r="BC79">
            <v>2656500</v>
          </cell>
          <cell r="BD79">
            <v>0</v>
          </cell>
          <cell r="BE79">
            <v>657702</v>
          </cell>
          <cell r="BF79">
            <v>0</v>
          </cell>
          <cell r="BH79">
            <v>3314202</v>
          </cell>
          <cell r="BI79">
            <v>107279</v>
          </cell>
          <cell r="BJ79">
            <v>3206923</v>
          </cell>
          <cell r="BK79">
            <v>0</v>
          </cell>
          <cell r="BL79">
            <v>3206923</v>
          </cell>
        </row>
        <row r="80">
          <cell r="B80" t="str">
            <v>ISKY</v>
          </cell>
          <cell r="C80">
            <v>0</v>
          </cell>
          <cell r="D80">
            <v>1900084</v>
          </cell>
          <cell r="E80">
            <v>58510</v>
          </cell>
          <cell r="F80" t="str">
            <v>ASC</v>
          </cell>
          <cell r="G80" t="str">
            <v>SEP</v>
          </cell>
          <cell r="H80" t="str">
            <v>Parker Mann</v>
          </cell>
          <cell r="I80" t="str">
            <v>Engel</v>
          </cell>
          <cell r="J80" t="str">
            <v>Direct Debit--Weekly</v>
          </cell>
          <cell r="K80" t="str">
            <v>LISA</v>
          </cell>
          <cell r="L80" t="str">
            <v>Wachovia</v>
          </cell>
          <cell r="M80">
            <v>0</v>
          </cell>
          <cell r="N80">
            <v>55446</v>
          </cell>
          <cell r="O80" t="str">
            <v>NASCO</v>
          </cell>
          <cell r="P80" t="str">
            <v>NATIONAL</v>
          </cell>
          <cell r="Q80">
            <v>209</v>
          </cell>
          <cell r="R80">
            <v>0</v>
          </cell>
          <cell r="S80">
            <v>50000</v>
          </cell>
          <cell r="T80">
            <v>1.25</v>
          </cell>
          <cell r="U80">
            <v>90088.53</v>
          </cell>
          <cell r="V80">
            <v>27860.79</v>
          </cell>
          <cell r="W80">
            <v>117949.32</v>
          </cell>
          <cell r="X80">
            <v>11455.65</v>
          </cell>
          <cell r="Y80">
            <v>2687.61</v>
          </cell>
          <cell r="Z80">
            <v>0</v>
          </cell>
          <cell r="AA80">
            <v>52328.76</v>
          </cell>
          <cell r="AB80">
            <v>197433.66</v>
          </cell>
          <cell r="AC80">
            <v>381855</v>
          </cell>
          <cell r="AD80">
            <v>0</v>
          </cell>
          <cell r="AE80">
            <v>381855</v>
          </cell>
          <cell r="AF80">
            <v>0</v>
          </cell>
          <cell r="AG80">
            <v>0</v>
          </cell>
          <cell r="AH80">
            <v>0</v>
          </cell>
          <cell r="AI80">
            <v>1043348</v>
          </cell>
          <cell r="AJ80">
            <v>1425203</v>
          </cell>
          <cell r="AK80">
            <v>381855</v>
          </cell>
          <cell r="AL80">
            <v>1372874.24</v>
          </cell>
          <cell r="AM80">
            <v>0</v>
          </cell>
          <cell r="AN80">
            <v>0</v>
          </cell>
          <cell r="AO80">
            <v>0</v>
          </cell>
          <cell r="AP80">
            <v>0</v>
          </cell>
          <cell r="AQ80">
            <v>364820</v>
          </cell>
          <cell r="AR80">
            <v>-2668</v>
          </cell>
          <cell r="AS80">
            <v>362152</v>
          </cell>
          <cell r="AT80">
            <v>133199.66388430889</v>
          </cell>
          <cell r="AU80">
            <v>-165825.4238843089</v>
          </cell>
          <cell r="AW80">
            <v>1405500</v>
          </cell>
          <cell r="AX80">
            <v>6527</v>
          </cell>
          <cell r="AY80">
            <v>1412027</v>
          </cell>
          <cell r="AZ80">
            <v>0</v>
          </cell>
          <cell r="BA80">
            <v>1412027</v>
          </cell>
          <cell r="BB80">
            <v>0</v>
          </cell>
          <cell r="BC80">
            <v>1412027</v>
          </cell>
          <cell r="BD80">
            <v>0</v>
          </cell>
          <cell r="BE80">
            <v>381855</v>
          </cell>
          <cell r="BF80">
            <v>0</v>
          </cell>
          <cell r="BH80">
            <v>1793882</v>
          </cell>
          <cell r="BI80">
            <v>362152</v>
          </cell>
          <cell r="BJ80">
            <v>1431730</v>
          </cell>
          <cell r="BK80">
            <v>0</v>
          </cell>
          <cell r="BL80">
            <v>1431730</v>
          </cell>
        </row>
        <row r="81">
          <cell r="B81" t="str">
            <v>JOHNS HOPKINS SCHOOL DENTAL</v>
          </cell>
          <cell r="C81">
            <v>0</v>
          </cell>
          <cell r="D81" t="str">
            <v>n/a</v>
          </cell>
          <cell r="E81" t="str">
            <v>07249</v>
          </cell>
          <cell r="F81" t="str">
            <v>ASC</v>
          </cell>
          <cell r="G81" t="str">
            <v>JUL</v>
          </cell>
          <cell r="H81" t="str">
            <v>Howard</v>
          </cell>
          <cell r="I81" t="str">
            <v>Fox</v>
          </cell>
          <cell r="J81" t="str">
            <v>Deposit-2 Month</v>
          </cell>
          <cell r="K81" t="str">
            <v>DONNA</v>
          </cell>
          <cell r="L81" t="str">
            <v>None</v>
          </cell>
          <cell r="M81">
            <v>64600</v>
          </cell>
          <cell r="N81">
            <v>0</v>
          </cell>
          <cell r="O81" t="str">
            <v>CARE-S</v>
          </cell>
          <cell r="P81" t="str">
            <v>LOCAL</v>
          </cell>
          <cell r="Q81" t="str">
            <v>dental</v>
          </cell>
          <cell r="R81">
            <v>0</v>
          </cell>
          <cell r="S81">
            <v>0</v>
          </cell>
          <cell r="T81">
            <v>0</v>
          </cell>
          <cell r="U81">
            <v>0</v>
          </cell>
          <cell r="V81">
            <v>0</v>
          </cell>
          <cell r="W81">
            <v>0</v>
          </cell>
          <cell r="X81">
            <v>0</v>
          </cell>
          <cell r="Y81">
            <v>0</v>
          </cell>
          <cell r="Z81">
            <v>0</v>
          </cell>
          <cell r="AA81">
            <v>0</v>
          </cell>
          <cell r="AB81">
            <v>39288</v>
          </cell>
          <cell r="AC81">
            <v>39288</v>
          </cell>
          <cell r="AD81">
            <v>0</v>
          </cell>
          <cell r="AE81">
            <v>39288</v>
          </cell>
          <cell r="AF81">
            <v>0</v>
          </cell>
          <cell r="AG81">
            <v>0</v>
          </cell>
          <cell r="AH81">
            <v>-3539</v>
          </cell>
          <cell r="AI81">
            <v>411860</v>
          </cell>
          <cell r="AJ81">
            <v>451148</v>
          </cell>
          <cell r="AK81">
            <v>39288</v>
          </cell>
          <cell r="AL81">
            <v>451148</v>
          </cell>
          <cell r="AM81">
            <v>0</v>
          </cell>
          <cell r="AN81">
            <v>0</v>
          </cell>
          <cell r="AO81">
            <v>0</v>
          </cell>
          <cell r="AP81">
            <v>0</v>
          </cell>
          <cell r="AQ81">
            <v>0</v>
          </cell>
          <cell r="AR81">
            <v>0</v>
          </cell>
          <cell r="AS81">
            <v>0</v>
          </cell>
          <cell r="AT81">
            <v>40137.047593862902</v>
          </cell>
          <cell r="AU81">
            <v>-4388.0475938629024</v>
          </cell>
          <cell r="AW81">
            <v>411860</v>
          </cell>
          <cell r="AX81">
            <v>0</v>
          </cell>
          <cell r="AY81">
            <v>411860</v>
          </cell>
          <cell r="AZ81">
            <v>0</v>
          </cell>
          <cell r="BA81">
            <v>411860</v>
          </cell>
          <cell r="BB81">
            <v>0</v>
          </cell>
          <cell r="BC81">
            <v>411860</v>
          </cell>
          <cell r="BD81">
            <v>0</v>
          </cell>
          <cell r="BE81">
            <v>39288</v>
          </cell>
          <cell r="BF81">
            <v>-3539</v>
          </cell>
          <cell r="BH81">
            <v>447609</v>
          </cell>
          <cell r="BI81">
            <v>0</v>
          </cell>
          <cell r="BJ81">
            <v>447609</v>
          </cell>
          <cell r="BK81">
            <v>0</v>
          </cell>
          <cell r="BL81">
            <v>447609</v>
          </cell>
        </row>
        <row r="82">
          <cell r="B82" t="str">
            <v>JOHNS HOPKINS UNIVERSITY</v>
          </cell>
          <cell r="C82">
            <v>0</v>
          </cell>
          <cell r="D82" t="str">
            <v>n/a</v>
          </cell>
          <cell r="E82" t="str">
            <v>07518</v>
          </cell>
          <cell r="F82" t="str">
            <v>ASC</v>
          </cell>
          <cell r="G82" t="str">
            <v>JAN</v>
          </cell>
          <cell r="H82" t="str">
            <v>Howard</v>
          </cell>
          <cell r="I82" t="str">
            <v>Fox</v>
          </cell>
          <cell r="J82" t="str">
            <v>Deposit-2 Month</v>
          </cell>
          <cell r="K82" t="str">
            <v>DONNA</v>
          </cell>
          <cell r="L82" t="str">
            <v>None</v>
          </cell>
          <cell r="M82">
            <v>8463930</v>
          </cell>
          <cell r="N82">
            <v>1432269</v>
          </cell>
          <cell r="O82" t="str">
            <v>NASCO-S</v>
          </cell>
          <cell r="P82" t="str">
            <v>NATIONAL</v>
          </cell>
          <cell r="Q82">
            <v>7884</v>
          </cell>
          <cell r="R82">
            <v>0</v>
          </cell>
          <cell r="S82">
            <v>500000</v>
          </cell>
          <cell r="T82">
            <v>0</v>
          </cell>
          <cell r="U82">
            <v>125936.93</v>
          </cell>
          <cell r="V82">
            <v>0</v>
          </cell>
          <cell r="W82">
            <v>125936.93</v>
          </cell>
          <cell r="X82">
            <v>0</v>
          </cell>
          <cell r="Y82">
            <v>0</v>
          </cell>
          <cell r="Z82">
            <v>0</v>
          </cell>
          <cell r="AA82">
            <v>0</v>
          </cell>
          <cell r="AB82">
            <v>3447367.07</v>
          </cell>
          <cell r="AC82">
            <v>3573304</v>
          </cell>
          <cell r="AD82">
            <v>6567</v>
          </cell>
          <cell r="AE82">
            <v>3579871</v>
          </cell>
          <cell r="AF82">
            <v>0</v>
          </cell>
          <cell r="AG82">
            <v>0</v>
          </cell>
          <cell r="AH82">
            <v>13087</v>
          </cell>
          <cell r="AI82">
            <v>48478877</v>
          </cell>
          <cell r="AJ82">
            <v>52052181</v>
          </cell>
          <cell r="AK82">
            <v>3573304</v>
          </cell>
          <cell r="AL82">
            <v>52052181</v>
          </cell>
          <cell r="AM82">
            <v>0</v>
          </cell>
          <cell r="AN82">
            <v>0</v>
          </cell>
          <cell r="AO82">
            <v>0</v>
          </cell>
          <cell r="AP82">
            <v>0</v>
          </cell>
          <cell r="AQ82">
            <v>42191</v>
          </cell>
          <cell r="AR82">
            <v>0</v>
          </cell>
          <cell r="AS82">
            <v>42191</v>
          </cell>
          <cell r="AT82">
            <v>4730628.8922562581</v>
          </cell>
          <cell r="AU82">
            <v>-1179861.8922562581</v>
          </cell>
          <cell r="AW82">
            <v>48521068</v>
          </cell>
          <cell r="AX82">
            <v>111477</v>
          </cell>
          <cell r="AY82">
            <v>48632545</v>
          </cell>
          <cell r="AZ82">
            <v>0</v>
          </cell>
          <cell r="BA82">
            <v>48632545</v>
          </cell>
          <cell r="BB82">
            <v>0</v>
          </cell>
          <cell r="BC82">
            <v>48632545</v>
          </cell>
          <cell r="BD82">
            <v>6567</v>
          </cell>
          <cell r="BE82">
            <v>3573304</v>
          </cell>
          <cell r="BF82">
            <v>13087</v>
          </cell>
          <cell r="BH82">
            <v>52225503</v>
          </cell>
          <cell r="BI82">
            <v>42191</v>
          </cell>
          <cell r="BJ82">
            <v>52183312</v>
          </cell>
          <cell r="BK82">
            <v>0</v>
          </cell>
          <cell r="BL82">
            <v>52183312</v>
          </cell>
        </row>
        <row r="83">
          <cell r="B83" t="str">
            <v>JOSEPH A BANKS</v>
          </cell>
          <cell r="C83">
            <v>0</v>
          </cell>
          <cell r="D83">
            <v>1900031</v>
          </cell>
          <cell r="E83">
            <v>50349</v>
          </cell>
          <cell r="F83" t="str">
            <v>ASC-Minimum Premium</v>
          </cell>
          <cell r="G83" t="str">
            <v>APR</v>
          </cell>
          <cell r="H83" t="str">
            <v>Parker Mann</v>
          </cell>
          <cell r="I83" t="str">
            <v>Maier</v>
          </cell>
          <cell r="J83" t="str">
            <v>Deposit--2 Months</v>
          </cell>
          <cell r="K83" t="str">
            <v>LISA</v>
          </cell>
          <cell r="L83" t="str">
            <v>None</v>
          </cell>
          <cell r="M83">
            <v>466083</v>
          </cell>
          <cell r="N83">
            <v>83100</v>
          </cell>
          <cell r="O83" t="str">
            <v>NASCO-S</v>
          </cell>
          <cell r="P83" t="str">
            <v>NATIONAL</v>
          </cell>
          <cell r="Q83">
            <v>1138</v>
          </cell>
          <cell r="R83">
            <v>0</v>
          </cell>
          <cell r="S83">
            <v>125000</v>
          </cell>
          <cell r="T83">
            <v>1.25</v>
          </cell>
          <cell r="U83">
            <v>344732.99</v>
          </cell>
          <cell r="V83">
            <v>49918.31</v>
          </cell>
          <cell r="W83">
            <v>394651.3</v>
          </cell>
          <cell r="X83">
            <v>9390.36</v>
          </cell>
          <cell r="Y83">
            <v>4695.18</v>
          </cell>
          <cell r="Z83">
            <v>0</v>
          </cell>
          <cell r="AA83">
            <v>0</v>
          </cell>
          <cell r="AB83">
            <v>636581.16</v>
          </cell>
          <cell r="AC83">
            <v>1045318</v>
          </cell>
          <cell r="AD83">
            <v>0</v>
          </cell>
          <cell r="AE83">
            <v>1045318</v>
          </cell>
          <cell r="AF83">
            <v>0</v>
          </cell>
          <cell r="AG83">
            <v>0</v>
          </cell>
          <cell r="AH83">
            <v>-6100</v>
          </cell>
          <cell r="AI83">
            <v>5477057</v>
          </cell>
          <cell r="AJ83">
            <v>6522375</v>
          </cell>
          <cell r="AK83">
            <v>1045318</v>
          </cell>
          <cell r="AL83">
            <v>6522375</v>
          </cell>
          <cell r="AM83">
            <v>0</v>
          </cell>
          <cell r="AN83">
            <v>0</v>
          </cell>
          <cell r="AO83">
            <v>0</v>
          </cell>
          <cell r="AP83">
            <v>0</v>
          </cell>
          <cell r="AQ83">
            <v>58474</v>
          </cell>
          <cell r="AR83">
            <v>-138783</v>
          </cell>
          <cell r="AS83">
            <v>-80309</v>
          </cell>
          <cell r="AT83">
            <v>524801.83481039503</v>
          </cell>
          <cell r="AU83">
            <v>594725.16518960497</v>
          </cell>
          <cell r="AW83">
            <v>5396748</v>
          </cell>
          <cell r="AX83">
            <v>164548</v>
          </cell>
          <cell r="AY83">
            <v>5561296</v>
          </cell>
          <cell r="AZ83">
            <v>0</v>
          </cell>
          <cell r="BA83">
            <v>5561296</v>
          </cell>
          <cell r="BB83">
            <v>0</v>
          </cell>
          <cell r="BC83">
            <v>5561296</v>
          </cell>
          <cell r="BD83">
            <v>0</v>
          </cell>
          <cell r="BE83">
            <v>1045318</v>
          </cell>
          <cell r="BF83">
            <v>-6100</v>
          </cell>
          <cell r="BH83">
            <v>6600514</v>
          </cell>
          <cell r="BI83">
            <v>-80309</v>
          </cell>
          <cell r="BJ83">
            <v>6680823</v>
          </cell>
          <cell r="BK83">
            <v>0</v>
          </cell>
          <cell r="BL83">
            <v>6680823</v>
          </cell>
        </row>
        <row r="84">
          <cell r="B84" t="str">
            <v>K&amp;L MICROWAVE</v>
          </cell>
          <cell r="C84">
            <v>0</v>
          </cell>
          <cell r="D84" t="str">
            <v>n/a</v>
          </cell>
          <cell r="E84">
            <v>26198</v>
          </cell>
          <cell r="F84">
            <v>0</v>
          </cell>
          <cell r="G84" t="str">
            <v>termed 1/04</v>
          </cell>
          <cell r="H84" t="str">
            <v>Hauff</v>
          </cell>
          <cell r="I84" t="str">
            <v>Tilghman</v>
          </cell>
          <cell r="J84" t="str">
            <v>Deposit--2 Months</v>
          </cell>
          <cell r="K84" t="str">
            <v>BARBARA</v>
          </cell>
          <cell r="L84" t="str">
            <v>Silberstein</v>
          </cell>
          <cell r="M84">
            <v>526308</v>
          </cell>
          <cell r="N84">
            <v>63497</v>
          </cell>
          <cell r="O84" t="str">
            <v>CARE-S</v>
          </cell>
          <cell r="P84" t="str">
            <v>LOCAL</v>
          </cell>
          <cell r="Q84" t="str">
            <v>run-out</v>
          </cell>
          <cell r="R84">
            <v>0</v>
          </cell>
          <cell r="S84">
            <v>0</v>
          </cell>
          <cell r="T84">
            <v>0</v>
          </cell>
          <cell r="U84">
            <v>0</v>
          </cell>
          <cell r="V84">
            <v>0</v>
          </cell>
          <cell r="W84">
            <v>0</v>
          </cell>
          <cell r="X84">
            <v>0</v>
          </cell>
          <cell r="Y84">
            <v>0</v>
          </cell>
          <cell r="Z84">
            <v>0</v>
          </cell>
          <cell r="AA84">
            <v>0</v>
          </cell>
          <cell r="AB84">
            <v>18549</v>
          </cell>
          <cell r="AC84">
            <v>18549</v>
          </cell>
          <cell r="AD84">
            <v>1109</v>
          </cell>
          <cell r="AE84">
            <v>19658</v>
          </cell>
          <cell r="AF84">
            <v>0</v>
          </cell>
          <cell r="AG84">
            <v>0</v>
          </cell>
          <cell r="AH84">
            <v>-81</v>
          </cell>
          <cell r="AI84">
            <v>185661</v>
          </cell>
          <cell r="AJ84">
            <v>204210</v>
          </cell>
          <cell r="AK84">
            <v>18549</v>
          </cell>
          <cell r="AL84">
            <v>204210</v>
          </cell>
          <cell r="AM84">
            <v>0</v>
          </cell>
          <cell r="AN84">
            <v>0</v>
          </cell>
          <cell r="AO84">
            <v>0</v>
          </cell>
          <cell r="AP84">
            <v>0</v>
          </cell>
          <cell r="AQ84">
            <v>0</v>
          </cell>
          <cell r="AR84">
            <v>0</v>
          </cell>
          <cell r="AS84">
            <v>0</v>
          </cell>
          <cell r="AT84">
            <v>18142.964626328212</v>
          </cell>
          <cell r="AU84">
            <v>1434.035373671788</v>
          </cell>
          <cell r="AW84">
            <v>185661</v>
          </cell>
          <cell r="AX84">
            <v>4500</v>
          </cell>
          <cell r="AY84">
            <v>190161</v>
          </cell>
          <cell r="AZ84">
            <v>0</v>
          </cell>
          <cell r="BA84">
            <v>190161</v>
          </cell>
          <cell r="BB84">
            <v>0</v>
          </cell>
          <cell r="BC84">
            <v>190161</v>
          </cell>
          <cell r="BD84">
            <v>1109</v>
          </cell>
          <cell r="BE84">
            <v>18549</v>
          </cell>
          <cell r="BF84">
            <v>-81</v>
          </cell>
          <cell r="BH84">
            <v>209738</v>
          </cell>
          <cell r="BI84">
            <v>0</v>
          </cell>
          <cell r="BJ84">
            <v>209738</v>
          </cell>
          <cell r="BK84">
            <v>0</v>
          </cell>
          <cell r="BL84">
            <v>209738</v>
          </cell>
        </row>
        <row r="85">
          <cell r="B85" t="str">
            <v>KELLER FOUNDATION</v>
          </cell>
          <cell r="C85" t="str">
            <v>HAYWARD</v>
          </cell>
          <cell r="D85">
            <v>1900073</v>
          </cell>
          <cell r="E85">
            <v>53345</v>
          </cell>
          <cell r="F85" t="str">
            <v>ASC</v>
          </cell>
          <cell r="G85" t="str">
            <v>JAN</v>
          </cell>
          <cell r="H85" t="str">
            <v>Pospisil</v>
          </cell>
          <cell r="I85" t="str">
            <v>Maier</v>
          </cell>
          <cell r="J85" t="str">
            <v>Deposit--2 Month</v>
          </cell>
          <cell r="K85" t="str">
            <v>LISA</v>
          </cell>
          <cell r="L85" t="str">
            <v>None</v>
          </cell>
          <cell r="M85">
            <v>289306</v>
          </cell>
          <cell r="N85">
            <v>11905</v>
          </cell>
          <cell r="O85" t="str">
            <v>NASCO-S</v>
          </cell>
          <cell r="P85" t="str">
            <v>NATIONAL</v>
          </cell>
          <cell r="Q85">
            <v>658</v>
          </cell>
          <cell r="R85">
            <v>0</v>
          </cell>
          <cell r="S85">
            <v>0</v>
          </cell>
          <cell r="T85">
            <v>0</v>
          </cell>
          <cell r="U85">
            <v>0</v>
          </cell>
          <cell r="V85">
            <v>0</v>
          </cell>
          <cell r="W85">
            <v>0</v>
          </cell>
          <cell r="X85">
            <v>42847.92</v>
          </cell>
          <cell r="Y85">
            <v>0</v>
          </cell>
          <cell r="Z85">
            <v>0</v>
          </cell>
          <cell r="AA85">
            <v>57130.559999999998</v>
          </cell>
          <cell r="AB85">
            <v>376109.52</v>
          </cell>
          <cell r="AC85">
            <v>476088</v>
          </cell>
          <cell r="AD85">
            <v>0</v>
          </cell>
          <cell r="AE85">
            <v>476088</v>
          </cell>
          <cell r="AF85">
            <v>0</v>
          </cell>
          <cell r="AG85">
            <v>0</v>
          </cell>
          <cell r="AH85">
            <v>0</v>
          </cell>
          <cell r="AI85">
            <v>4188369</v>
          </cell>
          <cell r="AJ85">
            <v>4664457</v>
          </cell>
          <cell r="AK85">
            <v>476088</v>
          </cell>
          <cell r="AL85">
            <v>4607326.4400000004</v>
          </cell>
          <cell r="AM85">
            <v>0</v>
          </cell>
          <cell r="AN85">
            <v>0</v>
          </cell>
          <cell r="AO85">
            <v>0</v>
          </cell>
          <cell r="AP85">
            <v>0</v>
          </cell>
          <cell r="AQ85">
            <v>0</v>
          </cell>
          <cell r="AR85">
            <v>0</v>
          </cell>
          <cell r="AS85">
            <v>0</v>
          </cell>
          <cell r="AT85">
            <v>408831.8621207425</v>
          </cell>
          <cell r="AU85">
            <v>10125.5778792575</v>
          </cell>
          <cell r="AW85">
            <v>4188369</v>
          </cell>
          <cell r="AX85">
            <v>130816</v>
          </cell>
          <cell r="AY85">
            <v>4319185</v>
          </cell>
          <cell r="AZ85">
            <v>0</v>
          </cell>
          <cell r="BA85">
            <v>4319185</v>
          </cell>
          <cell r="BB85">
            <v>0</v>
          </cell>
          <cell r="BC85">
            <v>4319185</v>
          </cell>
          <cell r="BD85">
            <v>0</v>
          </cell>
          <cell r="BE85">
            <v>476088</v>
          </cell>
          <cell r="BF85">
            <v>0</v>
          </cell>
          <cell r="BH85">
            <v>4795273</v>
          </cell>
          <cell r="BI85">
            <v>0</v>
          </cell>
          <cell r="BJ85">
            <v>4795273</v>
          </cell>
          <cell r="BK85">
            <v>0</v>
          </cell>
          <cell r="BL85">
            <v>4795273</v>
          </cell>
        </row>
        <row r="86">
          <cell r="B86" t="str">
            <v>KETCHUM PUBLICATIONS</v>
          </cell>
          <cell r="C86">
            <v>0</v>
          </cell>
          <cell r="D86">
            <v>1900074</v>
          </cell>
          <cell r="E86">
            <v>53346</v>
          </cell>
          <cell r="F86" t="str">
            <v>ASC</v>
          </cell>
          <cell r="G86" t="str">
            <v>JAN</v>
          </cell>
          <cell r="H86" t="str">
            <v>Delong</v>
          </cell>
          <cell r="I86" t="str">
            <v>Waters</v>
          </cell>
          <cell r="J86" t="str">
            <v>Weekly Check</v>
          </cell>
          <cell r="K86" t="str">
            <v>GINNY</v>
          </cell>
          <cell r="L86" t="str">
            <v>Laslett Blue</v>
          </cell>
          <cell r="M86">
            <v>0</v>
          </cell>
          <cell r="N86">
            <v>0</v>
          </cell>
          <cell r="O86" t="str">
            <v>NASCO-S</v>
          </cell>
          <cell r="P86" t="str">
            <v>NATIONAL</v>
          </cell>
          <cell r="Q86">
            <v>520</v>
          </cell>
          <cell r="R86">
            <v>0</v>
          </cell>
          <cell r="S86">
            <v>0</v>
          </cell>
          <cell r="T86">
            <v>0</v>
          </cell>
          <cell r="U86">
            <v>0</v>
          </cell>
          <cell r="V86">
            <v>0</v>
          </cell>
          <cell r="W86">
            <v>0</v>
          </cell>
          <cell r="X86">
            <v>0</v>
          </cell>
          <cell r="Y86">
            <v>0</v>
          </cell>
          <cell r="Z86">
            <v>0</v>
          </cell>
          <cell r="AA86">
            <v>0</v>
          </cell>
          <cell r="AB86">
            <v>95829</v>
          </cell>
          <cell r="AC86">
            <v>95829</v>
          </cell>
          <cell r="AD86">
            <v>0</v>
          </cell>
          <cell r="AE86">
            <v>95829</v>
          </cell>
          <cell r="AF86">
            <v>0</v>
          </cell>
          <cell r="AG86">
            <v>0</v>
          </cell>
          <cell r="AH86">
            <v>0</v>
          </cell>
          <cell r="AI86">
            <v>626465</v>
          </cell>
          <cell r="AJ86">
            <v>722294</v>
          </cell>
          <cell r="AK86">
            <v>95829</v>
          </cell>
          <cell r="AL86">
            <v>722294</v>
          </cell>
          <cell r="AM86">
            <v>0</v>
          </cell>
          <cell r="AN86">
            <v>0</v>
          </cell>
          <cell r="AO86">
            <v>0</v>
          </cell>
          <cell r="AP86">
            <v>0</v>
          </cell>
          <cell r="AQ86">
            <v>0</v>
          </cell>
          <cell r="AR86">
            <v>0</v>
          </cell>
          <cell r="AS86">
            <v>0</v>
          </cell>
          <cell r="AT86">
            <v>56040.88412449848</v>
          </cell>
          <cell r="AU86">
            <v>39788.11587550152</v>
          </cell>
          <cell r="AW86">
            <v>626465</v>
          </cell>
          <cell r="AX86">
            <v>72721</v>
          </cell>
          <cell r="AY86">
            <v>699186</v>
          </cell>
          <cell r="AZ86">
            <v>0</v>
          </cell>
          <cell r="BA86">
            <v>699186</v>
          </cell>
          <cell r="BB86">
            <v>0</v>
          </cell>
          <cell r="BC86">
            <v>699186</v>
          </cell>
          <cell r="BD86">
            <v>0</v>
          </cell>
          <cell r="BE86">
            <v>95829</v>
          </cell>
          <cell r="BF86">
            <v>0</v>
          </cell>
          <cell r="BH86">
            <v>795015</v>
          </cell>
          <cell r="BI86">
            <v>0</v>
          </cell>
          <cell r="BJ86">
            <v>795015</v>
          </cell>
          <cell r="BK86">
            <v>0</v>
          </cell>
          <cell r="BL86">
            <v>795015</v>
          </cell>
        </row>
        <row r="87">
          <cell r="B87" t="str">
            <v>KNORR BRAKE</v>
          </cell>
          <cell r="C87">
            <v>0</v>
          </cell>
          <cell r="D87" t="str">
            <v>n/a</v>
          </cell>
          <cell r="E87">
            <v>33512</v>
          </cell>
          <cell r="F87" t="str">
            <v>ASC-Adjustable Retro</v>
          </cell>
          <cell r="G87" t="str">
            <v>APR</v>
          </cell>
          <cell r="H87" t="str">
            <v>Delong</v>
          </cell>
          <cell r="I87" t="str">
            <v>Engel</v>
          </cell>
          <cell r="J87" t="str">
            <v>Deposit--2 Month</v>
          </cell>
          <cell r="K87" t="str">
            <v>NETTIE</v>
          </cell>
          <cell r="L87" t="str">
            <v>Crawford, Slevin &amp; Hicks</v>
          </cell>
          <cell r="M87">
            <v>102800</v>
          </cell>
          <cell r="N87">
            <v>24019</v>
          </cell>
          <cell r="O87" t="str">
            <v>CARE</v>
          </cell>
          <cell r="P87" t="str">
            <v>LOCAL</v>
          </cell>
          <cell r="Q87">
            <v>158</v>
          </cell>
          <cell r="R87">
            <v>0</v>
          </cell>
          <cell r="S87">
            <v>60000</v>
          </cell>
          <cell r="T87">
            <v>1.25</v>
          </cell>
          <cell r="U87">
            <v>97948.59</v>
          </cell>
          <cell r="V87">
            <v>13765.99</v>
          </cell>
          <cell r="W87">
            <v>111714.58</v>
          </cell>
          <cell r="X87">
            <v>7166.97</v>
          </cell>
          <cell r="Y87">
            <v>5345.93</v>
          </cell>
          <cell r="Z87">
            <v>0</v>
          </cell>
          <cell r="AA87">
            <v>31624.82</v>
          </cell>
          <cell r="AB87">
            <v>83046.7</v>
          </cell>
          <cell r="AC87">
            <v>238899</v>
          </cell>
          <cell r="AD87">
            <v>11</v>
          </cell>
          <cell r="AE87">
            <v>238910</v>
          </cell>
          <cell r="AF87">
            <v>0</v>
          </cell>
          <cell r="AG87">
            <v>0</v>
          </cell>
          <cell r="AH87">
            <v>0</v>
          </cell>
          <cell r="AI87">
            <v>758326</v>
          </cell>
          <cell r="AJ87">
            <v>997225</v>
          </cell>
          <cell r="AK87">
            <v>238899</v>
          </cell>
          <cell r="AL87">
            <v>965600.18</v>
          </cell>
          <cell r="AM87">
            <v>0</v>
          </cell>
          <cell r="AN87">
            <v>0</v>
          </cell>
          <cell r="AO87">
            <v>0</v>
          </cell>
          <cell r="AP87">
            <v>0</v>
          </cell>
          <cell r="AQ87">
            <v>19149</v>
          </cell>
          <cell r="AR87">
            <v>0</v>
          </cell>
          <cell r="AS87">
            <v>19149</v>
          </cell>
          <cell r="AT87">
            <v>75528.752195808906</v>
          </cell>
          <cell r="AU87">
            <v>112607.42780419109</v>
          </cell>
          <cell r="AW87">
            <v>777475</v>
          </cell>
          <cell r="AX87">
            <v>14578</v>
          </cell>
          <cell r="AY87">
            <v>792053</v>
          </cell>
          <cell r="AZ87">
            <v>0</v>
          </cell>
          <cell r="BA87">
            <v>792053</v>
          </cell>
          <cell r="BB87">
            <v>0</v>
          </cell>
          <cell r="BC87">
            <v>792053</v>
          </cell>
          <cell r="BD87">
            <v>11</v>
          </cell>
          <cell r="BE87">
            <v>238899</v>
          </cell>
          <cell r="BF87">
            <v>0</v>
          </cell>
          <cell r="BH87">
            <v>1030963</v>
          </cell>
          <cell r="BI87">
            <v>19149</v>
          </cell>
          <cell r="BJ87">
            <v>1011814</v>
          </cell>
          <cell r="BK87">
            <v>0</v>
          </cell>
          <cell r="BL87">
            <v>1011814</v>
          </cell>
        </row>
        <row r="88">
          <cell r="B88" t="str">
            <v>LEGG MASON</v>
          </cell>
          <cell r="C88">
            <v>0</v>
          </cell>
          <cell r="D88">
            <v>1900090</v>
          </cell>
          <cell r="E88">
            <v>56202</v>
          </cell>
          <cell r="F88" t="str">
            <v>ASC</v>
          </cell>
          <cell r="G88" t="str">
            <v>SEP</v>
          </cell>
          <cell r="H88" t="str">
            <v>Lentz</v>
          </cell>
          <cell r="I88" t="str">
            <v>Maier</v>
          </cell>
          <cell r="J88" t="str">
            <v>Deposit--2 Month</v>
          </cell>
          <cell r="K88" t="str">
            <v>NETTIE</v>
          </cell>
          <cell r="L88" t="str">
            <v>None</v>
          </cell>
          <cell r="M88">
            <v>2364000</v>
          </cell>
          <cell r="N88">
            <v>242000</v>
          </cell>
          <cell r="O88" t="str">
            <v>NASCO-S</v>
          </cell>
          <cell r="P88" t="str">
            <v>NATIONAL</v>
          </cell>
          <cell r="Q88">
            <v>2964</v>
          </cell>
          <cell r="R88">
            <v>0</v>
          </cell>
          <cell r="S88">
            <v>275000</v>
          </cell>
          <cell r="T88">
            <v>0</v>
          </cell>
          <cell r="U88">
            <v>478615.3</v>
          </cell>
          <cell r="V88">
            <v>0</v>
          </cell>
          <cell r="W88">
            <v>478615.3</v>
          </cell>
          <cell r="X88">
            <v>0</v>
          </cell>
          <cell r="Y88">
            <v>0</v>
          </cell>
          <cell r="Z88">
            <v>0</v>
          </cell>
          <cell r="AA88">
            <v>0</v>
          </cell>
          <cell r="AB88">
            <v>1399459.7</v>
          </cell>
          <cell r="AC88">
            <v>1878075</v>
          </cell>
          <cell r="AD88">
            <v>1003</v>
          </cell>
          <cell r="AE88">
            <v>1879078</v>
          </cell>
          <cell r="AF88">
            <v>0</v>
          </cell>
          <cell r="AG88">
            <v>0</v>
          </cell>
          <cell r="AH88">
            <v>-950</v>
          </cell>
          <cell r="AI88">
            <v>15063012</v>
          </cell>
          <cell r="AJ88">
            <v>16941087</v>
          </cell>
          <cell r="AK88">
            <v>1878075</v>
          </cell>
          <cell r="AL88">
            <v>16941087</v>
          </cell>
          <cell r="AM88">
            <v>0</v>
          </cell>
          <cell r="AN88">
            <v>0</v>
          </cell>
          <cell r="AO88">
            <v>0</v>
          </cell>
          <cell r="AP88">
            <v>0</v>
          </cell>
          <cell r="AQ88">
            <v>142393</v>
          </cell>
          <cell r="AR88">
            <v>0</v>
          </cell>
          <cell r="AS88">
            <v>142393</v>
          </cell>
          <cell r="AT88">
            <v>1476854.8345225581</v>
          </cell>
          <cell r="AU88">
            <v>258880.16547744186</v>
          </cell>
          <cell r="AW88">
            <v>15205405</v>
          </cell>
          <cell r="AX88">
            <v>344577</v>
          </cell>
          <cell r="AY88">
            <v>15549982</v>
          </cell>
          <cell r="AZ88">
            <v>0</v>
          </cell>
          <cell r="BA88">
            <v>15549982</v>
          </cell>
          <cell r="BB88">
            <v>0</v>
          </cell>
          <cell r="BC88">
            <v>15549982</v>
          </cell>
          <cell r="BD88">
            <v>1003</v>
          </cell>
          <cell r="BE88">
            <v>1878075</v>
          </cell>
          <cell r="BF88">
            <v>-950</v>
          </cell>
          <cell r="BH88">
            <v>17428110</v>
          </cell>
          <cell r="BI88">
            <v>142393</v>
          </cell>
          <cell r="BJ88">
            <v>17285717</v>
          </cell>
          <cell r="BK88">
            <v>0</v>
          </cell>
          <cell r="BL88">
            <v>17285717</v>
          </cell>
        </row>
        <row r="89">
          <cell r="B89" t="str">
            <v>LIFEBRIDGE/NORTHWEST</v>
          </cell>
          <cell r="C89" t="str">
            <v>SINAI</v>
          </cell>
          <cell r="D89" t="str">
            <v>n/a</v>
          </cell>
          <cell r="E89">
            <v>27710</v>
          </cell>
          <cell r="F89" t="str">
            <v>ASC</v>
          </cell>
          <cell r="G89" t="str">
            <v>JAN</v>
          </cell>
          <cell r="H89" t="str">
            <v>Lentz</v>
          </cell>
          <cell r="I89" t="str">
            <v>Fox</v>
          </cell>
          <cell r="J89" t="str">
            <v>Deposit-2 Month</v>
          </cell>
          <cell r="K89" t="str">
            <v>DONNA</v>
          </cell>
          <cell r="L89" t="str">
            <v>None</v>
          </cell>
          <cell r="M89">
            <v>0</v>
          </cell>
          <cell r="N89">
            <v>329886</v>
          </cell>
          <cell r="O89" t="str">
            <v>CARE</v>
          </cell>
          <cell r="P89" t="str">
            <v>LOCAL</v>
          </cell>
          <cell r="Q89">
            <v>3917</v>
          </cell>
          <cell r="R89">
            <v>0</v>
          </cell>
          <cell r="S89">
            <v>150000</v>
          </cell>
          <cell r="T89">
            <v>0</v>
          </cell>
          <cell r="U89">
            <v>596040.41</v>
          </cell>
          <cell r="V89">
            <v>0</v>
          </cell>
          <cell r="W89">
            <v>596040.41</v>
          </cell>
          <cell r="X89">
            <v>192271.1</v>
          </cell>
          <cell r="Y89">
            <v>0</v>
          </cell>
          <cell r="Z89">
            <v>0</v>
          </cell>
          <cell r="AA89">
            <v>0</v>
          </cell>
          <cell r="AB89">
            <v>1134399.49</v>
          </cell>
          <cell r="AC89">
            <v>1922711</v>
          </cell>
          <cell r="AD89">
            <v>2854</v>
          </cell>
          <cell r="AE89">
            <v>1925565</v>
          </cell>
          <cell r="AF89">
            <v>0</v>
          </cell>
          <cell r="AG89">
            <v>0</v>
          </cell>
          <cell r="AH89">
            <v>29494</v>
          </cell>
          <cell r="AI89">
            <v>7464673</v>
          </cell>
          <cell r="AJ89">
            <v>9387384</v>
          </cell>
          <cell r="AK89">
            <v>1922711</v>
          </cell>
          <cell r="AL89">
            <v>9387384</v>
          </cell>
          <cell r="AM89">
            <v>0</v>
          </cell>
          <cell r="AN89">
            <v>0</v>
          </cell>
          <cell r="AO89">
            <v>0</v>
          </cell>
          <cell r="AP89">
            <v>0</v>
          </cell>
          <cell r="AQ89">
            <v>147269</v>
          </cell>
          <cell r="AR89">
            <v>0</v>
          </cell>
          <cell r="AS89">
            <v>147269</v>
          </cell>
          <cell r="AT89">
            <v>743969.57410596858</v>
          </cell>
          <cell r="AU89">
            <v>1063820.4258940313</v>
          </cell>
          <cell r="AW89">
            <v>7611942</v>
          </cell>
          <cell r="AX89">
            <v>48858</v>
          </cell>
          <cell r="AY89">
            <v>7660800</v>
          </cell>
          <cell r="AZ89">
            <v>5454089</v>
          </cell>
          <cell r="BA89">
            <v>13114889</v>
          </cell>
          <cell r="BB89">
            <v>0</v>
          </cell>
          <cell r="BC89">
            <v>13114889</v>
          </cell>
          <cell r="BD89">
            <v>2854</v>
          </cell>
          <cell r="BE89">
            <v>1922711</v>
          </cell>
          <cell r="BF89">
            <v>29494</v>
          </cell>
          <cell r="BH89">
            <v>15069948</v>
          </cell>
          <cell r="BI89">
            <v>147269</v>
          </cell>
          <cell r="BJ89">
            <v>14922679</v>
          </cell>
          <cell r="BK89">
            <v>0</v>
          </cell>
          <cell r="BL89">
            <v>14922679</v>
          </cell>
        </row>
        <row r="90">
          <cell r="B90" t="str">
            <v>LOCKE INSULATORS</v>
          </cell>
          <cell r="C90">
            <v>0</v>
          </cell>
          <cell r="D90" t="str">
            <v>n/a</v>
          </cell>
          <cell r="E90" t="str">
            <v>07844</v>
          </cell>
          <cell r="F90" t="str">
            <v>ASC</v>
          </cell>
          <cell r="G90" t="str">
            <v>JAN</v>
          </cell>
          <cell r="H90" t="str">
            <v>Howard</v>
          </cell>
          <cell r="I90" t="str">
            <v>Fox</v>
          </cell>
          <cell r="J90" t="str">
            <v>Deposit-2 Month</v>
          </cell>
          <cell r="K90" t="str">
            <v>DONNA</v>
          </cell>
          <cell r="L90" t="str">
            <v>None</v>
          </cell>
          <cell r="M90">
            <v>6316</v>
          </cell>
          <cell r="N90">
            <v>0</v>
          </cell>
          <cell r="O90" t="str">
            <v>CARE-S</v>
          </cell>
          <cell r="P90" t="str">
            <v>LOCAL</v>
          </cell>
          <cell r="Q90" t="str">
            <v>dental</v>
          </cell>
          <cell r="R90">
            <v>0</v>
          </cell>
          <cell r="S90">
            <v>0</v>
          </cell>
          <cell r="T90">
            <v>0</v>
          </cell>
          <cell r="U90">
            <v>0</v>
          </cell>
          <cell r="V90">
            <v>0</v>
          </cell>
          <cell r="W90">
            <v>0</v>
          </cell>
          <cell r="X90">
            <v>0</v>
          </cell>
          <cell r="Y90">
            <v>0</v>
          </cell>
          <cell r="Z90">
            <v>0</v>
          </cell>
          <cell r="AA90">
            <v>0</v>
          </cell>
          <cell r="AB90">
            <v>7328</v>
          </cell>
          <cell r="AC90">
            <v>7328</v>
          </cell>
          <cell r="AD90">
            <v>0</v>
          </cell>
          <cell r="AE90">
            <v>7328</v>
          </cell>
          <cell r="AF90">
            <v>0</v>
          </cell>
          <cell r="AG90">
            <v>0</v>
          </cell>
          <cell r="AH90">
            <v>0</v>
          </cell>
          <cell r="AI90">
            <v>29533</v>
          </cell>
          <cell r="AJ90">
            <v>36861</v>
          </cell>
          <cell r="AK90">
            <v>7328</v>
          </cell>
          <cell r="AL90">
            <v>36861</v>
          </cell>
          <cell r="AM90">
            <v>0</v>
          </cell>
          <cell r="AN90">
            <v>0</v>
          </cell>
          <cell r="AO90">
            <v>0</v>
          </cell>
          <cell r="AP90">
            <v>0</v>
          </cell>
          <cell r="AQ90">
            <v>0</v>
          </cell>
          <cell r="AR90">
            <v>0</v>
          </cell>
          <cell r="AS90">
            <v>0</v>
          </cell>
          <cell r="AT90">
            <v>2854.3475475802852</v>
          </cell>
          <cell r="AU90">
            <v>4473.6524524197148</v>
          </cell>
          <cell r="AW90">
            <v>29533</v>
          </cell>
          <cell r="AX90">
            <v>0</v>
          </cell>
          <cell r="AY90">
            <v>29533</v>
          </cell>
          <cell r="AZ90">
            <v>0</v>
          </cell>
          <cell r="BA90">
            <v>29533</v>
          </cell>
          <cell r="BB90">
            <v>0</v>
          </cell>
          <cell r="BC90">
            <v>29533</v>
          </cell>
          <cell r="BD90">
            <v>0</v>
          </cell>
          <cell r="BE90">
            <v>7328</v>
          </cell>
          <cell r="BF90">
            <v>0</v>
          </cell>
          <cell r="BH90">
            <v>36861</v>
          </cell>
          <cell r="BI90">
            <v>0</v>
          </cell>
          <cell r="BJ90">
            <v>36861</v>
          </cell>
          <cell r="BK90">
            <v>0</v>
          </cell>
          <cell r="BL90">
            <v>36861</v>
          </cell>
        </row>
        <row r="91">
          <cell r="B91" t="str">
            <v>LOYOLA COLLEGE RETRO</v>
          </cell>
          <cell r="C91">
            <v>0</v>
          </cell>
          <cell r="D91" t="str">
            <v>n/a</v>
          </cell>
          <cell r="E91" t="str">
            <v>C1387</v>
          </cell>
          <cell r="F91" t="str">
            <v>Modified Retro</v>
          </cell>
          <cell r="G91" t="str">
            <v>JUL</v>
          </cell>
          <cell r="H91" t="str">
            <v>Richardson</v>
          </cell>
          <cell r="I91" t="str">
            <v>Drumgoole</v>
          </cell>
          <cell r="J91" t="str">
            <v>Retrospective</v>
          </cell>
          <cell r="K91" t="str">
            <v>LISA</v>
          </cell>
          <cell r="L91" t="str">
            <v>None</v>
          </cell>
          <cell r="M91">
            <v>0</v>
          </cell>
          <cell r="N91">
            <v>0</v>
          </cell>
          <cell r="O91" t="str">
            <v>CARE</v>
          </cell>
          <cell r="P91" t="str">
            <v>LOCAL</v>
          </cell>
          <cell r="Q91">
            <v>524</v>
          </cell>
          <cell r="R91">
            <v>0</v>
          </cell>
          <cell r="S91">
            <v>100000</v>
          </cell>
          <cell r="T91">
            <v>0</v>
          </cell>
          <cell r="U91">
            <v>164562.32999999999</v>
          </cell>
          <cell r="V91">
            <v>798.97500000000002</v>
          </cell>
          <cell r="W91">
            <v>165361.30499999999</v>
          </cell>
          <cell r="X91">
            <v>23886.41</v>
          </cell>
          <cell r="Y91">
            <v>0</v>
          </cell>
          <cell r="Z91">
            <v>0</v>
          </cell>
          <cell r="AA91">
            <v>39638.1</v>
          </cell>
          <cell r="AB91">
            <v>301693.18500000006</v>
          </cell>
          <cell r="AC91">
            <v>530579</v>
          </cell>
          <cell r="AD91">
            <v>177</v>
          </cell>
          <cell r="AE91">
            <v>530756</v>
          </cell>
          <cell r="AF91">
            <v>0</v>
          </cell>
          <cell r="AG91">
            <v>0</v>
          </cell>
          <cell r="AH91">
            <v>0</v>
          </cell>
          <cell r="AI91">
            <v>1736828</v>
          </cell>
          <cell r="AJ91">
            <v>2267407</v>
          </cell>
          <cell r="AK91">
            <v>530579</v>
          </cell>
          <cell r="AL91">
            <v>2227768.9</v>
          </cell>
          <cell r="AM91">
            <v>0</v>
          </cell>
          <cell r="AN91">
            <v>0</v>
          </cell>
          <cell r="AO91">
            <v>0</v>
          </cell>
          <cell r="AP91">
            <v>0</v>
          </cell>
          <cell r="AQ91">
            <v>57507</v>
          </cell>
          <cell r="AR91">
            <v>0</v>
          </cell>
          <cell r="AS91">
            <v>57507</v>
          </cell>
          <cell r="AT91">
            <v>175021.94218897063</v>
          </cell>
          <cell r="AU91">
            <v>258588.9578110294</v>
          </cell>
          <cell r="AW91">
            <v>1794335</v>
          </cell>
          <cell r="AX91">
            <v>7171</v>
          </cell>
          <cell r="AY91">
            <v>1801506</v>
          </cell>
          <cell r="AZ91">
            <v>0</v>
          </cell>
          <cell r="BA91">
            <v>1801506</v>
          </cell>
          <cell r="BB91">
            <v>0</v>
          </cell>
          <cell r="BC91">
            <v>1801506</v>
          </cell>
          <cell r="BD91">
            <v>177</v>
          </cell>
          <cell r="BE91">
            <v>530579</v>
          </cell>
          <cell r="BF91">
            <v>0</v>
          </cell>
          <cell r="BH91">
            <v>2332262</v>
          </cell>
          <cell r="BI91">
            <v>57507</v>
          </cell>
          <cell r="BJ91">
            <v>2274755</v>
          </cell>
          <cell r="BK91">
            <v>0</v>
          </cell>
          <cell r="BL91">
            <v>2274755</v>
          </cell>
        </row>
        <row r="92">
          <cell r="B92" t="str">
            <v>LYRIC HEALTHCARE</v>
          </cell>
          <cell r="C92">
            <v>0</v>
          </cell>
          <cell r="D92">
            <v>1900370</v>
          </cell>
          <cell r="E92">
            <v>63429</v>
          </cell>
          <cell r="F92" t="str">
            <v>ASC</v>
          </cell>
          <cell r="G92" t="str">
            <v>JAN</v>
          </cell>
          <cell r="H92" t="str">
            <v>Parker Mann</v>
          </cell>
          <cell r="I92" t="str">
            <v>Engel</v>
          </cell>
          <cell r="J92" t="str">
            <v>Weekly Wire</v>
          </cell>
          <cell r="K92" t="str">
            <v>DONNA</v>
          </cell>
          <cell r="L92" t="str">
            <v>Crawford, Slevin &amp; Hicks</v>
          </cell>
          <cell r="M92">
            <v>0</v>
          </cell>
          <cell r="N92">
            <v>630000</v>
          </cell>
          <cell r="O92" t="str">
            <v>NASCO</v>
          </cell>
          <cell r="P92" t="str">
            <v>NATIONAL</v>
          </cell>
          <cell r="Q92">
            <v>2337</v>
          </cell>
          <cell r="R92">
            <v>0</v>
          </cell>
          <cell r="S92">
            <v>0</v>
          </cell>
          <cell r="T92">
            <v>0</v>
          </cell>
          <cell r="U92">
            <v>0</v>
          </cell>
          <cell r="V92">
            <v>0</v>
          </cell>
          <cell r="W92">
            <v>0</v>
          </cell>
          <cell r="X92">
            <v>0</v>
          </cell>
          <cell r="Y92">
            <v>0</v>
          </cell>
          <cell r="Z92">
            <v>0</v>
          </cell>
          <cell r="AA92">
            <v>128454.82</v>
          </cell>
          <cell r="AB92">
            <v>859659.18</v>
          </cell>
          <cell r="AC92">
            <v>988114</v>
          </cell>
          <cell r="AD92">
            <v>0</v>
          </cell>
          <cell r="AE92">
            <v>988114</v>
          </cell>
          <cell r="AF92">
            <v>0</v>
          </cell>
          <cell r="AG92">
            <v>0</v>
          </cell>
          <cell r="AH92">
            <v>0</v>
          </cell>
          <cell r="AI92">
            <v>9452718</v>
          </cell>
          <cell r="AJ92">
            <v>10440832</v>
          </cell>
          <cell r="AK92">
            <v>988114</v>
          </cell>
          <cell r="AL92">
            <v>10312377.18</v>
          </cell>
          <cell r="AM92">
            <v>0</v>
          </cell>
          <cell r="AN92">
            <v>0</v>
          </cell>
          <cell r="AO92">
            <v>0</v>
          </cell>
          <cell r="AP92">
            <v>0</v>
          </cell>
          <cell r="AQ92">
            <v>49452</v>
          </cell>
          <cell r="AR92">
            <v>0</v>
          </cell>
          <cell r="AS92">
            <v>49452</v>
          </cell>
          <cell r="AT92">
            <v>919286.67724514625</v>
          </cell>
          <cell r="AU92">
            <v>-109079.49724514631</v>
          </cell>
          <cell r="AW92">
            <v>9502170</v>
          </cell>
          <cell r="AX92">
            <v>196280</v>
          </cell>
          <cell r="AY92">
            <v>9698450</v>
          </cell>
          <cell r="AZ92">
            <v>0</v>
          </cell>
          <cell r="BA92">
            <v>9698450</v>
          </cell>
          <cell r="BB92">
            <v>0</v>
          </cell>
          <cell r="BC92">
            <v>9698450</v>
          </cell>
          <cell r="BD92">
            <v>0</v>
          </cell>
          <cell r="BE92">
            <v>988114</v>
          </cell>
          <cell r="BF92">
            <v>0</v>
          </cell>
          <cell r="BH92">
            <v>10686564</v>
          </cell>
          <cell r="BI92">
            <v>49452</v>
          </cell>
          <cell r="BJ92">
            <v>10637112</v>
          </cell>
          <cell r="BK92">
            <v>0</v>
          </cell>
          <cell r="BL92">
            <v>10637112</v>
          </cell>
        </row>
        <row r="93">
          <cell r="B93" t="str">
            <v>M&amp;T BANK</v>
          </cell>
          <cell r="C93" t="str">
            <v>ALLFIRST</v>
          </cell>
          <cell r="D93">
            <v>1900464</v>
          </cell>
          <cell r="E93">
            <v>57096</v>
          </cell>
          <cell r="F93" t="str">
            <v>ASC</v>
          </cell>
          <cell r="G93" t="str">
            <v>JAN</v>
          </cell>
          <cell r="H93" t="str">
            <v>Hauff</v>
          </cell>
          <cell r="I93" t="str">
            <v>Drumgoole</v>
          </cell>
          <cell r="J93" t="str">
            <v>Deposit--2 Month</v>
          </cell>
          <cell r="K93" t="str">
            <v>BARBARA</v>
          </cell>
          <cell r="L93" t="str">
            <v>None</v>
          </cell>
          <cell r="M93">
            <v>374000</v>
          </cell>
          <cell r="N93">
            <v>74820</v>
          </cell>
          <cell r="O93" t="str">
            <v>NASCO-S</v>
          </cell>
          <cell r="P93" t="str">
            <v>LOCAL</v>
          </cell>
          <cell r="Q93">
            <v>1146</v>
          </cell>
          <cell r="R93">
            <v>0</v>
          </cell>
          <cell r="S93">
            <v>0</v>
          </cell>
          <cell r="T93">
            <v>0</v>
          </cell>
          <cell r="U93">
            <v>0</v>
          </cell>
          <cell r="V93">
            <v>0</v>
          </cell>
          <cell r="W93">
            <v>0</v>
          </cell>
          <cell r="X93">
            <v>0</v>
          </cell>
          <cell r="Y93">
            <v>0</v>
          </cell>
          <cell r="Z93">
            <v>0</v>
          </cell>
          <cell r="AA93">
            <v>0</v>
          </cell>
          <cell r="AB93">
            <v>453466</v>
          </cell>
          <cell r="AC93">
            <v>453466</v>
          </cell>
          <cell r="AD93">
            <v>1089</v>
          </cell>
          <cell r="AE93">
            <v>454555</v>
          </cell>
          <cell r="AF93">
            <v>0</v>
          </cell>
          <cell r="AG93">
            <v>0</v>
          </cell>
          <cell r="AH93">
            <v>-413</v>
          </cell>
          <cell r="AI93">
            <v>1290459</v>
          </cell>
          <cell r="AJ93">
            <v>1743925</v>
          </cell>
          <cell r="AK93">
            <v>453466</v>
          </cell>
          <cell r="AL93">
            <v>1743925</v>
          </cell>
          <cell r="AM93">
            <v>0</v>
          </cell>
          <cell r="AN93">
            <v>0</v>
          </cell>
          <cell r="AO93">
            <v>0</v>
          </cell>
          <cell r="AP93">
            <v>0</v>
          </cell>
          <cell r="AQ93">
            <v>0</v>
          </cell>
          <cell r="AR93">
            <v>0</v>
          </cell>
          <cell r="AS93">
            <v>0</v>
          </cell>
          <cell r="AT93">
            <v>125019.86254254822</v>
          </cell>
          <cell r="AU93">
            <v>329122.13745745178</v>
          </cell>
          <cell r="AW93">
            <v>1290459</v>
          </cell>
          <cell r="AX93">
            <v>4015</v>
          </cell>
          <cell r="AY93">
            <v>1294474</v>
          </cell>
          <cell r="AZ93">
            <v>0</v>
          </cell>
          <cell r="BA93">
            <v>1294474</v>
          </cell>
          <cell r="BB93">
            <v>0</v>
          </cell>
          <cell r="BC93">
            <v>1294474</v>
          </cell>
          <cell r="BD93">
            <v>1089</v>
          </cell>
          <cell r="BE93">
            <v>453466</v>
          </cell>
          <cell r="BF93">
            <v>-413</v>
          </cell>
          <cell r="BH93">
            <v>1748616</v>
          </cell>
          <cell r="BI93">
            <v>0</v>
          </cell>
          <cell r="BJ93">
            <v>1748616</v>
          </cell>
          <cell r="BK93">
            <v>0</v>
          </cell>
          <cell r="BL93">
            <v>1748616</v>
          </cell>
        </row>
        <row r="94">
          <cell r="B94" t="str">
            <v>MAGELLAN</v>
          </cell>
          <cell r="C94">
            <v>0</v>
          </cell>
          <cell r="D94">
            <v>1900012</v>
          </cell>
          <cell r="E94">
            <v>48995</v>
          </cell>
          <cell r="F94" t="str">
            <v>ASC</v>
          </cell>
          <cell r="G94" t="str">
            <v>JAN</v>
          </cell>
          <cell r="H94" t="str">
            <v>Delong</v>
          </cell>
          <cell r="I94" t="str">
            <v>Chopper</v>
          </cell>
          <cell r="J94" t="str">
            <v>Weekly Wire</v>
          </cell>
          <cell r="K94" t="str">
            <v>NETTIE</v>
          </cell>
          <cell r="L94" t="str">
            <v>None</v>
          </cell>
          <cell r="M94">
            <v>0</v>
          </cell>
          <cell r="N94">
            <v>108000</v>
          </cell>
          <cell r="O94" t="str">
            <v>NASCO</v>
          </cell>
          <cell r="P94" t="str">
            <v>NATIONAL</v>
          </cell>
          <cell r="Q94">
            <v>3041</v>
          </cell>
          <cell r="R94">
            <v>0</v>
          </cell>
          <cell r="S94">
            <v>0</v>
          </cell>
          <cell r="T94">
            <v>0</v>
          </cell>
          <cell r="U94">
            <v>0</v>
          </cell>
          <cell r="V94">
            <v>0</v>
          </cell>
          <cell r="W94">
            <v>0</v>
          </cell>
          <cell r="X94">
            <v>0</v>
          </cell>
          <cell r="Y94">
            <v>0</v>
          </cell>
          <cell r="Z94">
            <v>0</v>
          </cell>
          <cell r="AA94">
            <v>0</v>
          </cell>
          <cell r="AB94">
            <v>1408735</v>
          </cell>
          <cell r="AC94">
            <v>1408735</v>
          </cell>
          <cell r="AD94">
            <v>54</v>
          </cell>
          <cell r="AE94">
            <v>1408789</v>
          </cell>
          <cell r="AF94">
            <v>0</v>
          </cell>
          <cell r="AG94">
            <v>0</v>
          </cell>
          <cell r="AH94">
            <v>7800</v>
          </cell>
          <cell r="AI94">
            <v>14238360</v>
          </cell>
          <cell r="AJ94">
            <v>15647095</v>
          </cell>
          <cell r="AK94">
            <v>1408735</v>
          </cell>
          <cell r="AL94">
            <v>15647095</v>
          </cell>
          <cell r="AM94">
            <v>0</v>
          </cell>
          <cell r="AN94">
            <v>0</v>
          </cell>
          <cell r="AO94">
            <v>0</v>
          </cell>
          <cell r="AP94">
            <v>0</v>
          </cell>
          <cell r="AQ94">
            <v>0</v>
          </cell>
          <cell r="AR94">
            <v>0</v>
          </cell>
          <cell r="AS94">
            <v>0</v>
          </cell>
          <cell r="AT94">
            <v>1381233.158458299</v>
          </cell>
          <cell r="AU94">
            <v>35355.841541700996</v>
          </cell>
          <cell r="AW94">
            <v>14238360</v>
          </cell>
          <cell r="AX94">
            <v>583687</v>
          </cell>
          <cell r="AY94">
            <v>14822047</v>
          </cell>
          <cell r="AZ94">
            <v>0</v>
          </cell>
          <cell r="BA94">
            <v>14822047</v>
          </cell>
          <cell r="BB94">
            <v>0</v>
          </cell>
          <cell r="BC94">
            <v>14822047</v>
          </cell>
          <cell r="BD94">
            <v>54</v>
          </cell>
          <cell r="BE94">
            <v>1408735</v>
          </cell>
          <cell r="BF94">
            <v>7800</v>
          </cell>
          <cell r="BH94">
            <v>16238636</v>
          </cell>
          <cell r="BI94">
            <v>0</v>
          </cell>
          <cell r="BJ94">
            <v>16238636</v>
          </cell>
          <cell r="BK94">
            <v>0</v>
          </cell>
          <cell r="BL94">
            <v>16238636</v>
          </cell>
        </row>
        <row r="95">
          <cell r="B95" t="str">
            <v>MAXIM EXTERNAL</v>
          </cell>
          <cell r="C95">
            <v>0</v>
          </cell>
          <cell r="D95">
            <v>1900483</v>
          </cell>
          <cell r="E95">
            <v>64784</v>
          </cell>
          <cell r="F95" t="str">
            <v>ASC</v>
          </cell>
          <cell r="G95" t="str">
            <v>JUN</v>
          </cell>
          <cell r="H95" t="str">
            <v>Parker Mann</v>
          </cell>
          <cell r="I95" t="str">
            <v>Patton</v>
          </cell>
          <cell r="J95" t="str">
            <v>Weekly Wire</v>
          </cell>
          <cell r="K95" t="str">
            <v>BARBARA</v>
          </cell>
          <cell r="L95" t="str">
            <v>Kelly &amp; Associates</v>
          </cell>
          <cell r="M95">
            <v>0</v>
          </cell>
          <cell r="N95">
            <v>0</v>
          </cell>
          <cell r="O95" t="str">
            <v>NASCO</v>
          </cell>
          <cell r="P95" t="str">
            <v>NATIONAL</v>
          </cell>
          <cell r="Q95">
            <v>1403</v>
          </cell>
          <cell r="R95">
            <v>0</v>
          </cell>
          <cell r="S95">
            <v>0</v>
          </cell>
          <cell r="T95">
            <v>0</v>
          </cell>
          <cell r="U95">
            <v>0</v>
          </cell>
          <cell r="V95">
            <v>0</v>
          </cell>
          <cell r="W95">
            <v>0</v>
          </cell>
          <cell r="X95">
            <v>0</v>
          </cell>
          <cell r="Y95">
            <v>0</v>
          </cell>
          <cell r="Z95">
            <v>0</v>
          </cell>
          <cell r="AA95">
            <v>241005.54</v>
          </cell>
          <cell r="AB95">
            <v>609758.46</v>
          </cell>
          <cell r="AC95">
            <v>850764</v>
          </cell>
          <cell r="AD95">
            <v>0</v>
          </cell>
          <cell r="AE95">
            <v>850764</v>
          </cell>
          <cell r="AF95">
            <v>0</v>
          </cell>
          <cell r="AG95">
            <v>0</v>
          </cell>
          <cell r="AH95">
            <v>0</v>
          </cell>
          <cell r="AI95">
            <v>7595236</v>
          </cell>
          <cell r="AJ95">
            <v>8446000</v>
          </cell>
          <cell r="AK95">
            <v>850764</v>
          </cell>
          <cell r="AL95">
            <v>8204994.46</v>
          </cell>
          <cell r="AM95">
            <v>0</v>
          </cell>
          <cell r="AN95">
            <v>0</v>
          </cell>
          <cell r="AO95">
            <v>0</v>
          </cell>
          <cell r="AP95">
            <v>0</v>
          </cell>
          <cell r="AQ95">
            <v>0</v>
          </cell>
          <cell r="AR95">
            <v>0</v>
          </cell>
          <cell r="AS95">
            <v>0</v>
          </cell>
          <cell r="AT95">
            <v>740722.90563774318</v>
          </cell>
          <cell r="AU95">
            <v>-130964.44563774322</v>
          </cell>
          <cell r="AW95">
            <v>7595236</v>
          </cell>
          <cell r="AX95">
            <v>480790</v>
          </cell>
          <cell r="AY95">
            <v>8076026</v>
          </cell>
          <cell r="AZ95">
            <v>0</v>
          </cell>
          <cell r="BA95">
            <v>8076026</v>
          </cell>
          <cell r="BB95">
            <v>0</v>
          </cell>
          <cell r="BC95">
            <v>8076026</v>
          </cell>
          <cell r="BD95">
            <v>0</v>
          </cell>
          <cell r="BE95">
            <v>850764</v>
          </cell>
          <cell r="BF95">
            <v>0</v>
          </cell>
          <cell r="BH95">
            <v>8926790</v>
          </cell>
          <cell r="BI95">
            <v>0</v>
          </cell>
          <cell r="BJ95">
            <v>8926790</v>
          </cell>
          <cell r="BK95">
            <v>0</v>
          </cell>
          <cell r="BL95">
            <v>8926790</v>
          </cell>
        </row>
        <row r="96">
          <cell r="B96" t="str">
            <v>MD MEDICINE</v>
          </cell>
          <cell r="C96">
            <v>0</v>
          </cell>
          <cell r="D96" t="str">
            <v>n/a</v>
          </cell>
          <cell r="E96">
            <v>42402</v>
          </cell>
          <cell r="F96" t="str">
            <v>ASC</v>
          </cell>
          <cell r="G96" t="str">
            <v>JAN</v>
          </cell>
          <cell r="H96" t="str">
            <v>Michael</v>
          </cell>
          <cell r="I96" t="str">
            <v>Maier</v>
          </cell>
          <cell r="J96" t="str">
            <v>Deposit-2 Month</v>
          </cell>
          <cell r="K96" t="str">
            <v>DONNA</v>
          </cell>
          <cell r="L96" t="str">
            <v>None</v>
          </cell>
          <cell r="M96">
            <v>800</v>
          </cell>
          <cell r="N96">
            <v>0</v>
          </cell>
          <cell r="O96" t="str">
            <v>CARE-S</v>
          </cell>
          <cell r="P96" t="str">
            <v>LOCAL</v>
          </cell>
          <cell r="Q96" t="str">
            <v>dental</v>
          </cell>
          <cell r="R96">
            <v>0</v>
          </cell>
          <cell r="S96">
            <v>0</v>
          </cell>
          <cell r="T96">
            <v>0</v>
          </cell>
          <cell r="U96">
            <v>0</v>
          </cell>
          <cell r="V96">
            <v>0</v>
          </cell>
          <cell r="W96">
            <v>0</v>
          </cell>
          <cell r="X96">
            <v>0</v>
          </cell>
          <cell r="Y96">
            <v>0</v>
          </cell>
          <cell r="Z96">
            <v>0</v>
          </cell>
          <cell r="AA96">
            <v>0</v>
          </cell>
          <cell r="AB96">
            <v>424</v>
          </cell>
          <cell r="AC96">
            <v>424</v>
          </cell>
          <cell r="AD96">
            <v>0</v>
          </cell>
          <cell r="AE96">
            <v>424</v>
          </cell>
          <cell r="AF96">
            <v>0</v>
          </cell>
          <cell r="AG96">
            <v>0</v>
          </cell>
          <cell r="AH96">
            <v>0</v>
          </cell>
          <cell r="AI96">
            <v>3059</v>
          </cell>
          <cell r="AJ96">
            <v>3483</v>
          </cell>
          <cell r="AK96">
            <v>424</v>
          </cell>
          <cell r="AL96">
            <v>3483</v>
          </cell>
          <cell r="AM96">
            <v>0</v>
          </cell>
          <cell r="AN96">
            <v>0</v>
          </cell>
          <cell r="AO96">
            <v>0</v>
          </cell>
          <cell r="AP96">
            <v>0</v>
          </cell>
          <cell r="AQ96">
            <v>0</v>
          </cell>
          <cell r="AR96">
            <v>0</v>
          </cell>
          <cell r="AS96">
            <v>0</v>
          </cell>
          <cell r="AT96">
            <v>299.42600609787638</v>
          </cell>
          <cell r="AU96">
            <v>124.57399390212362</v>
          </cell>
          <cell r="AW96">
            <v>3059</v>
          </cell>
          <cell r="AX96">
            <v>0</v>
          </cell>
          <cell r="AY96">
            <v>3059</v>
          </cell>
          <cell r="AZ96">
            <v>0</v>
          </cell>
          <cell r="BA96">
            <v>3059</v>
          </cell>
          <cell r="BB96">
            <v>0</v>
          </cell>
          <cell r="BC96">
            <v>3059</v>
          </cell>
          <cell r="BD96">
            <v>0</v>
          </cell>
          <cell r="BE96">
            <v>424</v>
          </cell>
          <cell r="BF96">
            <v>0</v>
          </cell>
          <cell r="BH96">
            <v>3483</v>
          </cell>
          <cell r="BI96">
            <v>0</v>
          </cell>
          <cell r="BJ96">
            <v>3483</v>
          </cell>
          <cell r="BK96">
            <v>0</v>
          </cell>
          <cell r="BL96">
            <v>3483</v>
          </cell>
        </row>
        <row r="97">
          <cell r="B97" t="str">
            <v>MEDSTAR</v>
          </cell>
          <cell r="C97" t="str">
            <v>HELIX</v>
          </cell>
          <cell r="D97">
            <v>1900308</v>
          </cell>
          <cell r="E97">
            <v>61864</v>
          </cell>
          <cell r="F97" t="str">
            <v>ASC</v>
          </cell>
          <cell r="G97" t="str">
            <v>JAN</v>
          </cell>
          <cell r="H97" t="str">
            <v>Daniels</v>
          </cell>
          <cell r="I97" t="str">
            <v>Drusano</v>
          </cell>
          <cell r="J97" t="str">
            <v>Weekly Wire</v>
          </cell>
          <cell r="K97" t="str">
            <v>LISA</v>
          </cell>
          <cell r="L97" t="str">
            <v>None</v>
          </cell>
          <cell r="M97">
            <v>0</v>
          </cell>
          <cell r="N97">
            <v>170802</v>
          </cell>
          <cell r="O97" t="str">
            <v>Nasco</v>
          </cell>
          <cell r="P97" t="str">
            <v>LOCAL</v>
          </cell>
          <cell r="Q97">
            <v>6760</v>
          </cell>
          <cell r="R97">
            <v>0</v>
          </cell>
          <cell r="S97">
            <v>300000</v>
          </cell>
          <cell r="T97">
            <v>1.35</v>
          </cell>
          <cell r="U97">
            <v>386077.3</v>
          </cell>
          <cell r="V97">
            <v>55153.9</v>
          </cell>
          <cell r="W97">
            <v>441231.2</v>
          </cell>
          <cell r="X97">
            <v>0</v>
          </cell>
          <cell r="Y97">
            <v>0</v>
          </cell>
          <cell r="Z97">
            <v>0</v>
          </cell>
          <cell r="AA97">
            <v>0</v>
          </cell>
          <cell r="AB97">
            <v>2316463.7999999998</v>
          </cell>
          <cell r="AC97">
            <v>2757695</v>
          </cell>
          <cell r="AD97">
            <v>-797</v>
          </cell>
          <cell r="AE97">
            <v>2756898</v>
          </cell>
          <cell r="AF97">
            <v>0</v>
          </cell>
          <cell r="AG97">
            <v>0</v>
          </cell>
          <cell r="AH97">
            <v>-11250</v>
          </cell>
          <cell r="AI97">
            <v>33072066</v>
          </cell>
          <cell r="AJ97">
            <v>35829761</v>
          </cell>
          <cell r="AK97">
            <v>2757695</v>
          </cell>
          <cell r="AL97">
            <v>35829761</v>
          </cell>
          <cell r="AM97">
            <v>0</v>
          </cell>
          <cell r="AN97">
            <v>0</v>
          </cell>
          <cell r="AO97">
            <v>0</v>
          </cell>
          <cell r="AP97">
            <v>0</v>
          </cell>
          <cell r="AQ97">
            <v>107347</v>
          </cell>
          <cell r="AR97">
            <v>0</v>
          </cell>
          <cell r="AS97">
            <v>107347</v>
          </cell>
          <cell r="AT97">
            <v>3246361.7113034674</v>
          </cell>
          <cell r="AU97">
            <v>-608060.7113034674</v>
          </cell>
          <cell r="AW97">
            <v>33179413</v>
          </cell>
          <cell r="AX97">
            <v>45097</v>
          </cell>
          <cell r="AY97">
            <v>33224510</v>
          </cell>
          <cell r="AZ97">
            <v>0</v>
          </cell>
          <cell r="BA97">
            <v>33224510</v>
          </cell>
          <cell r="BB97">
            <v>0</v>
          </cell>
          <cell r="BC97">
            <v>33224510</v>
          </cell>
          <cell r="BD97">
            <v>-797</v>
          </cell>
          <cell r="BE97">
            <v>2757695</v>
          </cell>
          <cell r="BF97">
            <v>-11250</v>
          </cell>
          <cell r="BH97">
            <v>35970158</v>
          </cell>
          <cell r="BI97">
            <v>107347</v>
          </cell>
          <cell r="BJ97">
            <v>35862811</v>
          </cell>
          <cell r="BK97">
            <v>0</v>
          </cell>
          <cell r="BL97">
            <v>35862811</v>
          </cell>
        </row>
        <row r="98">
          <cell r="B98" t="str">
            <v>MERCANTILE BANK RETRO</v>
          </cell>
          <cell r="C98">
            <v>0</v>
          </cell>
          <cell r="D98">
            <v>1900177</v>
          </cell>
          <cell r="E98">
            <v>7517</v>
          </cell>
          <cell r="F98" t="str">
            <v>Modified Retro</v>
          </cell>
          <cell r="G98" t="str">
            <v>JAN</v>
          </cell>
          <cell r="H98" t="str">
            <v>Michael</v>
          </cell>
          <cell r="I98" t="str">
            <v>Maier</v>
          </cell>
          <cell r="J98" t="str">
            <v>Retrospective</v>
          </cell>
          <cell r="K98" t="str">
            <v>NETTIE</v>
          </cell>
          <cell r="L98" t="str">
            <v>None</v>
          </cell>
          <cell r="M98">
            <v>0</v>
          </cell>
          <cell r="N98">
            <v>0</v>
          </cell>
          <cell r="O98" t="str">
            <v>Nasco</v>
          </cell>
          <cell r="P98" t="str">
            <v>NATIONAL</v>
          </cell>
          <cell r="Q98">
            <v>1478</v>
          </cell>
          <cell r="R98">
            <v>0</v>
          </cell>
          <cell r="S98">
            <v>125000</v>
          </cell>
          <cell r="T98">
            <v>1.25</v>
          </cell>
          <cell r="U98">
            <v>583653.51</v>
          </cell>
          <cell r="V98">
            <v>35372.94</v>
          </cell>
          <cell r="W98">
            <v>619026.44999999995</v>
          </cell>
          <cell r="X98">
            <v>88432.35</v>
          </cell>
          <cell r="Y98">
            <v>53059.41</v>
          </cell>
          <cell r="Z98">
            <v>0</v>
          </cell>
          <cell r="AA98">
            <v>0</v>
          </cell>
          <cell r="AB98">
            <v>1008128.79</v>
          </cell>
          <cell r="AC98">
            <v>1768647</v>
          </cell>
          <cell r="AD98">
            <v>45</v>
          </cell>
          <cell r="AE98">
            <v>1768692</v>
          </cell>
          <cell r="AF98">
            <v>0</v>
          </cell>
          <cell r="AG98">
            <v>0</v>
          </cell>
          <cell r="AH98">
            <v>0</v>
          </cell>
          <cell r="AI98">
            <v>9745368</v>
          </cell>
          <cell r="AJ98">
            <v>11514015</v>
          </cell>
          <cell r="AK98">
            <v>1768647</v>
          </cell>
          <cell r="AL98">
            <v>11514015</v>
          </cell>
          <cell r="AM98">
            <v>0</v>
          </cell>
          <cell r="AN98">
            <v>0</v>
          </cell>
          <cell r="AO98">
            <v>0</v>
          </cell>
          <cell r="AP98">
            <v>0</v>
          </cell>
          <cell r="AQ98">
            <v>134931</v>
          </cell>
          <cell r="AR98">
            <v>0</v>
          </cell>
          <cell r="AS98">
            <v>134931</v>
          </cell>
          <cell r="AT98">
            <v>958024.37704872852</v>
          </cell>
          <cell r="AU98">
            <v>675736.62295127148</v>
          </cell>
          <cell r="AW98">
            <v>9880299</v>
          </cell>
          <cell r="AX98">
            <v>32448</v>
          </cell>
          <cell r="AY98">
            <v>9912747</v>
          </cell>
          <cell r="AZ98">
            <v>0</v>
          </cell>
          <cell r="BA98">
            <v>9912747</v>
          </cell>
          <cell r="BB98">
            <v>0</v>
          </cell>
          <cell r="BC98">
            <v>9912747</v>
          </cell>
          <cell r="BD98">
            <v>45</v>
          </cell>
          <cell r="BE98">
            <v>1768647</v>
          </cell>
          <cell r="BF98">
            <v>0</v>
          </cell>
          <cell r="BH98">
            <v>11681439</v>
          </cell>
          <cell r="BI98">
            <v>134931</v>
          </cell>
          <cell r="BJ98">
            <v>11546508</v>
          </cell>
          <cell r="BK98">
            <v>0</v>
          </cell>
          <cell r="BL98">
            <v>11546508</v>
          </cell>
        </row>
        <row r="99">
          <cell r="B99" t="str">
            <v>MERCY MEDICAL</v>
          </cell>
          <cell r="C99">
            <v>0</v>
          </cell>
          <cell r="D99" t="str">
            <v>n/a</v>
          </cell>
          <cell r="E99">
            <v>58359</v>
          </cell>
          <cell r="F99" t="str">
            <v>ASC</v>
          </cell>
          <cell r="G99" t="str">
            <v>JUL</v>
          </cell>
          <cell r="H99" t="str">
            <v>Richardson</v>
          </cell>
          <cell r="I99" t="str">
            <v>Patton</v>
          </cell>
          <cell r="J99" t="str">
            <v>Deposit-2 Months</v>
          </cell>
          <cell r="K99" t="str">
            <v>DONNA</v>
          </cell>
          <cell r="L99" t="str">
            <v>None</v>
          </cell>
          <cell r="M99">
            <v>122000</v>
          </cell>
          <cell r="N99">
            <v>0</v>
          </cell>
          <cell r="O99" t="str">
            <v>CARE-S</v>
          </cell>
          <cell r="P99" t="str">
            <v>LOCAL</v>
          </cell>
          <cell r="Q99">
            <v>160</v>
          </cell>
          <cell r="R99">
            <v>0</v>
          </cell>
          <cell r="S99">
            <v>0</v>
          </cell>
          <cell r="T99">
            <v>0</v>
          </cell>
          <cell r="U99">
            <v>0</v>
          </cell>
          <cell r="V99">
            <v>0</v>
          </cell>
          <cell r="W99">
            <v>0</v>
          </cell>
          <cell r="X99">
            <v>0</v>
          </cell>
          <cell r="Y99">
            <v>0</v>
          </cell>
          <cell r="Z99">
            <v>0</v>
          </cell>
          <cell r="AA99">
            <v>0</v>
          </cell>
          <cell r="AB99">
            <v>108385</v>
          </cell>
          <cell r="AC99">
            <v>108385</v>
          </cell>
          <cell r="AD99">
            <v>0</v>
          </cell>
          <cell r="AE99">
            <v>108385</v>
          </cell>
          <cell r="AF99">
            <v>0</v>
          </cell>
          <cell r="AG99">
            <v>0</v>
          </cell>
          <cell r="AH99">
            <v>-512</v>
          </cell>
          <cell r="AI99">
            <v>644080</v>
          </cell>
          <cell r="AJ99">
            <v>752465</v>
          </cell>
          <cell r="AK99">
            <v>108385</v>
          </cell>
          <cell r="AL99">
            <v>752465</v>
          </cell>
          <cell r="AM99">
            <v>0</v>
          </cell>
          <cell r="AN99">
            <v>0</v>
          </cell>
          <cell r="AO99">
            <v>0</v>
          </cell>
          <cell r="AP99">
            <v>0</v>
          </cell>
          <cell r="AQ99">
            <v>0</v>
          </cell>
          <cell r="AR99">
            <v>0</v>
          </cell>
          <cell r="AS99">
            <v>0</v>
          </cell>
          <cell r="AT99">
            <v>63297.065071609286</v>
          </cell>
          <cell r="AU99">
            <v>44575.934928390714</v>
          </cell>
          <cell r="AW99">
            <v>644080</v>
          </cell>
          <cell r="AX99">
            <v>0</v>
          </cell>
          <cell r="AY99">
            <v>644080</v>
          </cell>
          <cell r="AZ99">
            <v>0</v>
          </cell>
          <cell r="BA99">
            <v>644080</v>
          </cell>
          <cell r="BB99">
            <v>0</v>
          </cell>
          <cell r="BC99">
            <v>644080</v>
          </cell>
          <cell r="BD99">
            <v>0</v>
          </cell>
          <cell r="BE99">
            <v>108385</v>
          </cell>
          <cell r="BF99">
            <v>-512</v>
          </cell>
          <cell r="BH99">
            <v>751953</v>
          </cell>
          <cell r="BI99">
            <v>0</v>
          </cell>
          <cell r="BJ99">
            <v>751953</v>
          </cell>
          <cell r="BK99">
            <v>0</v>
          </cell>
          <cell r="BL99">
            <v>751953</v>
          </cell>
        </row>
        <row r="100">
          <cell r="B100" t="str">
            <v>MILES &amp; STOCKBRIDGE</v>
          </cell>
          <cell r="C100">
            <v>0</v>
          </cell>
          <cell r="D100">
            <v>1900151</v>
          </cell>
          <cell r="E100">
            <v>27117</v>
          </cell>
          <cell r="F100" t="str">
            <v>ASC</v>
          </cell>
          <cell r="G100" t="str">
            <v>JAN</v>
          </cell>
          <cell r="H100" t="str">
            <v>Parker Mann</v>
          </cell>
          <cell r="I100" t="str">
            <v>Patton</v>
          </cell>
          <cell r="J100" t="str">
            <v>Deposit--2 Months</v>
          </cell>
          <cell r="K100" t="str">
            <v>BARBARA</v>
          </cell>
          <cell r="L100" t="str">
            <v>None</v>
          </cell>
          <cell r="M100">
            <v>380624</v>
          </cell>
          <cell r="N100">
            <v>46428</v>
          </cell>
          <cell r="O100" t="str">
            <v>NASCO-S</v>
          </cell>
          <cell r="P100" t="str">
            <v>LOCAL</v>
          </cell>
          <cell r="Q100">
            <v>335</v>
          </cell>
          <cell r="R100">
            <v>0</v>
          </cell>
          <cell r="S100">
            <v>60000</v>
          </cell>
          <cell r="T100">
            <v>1.25</v>
          </cell>
          <cell r="U100">
            <v>158804.66</v>
          </cell>
          <cell r="V100">
            <v>29253.49</v>
          </cell>
          <cell r="W100">
            <v>188058.15</v>
          </cell>
          <cell r="X100">
            <v>12537.21</v>
          </cell>
          <cell r="Y100">
            <v>4179.07</v>
          </cell>
          <cell r="Z100">
            <v>0</v>
          </cell>
          <cell r="AA100">
            <v>0</v>
          </cell>
          <cell r="AB100">
            <v>213132.57</v>
          </cell>
          <cell r="AC100">
            <v>417907</v>
          </cell>
          <cell r="AD100">
            <v>47</v>
          </cell>
          <cell r="AE100">
            <v>417954</v>
          </cell>
          <cell r="AF100">
            <v>0</v>
          </cell>
          <cell r="AG100">
            <v>0</v>
          </cell>
          <cell r="AH100">
            <v>0</v>
          </cell>
          <cell r="AI100">
            <v>1717162</v>
          </cell>
          <cell r="AJ100">
            <v>2135069</v>
          </cell>
          <cell r="AK100">
            <v>417907</v>
          </cell>
          <cell r="AL100">
            <v>2135069</v>
          </cell>
          <cell r="AM100">
            <v>0</v>
          </cell>
          <cell r="AN100">
            <v>0</v>
          </cell>
          <cell r="AO100">
            <v>0</v>
          </cell>
          <cell r="AP100">
            <v>0</v>
          </cell>
          <cell r="AQ100">
            <v>1385</v>
          </cell>
          <cell r="AR100">
            <v>0</v>
          </cell>
          <cell r="AS100">
            <v>1385</v>
          </cell>
          <cell r="AT100">
            <v>166247.11105312032</v>
          </cell>
          <cell r="AU100">
            <v>250321.88894687968</v>
          </cell>
          <cell r="AW100">
            <v>1718547</v>
          </cell>
          <cell r="AX100">
            <v>5075</v>
          </cell>
          <cell r="AY100">
            <v>1723622</v>
          </cell>
          <cell r="AZ100">
            <v>0</v>
          </cell>
          <cell r="BA100">
            <v>1723622</v>
          </cell>
          <cell r="BB100">
            <v>0</v>
          </cell>
          <cell r="BC100">
            <v>1723622</v>
          </cell>
          <cell r="BD100">
            <v>47</v>
          </cell>
          <cell r="BE100">
            <v>417907</v>
          </cell>
          <cell r="BF100">
            <v>0</v>
          </cell>
          <cell r="BH100">
            <v>2141576</v>
          </cell>
          <cell r="BI100">
            <v>1385</v>
          </cell>
          <cell r="BJ100">
            <v>2140191</v>
          </cell>
          <cell r="BK100">
            <v>0</v>
          </cell>
          <cell r="BL100">
            <v>2140191</v>
          </cell>
        </row>
        <row r="101">
          <cell r="B101" t="str">
            <v>MILLENNIUM AMERICA HOLDINGS INC</v>
          </cell>
          <cell r="C101" t="str">
            <v>M I C/S C M</v>
          </cell>
          <cell r="D101">
            <v>1900186</v>
          </cell>
          <cell r="E101">
            <v>10427</v>
          </cell>
          <cell r="F101" t="str">
            <v>ASC</v>
          </cell>
          <cell r="G101" t="str">
            <v>JAN</v>
          </cell>
          <cell r="H101" t="str">
            <v>Howard</v>
          </cell>
          <cell r="I101" t="str">
            <v>Engel</v>
          </cell>
          <cell r="J101" t="str">
            <v>Deposit--2 Month</v>
          </cell>
          <cell r="K101" t="str">
            <v>BARBARA</v>
          </cell>
          <cell r="L101" t="str">
            <v xml:space="preserve">Aon  </v>
          </cell>
          <cell r="M101">
            <v>719374</v>
          </cell>
          <cell r="N101">
            <v>97040</v>
          </cell>
          <cell r="O101" t="str">
            <v>NASCO-S</v>
          </cell>
          <cell r="P101" t="str">
            <v>NATIONAL</v>
          </cell>
          <cell r="Q101">
            <v>425</v>
          </cell>
          <cell r="R101">
            <v>0</v>
          </cell>
          <cell r="S101">
            <v>150000</v>
          </cell>
          <cell r="T101">
            <v>0</v>
          </cell>
          <cell r="U101">
            <v>203913.74</v>
          </cell>
          <cell r="V101">
            <v>0</v>
          </cell>
          <cell r="W101">
            <v>203913.74</v>
          </cell>
          <cell r="X101">
            <v>28453.08</v>
          </cell>
          <cell r="Y101">
            <v>0</v>
          </cell>
          <cell r="Z101">
            <v>0</v>
          </cell>
          <cell r="AA101">
            <v>0</v>
          </cell>
          <cell r="AB101">
            <v>241851.18</v>
          </cell>
          <cell r="AC101">
            <v>474218</v>
          </cell>
          <cell r="AD101">
            <v>62</v>
          </cell>
          <cell r="AE101">
            <v>474280</v>
          </cell>
          <cell r="AF101">
            <v>0</v>
          </cell>
          <cell r="AG101">
            <v>0</v>
          </cell>
          <cell r="AH101">
            <v>-916</v>
          </cell>
          <cell r="AI101">
            <v>3304145</v>
          </cell>
          <cell r="AJ101">
            <v>3778363</v>
          </cell>
          <cell r="AK101">
            <v>474218</v>
          </cell>
          <cell r="AL101">
            <v>3778363</v>
          </cell>
          <cell r="AM101">
            <v>0</v>
          </cell>
          <cell r="AN101">
            <v>0</v>
          </cell>
          <cell r="AO101">
            <v>0</v>
          </cell>
          <cell r="AP101">
            <v>0</v>
          </cell>
          <cell r="AQ101">
            <v>16852</v>
          </cell>
          <cell r="AR101">
            <v>0</v>
          </cell>
          <cell r="AS101">
            <v>16852</v>
          </cell>
          <cell r="AT101">
            <v>318689.50561898714</v>
          </cell>
          <cell r="AU101">
            <v>137822.49438101286</v>
          </cell>
          <cell r="AW101">
            <v>3320997</v>
          </cell>
          <cell r="AX101">
            <v>33007</v>
          </cell>
          <cell r="AY101">
            <v>3354004</v>
          </cell>
          <cell r="AZ101">
            <v>0</v>
          </cell>
          <cell r="BA101">
            <v>3354004</v>
          </cell>
          <cell r="BB101">
            <v>0</v>
          </cell>
          <cell r="BC101">
            <v>3354004</v>
          </cell>
          <cell r="BD101">
            <v>62</v>
          </cell>
          <cell r="BE101">
            <v>474218</v>
          </cell>
          <cell r="BF101">
            <v>-916</v>
          </cell>
          <cell r="BH101">
            <v>3827368</v>
          </cell>
          <cell r="BI101">
            <v>16852</v>
          </cell>
          <cell r="BJ101">
            <v>3810516</v>
          </cell>
          <cell r="BK101">
            <v>0</v>
          </cell>
          <cell r="BL101">
            <v>3810516</v>
          </cell>
        </row>
        <row r="102">
          <cell r="B102" t="str">
            <v>MOBILEX</v>
          </cell>
          <cell r="C102">
            <v>0</v>
          </cell>
          <cell r="D102">
            <v>1900486</v>
          </cell>
          <cell r="E102">
            <v>64881</v>
          </cell>
          <cell r="F102" t="str">
            <v>ASC</v>
          </cell>
          <cell r="G102" t="str">
            <v>JAN</v>
          </cell>
          <cell r="H102" t="str">
            <v>Parker Mann</v>
          </cell>
          <cell r="I102" t="str">
            <v>Engel</v>
          </cell>
          <cell r="J102" t="str">
            <v>Weekly Wire</v>
          </cell>
          <cell r="K102" t="str">
            <v>DONNA</v>
          </cell>
          <cell r="L102" t="str">
            <v>Wachovia</v>
          </cell>
          <cell r="M102">
            <v>0</v>
          </cell>
          <cell r="N102">
            <v>0</v>
          </cell>
          <cell r="O102" t="str">
            <v>NASCO</v>
          </cell>
          <cell r="P102" t="str">
            <v>NATIONAL</v>
          </cell>
          <cell r="Q102">
            <v>446</v>
          </cell>
          <cell r="R102">
            <v>0</v>
          </cell>
          <cell r="S102">
            <v>0</v>
          </cell>
          <cell r="T102">
            <v>0</v>
          </cell>
          <cell r="U102">
            <v>0</v>
          </cell>
          <cell r="V102">
            <v>0</v>
          </cell>
          <cell r="W102">
            <v>0</v>
          </cell>
          <cell r="X102">
            <v>0</v>
          </cell>
          <cell r="Y102">
            <v>6466.94</v>
          </cell>
          <cell r="Z102">
            <v>0</v>
          </cell>
          <cell r="AA102">
            <v>103471.03999999999</v>
          </cell>
          <cell r="AB102">
            <v>213409.02</v>
          </cell>
          <cell r="AC102">
            <v>323347</v>
          </cell>
          <cell r="AD102">
            <v>6</v>
          </cell>
          <cell r="AE102">
            <v>323353</v>
          </cell>
          <cell r="AF102">
            <v>0</v>
          </cell>
          <cell r="AG102">
            <v>0</v>
          </cell>
          <cell r="AH102">
            <v>0</v>
          </cell>
          <cell r="AI102">
            <v>2523230</v>
          </cell>
          <cell r="AJ102">
            <v>2846577</v>
          </cell>
          <cell r="AK102">
            <v>323347</v>
          </cell>
          <cell r="AL102">
            <v>2743105.96</v>
          </cell>
          <cell r="AM102">
            <v>0</v>
          </cell>
          <cell r="AN102">
            <v>0</v>
          </cell>
          <cell r="AO102">
            <v>0</v>
          </cell>
          <cell r="AP102">
            <v>0</v>
          </cell>
          <cell r="AQ102">
            <v>0</v>
          </cell>
          <cell r="AR102">
            <v>0</v>
          </cell>
          <cell r="AS102">
            <v>0</v>
          </cell>
          <cell r="AT102">
            <v>242709.15943038947</v>
          </cell>
          <cell r="AU102">
            <v>-22827.199430389475</v>
          </cell>
          <cell r="AW102">
            <v>2523230</v>
          </cell>
          <cell r="AX102">
            <v>130685</v>
          </cell>
          <cell r="AY102">
            <v>2653915</v>
          </cell>
          <cell r="AZ102">
            <v>0</v>
          </cell>
          <cell r="BA102">
            <v>2653915</v>
          </cell>
          <cell r="BB102">
            <v>0</v>
          </cell>
          <cell r="BC102">
            <v>2653915</v>
          </cell>
          <cell r="BD102">
            <v>6</v>
          </cell>
          <cell r="BE102">
            <v>323347</v>
          </cell>
          <cell r="BF102">
            <v>0</v>
          </cell>
          <cell r="BH102">
            <v>2977268</v>
          </cell>
          <cell r="BI102">
            <v>0</v>
          </cell>
          <cell r="BJ102">
            <v>2977268</v>
          </cell>
          <cell r="BK102">
            <v>0</v>
          </cell>
          <cell r="BL102">
            <v>2977268</v>
          </cell>
        </row>
        <row r="103">
          <cell r="B103" t="str">
            <v>NEXTEL</v>
          </cell>
          <cell r="C103">
            <v>0</v>
          </cell>
          <cell r="D103">
            <v>1900058</v>
          </cell>
          <cell r="E103">
            <v>55710</v>
          </cell>
          <cell r="F103" t="str">
            <v>ASC</v>
          </cell>
          <cell r="G103" t="str">
            <v>JAN</v>
          </cell>
          <cell r="H103" t="str">
            <v>McManus</v>
          </cell>
          <cell r="I103" t="str">
            <v>Waters</v>
          </cell>
          <cell r="J103" t="str">
            <v>Weekly Check</v>
          </cell>
          <cell r="K103" t="str">
            <v>GINNY</v>
          </cell>
          <cell r="L103" t="str">
            <v>Laslett Blue</v>
          </cell>
          <cell r="M103">
            <v>0</v>
          </cell>
          <cell r="N103">
            <v>0</v>
          </cell>
          <cell r="O103" t="str">
            <v>NASCO-S</v>
          </cell>
          <cell r="P103" t="str">
            <v>NATIONAL</v>
          </cell>
          <cell r="Q103">
            <v>824</v>
          </cell>
          <cell r="R103">
            <v>0</v>
          </cell>
          <cell r="S103">
            <v>0</v>
          </cell>
          <cell r="T103">
            <v>0</v>
          </cell>
          <cell r="U103">
            <v>0</v>
          </cell>
          <cell r="V103">
            <v>0</v>
          </cell>
          <cell r="W103">
            <v>0</v>
          </cell>
          <cell r="X103">
            <v>0</v>
          </cell>
          <cell r="Y103">
            <v>0</v>
          </cell>
          <cell r="Z103">
            <v>0</v>
          </cell>
          <cell r="AA103">
            <v>0</v>
          </cell>
          <cell r="AB103">
            <v>143426</v>
          </cell>
          <cell r="AC103">
            <v>143426</v>
          </cell>
          <cell r="AD103">
            <v>0</v>
          </cell>
          <cell r="AE103">
            <v>143426</v>
          </cell>
          <cell r="AF103">
            <v>0</v>
          </cell>
          <cell r="AG103">
            <v>0</v>
          </cell>
          <cell r="AH103">
            <v>0</v>
          </cell>
          <cell r="AI103">
            <v>2617156</v>
          </cell>
          <cell r="AJ103">
            <v>2760582</v>
          </cell>
          <cell r="AK103">
            <v>143426</v>
          </cell>
          <cell r="AL103">
            <v>2760582</v>
          </cell>
          <cell r="AM103">
            <v>0</v>
          </cell>
          <cell r="AN103">
            <v>0</v>
          </cell>
          <cell r="AO103">
            <v>0</v>
          </cell>
          <cell r="AP103">
            <v>0</v>
          </cell>
          <cell r="AQ103">
            <v>0</v>
          </cell>
          <cell r="AR103">
            <v>0</v>
          </cell>
          <cell r="AS103">
            <v>0</v>
          </cell>
          <cell r="AT103">
            <v>253206.61195197774</v>
          </cell>
          <cell r="AU103">
            <v>-109780.61195197774</v>
          </cell>
          <cell r="AW103">
            <v>2617156</v>
          </cell>
          <cell r="AX103">
            <v>154584</v>
          </cell>
          <cell r="AY103">
            <v>2771740</v>
          </cell>
          <cell r="AZ103">
            <v>0</v>
          </cell>
          <cell r="BA103">
            <v>2771740</v>
          </cell>
          <cell r="BB103">
            <v>0</v>
          </cell>
          <cell r="BC103">
            <v>2771740</v>
          </cell>
          <cell r="BD103">
            <v>0</v>
          </cell>
          <cell r="BE103">
            <v>143426</v>
          </cell>
          <cell r="BF103">
            <v>0</v>
          </cell>
          <cell r="BH103">
            <v>2915166</v>
          </cell>
          <cell r="BI103">
            <v>0</v>
          </cell>
          <cell r="BJ103">
            <v>2915166</v>
          </cell>
          <cell r="BK103">
            <v>0</v>
          </cell>
          <cell r="BL103">
            <v>2915166</v>
          </cell>
        </row>
        <row r="104">
          <cell r="B104" t="str">
            <v>NORSK HYDRO ALUMINUM</v>
          </cell>
          <cell r="C104" t="str">
            <v>WELLS ALUMINUM</v>
          </cell>
          <cell r="D104">
            <v>1900050</v>
          </cell>
          <cell r="E104">
            <v>54863</v>
          </cell>
          <cell r="F104" t="str">
            <v>ASC</v>
          </cell>
          <cell r="G104" t="str">
            <v>JAN</v>
          </cell>
          <cell r="H104" t="str">
            <v>Parker Mann</v>
          </cell>
          <cell r="I104" t="str">
            <v>Drusano</v>
          </cell>
          <cell r="J104" t="str">
            <v>Direct Debit--Weekly</v>
          </cell>
          <cell r="K104" t="str">
            <v>BARBARA</v>
          </cell>
          <cell r="L104" t="str">
            <v>None</v>
          </cell>
          <cell r="M104">
            <v>0</v>
          </cell>
          <cell r="N104">
            <v>15000</v>
          </cell>
          <cell r="O104" t="str">
            <v>NASCO</v>
          </cell>
          <cell r="P104" t="str">
            <v>NATIONAL</v>
          </cell>
          <cell r="Q104">
            <v>2707</v>
          </cell>
          <cell r="R104">
            <v>0</v>
          </cell>
          <cell r="S104">
            <v>150000</v>
          </cell>
          <cell r="T104">
            <v>0</v>
          </cell>
          <cell r="U104">
            <v>566500.71</v>
          </cell>
          <cell r="V104">
            <v>0</v>
          </cell>
          <cell r="W104">
            <v>566500.71</v>
          </cell>
          <cell r="X104">
            <v>0</v>
          </cell>
          <cell r="Y104">
            <v>0</v>
          </cell>
          <cell r="Z104">
            <v>0</v>
          </cell>
          <cell r="AA104">
            <v>0</v>
          </cell>
          <cell r="AB104">
            <v>964582.29</v>
          </cell>
          <cell r="AC104">
            <v>1531083</v>
          </cell>
          <cell r="AD104">
            <v>7</v>
          </cell>
          <cell r="AE104">
            <v>1531090</v>
          </cell>
          <cell r="AF104">
            <v>0</v>
          </cell>
          <cell r="AG104">
            <v>0</v>
          </cell>
          <cell r="AH104">
            <v>-6250</v>
          </cell>
          <cell r="AI104">
            <v>12775022</v>
          </cell>
          <cell r="AJ104">
            <v>14306105</v>
          </cell>
          <cell r="AK104">
            <v>1531083</v>
          </cell>
          <cell r="AL104">
            <v>14306105</v>
          </cell>
          <cell r="AM104">
            <v>0</v>
          </cell>
          <cell r="AN104">
            <v>0</v>
          </cell>
          <cell r="AO104">
            <v>0</v>
          </cell>
          <cell r="AP104">
            <v>0</v>
          </cell>
          <cell r="AQ104">
            <v>245963</v>
          </cell>
          <cell r="AR104">
            <v>0</v>
          </cell>
          <cell r="AS104">
            <v>245963</v>
          </cell>
          <cell r="AT104">
            <v>1262069.8789781746</v>
          </cell>
          <cell r="AU104">
            <v>16807.121021825355</v>
          </cell>
          <cell r="AW104">
            <v>13020985</v>
          </cell>
          <cell r="AX104">
            <v>300320</v>
          </cell>
          <cell r="AY104">
            <v>13321305</v>
          </cell>
          <cell r="AZ104">
            <v>443844</v>
          </cell>
          <cell r="BA104">
            <v>13765149</v>
          </cell>
          <cell r="BB104">
            <v>0</v>
          </cell>
          <cell r="BC104">
            <v>13765149</v>
          </cell>
          <cell r="BD104">
            <v>7</v>
          </cell>
          <cell r="BE104">
            <v>1531083</v>
          </cell>
          <cell r="BF104">
            <v>-6250</v>
          </cell>
          <cell r="BH104">
            <v>15289989</v>
          </cell>
          <cell r="BI104">
            <v>245963</v>
          </cell>
          <cell r="BJ104">
            <v>15044026</v>
          </cell>
          <cell r="BK104">
            <v>0</v>
          </cell>
          <cell r="BL104">
            <v>15044026</v>
          </cell>
        </row>
        <row r="105">
          <cell r="B105" t="str">
            <v>NOXELL CORP</v>
          </cell>
          <cell r="C105">
            <v>0</v>
          </cell>
          <cell r="D105">
            <v>1900160</v>
          </cell>
          <cell r="E105">
            <v>27954</v>
          </cell>
          <cell r="F105" t="str">
            <v>ASC</v>
          </cell>
          <cell r="G105" t="str">
            <v>JAN</v>
          </cell>
          <cell r="H105" t="str">
            <v>Lentz</v>
          </cell>
          <cell r="I105" t="str">
            <v>Maier</v>
          </cell>
          <cell r="J105" t="str">
            <v>Direct Debit--Weekly</v>
          </cell>
          <cell r="K105" t="str">
            <v>BARBARA</v>
          </cell>
          <cell r="L105" t="str">
            <v>None</v>
          </cell>
          <cell r="M105">
            <v>0</v>
          </cell>
          <cell r="N105">
            <v>0</v>
          </cell>
          <cell r="O105" t="str">
            <v>NASCO</v>
          </cell>
          <cell r="P105" t="str">
            <v>LOCAL</v>
          </cell>
          <cell r="Q105">
            <v>861</v>
          </cell>
          <cell r="R105">
            <v>0</v>
          </cell>
          <cell r="S105">
            <v>0</v>
          </cell>
          <cell r="T105">
            <v>0</v>
          </cell>
          <cell r="U105">
            <v>0</v>
          </cell>
          <cell r="V105">
            <v>0</v>
          </cell>
          <cell r="W105">
            <v>0</v>
          </cell>
          <cell r="X105">
            <v>0</v>
          </cell>
          <cell r="Y105">
            <v>0</v>
          </cell>
          <cell r="Z105">
            <v>0</v>
          </cell>
          <cell r="AA105">
            <v>0</v>
          </cell>
          <cell r="AB105">
            <v>5346</v>
          </cell>
          <cell r="AC105">
            <v>5346</v>
          </cell>
          <cell r="AD105">
            <v>-270</v>
          </cell>
          <cell r="AE105">
            <v>5076</v>
          </cell>
          <cell r="AF105">
            <v>0</v>
          </cell>
          <cell r="AG105">
            <v>0</v>
          </cell>
          <cell r="AH105">
            <v>0</v>
          </cell>
          <cell r="AI105">
            <v>3595528</v>
          </cell>
          <cell r="AJ105">
            <v>3600874</v>
          </cell>
          <cell r="AK105">
            <v>5346</v>
          </cell>
          <cell r="AL105">
            <v>3600874</v>
          </cell>
          <cell r="AM105">
            <v>0</v>
          </cell>
          <cell r="AN105">
            <v>0</v>
          </cell>
          <cell r="AO105">
            <v>0</v>
          </cell>
          <cell r="AP105">
            <v>0</v>
          </cell>
          <cell r="AQ105">
            <v>0</v>
          </cell>
          <cell r="AR105">
            <v>0</v>
          </cell>
          <cell r="AS105">
            <v>0</v>
          </cell>
          <cell r="AT105">
            <v>350558.81201774586</v>
          </cell>
          <cell r="AU105">
            <v>-345482.81201774586</v>
          </cell>
          <cell r="AW105">
            <v>3595528</v>
          </cell>
          <cell r="AX105">
            <v>21903</v>
          </cell>
          <cell r="AY105">
            <v>3617431</v>
          </cell>
          <cell r="AZ105">
            <v>0</v>
          </cell>
          <cell r="BA105">
            <v>3617431</v>
          </cell>
          <cell r="BB105">
            <v>0</v>
          </cell>
          <cell r="BC105">
            <v>3617431</v>
          </cell>
          <cell r="BD105">
            <v>-270</v>
          </cell>
          <cell r="BE105">
            <v>5346</v>
          </cell>
          <cell r="BF105">
            <v>0</v>
          </cell>
          <cell r="BH105">
            <v>3622507</v>
          </cell>
          <cell r="BI105">
            <v>0</v>
          </cell>
          <cell r="BJ105">
            <v>3622507</v>
          </cell>
          <cell r="BK105">
            <v>0</v>
          </cell>
          <cell r="BL105">
            <v>3622507</v>
          </cell>
        </row>
        <row r="106">
          <cell r="B106" t="str">
            <v>PACKAGING SERVICES</v>
          </cell>
          <cell r="C106">
            <v>0</v>
          </cell>
          <cell r="D106" t="str">
            <v>n/a</v>
          </cell>
          <cell r="E106">
            <v>59863</v>
          </cell>
          <cell r="F106" t="str">
            <v>ASC</v>
          </cell>
          <cell r="G106" t="str">
            <v>JAN</v>
          </cell>
          <cell r="H106" t="str">
            <v>Michael</v>
          </cell>
          <cell r="I106" t="str">
            <v>Lopez</v>
          </cell>
          <cell r="J106" t="str">
            <v>Direct Debit--Weekly</v>
          </cell>
          <cell r="K106" t="str">
            <v>BARBARA</v>
          </cell>
          <cell r="L106" t="str">
            <v>None</v>
          </cell>
          <cell r="M106">
            <v>0</v>
          </cell>
          <cell r="N106">
            <v>16200</v>
          </cell>
          <cell r="O106" t="str">
            <v>CARE</v>
          </cell>
          <cell r="P106" t="str">
            <v>LOCAL</v>
          </cell>
          <cell r="Q106">
            <v>252</v>
          </cell>
          <cell r="R106">
            <v>0</v>
          </cell>
          <cell r="S106">
            <v>75000</v>
          </cell>
          <cell r="T106">
            <v>1.25</v>
          </cell>
          <cell r="U106">
            <v>114337.11</v>
          </cell>
          <cell r="V106">
            <v>16732.259999999998</v>
          </cell>
          <cell r="W106">
            <v>131069.37</v>
          </cell>
          <cell r="X106">
            <v>11154.84</v>
          </cell>
          <cell r="Y106">
            <v>8366.1299999999992</v>
          </cell>
          <cell r="Z106">
            <v>0</v>
          </cell>
          <cell r="AA106">
            <v>0</v>
          </cell>
          <cell r="AB106">
            <v>128280.66</v>
          </cell>
          <cell r="AC106">
            <v>278871</v>
          </cell>
          <cell r="AD106">
            <v>2</v>
          </cell>
          <cell r="AE106">
            <v>278873</v>
          </cell>
          <cell r="AF106">
            <v>0</v>
          </cell>
          <cell r="AG106">
            <v>0</v>
          </cell>
          <cell r="AH106">
            <v>0</v>
          </cell>
          <cell r="AI106">
            <v>972726</v>
          </cell>
          <cell r="AJ106">
            <v>1251597</v>
          </cell>
          <cell r="AK106">
            <v>278871</v>
          </cell>
          <cell r="AL106">
            <v>1251597</v>
          </cell>
          <cell r="AM106">
            <v>0</v>
          </cell>
          <cell r="AN106">
            <v>0</v>
          </cell>
          <cell r="AO106">
            <v>0</v>
          </cell>
          <cell r="AP106">
            <v>0</v>
          </cell>
          <cell r="AQ106">
            <v>1519</v>
          </cell>
          <cell r="AR106">
            <v>0</v>
          </cell>
          <cell r="AS106">
            <v>1519</v>
          </cell>
          <cell r="AT106">
            <v>94779.726148833841</v>
          </cell>
          <cell r="AU106">
            <v>182574.27385116616</v>
          </cell>
          <cell r="AW106">
            <v>974245</v>
          </cell>
          <cell r="AX106">
            <v>52072</v>
          </cell>
          <cell r="AY106">
            <v>1026317</v>
          </cell>
          <cell r="AZ106">
            <v>0</v>
          </cell>
          <cell r="BA106">
            <v>1026317</v>
          </cell>
          <cell r="BB106">
            <v>0</v>
          </cell>
          <cell r="BC106">
            <v>1026317</v>
          </cell>
          <cell r="BD106">
            <v>2</v>
          </cell>
          <cell r="BE106">
            <v>278871</v>
          </cell>
          <cell r="BF106">
            <v>0</v>
          </cell>
          <cell r="BH106">
            <v>1305190</v>
          </cell>
          <cell r="BI106">
            <v>1519</v>
          </cell>
          <cell r="BJ106">
            <v>1303671</v>
          </cell>
          <cell r="BK106">
            <v>0</v>
          </cell>
          <cell r="BL106">
            <v>1303671</v>
          </cell>
        </row>
        <row r="107">
          <cell r="B107" t="str">
            <v>PIEDMONT AVIATION</v>
          </cell>
          <cell r="C107">
            <v>0</v>
          </cell>
          <cell r="D107">
            <v>1900085</v>
          </cell>
          <cell r="E107">
            <v>56311</v>
          </cell>
          <cell r="F107" t="str">
            <v>ASC</v>
          </cell>
          <cell r="G107" t="str">
            <v>JAN</v>
          </cell>
          <cell r="H107" t="str">
            <v>Howard</v>
          </cell>
          <cell r="I107" t="str">
            <v>Engel</v>
          </cell>
          <cell r="J107" t="str">
            <v>Weekly Wire</v>
          </cell>
          <cell r="K107" t="str">
            <v>LISA</v>
          </cell>
          <cell r="L107" t="str">
            <v>Wachovia</v>
          </cell>
          <cell r="M107">
            <v>0</v>
          </cell>
          <cell r="N107">
            <v>0</v>
          </cell>
          <cell r="O107" t="str">
            <v>NASCO</v>
          </cell>
          <cell r="P107" t="str">
            <v>NATIONAL</v>
          </cell>
          <cell r="Q107">
            <v>975</v>
          </cell>
          <cell r="R107">
            <v>0</v>
          </cell>
          <cell r="S107">
            <v>0</v>
          </cell>
          <cell r="T107">
            <v>0</v>
          </cell>
          <cell r="U107">
            <v>0</v>
          </cell>
          <cell r="V107">
            <v>0</v>
          </cell>
          <cell r="W107">
            <v>0</v>
          </cell>
          <cell r="X107">
            <v>0</v>
          </cell>
          <cell r="Y107">
            <v>12630.98</v>
          </cell>
          <cell r="Z107">
            <v>0</v>
          </cell>
          <cell r="AA107">
            <v>151571.76</v>
          </cell>
          <cell r="AB107">
            <v>467346.26</v>
          </cell>
          <cell r="AC107">
            <v>631549</v>
          </cell>
          <cell r="AD107">
            <v>0</v>
          </cell>
          <cell r="AE107">
            <v>631549</v>
          </cell>
          <cell r="AF107">
            <v>0</v>
          </cell>
          <cell r="AG107">
            <v>0</v>
          </cell>
          <cell r="AH107">
            <v>0</v>
          </cell>
          <cell r="AI107">
            <v>5929543</v>
          </cell>
          <cell r="AJ107">
            <v>6561092</v>
          </cell>
          <cell r="AK107">
            <v>631549</v>
          </cell>
          <cell r="AL107">
            <v>6409520.2400000002</v>
          </cell>
          <cell r="AM107">
            <v>0</v>
          </cell>
          <cell r="AN107">
            <v>0</v>
          </cell>
          <cell r="AO107">
            <v>0</v>
          </cell>
          <cell r="AP107">
            <v>0</v>
          </cell>
          <cell r="AQ107">
            <v>0</v>
          </cell>
          <cell r="AR107">
            <v>0</v>
          </cell>
          <cell r="AS107">
            <v>0</v>
          </cell>
          <cell r="AT107">
            <v>573524.9365884806</v>
          </cell>
          <cell r="AU107">
            <v>-93547.696588480612</v>
          </cell>
          <cell r="AW107">
            <v>5929543</v>
          </cell>
          <cell r="AX107">
            <v>278880</v>
          </cell>
          <cell r="AY107">
            <v>6208423</v>
          </cell>
          <cell r="AZ107">
            <v>0</v>
          </cell>
          <cell r="BA107">
            <v>6208423</v>
          </cell>
          <cell r="BB107">
            <v>0</v>
          </cell>
          <cell r="BC107">
            <v>6208423</v>
          </cell>
          <cell r="BD107">
            <v>0</v>
          </cell>
          <cell r="BE107">
            <v>631549</v>
          </cell>
          <cell r="BF107">
            <v>0</v>
          </cell>
          <cell r="BH107">
            <v>6839972</v>
          </cell>
          <cell r="BI107">
            <v>0</v>
          </cell>
          <cell r="BJ107">
            <v>6839972</v>
          </cell>
          <cell r="BK107">
            <v>0</v>
          </cell>
          <cell r="BL107">
            <v>6839972</v>
          </cell>
        </row>
        <row r="108">
          <cell r="B108" t="str">
            <v>PILOT AIR FREIGHT</v>
          </cell>
          <cell r="C108">
            <v>0</v>
          </cell>
          <cell r="D108">
            <v>1900492</v>
          </cell>
          <cell r="E108">
            <v>65304</v>
          </cell>
          <cell r="F108" t="str">
            <v>ASC</v>
          </cell>
          <cell r="G108" t="str">
            <v>JAN</v>
          </cell>
          <cell r="H108" t="str">
            <v>Daniels</v>
          </cell>
          <cell r="I108" t="str">
            <v>Waters</v>
          </cell>
          <cell r="J108" t="str">
            <v>Weekly Check</v>
          </cell>
          <cell r="K108" t="str">
            <v>GINNY</v>
          </cell>
          <cell r="L108" t="str">
            <v>Laslett Blue</v>
          </cell>
          <cell r="M108">
            <v>0</v>
          </cell>
          <cell r="N108">
            <v>0</v>
          </cell>
          <cell r="O108" t="str">
            <v>NASCO-S</v>
          </cell>
          <cell r="P108" t="str">
            <v>NATIONAL</v>
          </cell>
          <cell r="Q108">
            <v>366</v>
          </cell>
          <cell r="R108">
            <v>0</v>
          </cell>
          <cell r="S108">
            <v>0</v>
          </cell>
          <cell r="T108">
            <v>0</v>
          </cell>
          <cell r="U108">
            <v>0</v>
          </cell>
          <cell r="V108">
            <v>0</v>
          </cell>
          <cell r="W108">
            <v>0</v>
          </cell>
          <cell r="X108">
            <v>0</v>
          </cell>
          <cell r="Y108">
            <v>0</v>
          </cell>
          <cell r="Z108">
            <v>0</v>
          </cell>
          <cell r="AA108">
            <v>0</v>
          </cell>
          <cell r="AB108">
            <v>74222</v>
          </cell>
          <cell r="AC108">
            <v>74222</v>
          </cell>
          <cell r="AD108">
            <v>0</v>
          </cell>
          <cell r="AE108">
            <v>74222</v>
          </cell>
          <cell r="AF108">
            <v>0</v>
          </cell>
          <cell r="AG108">
            <v>0</v>
          </cell>
          <cell r="AH108">
            <v>0</v>
          </cell>
          <cell r="AI108">
            <v>1167971</v>
          </cell>
          <cell r="AJ108">
            <v>1242193</v>
          </cell>
          <cell r="AK108">
            <v>74222</v>
          </cell>
          <cell r="AL108">
            <v>1242193</v>
          </cell>
          <cell r="AM108">
            <v>0</v>
          </cell>
          <cell r="AN108">
            <v>0</v>
          </cell>
          <cell r="AO108">
            <v>0</v>
          </cell>
          <cell r="AP108">
            <v>0</v>
          </cell>
          <cell r="AQ108">
            <v>0</v>
          </cell>
          <cell r="AR108">
            <v>0</v>
          </cell>
          <cell r="AS108">
            <v>0</v>
          </cell>
          <cell r="AT108">
            <v>114988.4498455703</v>
          </cell>
          <cell r="AU108">
            <v>-40766.4498455703</v>
          </cell>
          <cell r="AW108">
            <v>1167971</v>
          </cell>
          <cell r="AX108">
            <v>193624</v>
          </cell>
          <cell r="AY108">
            <v>1361595</v>
          </cell>
          <cell r="AZ108">
            <v>0</v>
          </cell>
          <cell r="BA108">
            <v>1361595</v>
          </cell>
          <cell r="BB108">
            <v>0</v>
          </cell>
          <cell r="BC108">
            <v>1361595</v>
          </cell>
          <cell r="BD108">
            <v>0</v>
          </cell>
          <cell r="BE108">
            <v>74222</v>
          </cell>
          <cell r="BF108">
            <v>0</v>
          </cell>
          <cell r="BH108">
            <v>1435817</v>
          </cell>
          <cell r="BI108">
            <v>0</v>
          </cell>
          <cell r="BJ108">
            <v>1435817</v>
          </cell>
          <cell r="BK108">
            <v>0</v>
          </cell>
          <cell r="BL108">
            <v>1435817</v>
          </cell>
        </row>
        <row r="109">
          <cell r="B109" t="str">
            <v>PIPER MARBURY</v>
          </cell>
          <cell r="C109">
            <v>0</v>
          </cell>
          <cell r="D109">
            <v>1900254</v>
          </cell>
          <cell r="E109">
            <v>44491</v>
          </cell>
          <cell r="F109" t="str">
            <v>ASC</v>
          </cell>
          <cell r="G109" t="str">
            <v>JAN</v>
          </cell>
          <cell r="H109" t="str">
            <v>Hauff</v>
          </cell>
          <cell r="I109" t="str">
            <v>Drumgoole</v>
          </cell>
          <cell r="J109" t="str">
            <v>Deposit--2 Months</v>
          </cell>
          <cell r="K109" t="str">
            <v>BARBARA</v>
          </cell>
          <cell r="L109" t="str">
            <v>None</v>
          </cell>
          <cell r="M109">
            <v>385420</v>
          </cell>
          <cell r="N109">
            <v>55983</v>
          </cell>
          <cell r="O109" t="str">
            <v>NASCO</v>
          </cell>
          <cell r="P109" t="str">
            <v>LOCAL</v>
          </cell>
          <cell r="Q109">
            <v>366</v>
          </cell>
          <cell r="R109">
            <v>0</v>
          </cell>
          <cell r="S109">
            <v>100000</v>
          </cell>
          <cell r="T109">
            <v>1.25</v>
          </cell>
          <cell r="U109">
            <v>224180.46</v>
          </cell>
          <cell r="V109">
            <v>16605.96</v>
          </cell>
          <cell r="W109">
            <v>240786.42</v>
          </cell>
          <cell r="X109">
            <v>0</v>
          </cell>
          <cell r="Y109">
            <v>4151.49</v>
          </cell>
          <cell r="Z109">
            <v>0</v>
          </cell>
          <cell r="AA109">
            <v>0</v>
          </cell>
          <cell r="AB109">
            <v>170211.09</v>
          </cell>
          <cell r="AC109">
            <v>415149</v>
          </cell>
          <cell r="AD109">
            <v>-736</v>
          </cell>
          <cell r="AE109">
            <v>414413</v>
          </cell>
          <cell r="AF109">
            <v>0</v>
          </cell>
          <cell r="AG109">
            <v>0</v>
          </cell>
          <cell r="AH109">
            <v>-211</v>
          </cell>
          <cell r="AI109">
            <v>2157846</v>
          </cell>
          <cell r="AJ109">
            <v>2572995</v>
          </cell>
          <cell r="AK109">
            <v>415149</v>
          </cell>
          <cell r="AL109">
            <v>2572995</v>
          </cell>
          <cell r="AM109">
            <v>0</v>
          </cell>
          <cell r="AN109">
            <v>0</v>
          </cell>
          <cell r="AO109">
            <v>0</v>
          </cell>
          <cell r="AP109">
            <v>0</v>
          </cell>
          <cell r="AQ109">
            <v>4244</v>
          </cell>
          <cell r="AR109">
            <v>0</v>
          </cell>
          <cell r="AS109">
            <v>4244</v>
          </cell>
          <cell r="AT109">
            <v>211229.59554956935</v>
          </cell>
          <cell r="AU109">
            <v>198728.40445043065</v>
          </cell>
          <cell r="AW109">
            <v>2162090</v>
          </cell>
          <cell r="AX109">
            <v>2141</v>
          </cell>
          <cell r="AY109">
            <v>2164231</v>
          </cell>
          <cell r="AZ109">
            <v>0</v>
          </cell>
          <cell r="BA109">
            <v>2164231</v>
          </cell>
          <cell r="BB109">
            <v>0</v>
          </cell>
          <cell r="BC109">
            <v>2164231</v>
          </cell>
          <cell r="BD109">
            <v>-736</v>
          </cell>
          <cell r="BE109">
            <v>415149</v>
          </cell>
          <cell r="BF109">
            <v>-211</v>
          </cell>
          <cell r="BH109">
            <v>2578433</v>
          </cell>
          <cell r="BI109">
            <v>4244</v>
          </cell>
          <cell r="BJ109">
            <v>2574189</v>
          </cell>
          <cell r="BK109">
            <v>0</v>
          </cell>
          <cell r="BL109">
            <v>2574189</v>
          </cell>
        </row>
        <row r="110">
          <cell r="B110" t="str">
            <v>PRICE BROTHERS</v>
          </cell>
          <cell r="C110">
            <v>0</v>
          </cell>
          <cell r="D110">
            <v>1900269</v>
          </cell>
          <cell r="E110">
            <v>59530</v>
          </cell>
          <cell r="F110">
            <v>0</v>
          </cell>
          <cell r="G110" t="str">
            <v>termed 1/04</v>
          </cell>
          <cell r="H110" t="str">
            <v>Pospisil</v>
          </cell>
          <cell r="I110" t="str">
            <v>Waters</v>
          </cell>
          <cell r="J110" t="str">
            <v>Direct Debit--Weekly</v>
          </cell>
          <cell r="K110" t="str">
            <v>BARBARA</v>
          </cell>
          <cell r="L110" t="str">
            <v>AON in Chicago</v>
          </cell>
          <cell r="M110">
            <v>0</v>
          </cell>
          <cell r="N110">
            <v>7689</v>
          </cell>
          <cell r="O110" t="str">
            <v>NASCO</v>
          </cell>
          <cell r="P110" t="str">
            <v>NATIONAL</v>
          </cell>
          <cell r="Q110" t="str">
            <v>termed</v>
          </cell>
          <cell r="R110">
            <v>0</v>
          </cell>
          <cell r="S110">
            <v>0</v>
          </cell>
          <cell r="T110">
            <v>0</v>
          </cell>
          <cell r="U110">
            <v>0</v>
          </cell>
          <cell r="V110">
            <v>0</v>
          </cell>
          <cell r="W110">
            <v>0</v>
          </cell>
          <cell r="X110">
            <v>0</v>
          </cell>
          <cell r="Y110">
            <v>0</v>
          </cell>
          <cell r="Z110">
            <v>0</v>
          </cell>
          <cell r="AA110">
            <v>0</v>
          </cell>
          <cell r="AB110">
            <v>18866</v>
          </cell>
          <cell r="AC110">
            <v>18866</v>
          </cell>
          <cell r="AD110">
            <v>-9</v>
          </cell>
          <cell r="AE110">
            <v>18857</v>
          </cell>
          <cell r="AF110">
            <v>0</v>
          </cell>
          <cell r="AG110">
            <v>0</v>
          </cell>
          <cell r="AH110">
            <v>0</v>
          </cell>
          <cell r="AI110">
            <v>178652</v>
          </cell>
          <cell r="AJ110">
            <v>197518</v>
          </cell>
          <cell r="AK110">
            <v>18866</v>
          </cell>
          <cell r="AL110">
            <v>197518</v>
          </cell>
          <cell r="AM110">
            <v>0</v>
          </cell>
          <cell r="AN110">
            <v>0</v>
          </cell>
          <cell r="AO110">
            <v>0</v>
          </cell>
          <cell r="AP110">
            <v>0</v>
          </cell>
          <cell r="AQ110">
            <v>0</v>
          </cell>
          <cell r="AR110">
            <v>0</v>
          </cell>
          <cell r="AS110">
            <v>0</v>
          </cell>
          <cell r="AT110">
            <v>17585.454916096442</v>
          </cell>
          <cell r="AU110">
            <v>1271.5450839035584</v>
          </cell>
          <cell r="AW110">
            <v>178652</v>
          </cell>
          <cell r="AX110">
            <v>8143</v>
          </cell>
          <cell r="AY110">
            <v>186795</v>
          </cell>
          <cell r="AZ110">
            <v>0</v>
          </cell>
          <cell r="BA110">
            <v>186795</v>
          </cell>
          <cell r="BB110">
            <v>0</v>
          </cell>
          <cell r="BC110">
            <v>186795</v>
          </cell>
          <cell r="BD110">
            <v>-9</v>
          </cell>
          <cell r="BE110">
            <v>18866</v>
          </cell>
          <cell r="BF110">
            <v>0</v>
          </cell>
          <cell r="BH110">
            <v>205652</v>
          </cell>
          <cell r="BI110">
            <v>0</v>
          </cell>
          <cell r="BJ110">
            <v>205652</v>
          </cell>
          <cell r="BK110">
            <v>0</v>
          </cell>
          <cell r="BL110">
            <v>205652</v>
          </cell>
        </row>
        <row r="111">
          <cell r="B111" t="str">
            <v>PRIME RETAIL</v>
          </cell>
          <cell r="C111">
            <v>0</v>
          </cell>
          <cell r="D111">
            <v>1900141</v>
          </cell>
          <cell r="E111">
            <v>56806</v>
          </cell>
          <cell r="F111" t="str">
            <v>ASC</v>
          </cell>
          <cell r="G111" t="str">
            <v>JAN</v>
          </cell>
          <cell r="H111" t="str">
            <v>Howard</v>
          </cell>
          <cell r="I111" t="str">
            <v>Engel</v>
          </cell>
          <cell r="J111" t="str">
            <v>Weekly Wire</v>
          </cell>
          <cell r="K111" t="str">
            <v>BARBARA</v>
          </cell>
          <cell r="L111" t="str">
            <v>Wachovia</v>
          </cell>
          <cell r="M111">
            <v>264000</v>
          </cell>
          <cell r="N111">
            <v>44449</v>
          </cell>
          <cell r="O111" t="str">
            <v>NASCO</v>
          </cell>
          <cell r="P111" t="str">
            <v>NATIONAL</v>
          </cell>
          <cell r="Q111">
            <v>415</v>
          </cell>
          <cell r="R111">
            <v>0</v>
          </cell>
          <cell r="S111">
            <v>0</v>
          </cell>
          <cell r="T111">
            <v>0</v>
          </cell>
          <cell r="U111">
            <v>0</v>
          </cell>
          <cell r="V111">
            <v>0</v>
          </cell>
          <cell r="W111">
            <v>0</v>
          </cell>
          <cell r="X111">
            <v>14500.44</v>
          </cell>
          <cell r="Y111">
            <v>0</v>
          </cell>
          <cell r="Z111">
            <v>0</v>
          </cell>
          <cell r="AA111">
            <v>0</v>
          </cell>
          <cell r="AB111">
            <v>146615.56</v>
          </cell>
          <cell r="AC111">
            <v>161116</v>
          </cell>
          <cell r="AD111">
            <v>0</v>
          </cell>
          <cell r="AE111">
            <v>161116</v>
          </cell>
          <cell r="AF111">
            <v>0</v>
          </cell>
          <cell r="AG111">
            <v>0</v>
          </cell>
          <cell r="AH111">
            <v>-887</v>
          </cell>
          <cell r="AI111">
            <v>1834714</v>
          </cell>
          <cell r="AJ111">
            <v>1995830</v>
          </cell>
          <cell r="AK111">
            <v>161116</v>
          </cell>
          <cell r="AL111">
            <v>1995830</v>
          </cell>
          <cell r="AM111">
            <v>0</v>
          </cell>
          <cell r="AN111">
            <v>0</v>
          </cell>
          <cell r="AO111">
            <v>0</v>
          </cell>
          <cell r="AP111">
            <v>0</v>
          </cell>
          <cell r="AQ111">
            <v>0</v>
          </cell>
          <cell r="AR111">
            <v>0</v>
          </cell>
          <cell r="AS111">
            <v>0</v>
          </cell>
          <cell r="AT111">
            <v>182516.11493189997</v>
          </cell>
          <cell r="AU111">
            <v>-22287.114931899967</v>
          </cell>
          <cell r="AW111">
            <v>1834714</v>
          </cell>
          <cell r="AX111">
            <v>81356</v>
          </cell>
          <cell r="AY111">
            <v>1916070</v>
          </cell>
          <cell r="AZ111">
            <v>0</v>
          </cell>
          <cell r="BA111">
            <v>1916070</v>
          </cell>
          <cell r="BB111">
            <v>0</v>
          </cell>
          <cell r="BC111">
            <v>1916070</v>
          </cell>
          <cell r="BD111">
            <v>0</v>
          </cell>
          <cell r="BE111">
            <v>161116</v>
          </cell>
          <cell r="BF111">
            <v>-887</v>
          </cell>
          <cell r="BH111">
            <v>2076299</v>
          </cell>
          <cell r="BI111">
            <v>0</v>
          </cell>
          <cell r="BJ111">
            <v>2076299</v>
          </cell>
          <cell r="BK111">
            <v>0</v>
          </cell>
          <cell r="BL111">
            <v>2076299</v>
          </cell>
        </row>
        <row r="112">
          <cell r="B112" t="str">
            <v>PROCTER GAMBLE</v>
          </cell>
          <cell r="C112">
            <v>0</v>
          </cell>
          <cell r="D112">
            <v>1900160</v>
          </cell>
          <cell r="E112">
            <v>27954</v>
          </cell>
          <cell r="F112" t="str">
            <v>ASC</v>
          </cell>
          <cell r="G112" t="str">
            <v>JAN</v>
          </cell>
          <cell r="H112" t="str">
            <v>Lentz</v>
          </cell>
          <cell r="I112" t="str">
            <v>Maier</v>
          </cell>
          <cell r="J112" t="str">
            <v>Direct Debit--Weekly</v>
          </cell>
          <cell r="K112" t="str">
            <v>BARBARA</v>
          </cell>
          <cell r="L112" t="str">
            <v>None</v>
          </cell>
          <cell r="M112">
            <v>0</v>
          </cell>
          <cell r="N112">
            <v>361254</v>
          </cell>
          <cell r="O112" t="str">
            <v>NASCO</v>
          </cell>
          <cell r="P112" t="str">
            <v>LOCAL</v>
          </cell>
          <cell r="Q112">
            <v>241</v>
          </cell>
          <cell r="R112">
            <v>0</v>
          </cell>
          <cell r="S112">
            <v>0</v>
          </cell>
          <cell r="T112">
            <v>0</v>
          </cell>
          <cell r="U112">
            <v>0</v>
          </cell>
          <cell r="V112">
            <v>0</v>
          </cell>
          <cell r="W112">
            <v>0</v>
          </cell>
          <cell r="X112">
            <v>0</v>
          </cell>
          <cell r="Y112">
            <v>0</v>
          </cell>
          <cell r="Z112">
            <v>0</v>
          </cell>
          <cell r="AA112">
            <v>0</v>
          </cell>
          <cell r="AB112">
            <v>493754</v>
          </cell>
          <cell r="AC112">
            <v>493754</v>
          </cell>
          <cell r="AD112">
            <v>-160</v>
          </cell>
          <cell r="AE112">
            <v>493594</v>
          </cell>
          <cell r="AF112">
            <v>0</v>
          </cell>
          <cell r="AG112">
            <v>0</v>
          </cell>
          <cell r="AH112">
            <v>77608</v>
          </cell>
          <cell r="AI112">
            <v>2503966</v>
          </cell>
          <cell r="AJ112">
            <v>2997720</v>
          </cell>
          <cell r="AK112">
            <v>493754</v>
          </cell>
          <cell r="AL112">
            <v>2997720</v>
          </cell>
          <cell r="AM112">
            <v>0</v>
          </cell>
          <cell r="AN112">
            <v>0</v>
          </cell>
          <cell r="AO112">
            <v>0</v>
          </cell>
          <cell r="AP112">
            <v>0</v>
          </cell>
          <cell r="AQ112">
            <v>0</v>
          </cell>
          <cell r="AR112">
            <v>0</v>
          </cell>
          <cell r="AS112">
            <v>0</v>
          </cell>
          <cell r="AT112">
            <v>247511.01765262685</v>
          </cell>
          <cell r="AU112">
            <v>323690.98234737315</v>
          </cell>
          <cell r="AW112">
            <v>2503966</v>
          </cell>
          <cell r="AX112">
            <v>6370</v>
          </cell>
          <cell r="AY112">
            <v>2510336</v>
          </cell>
          <cell r="AZ112">
            <v>0</v>
          </cell>
          <cell r="BA112">
            <v>2510336</v>
          </cell>
          <cell r="BB112">
            <v>0</v>
          </cell>
          <cell r="BC112">
            <v>2510336</v>
          </cell>
          <cell r="BD112">
            <v>-160</v>
          </cell>
          <cell r="BE112">
            <v>493754</v>
          </cell>
          <cell r="BF112">
            <v>77608</v>
          </cell>
          <cell r="BH112">
            <v>3081538</v>
          </cell>
          <cell r="BI112">
            <v>0</v>
          </cell>
          <cell r="BJ112">
            <v>3081538</v>
          </cell>
          <cell r="BK112">
            <v>0</v>
          </cell>
          <cell r="BL112">
            <v>3081538</v>
          </cell>
        </row>
        <row r="113">
          <cell r="B113" t="str">
            <v>PROVIDENT BANK</v>
          </cell>
          <cell r="C113">
            <v>0</v>
          </cell>
          <cell r="D113">
            <v>1900176</v>
          </cell>
          <cell r="E113">
            <v>28964</v>
          </cell>
          <cell r="F113" t="str">
            <v>ASC</v>
          </cell>
          <cell r="G113" t="str">
            <v>JAN</v>
          </cell>
          <cell r="H113" t="str">
            <v>Delong</v>
          </cell>
          <cell r="I113" t="str">
            <v>Drusano</v>
          </cell>
          <cell r="J113" t="str">
            <v>Direct Debit--Weekly</v>
          </cell>
          <cell r="K113" t="str">
            <v>BARBARA</v>
          </cell>
          <cell r="L113" t="str">
            <v>Huber,Oros &amp; Co.</v>
          </cell>
          <cell r="M113">
            <v>0</v>
          </cell>
          <cell r="N113">
            <v>0</v>
          </cell>
          <cell r="O113" t="str">
            <v>NASCO</v>
          </cell>
          <cell r="P113" t="str">
            <v>NATIONAL</v>
          </cell>
          <cell r="Q113">
            <v>1327</v>
          </cell>
          <cell r="R113">
            <v>0</v>
          </cell>
          <cell r="S113">
            <v>150000</v>
          </cell>
          <cell r="T113">
            <v>1.25</v>
          </cell>
          <cell r="U113">
            <v>142248.34</v>
          </cell>
          <cell r="V113">
            <v>10942.18</v>
          </cell>
          <cell r="W113">
            <v>153190.51999999999</v>
          </cell>
          <cell r="X113">
            <v>43768.72</v>
          </cell>
          <cell r="Y113">
            <v>32826.54</v>
          </cell>
          <cell r="Z113">
            <v>0</v>
          </cell>
          <cell r="AA113">
            <v>229785.78</v>
          </cell>
          <cell r="AB113">
            <v>634646.43999999994</v>
          </cell>
          <cell r="AC113">
            <v>1094218</v>
          </cell>
          <cell r="AD113">
            <v>79</v>
          </cell>
          <cell r="AE113">
            <v>1094297</v>
          </cell>
          <cell r="AF113">
            <v>0</v>
          </cell>
          <cell r="AG113">
            <v>0</v>
          </cell>
          <cell r="AH113">
            <v>0</v>
          </cell>
          <cell r="AI113">
            <v>3685804</v>
          </cell>
          <cell r="AJ113">
            <v>4780022</v>
          </cell>
          <cell r="AK113">
            <v>1094218</v>
          </cell>
          <cell r="AL113">
            <v>4550236.22</v>
          </cell>
          <cell r="AM113">
            <v>0</v>
          </cell>
          <cell r="AN113">
            <v>0</v>
          </cell>
          <cell r="AO113">
            <v>0</v>
          </cell>
          <cell r="AP113">
            <v>0</v>
          </cell>
          <cell r="AQ113">
            <v>0</v>
          </cell>
          <cell r="AR113">
            <v>0</v>
          </cell>
          <cell r="AS113">
            <v>0</v>
          </cell>
          <cell r="AT113">
            <v>356826.09131330682</v>
          </cell>
          <cell r="AU113">
            <v>507685.12868669315</v>
          </cell>
          <cell r="AW113">
            <v>3685804</v>
          </cell>
          <cell r="AX113">
            <v>81596</v>
          </cell>
          <cell r="AY113">
            <v>3767400</v>
          </cell>
          <cell r="AZ113">
            <v>0</v>
          </cell>
          <cell r="BA113">
            <v>3767400</v>
          </cell>
          <cell r="BB113">
            <v>0</v>
          </cell>
          <cell r="BC113">
            <v>3767400</v>
          </cell>
          <cell r="BD113">
            <v>79</v>
          </cell>
          <cell r="BE113">
            <v>1094218</v>
          </cell>
          <cell r="BF113">
            <v>0</v>
          </cell>
          <cell r="BH113">
            <v>4861697</v>
          </cell>
          <cell r="BI113">
            <v>0</v>
          </cell>
          <cell r="BJ113">
            <v>4861697</v>
          </cell>
          <cell r="BK113">
            <v>0</v>
          </cell>
          <cell r="BL113">
            <v>4861697</v>
          </cell>
        </row>
        <row r="114">
          <cell r="B114" t="str">
            <v>PUBLISHERS CIRCULATION</v>
          </cell>
          <cell r="C114">
            <v>0</v>
          </cell>
          <cell r="D114">
            <v>1900252</v>
          </cell>
          <cell r="E114">
            <v>59542</v>
          </cell>
          <cell r="F114" t="str">
            <v>ASC</v>
          </cell>
          <cell r="G114" t="str">
            <v>DEC</v>
          </cell>
          <cell r="H114" t="str">
            <v>Hauff</v>
          </cell>
          <cell r="I114" t="str">
            <v>Patton</v>
          </cell>
          <cell r="J114" t="str">
            <v>Direct Debit--Weekly</v>
          </cell>
          <cell r="K114" t="str">
            <v>LISA</v>
          </cell>
          <cell r="L114" t="str">
            <v>Acordia of CA</v>
          </cell>
          <cell r="M114">
            <v>0</v>
          </cell>
          <cell r="N114">
            <v>6000</v>
          </cell>
          <cell r="O114" t="str">
            <v>NASCO</v>
          </cell>
          <cell r="P114" t="str">
            <v>NATIONAL</v>
          </cell>
          <cell r="Q114">
            <v>925</v>
          </cell>
          <cell r="R114">
            <v>0</v>
          </cell>
          <cell r="S114">
            <v>75000</v>
          </cell>
          <cell r="T114">
            <v>1.25</v>
          </cell>
          <cell r="U114">
            <v>370223.14</v>
          </cell>
          <cell r="V114">
            <v>38671.519999999997</v>
          </cell>
          <cell r="W114">
            <v>408894.66</v>
          </cell>
          <cell r="X114">
            <v>47391.5</v>
          </cell>
          <cell r="Y114">
            <v>28055.74</v>
          </cell>
          <cell r="Z114">
            <v>0</v>
          </cell>
          <cell r="AA114">
            <v>124734.54</v>
          </cell>
          <cell r="AB114">
            <v>357711.56</v>
          </cell>
          <cell r="AC114">
            <v>966788</v>
          </cell>
          <cell r="AD114">
            <v>340</v>
          </cell>
          <cell r="AE114">
            <v>967128</v>
          </cell>
          <cell r="AF114">
            <v>0</v>
          </cell>
          <cell r="AG114">
            <v>0</v>
          </cell>
          <cell r="AH114">
            <v>3600</v>
          </cell>
          <cell r="AI114">
            <v>4840229</v>
          </cell>
          <cell r="AJ114">
            <v>5807017</v>
          </cell>
          <cell r="AK114">
            <v>966788</v>
          </cell>
          <cell r="AL114">
            <v>5682282.46</v>
          </cell>
          <cell r="AM114">
            <v>0</v>
          </cell>
          <cell r="AN114">
            <v>0</v>
          </cell>
          <cell r="AO114">
            <v>0</v>
          </cell>
          <cell r="AP114">
            <v>0</v>
          </cell>
          <cell r="AQ114">
            <v>522101</v>
          </cell>
          <cell r="AR114">
            <v>0</v>
          </cell>
          <cell r="AS114">
            <v>522101</v>
          </cell>
          <cell r="AT114">
            <v>521182.53305687068</v>
          </cell>
          <cell r="AU114">
            <v>-197290.07305687072</v>
          </cell>
          <cell r="AW114">
            <v>5362330</v>
          </cell>
          <cell r="AX114">
            <v>114666</v>
          </cell>
          <cell r="AY114">
            <v>5476996</v>
          </cell>
          <cell r="AZ114">
            <v>0</v>
          </cell>
          <cell r="BA114">
            <v>5476996</v>
          </cell>
          <cell r="BB114">
            <v>0</v>
          </cell>
          <cell r="BC114">
            <v>5476996</v>
          </cell>
          <cell r="BD114">
            <v>340</v>
          </cell>
          <cell r="BE114">
            <v>966788</v>
          </cell>
          <cell r="BF114">
            <v>3600</v>
          </cell>
          <cell r="BH114">
            <v>6447724</v>
          </cell>
          <cell r="BI114">
            <v>522101</v>
          </cell>
          <cell r="BJ114">
            <v>5925623</v>
          </cell>
          <cell r="BK114">
            <v>0</v>
          </cell>
          <cell r="BL114">
            <v>5925623</v>
          </cell>
        </row>
        <row r="115">
          <cell r="B115" t="str">
            <v>RAILWORKS</v>
          </cell>
          <cell r="C115">
            <v>0</v>
          </cell>
          <cell r="D115">
            <v>1900273</v>
          </cell>
          <cell r="E115">
            <v>59513</v>
          </cell>
          <cell r="F115">
            <v>0</v>
          </cell>
          <cell r="G115" t="str">
            <v>termed 1/04</v>
          </cell>
          <cell r="H115" t="str">
            <v>Delong</v>
          </cell>
          <cell r="I115" t="str">
            <v>Engel</v>
          </cell>
          <cell r="J115" t="str">
            <v>Direct Debit--Weekly</v>
          </cell>
          <cell r="K115" t="str">
            <v>LISA</v>
          </cell>
          <cell r="L115" t="str">
            <v>Huber,Oros &amp; Co.</v>
          </cell>
          <cell r="M115">
            <v>0</v>
          </cell>
          <cell r="N115">
            <v>10000</v>
          </cell>
          <cell r="O115" t="str">
            <v>NASCO</v>
          </cell>
          <cell r="P115" t="str">
            <v>NATIONAL</v>
          </cell>
          <cell r="Q115" t="str">
            <v>termed</v>
          </cell>
          <cell r="R115">
            <v>0</v>
          </cell>
          <cell r="S115">
            <v>0</v>
          </cell>
          <cell r="T115">
            <v>0</v>
          </cell>
          <cell r="U115">
            <v>0</v>
          </cell>
          <cell r="V115">
            <v>0</v>
          </cell>
          <cell r="W115">
            <v>0</v>
          </cell>
          <cell r="X115">
            <v>0</v>
          </cell>
          <cell r="Y115">
            <v>0</v>
          </cell>
          <cell r="Z115">
            <v>0</v>
          </cell>
          <cell r="AA115">
            <v>0</v>
          </cell>
          <cell r="AB115">
            <v>48354</v>
          </cell>
          <cell r="AC115">
            <v>48354</v>
          </cell>
          <cell r="AD115">
            <v>6</v>
          </cell>
          <cell r="AE115">
            <v>48360</v>
          </cell>
          <cell r="AF115">
            <v>0</v>
          </cell>
          <cell r="AG115">
            <v>0</v>
          </cell>
          <cell r="AH115">
            <v>400</v>
          </cell>
          <cell r="AI115">
            <v>308924</v>
          </cell>
          <cell r="AJ115">
            <v>357278</v>
          </cell>
          <cell r="AK115">
            <v>48354</v>
          </cell>
          <cell r="AL115">
            <v>357278</v>
          </cell>
          <cell r="AM115">
            <v>0</v>
          </cell>
          <cell r="AN115">
            <v>0</v>
          </cell>
          <cell r="AO115">
            <v>0</v>
          </cell>
          <cell r="AP115">
            <v>0</v>
          </cell>
          <cell r="AQ115">
            <v>27123</v>
          </cell>
          <cell r="AR115">
            <v>0</v>
          </cell>
          <cell r="AS115">
            <v>27123</v>
          </cell>
          <cell r="AT115">
            <v>33668.511547631562</v>
          </cell>
          <cell r="AU115">
            <v>-12031.511547631562</v>
          </cell>
          <cell r="AW115">
            <v>336047</v>
          </cell>
          <cell r="AX115">
            <v>12954</v>
          </cell>
          <cell r="AY115">
            <v>349001</v>
          </cell>
          <cell r="AZ115">
            <v>0</v>
          </cell>
          <cell r="BA115">
            <v>349001</v>
          </cell>
          <cell r="BB115">
            <v>0</v>
          </cell>
          <cell r="BC115">
            <v>349001</v>
          </cell>
          <cell r="BD115">
            <v>6</v>
          </cell>
          <cell r="BE115">
            <v>48354</v>
          </cell>
          <cell r="BF115">
            <v>400</v>
          </cell>
          <cell r="BH115">
            <v>397761</v>
          </cell>
          <cell r="BI115">
            <v>27123</v>
          </cell>
          <cell r="BJ115">
            <v>370638</v>
          </cell>
          <cell r="BK115">
            <v>0</v>
          </cell>
          <cell r="BL115">
            <v>370638</v>
          </cell>
        </row>
        <row r="116">
          <cell r="B116" t="str">
            <v>RELIANT</v>
          </cell>
          <cell r="C116" t="str">
            <v>ORION POWER</v>
          </cell>
          <cell r="D116">
            <v>1900017</v>
          </cell>
          <cell r="E116">
            <v>55214</v>
          </cell>
          <cell r="F116" t="str">
            <v>ASC</v>
          </cell>
          <cell r="G116" t="str">
            <v>JAN</v>
          </cell>
          <cell r="H116" t="str">
            <v>Richardson</v>
          </cell>
          <cell r="I116" t="str">
            <v>Fox</v>
          </cell>
          <cell r="J116" t="str">
            <v>Direct Debit--Weekly</v>
          </cell>
          <cell r="K116" t="str">
            <v>DONNA</v>
          </cell>
          <cell r="L116" t="str">
            <v>None</v>
          </cell>
          <cell r="M116">
            <v>0</v>
          </cell>
          <cell r="N116">
            <v>40112</v>
          </cell>
          <cell r="O116" t="str">
            <v>NASCO</v>
          </cell>
          <cell r="P116" t="str">
            <v>NATIONAL</v>
          </cell>
          <cell r="Q116">
            <v>949</v>
          </cell>
          <cell r="R116">
            <v>0</v>
          </cell>
          <cell r="S116">
            <v>0</v>
          </cell>
          <cell r="T116">
            <v>0</v>
          </cell>
          <cell r="U116">
            <v>0</v>
          </cell>
          <cell r="V116">
            <v>0</v>
          </cell>
          <cell r="W116">
            <v>0</v>
          </cell>
          <cell r="X116">
            <v>68057.36</v>
          </cell>
          <cell r="Y116">
            <v>0</v>
          </cell>
          <cell r="Z116">
            <v>0</v>
          </cell>
          <cell r="AA116">
            <v>0</v>
          </cell>
          <cell r="AB116">
            <v>418066.64</v>
          </cell>
          <cell r="AC116">
            <v>486124</v>
          </cell>
          <cell r="AD116">
            <v>0</v>
          </cell>
          <cell r="AE116">
            <v>486124</v>
          </cell>
          <cell r="AF116">
            <v>0</v>
          </cell>
          <cell r="AG116">
            <v>0</v>
          </cell>
          <cell r="AH116">
            <v>0</v>
          </cell>
          <cell r="AI116">
            <v>6136290</v>
          </cell>
          <cell r="AJ116">
            <v>6622414</v>
          </cell>
          <cell r="AK116">
            <v>486124</v>
          </cell>
          <cell r="AL116">
            <v>6622414</v>
          </cell>
          <cell r="AM116">
            <v>0</v>
          </cell>
          <cell r="AN116">
            <v>0</v>
          </cell>
          <cell r="AO116">
            <v>0</v>
          </cell>
          <cell r="AP116">
            <v>0</v>
          </cell>
          <cell r="AQ116">
            <v>0</v>
          </cell>
          <cell r="AR116">
            <v>0</v>
          </cell>
          <cell r="AS116">
            <v>0</v>
          </cell>
          <cell r="AT116">
            <v>594810.76563072519</v>
          </cell>
          <cell r="AU116">
            <v>-108686.76563072519</v>
          </cell>
          <cell r="AW116">
            <v>6136290</v>
          </cell>
          <cell r="AX116">
            <v>93377</v>
          </cell>
          <cell r="AY116">
            <v>6229667</v>
          </cell>
          <cell r="AZ116">
            <v>117767</v>
          </cell>
          <cell r="BA116">
            <v>6347434</v>
          </cell>
          <cell r="BB116">
            <v>0</v>
          </cell>
          <cell r="BC116">
            <v>6347434</v>
          </cell>
          <cell r="BD116">
            <v>0</v>
          </cell>
          <cell r="BE116">
            <v>486124</v>
          </cell>
          <cell r="BF116">
            <v>0</v>
          </cell>
          <cell r="BH116">
            <v>6833558</v>
          </cell>
          <cell r="BI116">
            <v>0</v>
          </cell>
          <cell r="BJ116">
            <v>6833558</v>
          </cell>
          <cell r="BK116">
            <v>0</v>
          </cell>
          <cell r="BL116">
            <v>6833558</v>
          </cell>
        </row>
        <row r="117">
          <cell r="B117" t="str">
            <v>ROTECH</v>
          </cell>
          <cell r="C117">
            <v>0</v>
          </cell>
          <cell r="D117">
            <v>1900068</v>
          </cell>
          <cell r="E117">
            <v>53344</v>
          </cell>
          <cell r="F117" t="str">
            <v>ASC</v>
          </cell>
          <cell r="G117" t="str">
            <v>JUL</v>
          </cell>
          <cell r="H117" t="str">
            <v>Parker Mann</v>
          </cell>
          <cell r="I117" t="str">
            <v>Engel</v>
          </cell>
          <cell r="J117" t="str">
            <v>Weekly Wire</v>
          </cell>
          <cell r="K117" t="str">
            <v>BARBARA</v>
          </cell>
          <cell r="L117" t="str">
            <v>Crawford, Slevin &amp; Hicks</v>
          </cell>
          <cell r="M117">
            <v>312502</v>
          </cell>
          <cell r="N117">
            <v>0</v>
          </cell>
          <cell r="O117" t="str">
            <v>NASCO</v>
          </cell>
          <cell r="P117" t="str">
            <v>NATIONAL</v>
          </cell>
          <cell r="Q117">
            <v>3272</v>
          </cell>
          <cell r="R117">
            <v>0</v>
          </cell>
          <cell r="S117">
            <v>0</v>
          </cell>
          <cell r="T117">
            <v>0</v>
          </cell>
          <cell r="U117">
            <v>0</v>
          </cell>
          <cell r="V117">
            <v>0</v>
          </cell>
          <cell r="W117">
            <v>0</v>
          </cell>
          <cell r="X117">
            <v>0</v>
          </cell>
          <cell r="Y117">
            <v>0</v>
          </cell>
          <cell r="Z117">
            <v>0</v>
          </cell>
          <cell r="AA117">
            <v>133113.85999999999</v>
          </cell>
          <cell r="AB117">
            <v>1126731.1399999999</v>
          </cell>
          <cell r="AC117">
            <v>1259845</v>
          </cell>
          <cell r="AD117">
            <v>0</v>
          </cell>
          <cell r="AE117">
            <v>1259845</v>
          </cell>
          <cell r="AF117">
            <v>0</v>
          </cell>
          <cell r="AG117">
            <v>0</v>
          </cell>
          <cell r="AH117">
            <v>0</v>
          </cell>
          <cell r="AI117">
            <v>12628630</v>
          </cell>
          <cell r="AJ117">
            <v>13888475</v>
          </cell>
          <cell r="AK117">
            <v>1259845</v>
          </cell>
          <cell r="AL117">
            <v>13755361.140000001</v>
          </cell>
          <cell r="AM117">
            <v>0</v>
          </cell>
          <cell r="AN117">
            <v>0</v>
          </cell>
          <cell r="AO117">
            <v>0</v>
          </cell>
          <cell r="AP117">
            <v>0</v>
          </cell>
          <cell r="AQ117">
            <v>0</v>
          </cell>
          <cell r="AR117">
            <v>0</v>
          </cell>
          <cell r="AS117">
            <v>0</v>
          </cell>
          <cell r="AT117">
            <v>1222699.1750757056</v>
          </cell>
          <cell r="AU117">
            <v>-95968.035075705731</v>
          </cell>
          <cell r="AW117">
            <v>12628630</v>
          </cell>
          <cell r="AX117">
            <v>220272</v>
          </cell>
          <cell r="AY117">
            <v>12848902</v>
          </cell>
          <cell r="AZ117">
            <v>0</v>
          </cell>
          <cell r="BA117">
            <v>12848902</v>
          </cell>
          <cell r="BB117">
            <v>0</v>
          </cell>
          <cell r="BC117">
            <v>12848902</v>
          </cell>
          <cell r="BD117">
            <v>0</v>
          </cell>
          <cell r="BE117">
            <v>1259845</v>
          </cell>
          <cell r="BF117">
            <v>0</v>
          </cell>
          <cell r="BH117">
            <v>14108747</v>
          </cell>
          <cell r="BI117">
            <v>0</v>
          </cell>
          <cell r="BJ117">
            <v>14108747</v>
          </cell>
          <cell r="BK117">
            <v>0</v>
          </cell>
          <cell r="BL117">
            <v>14108747</v>
          </cell>
        </row>
        <row r="118">
          <cell r="B118" t="str">
            <v>ROUSE</v>
          </cell>
          <cell r="C118">
            <v>0</v>
          </cell>
          <cell r="D118">
            <v>1900035</v>
          </cell>
          <cell r="E118">
            <v>39579</v>
          </cell>
          <cell r="F118" t="str">
            <v>ASC</v>
          </cell>
          <cell r="G118" t="str">
            <v>JAN</v>
          </cell>
          <cell r="H118" t="str">
            <v>Michael</v>
          </cell>
          <cell r="I118" t="str">
            <v>Patton</v>
          </cell>
          <cell r="J118" t="str">
            <v>Bi-weekly Wire</v>
          </cell>
          <cell r="K118" t="str">
            <v>DONNA</v>
          </cell>
          <cell r="L118" t="str">
            <v>Aon</v>
          </cell>
          <cell r="M118">
            <v>0</v>
          </cell>
          <cell r="N118">
            <v>155000</v>
          </cell>
          <cell r="O118" t="str">
            <v>NASCO-S</v>
          </cell>
          <cell r="P118" t="str">
            <v>NATIONAL</v>
          </cell>
          <cell r="Q118">
            <v>1604</v>
          </cell>
          <cell r="R118">
            <v>0</v>
          </cell>
          <cell r="S118">
            <v>175000</v>
          </cell>
          <cell r="T118">
            <v>1.25</v>
          </cell>
          <cell r="U118">
            <v>359338.52</v>
          </cell>
          <cell r="V118">
            <v>21137.56</v>
          </cell>
          <cell r="W118">
            <v>380476.08</v>
          </cell>
          <cell r="X118">
            <v>0</v>
          </cell>
          <cell r="Y118">
            <v>0</v>
          </cell>
          <cell r="Z118">
            <v>0</v>
          </cell>
          <cell r="AA118">
            <v>0</v>
          </cell>
          <cell r="AB118">
            <v>676401.92</v>
          </cell>
          <cell r="AC118">
            <v>1056878</v>
          </cell>
          <cell r="AD118">
            <v>679</v>
          </cell>
          <cell r="AE118">
            <v>1057557</v>
          </cell>
          <cell r="AF118">
            <v>0</v>
          </cell>
          <cell r="AG118">
            <v>0</v>
          </cell>
          <cell r="AH118">
            <v>0</v>
          </cell>
          <cell r="AI118">
            <v>7883164</v>
          </cell>
          <cell r="AJ118">
            <v>8940042</v>
          </cell>
          <cell r="AK118">
            <v>1056878</v>
          </cell>
          <cell r="AL118">
            <v>8940042</v>
          </cell>
          <cell r="AM118">
            <v>0</v>
          </cell>
          <cell r="AN118">
            <v>0</v>
          </cell>
          <cell r="AO118">
            <v>0</v>
          </cell>
          <cell r="AP118">
            <v>0</v>
          </cell>
          <cell r="AQ118">
            <v>322205</v>
          </cell>
          <cell r="AR118">
            <v>0</v>
          </cell>
          <cell r="AS118">
            <v>322205</v>
          </cell>
          <cell r="AT118">
            <v>799971.90236957255</v>
          </cell>
          <cell r="AU118">
            <v>-64619.902369572548</v>
          </cell>
          <cell r="AW118">
            <v>8205369</v>
          </cell>
          <cell r="AX118">
            <v>105541</v>
          </cell>
          <cell r="AY118">
            <v>8310910</v>
          </cell>
          <cell r="AZ118">
            <v>0</v>
          </cell>
          <cell r="BA118">
            <v>8310910</v>
          </cell>
          <cell r="BB118">
            <v>0</v>
          </cell>
          <cell r="BC118">
            <v>8310910</v>
          </cell>
          <cell r="BD118">
            <v>679</v>
          </cell>
          <cell r="BE118">
            <v>1056878</v>
          </cell>
          <cell r="BF118">
            <v>0</v>
          </cell>
          <cell r="BH118">
            <v>9368467</v>
          </cell>
          <cell r="BI118">
            <v>322205</v>
          </cell>
          <cell r="BJ118">
            <v>9046262</v>
          </cell>
          <cell r="BK118">
            <v>0</v>
          </cell>
          <cell r="BL118">
            <v>9046262</v>
          </cell>
        </row>
        <row r="119">
          <cell r="B119" t="str">
            <v>RWD TECHNOLOGIES</v>
          </cell>
          <cell r="C119">
            <v>0</v>
          </cell>
          <cell r="D119">
            <v>1900123</v>
          </cell>
          <cell r="E119">
            <v>56808</v>
          </cell>
          <cell r="F119" t="str">
            <v>ASC</v>
          </cell>
          <cell r="G119" t="str">
            <v>JAN</v>
          </cell>
          <cell r="H119" t="str">
            <v>Delong</v>
          </cell>
          <cell r="I119" t="str">
            <v>Maier</v>
          </cell>
          <cell r="J119" t="str">
            <v>Direct Debit--Weekly</v>
          </cell>
          <cell r="K119" t="str">
            <v>NETTIE</v>
          </cell>
          <cell r="L119" t="str">
            <v>None</v>
          </cell>
          <cell r="M119">
            <v>0</v>
          </cell>
          <cell r="N119">
            <v>55600</v>
          </cell>
          <cell r="O119" t="str">
            <v>NASCO</v>
          </cell>
          <cell r="P119" t="str">
            <v>NATIONAL</v>
          </cell>
          <cell r="Q119">
            <v>464</v>
          </cell>
          <cell r="R119">
            <v>0</v>
          </cell>
          <cell r="S119">
            <v>100000</v>
          </cell>
          <cell r="T119">
            <v>1.25</v>
          </cell>
          <cell r="U119">
            <v>125949.95</v>
          </cell>
          <cell r="V119">
            <v>7197.14</v>
          </cell>
          <cell r="W119">
            <v>133147.09</v>
          </cell>
          <cell r="X119">
            <v>21591.42</v>
          </cell>
          <cell r="Y119">
            <v>14394.28</v>
          </cell>
          <cell r="Z119">
            <v>0</v>
          </cell>
          <cell r="AA119">
            <v>0</v>
          </cell>
          <cell r="AB119">
            <v>190724.21</v>
          </cell>
          <cell r="AC119">
            <v>359857</v>
          </cell>
          <cell r="AD119">
            <v>-87</v>
          </cell>
          <cell r="AE119">
            <v>359770</v>
          </cell>
          <cell r="AF119">
            <v>0</v>
          </cell>
          <cell r="AG119">
            <v>0</v>
          </cell>
          <cell r="AH119">
            <v>-1500</v>
          </cell>
          <cell r="AI119">
            <v>1943834</v>
          </cell>
          <cell r="AJ119">
            <v>2303691</v>
          </cell>
          <cell r="AK119">
            <v>359857</v>
          </cell>
          <cell r="AL119">
            <v>2303691</v>
          </cell>
          <cell r="AM119">
            <v>0</v>
          </cell>
          <cell r="AN119">
            <v>0</v>
          </cell>
          <cell r="AO119">
            <v>0</v>
          </cell>
          <cell r="AP119">
            <v>0</v>
          </cell>
          <cell r="AQ119">
            <v>7308</v>
          </cell>
          <cell r="AR119">
            <v>0</v>
          </cell>
          <cell r="AS119">
            <v>7308</v>
          </cell>
          <cell r="AT119">
            <v>189778.21578123487</v>
          </cell>
          <cell r="AU119">
            <v>161183.78421876513</v>
          </cell>
          <cell r="AW119">
            <v>1951142</v>
          </cell>
          <cell r="AX119">
            <v>55822</v>
          </cell>
          <cell r="AY119">
            <v>2006964</v>
          </cell>
          <cell r="AZ119">
            <v>0</v>
          </cell>
          <cell r="BA119">
            <v>2006964</v>
          </cell>
          <cell r="BB119">
            <v>0</v>
          </cell>
          <cell r="BC119">
            <v>2006964</v>
          </cell>
          <cell r="BD119">
            <v>-87</v>
          </cell>
          <cell r="BE119">
            <v>359857</v>
          </cell>
          <cell r="BF119">
            <v>-1500</v>
          </cell>
          <cell r="BH119">
            <v>2365234</v>
          </cell>
          <cell r="BI119">
            <v>7308</v>
          </cell>
          <cell r="BJ119">
            <v>2357926</v>
          </cell>
          <cell r="BK119">
            <v>0</v>
          </cell>
          <cell r="BL119">
            <v>2357926</v>
          </cell>
        </row>
        <row r="120">
          <cell r="B120" t="str">
            <v>RYLAND</v>
          </cell>
          <cell r="C120">
            <v>0</v>
          </cell>
          <cell r="D120">
            <v>1900004</v>
          </cell>
          <cell r="E120">
            <v>48921</v>
          </cell>
          <cell r="F120" t="str">
            <v>ASC</v>
          </cell>
          <cell r="G120" t="str">
            <v>JAN</v>
          </cell>
          <cell r="H120" t="str">
            <v>Daniels</v>
          </cell>
          <cell r="I120" t="str">
            <v>Engel</v>
          </cell>
          <cell r="J120" t="str">
            <v>Weekly Wire</v>
          </cell>
          <cell r="K120" t="str">
            <v>NETTIE</v>
          </cell>
          <cell r="L120" t="str">
            <v>Wachovia</v>
          </cell>
          <cell r="M120">
            <v>0</v>
          </cell>
          <cell r="N120">
            <v>17415</v>
          </cell>
          <cell r="O120" t="str">
            <v>NASCO</v>
          </cell>
          <cell r="P120" t="str">
            <v>NATIONAL</v>
          </cell>
          <cell r="Q120">
            <v>2469</v>
          </cell>
          <cell r="R120">
            <v>0</v>
          </cell>
          <cell r="S120">
            <v>0</v>
          </cell>
          <cell r="T120">
            <v>0</v>
          </cell>
          <cell r="U120">
            <v>0</v>
          </cell>
          <cell r="V120">
            <v>0</v>
          </cell>
          <cell r="W120">
            <v>0</v>
          </cell>
          <cell r="X120">
            <v>0</v>
          </cell>
          <cell r="Y120">
            <v>0</v>
          </cell>
          <cell r="Z120">
            <v>0</v>
          </cell>
          <cell r="AA120">
            <v>498052.2</v>
          </cell>
          <cell r="AB120">
            <v>1108567.8</v>
          </cell>
          <cell r="AC120">
            <v>1606620</v>
          </cell>
          <cell r="AD120">
            <v>0</v>
          </cell>
          <cell r="AE120">
            <v>1606620</v>
          </cell>
          <cell r="AF120">
            <v>0</v>
          </cell>
          <cell r="AG120">
            <v>0</v>
          </cell>
          <cell r="AH120">
            <v>0</v>
          </cell>
          <cell r="AI120">
            <v>12715727</v>
          </cell>
          <cell r="AJ120">
            <v>14322347</v>
          </cell>
          <cell r="AK120">
            <v>1606620</v>
          </cell>
          <cell r="AL120">
            <v>13824294.800000001</v>
          </cell>
          <cell r="AM120">
            <v>0</v>
          </cell>
          <cell r="AN120">
            <v>0</v>
          </cell>
          <cell r="AO120">
            <v>0</v>
          </cell>
          <cell r="AP120">
            <v>0</v>
          </cell>
          <cell r="AQ120">
            <v>0</v>
          </cell>
          <cell r="AR120">
            <v>0</v>
          </cell>
          <cell r="AS120">
            <v>0</v>
          </cell>
          <cell r="AT120">
            <v>1240641.0417770606</v>
          </cell>
          <cell r="AU120">
            <v>-132073.24177706055</v>
          </cell>
          <cell r="AW120">
            <v>12715727</v>
          </cell>
          <cell r="AX120">
            <v>292702</v>
          </cell>
          <cell r="AY120">
            <v>13008429</v>
          </cell>
          <cell r="AZ120">
            <v>0</v>
          </cell>
          <cell r="BA120">
            <v>13008429</v>
          </cell>
          <cell r="BB120">
            <v>0</v>
          </cell>
          <cell r="BC120">
            <v>13008429</v>
          </cell>
          <cell r="BD120">
            <v>0</v>
          </cell>
          <cell r="BE120">
            <v>1606620</v>
          </cell>
          <cell r="BF120">
            <v>0</v>
          </cell>
          <cell r="BH120">
            <v>14615049</v>
          </cell>
          <cell r="BI120">
            <v>0</v>
          </cell>
          <cell r="BJ120">
            <v>14615049</v>
          </cell>
          <cell r="BK120">
            <v>0</v>
          </cell>
          <cell r="BL120">
            <v>14615049</v>
          </cell>
        </row>
        <row r="121">
          <cell r="B121" t="str">
            <v>SCHLUMBERGER</v>
          </cell>
          <cell r="C121" t="str">
            <v>MALCO</v>
          </cell>
          <cell r="D121" t="str">
            <v>n/a</v>
          </cell>
          <cell r="E121">
            <v>29962</v>
          </cell>
          <cell r="F121" t="str">
            <v>ASC</v>
          </cell>
          <cell r="G121" t="str">
            <v>F.I. 6/04</v>
          </cell>
          <cell r="H121" t="str">
            <v>Delong</v>
          </cell>
          <cell r="I121" t="str">
            <v>Engel</v>
          </cell>
          <cell r="J121" t="str">
            <v>Monthly Wire</v>
          </cell>
          <cell r="K121" t="str">
            <v>BARBARA</v>
          </cell>
          <cell r="L121" t="str">
            <v>Huber,Oros &amp; Co.</v>
          </cell>
          <cell r="M121">
            <v>0</v>
          </cell>
          <cell r="N121">
            <v>37000</v>
          </cell>
          <cell r="O121" t="str">
            <v>CARE</v>
          </cell>
          <cell r="P121" t="str">
            <v>LOCAL</v>
          </cell>
          <cell r="Q121" t="str">
            <v>termed</v>
          </cell>
          <cell r="R121">
            <v>0</v>
          </cell>
          <cell r="S121">
            <v>250000</v>
          </cell>
          <cell r="T121">
            <v>0</v>
          </cell>
          <cell r="U121">
            <v>9455.68</v>
          </cell>
          <cell r="V121">
            <v>0</v>
          </cell>
          <cell r="W121">
            <v>9455.68</v>
          </cell>
          <cell r="X121">
            <v>3545.88</v>
          </cell>
          <cell r="Y121">
            <v>1772.94</v>
          </cell>
          <cell r="Z121">
            <v>0</v>
          </cell>
          <cell r="AA121">
            <v>9455.68</v>
          </cell>
          <cell r="AB121">
            <v>47168.82</v>
          </cell>
          <cell r="AC121">
            <v>71399</v>
          </cell>
          <cell r="AD121">
            <v>12</v>
          </cell>
          <cell r="AE121">
            <v>71411</v>
          </cell>
          <cell r="AF121">
            <v>0</v>
          </cell>
          <cell r="AG121">
            <v>0</v>
          </cell>
          <cell r="AH121">
            <v>0</v>
          </cell>
          <cell r="AI121">
            <v>375569</v>
          </cell>
          <cell r="AJ121">
            <v>446968</v>
          </cell>
          <cell r="AK121">
            <v>71399</v>
          </cell>
          <cell r="AL121">
            <v>437512.32</v>
          </cell>
          <cell r="AM121">
            <v>0</v>
          </cell>
          <cell r="AN121">
            <v>0</v>
          </cell>
          <cell r="AO121">
            <v>0</v>
          </cell>
          <cell r="AP121">
            <v>0</v>
          </cell>
          <cell r="AQ121">
            <v>0</v>
          </cell>
          <cell r="AR121">
            <v>0</v>
          </cell>
          <cell r="AS121">
            <v>0</v>
          </cell>
          <cell r="AT121">
            <v>37150.403946447012</v>
          </cell>
          <cell r="AU121">
            <v>24804.916053552988</v>
          </cell>
          <cell r="AW121">
            <v>375569</v>
          </cell>
          <cell r="AX121">
            <v>3090</v>
          </cell>
          <cell r="AY121">
            <v>378659</v>
          </cell>
          <cell r="AZ121">
            <v>0</v>
          </cell>
          <cell r="BA121">
            <v>378659</v>
          </cell>
          <cell r="BB121">
            <v>0</v>
          </cell>
          <cell r="BC121">
            <v>378659</v>
          </cell>
          <cell r="BD121">
            <v>12</v>
          </cell>
          <cell r="BE121">
            <v>71399</v>
          </cell>
          <cell r="BF121">
            <v>0</v>
          </cell>
          <cell r="BH121">
            <v>450070</v>
          </cell>
          <cell r="BI121">
            <v>0</v>
          </cell>
          <cell r="BJ121">
            <v>450070</v>
          </cell>
          <cell r="BK121">
            <v>0</v>
          </cell>
          <cell r="BL121">
            <v>450070</v>
          </cell>
        </row>
        <row r="122">
          <cell r="B122" t="str">
            <v>SCHMIDT BAKING</v>
          </cell>
          <cell r="C122">
            <v>0</v>
          </cell>
          <cell r="D122">
            <v>1900190</v>
          </cell>
          <cell r="E122">
            <v>8055</v>
          </cell>
          <cell r="F122" t="str">
            <v>ASC</v>
          </cell>
          <cell r="G122" t="str">
            <v>JAN</v>
          </cell>
          <cell r="H122" t="str">
            <v>Richardson</v>
          </cell>
          <cell r="I122" t="str">
            <v>Drusano</v>
          </cell>
          <cell r="J122" t="str">
            <v>Deposit--2 Month</v>
          </cell>
          <cell r="K122" t="str">
            <v>LISA</v>
          </cell>
          <cell r="L122" t="str">
            <v>None</v>
          </cell>
          <cell r="M122">
            <v>464149</v>
          </cell>
          <cell r="N122">
            <v>146668</v>
          </cell>
          <cell r="O122" t="str">
            <v>NASCO-S</v>
          </cell>
          <cell r="P122" t="str">
            <v>NATIONAL</v>
          </cell>
          <cell r="Q122">
            <v>566</v>
          </cell>
          <cell r="R122">
            <v>0</v>
          </cell>
          <cell r="S122">
            <v>125000</v>
          </cell>
          <cell r="T122">
            <v>1.25</v>
          </cell>
          <cell r="U122">
            <v>250363.62</v>
          </cell>
          <cell r="V122">
            <v>6419.58</v>
          </cell>
          <cell r="W122">
            <v>256783.2</v>
          </cell>
          <cell r="X122">
            <v>51356.639999999999</v>
          </cell>
          <cell r="Y122">
            <v>0</v>
          </cell>
          <cell r="Z122">
            <v>0</v>
          </cell>
          <cell r="AA122">
            <v>0</v>
          </cell>
          <cell r="AB122">
            <v>333818.15999999997</v>
          </cell>
          <cell r="AC122">
            <v>641958</v>
          </cell>
          <cell r="AD122">
            <v>202</v>
          </cell>
          <cell r="AE122">
            <v>642160</v>
          </cell>
          <cell r="AF122">
            <v>0</v>
          </cell>
          <cell r="AG122">
            <v>0</v>
          </cell>
          <cell r="AH122">
            <v>0</v>
          </cell>
          <cell r="AI122">
            <v>4136144</v>
          </cell>
          <cell r="AJ122">
            <v>4778102</v>
          </cell>
          <cell r="AK122">
            <v>641958</v>
          </cell>
          <cell r="AL122">
            <v>4778102</v>
          </cell>
          <cell r="AM122">
            <v>0</v>
          </cell>
          <cell r="AN122">
            <v>0</v>
          </cell>
          <cell r="AO122">
            <v>0</v>
          </cell>
          <cell r="AP122">
            <v>0</v>
          </cell>
          <cell r="AQ122">
            <v>432823</v>
          </cell>
          <cell r="AR122">
            <v>0</v>
          </cell>
          <cell r="AS122">
            <v>432823</v>
          </cell>
          <cell r="AT122">
            <v>443996.47441828088</v>
          </cell>
          <cell r="AU122">
            <v>-234659.47441828088</v>
          </cell>
          <cell r="AW122">
            <v>4568967</v>
          </cell>
          <cell r="AX122">
            <v>32108</v>
          </cell>
          <cell r="AY122">
            <v>4601075</v>
          </cell>
          <cell r="AZ122">
            <v>35758</v>
          </cell>
          <cell r="BA122">
            <v>4636833</v>
          </cell>
          <cell r="BB122">
            <v>0</v>
          </cell>
          <cell r="BC122">
            <v>4636833</v>
          </cell>
          <cell r="BD122">
            <v>202</v>
          </cell>
          <cell r="BE122">
            <v>641958</v>
          </cell>
          <cell r="BF122">
            <v>0</v>
          </cell>
          <cell r="BH122">
            <v>5278993</v>
          </cell>
          <cell r="BI122">
            <v>432823</v>
          </cell>
          <cell r="BJ122">
            <v>4846170</v>
          </cell>
          <cell r="BK122">
            <v>0</v>
          </cell>
          <cell r="BL122">
            <v>4846170</v>
          </cell>
        </row>
        <row r="123">
          <cell r="B123" t="str">
            <v>SFA</v>
          </cell>
          <cell r="C123">
            <v>0</v>
          </cell>
          <cell r="D123">
            <v>1900216</v>
          </cell>
          <cell r="E123">
            <v>31400</v>
          </cell>
          <cell r="F123" t="str">
            <v>ASC</v>
          </cell>
          <cell r="G123" t="str">
            <v>JAN</v>
          </cell>
          <cell r="H123" t="str">
            <v>Solloway</v>
          </cell>
          <cell r="I123" t="str">
            <v>Engel</v>
          </cell>
          <cell r="J123" t="str">
            <v>Direct Debit--Weekly</v>
          </cell>
          <cell r="K123" t="str">
            <v>NETTIE</v>
          </cell>
          <cell r="L123" t="str">
            <v>Wachovia</v>
          </cell>
          <cell r="M123">
            <v>0</v>
          </cell>
          <cell r="N123">
            <v>13027</v>
          </cell>
          <cell r="O123" t="str">
            <v>NASCO</v>
          </cell>
          <cell r="P123" t="str">
            <v>NATIONAL</v>
          </cell>
          <cell r="Q123">
            <v>338</v>
          </cell>
          <cell r="R123">
            <v>0</v>
          </cell>
          <cell r="S123">
            <v>50000</v>
          </cell>
          <cell r="T123">
            <v>1.1499999999999999</v>
          </cell>
          <cell r="U123">
            <v>207858.15</v>
          </cell>
          <cell r="V123">
            <v>36952.559999999998</v>
          </cell>
          <cell r="W123">
            <v>244810.71</v>
          </cell>
          <cell r="X123">
            <v>18476.28</v>
          </cell>
          <cell r="Y123">
            <v>0</v>
          </cell>
          <cell r="Z123">
            <v>0</v>
          </cell>
          <cell r="AA123">
            <v>46190.7</v>
          </cell>
          <cell r="AB123">
            <v>152429.31</v>
          </cell>
          <cell r="AC123">
            <v>461907</v>
          </cell>
          <cell r="AD123">
            <v>0</v>
          </cell>
          <cell r="AE123">
            <v>461907</v>
          </cell>
          <cell r="AF123">
            <v>0</v>
          </cell>
          <cell r="AG123">
            <v>0</v>
          </cell>
          <cell r="AH123">
            <v>0</v>
          </cell>
          <cell r="AI123">
            <v>1185694</v>
          </cell>
          <cell r="AJ123">
            <v>1647601</v>
          </cell>
          <cell r="AK123">
            <v>461907</v>
          </cell>
          <cell r="AL123">
            <v>1601410.3</v>
          </cell>
          <cell r="AM123">
            <v>0</v>
          </cell>
          <cell r="AN123">
            <v>0</v>
          </cell>
          <cell r="AO123">
            <v>0</v>
          </cell>
          <cell r="AP123">
            <v>0</v>
          </cell>
          <cell r="AQ123">
            <v>5007</v>
          </cell>
          <cell r="AR123">
            <v>2841</v>
          </cell>
          <cell r="AS123">
            <v>7848</v>
          </cell>
          <cell r="AT123">
            <v>116960.89182375825</v>
          </cell>
          <cell r="AU123">
            <v>290907.40817624173</v>
          </cell>
          <cell r="AW123">
            <v>1193542</v>
          </cell>
          <cell r="AX123">
            <v>33914</v>
          </cell>
          <cell r="AY123">
            <v>1227456</v>
          </cell>
          <cell r="AZ123">
            <v>0</v>
          </cell>
          <cell r="BA123">
            <v>1227456</v>
          </cell>
          <cell r="BB123">
            <v>0</v>
          </cell>
          <cell r="BC123">
            <v>1227456</v>
          </cell>
          <cell r="BD123">
            <v>0</v>
          </cell>
          <cell r="BE123">
            <v>461907</v>
          </cell>
          <cell r="BF123">
            <v>0</v>
          </cell>
          <cell r="BH123">
            <v>1689363</v>
          </cell>
          <cell r="BI123">
            <v>7848</v>
          </cell>
          <cell r="BJ123">
            <v>1681515</v>
          </cell>
          <cell r="BK123">
            <v>0</v>
          </cell>
          <cell r="BL123">
            <v>1681515</v>
          </cell>
        </row>
        <row r="124">
          <cell r="B124" t="str">
            <v>SIERRA MILITARY</v>
          </cell>
          <cell r="C124">
            <v>0</v>
          </cell>
          <cell r="D124">
            <v>1900229</v>
          </cell>
          <cell r="E124">
            <v>56835</v>
          </cell>
          <cell r="F124" t="str">
            <v>ASC</v>
          </cell>
          <cell r="G124" t="str">
            <v>JAN</v>
          </cell>
          <cell r="H124" t="str">
            <v>Daniels</v>
          </cell>
          <cell r="I124" t="str">
            <v>Drusano</v>
          </cell>
          <cell r="J124" t="str">
            <v>Weekly Wire</v>
          </cell>
          <cell r="K124" t="str">
            <v>NETTIE</v>
          </cell>
          <cell r="L124" t="str">
            <v>None</v>
          </cell>
          <cell r="M124">
            <v>0</v>
          </cell>
          <cell r="N124">
            <v>42000</v>
          </cell>
          <cell r="O124" t="str">
            <v>NASCO</v>
          </cell>
          <cell r="P124" t="str">
            <v>NATIONAL</v>
          </cell>
          <cell r="Q124">
            <v>184</v>
          </cell>
          <cell r="R124">
            <v>0</v>
          </cell>
          <cell r="S124">
            <v>175000</v>
          </cell>
          <cell r="T124">
            <v>0</v>
          </cell>
          <cell r="U124">
            <v>63072.639999999999</v>
          </cell>
          <cell r="V124">
            <v>0</v>
          </cell>
          <cell r="W124">
            <v>63072.639999999999</v>
          </cell>
          <cell r="X124">
            <v>0</v>
          </cell>
          <cell r="Y124">
            <v>0</v>
          </cell>
          <cell r="Z124">
            <v>0</v>
          </cell>
          <cell r="AA124">
            <v>0</v>
          </cell>
          <cell r="AB124">
            <v>331131.36</v>
          </cell>
          <cell r="AC124">
            <v>394204</v>
          </cell>
          <cell r="AD124">
            <v>31</v>
          </cell>
          <cell r="AE124">
            <v>394235</v>
          </cell>
          <cell r="AF124">
            <v>0</v>
          </cell>
          <cell r="AG124">
            <v>0</v>
          </cell>
          <cell r="AH124">
            <v>0</v>
          </cell>
          <cell r="AI124">
            <v>3434496</v>
          </cell>
          <cell r="AJ124">
            <v>3828700</v>
          </cell>
          <cell r="AK124">
            <v>394204</v>
          </cell>
          <cell r="AL124">
            <v>3828700</v>
          </cell>
          <cell r="AM124">
            <v>0</v>
          </cell>
          <cell r="AN124">
            <v>0</v>
          </cell>
          <cell r="AO124">
            <v>0</v>
          </cell>
          <cell r="AP124">
            <v>0</v>
          </cell>
          <cell r="AQ124">
            <v>151299</v>
          </cell>
          <cell r="AR124">
            <v>0</v>
          </cell>
          <cell r="AS124">
            <v>151299</v>
          </cell>
          <cell r="AT124">
            <v>346517.76363797381</v>
          </cell>
          <cell r="AU124">
            <v>-103581.76363797381</v>
          </cell>
          <cell r="AW124">
            <v>3585795</v>
          </cell>
          <cell r="AX124">
            <v>68492</v>
          </cell>
          <cell r="AY124">
            <v>3654287</v>
          </cell>
          <cell r="AZ124">
            <v>0</v>
          </cell>
          <cell r="BA124">
            <v>3654287</v>
          </cell>
          <cell r="BB124">
            <v>0</v>
          </cell>
          <cell r="BC124">
            <v>3654287</v>
          </cell>
          <cell r="BD124">
            <v>31</v>
          </cell>
          <cell r="BE124">
            <v>394204</v>
          </cell>
          <cell r="BF124">
            <v>0</v>
          </cell>
          <cell r="BH124">
            <v>4048522</v>
          </cell>
          <cell r="BI124">
            <v>151299</v>
          </cell>
          <cell r="BJ124">
            <v>3897223</v>
          </cell>
          <cell r="BK124">
            <v>0</v>
          </cell>
          <cell r="BL124">
            <v>3897223</v>
          </cell>
        </row>
        <row r="125">
          <cell r="B125" t="str">
            <v>SPACE TELESCOPE</v>
          </cell>
          <cell r="C125">
            <v>0</v>
          </cell>
          <cell r="D125" t="str">
            <v>n/a</v>
          </cell>
          <cell r="E125">
            <v>59749</v>
          </cell>
          <cell r="F125" t="str">
            <v>ASC</v>
          </cell>
          <cell r="G125" t="str">
            <v>JAN</v>
          </cell>
          <cell r="H125" t="str">
            <v>Parker Mann</v>
          </cell>
          <cell r="I125" t="str">
            <v>Engel</v>
          </cell>
          <cell r="J125" t="str">
            <v>Direct Debit--Weekly</v>
          </cell>
          <cell r="K125" t="str">
            <v>DONNA</v>
          </cell>
          <cell r="L125" t="str">
            <v>None</v>
          </cell>
          <cell r="M125">
            <v>0</v>
          </cell>
          <cell r="N125">
            <v>46773</v>
          </cell>
          <cell r="O125" t="str">
            <v>CARE</v>
          </cell>
          <cell r="P125" t="str">
            <v>LOCAL</v>
          </cell>
          <cell r="Q125">
            <v>252</v>
          </cell>
          <cell r="R125">
            <v>0</v>
          </cell>
          <cell r="S125">
            <v>0</v>
          </cell>
          <cell r="T125">
            <v>0</v>
          </cell>
          <cell r="U125">
            <v>0</v>
          </cell>
          <cell r="V125">
            <v>0</v>
          </cell>
          <cell r="W125">
            <v>0</v>
          </cell>
          <cell r="X125">
            <v>0</v>
          </cell>
          <cell r="Y125">
            <v>3013.1</v>
          </cell>
          <cell r="Z125">
            <v>0</v>
          </cell>
          <cell r="AA125">
            <v>0</v>
          </cell>
          <cell r="AB125">
            <v>147641.9</v>
          </cell>
          <cell r="AC125">
            <v>150655</v>
          </cell>
          <cell r="AD125">
            <v>3</v>
          </cell>
          <cell r="AE125">
            <v>150658</v>
          </cell>
          <cell r="AF125">
            <v>0</v>
          </cell>
          <cell r="AG125">
            <v>0</v>
          </cell>
          <cell r="AH125">
            <v>1650</v>
          </cell>
          <cell r="AI125">
            <v>1274422</v>
          </cell>
          <cell r="AJ125">
            <v>1425077</v>
          </cell>
          <cell r="AK125">
            <v>150655</v>
          </cell>
          <cell r="AL125">
            <v>1425077</v>
          </cell>
          <cell r="AM125">
            <v>0</v>
          </cell>
          <cell r="AN125">
            <v>0</v>
          </cell>
          <cell r="AO125">
            <v>0</v>
          </cell>
          <cell r="AP125">
            <v>0</v>
          </cell>
          <cell r="AQ125">
            <v>0</v>
          </cell>
          <cell r="AR125">
            <v>0</v>
          </cell>
          <cell r="AS125">
            <v>0</v>
          </cell>
          <cell r="AT125">
            <v>124695.16981925456</v>
          </cell>
          <cell r="AU125">
            <v>27612.830180745441</v>
          </cell>
          <cell r="AW125">
            <v>1274422</v>
          </cell>
          <cell r="AX125">
            <v>8859</v>
          </cell>
          <cell r="AY125">
            <v>1283281</v>
          </cell>
          <cell r="AZ125">
            <v>0</v>
          </cell>
          <cell r="BA125">
            <v>1283281</v>
          </cell>
          <cell r="BB125">
            <v>0</v>
          </cell>
          <cell r="BC125">
            <v>1283281</v>
          </cell>
          <cell r="BD125">
            <v>3</v>
          </cell>
          <cell r="BE125">
            <v>150655</v>
          </cell>
          <cell r="BF125">
            <v>1650</v>
          </cell>
          <cell r="BH125">
            <v>1435589</v>
          </cell>
          <cell r="BI125">
            <v>0</v>
          </cell>
          <cell r="BJ125">
            <v>1435589</v>
          </cell>
          <cell r="BK125">
            <v>0</v>
          </cell>
          <cell r="BL125">
            <v>1435589</v>
          </cell>
        </row>
        <row r="126">
          <cell r="B126" t="str">
            <v>SPECTERA</v>
          </cell>
          <cell r="C126">
            <v>0</v>
          </cell>
          <cell r="D126" t="str">
            <v>n/a</v>
          </cell>
          <cell r="E126">
            <v>28558</v>
          </cell>
          <cell r="F126" t="str">
            <v>ASC</v>
          </cell>
          <cell r="G126" t="str">
            <v>JUL</v>
          </cell>
          <cell r="H126" t="str">
            <v>Lentz</v>
          </cell>
          <cell r="I126" t="str">
            <v>Schramm</v>
          </cell>
          <cell r="J126" t="str">
            <v>Direct Debit--Weekly</v>
          </cell>
          <cell r="K126" t="str">
            <v>BARBARA</v>
          </cell>
          <cell r="L126" t="str">
            <v>Kenneth Bradley</v>
          </cell>
          <cell r="M126">
            <v>0</v>
          </cell>
          <cell r="N126">
            <v>33316</v>
          </cell>
          <cell r="O126" t="str">
            <v>CARE</v>
          </cell>
          <cell r="P126" t="str">
            <v>LOCAL</v>
          </cell>
          <cell r="Q126">
            <v>205</v>
          </cell>
          <cell r="R126">
            <v>0</v>
          </cell>
          <cell r="S126">
            <v>50000</v>
          </cell>
          <cell r="T126">
            <v>1.25</v>
          </cell>
          <cell r="U126">
            <v>126070.44</v>
          </cell>
          <cell r="V126">
            <v>34754.36</v>
          </cell>
          <cell r="W126">
            <v>160824.79999999999</v>
          </cell>
          <cell r="X126">
            <v>14538.24</v>
          </cell>
          <cell r="Y126">
            <v>0</v>
          </cell>
          <cell r="Z126">
            <v>0</v>
          </cell>
          <cell r="AA126">
            <v>23398.6</v>
          </cell>
          <cell r="AB126">
            <v>164694.35999999999</v>
          </cell>
          <cell r="AC126">
            <v>363456</v>
          </cell>
          <cell r="AD126">
            <v>1</v>
          </cell>
          <cell r="AE126">
            <v>363457</v>
          </cell>
          <cell r="AF126">
            <v>0</v>
          </cell>
          <cell r="AG126">
            <v>0</v>
          </cell>
          <cell r="AH126">
            <v>0</v>
          </cell>
          <cell r="AI126">
            <v>845880</v>
          </cell>
          <cell r="AJ126">
            <v>1209336</v>
          </cell>
          <cell r="AK126">
            <v>363456</v>
          </cell>
          <cell r="AL126">
            <v>1185937.3999999999</v>
          </cell>
          <cell r="AM126">
            <v>0</v>
          </cell>
          <cell r="AN126">
            <v>0</v>
          </cell>
          <cell r="AO126">
            <v>0</v>
          </cell>
          <cell r="AP126">
            <v>0</v>
          </cell>
          <cell r="AQ126">
            <v>71755</v>
          </cell>
          <cell r="AR126">
            <v>0</v>
          </cell>
          <cell r="AS126">
            <v>71755</v>
          </cell>
          <cell r="AT126">
            <v>89428.101726836903</v>
          </cell>
          <cell r="AU126">
            <v>178875.29827316312</v>
          </cell>
          <cell r="AW126">
            <v>917635</v>
          </cell>
          <cell r="AX126">
            <v>4456</v>
          </cell>
          <cell r="AY126">
            <v>922091</v>
          </cell>
          <cell r="AZ126">
            <v>0</v>
          </cell>
          <cell r="BA126">
            <v>922091</v>
          </cell>
          <cell r="BB126">
            <v>0</v>
          </cell>
          <cell r="BC126">
            <v>922091</v>
          </cell>
          <cell r="BD126">
            <v>1</v>
          </cell>
          <cell r="BE126">
            <v>363456</v>
          </cell>
          <cell r="BF126">
            <v>0</v>
          </cell>
          <cell r="BH126">
            <v>1285548</v>
          </cell>
          <cell r="BI126">
            <v>71755</v>
          </cell>
          <cell r="BJ126">
            <v>1213793</v>
          </cell>
          <cell r="BK126">
            <v>0</v>
          </cell>
          <cell r="BL126">
            <v>1213793</v>
          </cell>
        </row>
        <row r="127">
          <cell r="B127" t="str">
            <v>ST MARYS CO RETRO</v>
          </cell>
          <cell r="C127">
            <v>0</v>
          </cell>
          <cell r="D127" t="str">
            <v>n/a</v>
          </cell>
          <cell r="E127">
            <v>10721</v>
          </cell>
          <cell r="F127" t="str">
            <v>Modified Retro</v>
          </cell>
          <cell r="G127" t="str">
            <v>JUL</v>
          </cell>
          <cell r="H127" t="str">
            <v>Richardson</v>
          </cell>
          <cell r="I127" t="str">
            <v>Lehman</v>
          </cell>
          <cell r="J127" t="str">
            <v>Retrospective</v>
          </cell>
          <cell r="K127" t="str">
            <v>LISA</v>
          </cell>
          <cell r="L127" t="str">
            <v>None</v>
          </cell>
          <cell r="M127">
            <v>0</v>
          </cell>
          <cell r="N127">
            <v>0</v>
          </cell>
          <cell r="O127" t="str">
            <v>CARE</v>
          </cell>
          <cell r="P127" t="str">
            <v>LOCAL</v>
          </cell>
          <cell r="Q127">
            <v>2532</v>
          </cell>
          <cell r="R127">
            <v>0</v>
          </cell>
          <cell r="S127">
            <v>125000</v>
          </cell>
          <cell r="T127">
            <v>1.1499999999999999</v>
          </cell>
          <cell r="U127">
            <v>289425.53999999998</v>
          </cell>
          <cell r="V127">
            <v>289425.53999999998</v>
          </cell>
          <cell r="W127">
            <v>578851.07999999996</v>
          </cell>
          <cell r="X127">
            <v>133022.64000000001</v>
          </cell>
          <cell r="Y127">
            <v>41921.24</v>
          </cell>
          <cell r="Z127">
            <v>0</v>
          </cell>
          <cell r="AA127">
            <v>0</v>
          </cell>
          <cell r="AB127">
            <v>1463249.04</v>
          </cell>
          <cell r="AC127">
            <v>2217044</v>
          </cell>
          <cell r="AD127">
            <v>1509</v>
          </cell>
          <cell r="AE127">
            <v>2218553</v>
          </cell>
          <cell r="AF127">
            <v>0</v>
          </cell>
          <cell r="AG127">
            <v>0</v>
          </cell>
          <cell r="AH127">
            <v>0</v>
          </cell>
          <cell r="AI127">
            <v>18586045</v>
          </cell>
          <cell r="AJ127">
            <v>20803089</v>
          </cell>
          <cell r="AK127">
            <v>2217044</v>
          </cell>
          <cell r="AL127">
            <v>20803089</v>
          </cell>
          <cell r="AM127">
            <v>0</v>
          </cell>
          <cell r="AN127">
            <v>0</v>
          </cell>
          <cell r="AO127">
            <v>0</v>
          </cell>
          <cell r="AP127">
            <v>0</v>
          </cell>
          <cell r="AQ127">
            <v>240038</v>
          </cell>
          <cell r="AR127">
            <v>0</v>
          </cell>
          <cell r="AS127">
            <v>240038</v>
          </cell>
          <cell r="AT127">
            <v>1831849.6933092803</v>
          </cell>
          <cell r="AU127">
            <v>146665.30669071968</v>
          </cell>
          <cell r="AW127">
            <v>18826083</v>
          </cell>
          <cell r="AX127">
            <v>226474</v>
          </cell>
          <cell r="AY127">
            <v>19052557</v>
          </cell>
          <cell r="AZ127">
            <v>0</v>
          </cell>
          <cell r="BA127">
            <v>19052557</v>
          </cell>
          <cell r="BB127">
            <v>0</v>
          </cell>
          <cell r="BC127">
            <v>19052557</v>
          </cell>
          <cell r="BD127">
            <v>1509</v>
          </cell>
          <cell r="BE127">
            <v>2217044</v>
          </cell>
          <cell r="BF127">
            <v>0</v>
          </cell>
          <cell r="BH127">
            <v>21271110</v>
          </cell>
          <cell r="BI127">
            <v>240038</v>
          </cell>
          <cell r="BJ127">
            <v>21031072</v>
          </cell>
          <cell r="BK127">
            <v>0</v>
          </cell>
          <cell r="BL127">
            <v>21031072</v>
          </cell>
        </row>
        <row r="128">
          <cell r="B128" t="str">
            <v>ST MARYS HOSPITAL</v>
          </cell>
          <cell r="C128">
            <v>0</v>
          </cell>
          <cell r="D128" t="str">
            <v>n/a</v>
          </cell>
          <cell r="E128">
            <v>51545</v>
          </cell>
          <cell r="F128" t="str">
            <v>ASC</v>
          </cell>
          <cell r="G128" t="str">
            <v>termed 7/04</v>
          </cell>
          <cell r="H128" t="str">
            <v>Richardson</v>
          </cell>
          <cell r="I128" t="str">
            <v>Lehman</v>
          </cell>
          <cell r="J128" t="str">
            <v>Deposit-2 Month</v>
          </cell>
          <cell r="K128" t="str">
            <v>BARBARA</v>
          </cell>
          <cell r="L128" t="str">
            <v>None</v>
          </cell>
          <cell r="M128">
            <v>304200</v>
          </cell>
          <cell r="N128">
            <v>52200</v>
          </cell>
          <cell r="O128" t="str">
            <v>CARE</v>
          </cell>
          <cell r="P128" t="str">
            <v>LOCAL</v>
          </cell>
          <cell r="Q128" t="str">
            <v>termed</v>
          </cell>
          <cell r="R128">
            <v>0</v>
          </cell>
          <cell r="S128">
            <v>60000</v>
          </cell>
          <cell r="T128">
            <v>1.1499999999999999</v>
          </cell>
          <cell r="U128">
            <v>51840.5</v>
          </cell>
          <cell r="V128">
            <v>29030.68</v>
          </cell>
          <cell r="W128">
            <v>80871.179999999993</v>
          </cell>
          <cell r="X128">
            <v>8294.48</v>
          </cell>
          <cell r="Y128">
            <v>8294.48</v>
          </cell>
          <cell r="Z128">
            <v>0</v>
          </cell>
          <cell r="AA128">
            <v>0</v>
          </cell>
          <cell r="AB128">
            <v>138690.85999999999</v>
          </cell>
          <cell r="AC128">
            <v>236151</v>
          </cell>
          <cell r="AD128">
            <v>801</v>
          </cell>
          <cell r="AE128">
            <v>236952</v>
          </cell>
          <cell r="AF128">
            <v>0</v>
          </cell>
          <cell r="AG128">
            <v>0</v>
          </cell>
          <cell r="AH128">
            <v>250</v>
          </cell>
          <cell r="AI128">
            <v>1389822</v>
          </cell>
          <cell r="AJ128">
            <v>1625973</v>
          </cell>
          <cell r="AK128">
            <v>236151</v>
          </cell>
          <cell r="AL128">
            <v>1625973</v>
          </cell>
          <cell r="AM128">
            <v>0</v>
          </cell>
          <cell r="AN128">
            <v>0</v>
          </cell>
          <cell r="AO128">
            <v>0</v>
          </cell>
          <cell r="AP128">
            <v>0</v>
          </cell>
          <cell r="AQ128">
            <v>103827</v>
          </cell>
          <cell r="AR128">
            <v>0</v>
          </cell>
          <cell r="AS128">
            <v>103827</v>
          </cell>
          <cell r="AT128">
            <v>143361.65907933924</v>
          </cell>
          <cell r="AU128">
            <v>-9986.6590793392388</v>
          </cell>
          <cell r="AW128">
            <v>1493649</v>
          </cell>
          <cell r="AX128">
            <v>21746</v>
          </cell>
          <cell r="AY128">
            <v>1515395</v>
          </cell>
          <cell r="AZ128">
            <v>0</v>
          </cell>
          <cell r="BA128">
            <v>1515395</v>
          </cell>
          <cell r="BB128">
            <v>0</v>
          </cell>
          <cell r="BC128">
            <v>1515395</v>
          </cell>
          <cell r="BD128">
            <v>801</v>
          </cell>
          <cell r="BE128">
            <v>236151</v>
          </cell>
          <cell r="BF128">
            <v>250</v>
          </cell>
          <cell r="BH128">
            <v>1752597</v>
          </cell>
          <cell r="BI128">
            <v>103827</v>
          </cell>
          <cell r="BJ128">
            <v>1648770</v>
          </cell>
          <cell r="BK128">
            <v>0</v>
          </cell>
          <cell r="BL128">
            <v>1648770</v>
          </cell>
        </row>
        <row r="129">
          <cell r="B129" t="str">
            <v>STA-ILA DENTAL</v>
          </cell>
          <cell r="C129">
            <v>0</v>
          </cell>
          <cell r="D129" t="str">
            <v>n/a</v>
          </cell>
          <cell r="E129">
            <v>8146</v>
          </cell>
          <cell r="F129" t="str">
            <v>ASC</v>
          </cell>
          <cell r="G129" t="str">
            <v>OCT</v>
          </cell>
          <cell r="H129" t="str">
            <v>Hauff</v>
          </cell>
          <cell r="I129" t="str">
            <v>Schramm</v>
          </cell>
          <cell r="J129" t="str">
            <v>Deposit-2 Month</v>
          </cell>
          <cell r="K129" t="str">
            <v>DONNA</v>
          </cell>
          <cell r="L129" t="str">
            <v>None</v>
          </cell>
          <cell r="M129">
            <v>144222</v>
          </cell>
          <cell r="N129">
            <v>0</v>
          </cell>
          <cell r="O129" t="str">
            <v>CARE-S</v>
          </cell>
          <cell r="P129" t="str">
            <v>LOCAL</v>
          </cell>
          <cell r="Q129" t="str">
            <v>dental</v>
          </cell>
          <cell r="R129">
            <v>0</v>
          </cell>
          <cell r="S129">
            <v>0</v>
          </cell>
          <cell r="T129">
            <v>0</v>
          </cell>
          <cell r="U129">
            <v>0</v>
          </cell>
          <cell r="V129">
            <v>0</v>
          </cell>
          <cell r="W129">
            <v>0</v>
          </cell>
          <cell r="X129">
            <v>0</v>
          </cell>
          <cell r="Y129">
            <v>0</v>
          </cell>
          <cell r="Z129">
            <v>0</v>
          </cell>
          <cell r="AA129">
            <v>0</v>
          </cell>
          <cell r="AB129">
            <v>116071</v>
          </cell>
          <cell r="AC129">
            <v>116071</v>
          </cell>
          <cell r="AD129">
            <v>0</v>
          </cell>
          <cell r="AE129">
            <v>116071</v>
          </cell>
          <cell r="AF129">
            <v>0</v>
          </cell>
          <cell r="AG129">
            <v>0</v>
          </cell>
          <cell r="AH129">
            <v>0</v>
          </cell>
          <cell r="AI129">
            <v>815343</v>
          </cell>
          <cell r="AJ129">
            <v>931414</v>
          </cell>
          <cell r="AK129">
            <v>116071</v>
          </cell>
          <cell r="AL129">
            <v>931414</v>
          </cell>
          <cell r="AM129">
            <v>0</v>
          </cell>
          <cell r="AN129">
            <v>0</v>
          </cell>
          <cell r="AO129">
            <v>0</v>
          </cell>
          <cell r="AP129">
            <v>0</v>
          </cell>
          <cell r="AQ129">
            <v>0</v>
          </cell>
          <cell r="AR129">
            <v>0</v>
          </cell>
          <cell r="AS129">
            <v>0</v>
          </cell>
          <cell r="AT129">
            <v>79200.116938225066</v>
          </cell>
          <cell r="AU129">
            <v>36870.883061774934</v>
          </cell>
          <cell r="AW129">
            <v>815343</v>
          </cell>
          <cell r="AX129">
            <v>0</v>
          </cell>
          <cell r="AY129">
            <v>815343</v>
          </cell>
          <cell r="AZ129">
            <v>0</v>
          </cell>
          <cell r="BA129">
            <v>815343</v>
          </cell>
          <cell r="BB129">
            <v>0</v>
          </cell>
          <cell r="BC129">
            <v>815343</v>
          </cell>
          <cell r="BD129">
            <v>0</v>
          </cell>
          <cell r="BE129">
            <v>116071</v>
          </cell>
          <cell r="BF129">
            <v>0</v>
          </cell>
          <cell r="BH129">
            <v>931414</v>
          </cell>
          <cell r="BI129">
            <v>0</v>
          </cell>
          <cell r="BJ129">
            <v>931414</v>
          </cell>
          <cell r="BK129">
            <v>0</v>
          </cell>
          <cell r="BL129">
            <v>931414</v>
          </cell>
        </row>
        <row r="130">
          <cell r="B130" t="str">
            <v>STATE OF MARYLAND</v>
          </cell>
          <cell r="C130">
            <v>0</v>
          </cell>
          <cell r="D130">
            <v>1900111</v>
          </cell>
          <cell r="E130" t="str">
            <v>07311</v>
          </cell>
          <cell r="F130" t="str">
            <v>ASC</v>
          </cell>
          <cell r="G130" t="str">
            <v>JAN</v>
          </cell>
          <cell r="H130" t="str">
            <v>Richardson</v>
          </cell>
          <cell r="I130" t="str">
            <v>Tomko</v>
          </cell>
          <cell r="J130" t="str">
            <v>Weekly Wire</v>
          </cell>
          <cell r="K130" t="str">
            <v>BARBARA</v>
          </cell>
          <cell r="L130" t="str">
            <v>None</v>
          </cell>
          <cell r="M130">
            <v>0</v>
          </cell>
          <cell r="N130">
            <v>0</v>
          </cell>
          <cell r="O130" t="str">
            <v>SELF</v>
          </cell>
          <cell r="P130" t="str">
            <v>LOCAL</v>
          </cell>
          <cell r="Q130">
            <v>61150</v>
          </cell>
          <cell r="R130">
            <v>0</v>
          </cell>
          <cell r="S130">
            <v>0</v>
          </cell>
          <cell r="T130">
            <v>0</v>
          </cell>
          <cell r="U130">
            <v>0</v>
          </cell>
          <cell r="V130">
            <v>0</v>
          </cell>
          <cell r="W130">
            <v>0</v>
          </cell>
          <cell r="X130">
            <v>0</v>
          </cell>
          <cell r="Y130">
            <v>0</v>
          </cell>
          <cell r="Z130">
            <v>0</v>
          </cell>
          <cell r="AA130">
            <v>0</v>
          </cell>
          <cell r="AB130">
            <v>18425044</v>
          </cell>
          <cell r="AC130">
            <v>18425044</v>
          </cell>
          <cell r="AD130">
            <v>13450</v>
          </cell>
          <cell r="AE130">
            <v>18438494</v>
          </cell>
          <cell r="AF130">
            <v>0</v>
          </cell>
          <cell r="AG130">
            <v>0</v>
          </cell>
          <cell r="AH130">
            <v>-82371</v>
          </cell>
          <cell r="AI130">
            <v>315808928</v>
          </cell>
          <cell r="AJ130">
            <v>334233972</v>
          </cell>
          <cell r="AK130">
            <v>18425044</v>
          </cell>
          <cell r="AL130">
            <v>334233972</v>
          </cell>
          <cell r="AM130">
            <v>1250462</v>
          </cell>
          <cell r="AN130">
            <v>0</v>
          </cell>
          <cell r="AO130">
            <v>0</v>
          </cell>
          <cell r="AP130">
            <v>0</v>
          </cell>
          <cell r="AQ130">
            <v>0</v>
          </cell>
          <cell r="AR130">
            <v>0</v>
          </cell>
          <cell r="AS130">
            <v>0</v>
          </cell>
          <cell r="AT130">
            <v>30676324.228294179</v>
          </cell>
          <cell r="AU130">
            <v>-12320201.228294179</v>
          </cell>
          <cell r="AW130">
            <v>315808928</v>
          </cell>
          <cell r="AX130">
            <v>0</v>
          </cell>
          <cell r="AY130">
            <v>315808928</v>
          </cell>
          <cell r="AZ130">
            <v>0</v>
          </cell>
          <cell r="BA130">
            <v>315808928</v>
          </cell>
          <cell r="BB130">
            <v>0</v>
          </cell>
          <cell r="BC130">
            <v>315808928</v>
          </cell>
          <cell r="BD130">
            <v>13450</v>
          </cell>
          <cell r="BE130">
            <v>18425044</v>
          </cell>
          <cell r="BF130">
            <v>-82371</v>
          </cell>
          <cell r="BH130">
            <v>334165051</v>
          </cell>
          <cell r="BI130">
            <v>0</v>
          </cell>
          <cell r="BJ130">
            <v>334165051</v>
          </cell>
          <cell r="BK130">
            <v>0</v>
          </cell>
          <cell r="BL130">
            <v>334165051</v>
          </cell>
        </row>
        <row r="131">
          <cell r="B131" t="str">
            <v>SYLVAN</v>
          </cell>
          <cell r="C131">
            <v>0</v>
          </cell>
          <cell r="D131">
            <v>1900217</v>
          </cell>
          <cell r="E131">
            <v>27304</v>
          </cell>
          <cell r="F131" t="str">
            <v>ASC-Adjustable Retro</v>
          </cell>
          <cell r="G131" t="str">
            <v>JAN</v>
          </cell>
          <cell r="H131" t="str">
            <v>Delong</v>
          </cell>
          <cell r="I131" t="str">
            <v>Drusano</v>
          </cell>
          <cell r="J131" t="str">
            <v>Direct Debit--Weekly</v>
          </cell>
          <cell r="K131" t="str">
            <v>BARBARA</v>
          </cell>
          <cell r="L131" t="str">
            <v>Huber,Oros &amp; Co.</v>
          </cell>
          <cell r="M131">
            <v>0</v>
          </cell>
          <cell r="N131">
            <v>57000</v>
          </cell>
          <cell r="O131" t="str">
            <v>NASCO</v>
          </cell>
          <cell r="P131" t="str">
            <v>NATIONAL</v>
          </cell>
          <cell r="Q131">
            <v>511</v>
          </cell>
          <cell r="R131">
            <v>0</v>
          </cell>
          <cell r="S131">
            <v>150000</v>
          </cell>
          <cell r="T131">
            <v>1.25</v>
          </cell>
          <cell r="U131">
            <v>54564.44</v>
          </cell>
          <cell r="V131">
            <v>11692.38</v>
          </cell>
          <cell r="W131">
            <v>66256.820000000007</v>
          </cell>
          <cell r="X131">
            <v>19487.3</v>
          </cell>
          <cell r="Y131">
            <v>11692.38</v>
          </cell>
          <cell r="Z131">
            <v>0</v>
          </cell>
          <cell r="AA131">
            <v>70154.28</v>
          </cell>
          <cell r="AB131">
            <v>222155.22</v>
          </cell>
          <cell r="AC131">
            <v>389746</v>
          </cell>
          <cell r="AD131">
            <v>-20</v>
          </cell>
          <cell r="AE131">
            <v>389726</v>
          </cell>
          <cell r="AF131">
            <v>0</v>
          </cell>
          <cell r="AG131">
            <v>0</v>
          </cell>
          <cell r="AH131">
            <v>-13644</v>
          </cell>
          <cell r="AI131">
            <v>2204833</v>
          </cell>
          <cell r="AJ131">
            <v>2594579</v>
          </cell>
          <cell r="AK131">
            <v>389746</v>
          </cell>
          <cell r="AL131">
            <v>2524424.7200000002</v>
          </cell>
          <cell r="AM131">
            <v>0</v>
          </cell>
          <cell r="AN131">
            <v>0</v>
          </cell>
          <cell r="AO131">
            <v>0</v>
          </cell>
          <cell r="AP131">
            <v>0</v>
          </cell>
          <cell r="AQ131">
            <v>37416</v>
          </cell>
          <cell r="AR131">
            <v>0</v>
          </cell>
          <cell r="AS131">
            <v>37416</v>
          </cell>
          <cell r="AT131">
            <v>219841.91997629247</v>
          </cell>
          <cell r="AU131">
            <v>48669.800023707503</v>
          </cell>
          <cell r="AW131">
            <v>2242249</v>
          </cell>
          <cell r="AX131">
            <v>33028</v>
          </cell>
          <cell r="AY131">
            <v>2275277</v>
          </cell>
          <cell r="AZ131">
            <v>0</v>
          </cell>
          <cell r="BA131">
            <v>2275277</v>
          </cell>
          <cell r="BB131">
            <v>0</v>
          </cell>
          <cell r="BC131">
            <v>2275277</v>
          </cell>
          <cell r="BD131">
            <v>-20</v>
          </cell>
          <cell r="BE131">
            <v>389746</v>
          </cell>
          <cell r="BF131">
            <v>-13644</v>
          </cell>
          <cell r="BH131">
            <v>2651359</v>
          </cell>
          <cell r="BI131">
            <v>37416</v>
          </cell>
          <cell r="BJ131">
            <v>2613943</v>
          </cell>
          <cell r="BK131">
            <v>0</v>
          </cell>
          <cell r="BL131">
            <v>2613943</v>
          </cell>
        </row>
        <row r="132">
          <cell r="B132" t="str">
            <v>SYMPHONY</v>
          </cell>
          <cell r="C132">
            <v>0</v>
          </cell>
          <cell r="D132">
            <v>1900488</v>
          </cell>
          <cell r="E132">
            <v>64880</v>
          </cell>
          <cell r="F132" t="str">
            <v>ASC</v>
          </cell>
          <cell r="G132" t="str">
            <v>JAN</v>
          </cell>
          <cell r="H132" t="str">
            <v>Parker Mann</v>
          </cell>
          <cell r="I132" t="str">
            <v>Engel</v>
          </cell>
          <cell r="J132" t="str">
            <v>Weekly Wire</v>
          </cell>
          <cell r="K132" t="str">
            <v>DONNA</v>
          </cell>
          <cell r="L132" t="str">
            <v>Kelly &amp; Associates</v>
          </cell>
          <cell r="M132">
            <v>0</v>
          </cell>
          <cell r="N132">
            <v>0</v>
          </cell>
          <cell r="O132" t="str">
            <v>NASCO</v>
          </cell>
          <cell r="P132" t="str">
            <v>NATIONAL</v>
          </cell>
          <cell r="Q132">
            <v>2240</v>
          </cell>
          <cell r="R132">
            <v>0</v>
          </cell>
          <cell r="S132">
            <v>0</v>
          </cell>
          <cell r="T132">
            <v>0</v>
          </cell>
          <cell r="U132">
            <v>0</v>
          </cell>
          <cell r="V132">
            <v>0</v>
          </cell>
          <cell r="W132">
            <v>0</v>
          </cell>
          <cell r="X132">
            <v>0</v>
          </cell>
          <cell r="Y132">
            <v>0</v>
          </cell>
          <cell r="Z132">
            <v>0</v>
          </cell>
          <cell r="AA132">
            <v>327667.81</v>
          </cell>
          <cell r="AB132">
            <v>802221.19</v>
          </cell>
          <cell r="AC132">
            <v>1129889</v>
          </cell>
          <cell r="AD132">
            <v>36</v>
          </cell>
          <cell r="AE132">
            <v>1129925</v>
          </cell>
          <cell r="AF132">
            <v>0</v>
          </cell>
          <cell r="AG132">
            <v>0</v>
          </cell>
          <cell r="AH132">
            <v>0</v>
          </cell>
          <cell r="AI132">
            <v>8666908</v>
          </cell>
          <cell r="AJ132">
            <v>9796797</v>
          </cell>
          <cell r="AK132">
            <v>1129889</v>
          </cell>
          <cell r="AL132">
            <v>9469129.1899999995</v>
          </cell>
          <cell r="AM132">
            <v>0</v>
          </cell>
          <cell r="AN132">
            <v>0</v>
          </cell>
          <cell r="AO132">
            <v>0</v>
          </cell>
          <cell r="AP132">
            <v>0</v>
          </cell>
          <cell r="AQ132">
            <v>0</v>
          </cell>
          <cell r="AR132">
            <v>0</v>
          </cell>
          <cell r="AS132">
            <v>0</v>
          </cell>
          <cell r="AT132">
            <v>843537.08306571119</v>
          </cell>
          <cell r="AU132">
            <v>-41279.893065711134</v>
          </cell>
          <cell r="AW132">
            <v>8666908</v>
          </cell>
          <cell r="AX132">
            <v>357849</v>
          </cell>
          <cell r="AY132">
            <v>9024757</v>
          </cell>
          <cell r="AZ132">
            <v>0</v>
          </cell>
          <cell r="BA132">
            <v>9024757</v>
          </cell>
          <cell r="BB132">
            <v>0</v>
          </cell>
          <cell r="BC132">
            <v>9024757</v>
          </cell>
          <cell r="BD132">
            <v>36</v>
          </cell>
          <cell r="BE132">
            <v>1129889</v>
          </cell>
          <cell r="BF132">
            <v>0</v>
          </cell>
          <cell r="BH132">
            <v>10154682</v>
          </cell>
          <cell r="BI132">
            <v>0</v>
          </cell>
          <cell r="BJ132">
            <v>10154682</v>
          </cell>
          <cell r="BK132">
            <v>0</v>
          </cell>
          <cell r="BL132">
            <v>10154682</v>
          </cell>
        </row>
        <row r="133">
          <cell r="B133" t="str">
            <v>T ROWE PRICE</v>
          </cell>
          <cell r="C133">
            <v>0</v>
          </cell>
          <cell r="D133">
            <v>1900210</v>
          </cell>
          <cell r="E133" t="str">
            <v>08145</v>
          </cell>
          <cell r="F133" t="str">
            <v>ASC</v>
          </cell>
          <cell r="G133" t="str">
            <v>JAN</v>
          </cell>
          <cell r="H133" t="str">
            <v>Parker Mann</v>
          </cell>
          <cell r="I133" t="str">
            <v>Maier</v>
          </cell>
          <cell r="J133" t="str">
            <v>Weekly Wire</v>
          </cell>
          <cell r="K133" t="str">
            <v>DONNA</v>
          </cell>
          <cell r="L133" t="str">
            <v>None</v>
          </cell>
          <cell r="M133">
            <v>0</v>
          </cell>
          <cell r="N133">
            <v>84030</v>
          </cell>
          <cell r="O133" t="str">
            <v>NASCO-S</v>
          </cell>
          <cell r="P133" t="str">
            <v>NATIONAL</v>
          </cell>
          <cell r="Q133">
            <v>1199</v>
          </cell>
          <cell r="R133">
            <v>0</v>
          </cell>
          <cell r="S133">
            <v>150000</v>
          </cell>
          <cell r="T133">
            <v>0</v>
          </cell>
          <cell r="U133">
            <v>153416.12</v>
          </cell>
          <cell r="V133">
            <v>0</v>
          </cell>
          <cell r="W133">
            <v>153416.12</v>
          </cell>
          <cell r="X133">
            <v>0</v>
          </cell>
          <cell r="Y133">
            <v>17701.86</v>
          </cell>
          <cell r="Z133">
            <v>0</v>
          </cell>
          <cell r="AA133">
            <v>0</v>
          </cell>
          <cell r="AB133">
            <v>418944.02</v>
          </cell>
          <cell r="AC133">
            <v>590062</v>
          </cell>
          <cell r="AD133">
            <v>250</v>
          </cell>
          <cell r="AE133">
            <v>590312</v>
          </cell>
          <cell r="AF133">
            <v>0</v>
          </cell>
          <cell r="AG133">
            <v>0</v>
          </cell>
          <cell r="AH133">
            <v>-1557</v>
          </cell>
          <cell r="AI133">
            <v>4024945</v>
          </cell>
          <cell r="AJ133">
            <v>4615007</v>
          </cell>
          <cell r="AK133">
            <v>590062</v>
          </cell>
          <cell r="AL133">
            <v>4615007</v>
          </cell>
          <cell r="AM133">
            <v>0</v>
          </cell>
          <cell r="AN133">
            <v>0</v>
          </cell>
          <cell r="AO133">
            <v>0</v>
          </cell>
          <cell r="AP133">
            <v>0</v>
          </cell>
          <cell r="AQ133">
            <v>281251</v>
          </cell>
          <cell r="AR133">
            <v>0</v>
          </cell>
          <cell r="AS133">
            <v>281251</v>
          </cell>
          <cell r="AT133">
            <v>420683.14849466615</v>
          </cell>
          <cell r="AU133">
            <v>-113179.14849466615</v>
          </cell>
          <cell r="AW133">
            <v>4306196</v>
          </cell>
          <cell r="AX133">
            <v>41403</v>
          </cell>
          <cell r="AY133">
            <v>4347599</v>
          </cell>
          <cell r="AZ133">
            <v>0</v>
          </cell>
          <cell r="BA133">
            <v>4347599</v>
          </cell>
          <cell r="BB133">
            <v>0</v>
          </cell>
          <cell r="BC133">
            <v>4347599</v>
          </cell>
          <cell r="BD133">
            <v>250</v>
          </cell>
          <cell r="BE133">
            <v>590062</v>
          </cell>
          <cell r="BF133">
            <v>-1557</v>
          </cell>
          <cell r="BH133">
            <v>4936354</v>
          </cell>
          <cell r="BI133">
            <v>281251</v>
          </cell>
          <cell r="BJ133">
            <v>4655103</v>
          </cell>
          <cell r="BK133">
            <v>0</v>
          </cell>
          <cell r="BL133">
            <v>4655103</v>
          </cell>
        </row>
        <row r="134">
          <cell r="B134" t="str">
            <v>TESSCO</v>
          </cell>
          <cell r="C134">
            <v>0</v>
          </cell>
          <cell r="D134">
            <v>1900011</v>
          </cell>
          <cell r="E134">
            <v>46748</v>
          </cell>
          <cell r="F134" t="str">
            <v>ASC</v>
          </cell>
          <cell r="G134" t="str">
            <v>JUL</v>
          </cell>
          <cell r="H134" t="str">
            <v>Hauff</v>
          </cell>
          <cell r="I134" t="str">
            <v>Waters</v>
          </cell>
          <cell r="J134" t="str">
            <v>Deposit--2 Month</v>
          </cell>
          <cell r="K134" t="str">
            <v>BARBARA</v>
          </cell>
          <cell r="L134" t="str">
            <v>Kelly &amp; Associates</v>
          </cell>
          <cell r="M134">
            <v>314000</v>
          </cell>
          <cell r="N134">
            <v>47329</v>
          </cell>
          <cell r="O134" t="str">
            <v>NASCO</v>
          </cell>
          <cell r="P134" t="str">
            <v>NATIONAL</v>
          </cell>
          <cell r="Q134">
            <v>507</v>
          </cell>
          <cell r="R134">
            <v>0</v>
          </cell>
          <cell r="S134">
            <v>0</v>
          </cell>
          <cell r="T134">
            <v>0</v>
          </cell>
          <cell r="U134">
            <v>0</v>
          </cell>
          <cell r="V134">
            <v>0</v>
          </cell>
          <cell r="W134">
            <v>0</v>
          </cell>
          <cell r="X134">
            <v>0</v>
          </cell>
          <cell r="Y134">
            <v>9371.16</v>
          </cell>
          <cell r="Z134">
            <v>0</v>
          </cell>
          <cell r="AA134">
            <v>115978.13</v>
          </cell>
          <cell r="AB134">
            <v>248773.71</v>
          </cell>
          <cell r="AC134">
            <v>374123</v>
          </cell>
          <cell r="AD134">
            <v>216</v>
          </cell>
          <cell r="AE134">
            <v>374339</v>
          </cell>
          <cell r="AF134">
            <v>0</v>
          </cell>
          <cell r="AG134">
            <v>0</v>
          </cell>
          <cell r="AH134">
            <v>-40</v>
          </cell>
          <cell r="AI134">
            <v>1708805</v>
          </cell>
          <cell r="AJ134">
            <v>2082928</v>
          </cell>
          <cell r="AK134">
            <v>374123</v>
          </cell>
          <cell r="AL134">
            <v>1966949.87</v>
          </cell>
          <cell r="AM134">
            <v>0</v>
          </cell>
          <cell r="AN134">
            <v>0</v>
          </cell>
          <cell r="AO134">
            <v>0</v>
          </cell>
          <cell r="AP134">
            <v>0</v>
          </cell>
          <cell r="AQ134">
            <v>0</v>
          </cell>
          <cell r="AR134">
            <v>0</v>
          </cell>
          <cell r="AS134">
            <v>0</v>
          </cell>
          <cell r="AT134">
            <v>166503.51011574038</v>
          </cell>
          <cell r="AU134">
            <v>91817.359884259611</v>
          </cell>
          <cell r="AW134">
            <v>1708805</v>
          </cell>
          <cell r="AX134">
            <v>26719</v>
          </cell>
          <cell r="AY134">
            <v>1735524</v>
          </cell>
          <cell r="AZ134">
            <v>0</v>
          </cell>
          <cell r="BA134">
            <v>1735524</v>
          </cell>
          <cell r="BB134">
            <v>0</v>
          </cell>
          <cell r="BC134">
            <v>1735524</v>
          </cell>
          <cell r="BD134">
            <v>216</v>
          </cell>
          <cell r="BE134">
            <v>374123</v>
          </cell>
          <cell r="BF134">
            <v>-40</v>
          </cell>
          <cell r="BH134">
            <v>2109823</v>
          </cell>
          <cell r="BI134">
            <v>0</v>
          </cell>
          <cell r="BJ134">
            <v>2109823</v>
          </cell>
          <cell r="BK134">
            <v>0</v>
          </cell>
          <cell r="BL134">
            <v>2109823</v>
          </cell>
        </row>
        <row r="135">
          <cell r="B135" t="str">
            <v>THI</v>
          </cell>
          <cell r="C135" t="str">
            <v>I H S</v>
          </cell>
          <cell r="D135">
            <v>1900067</v>
          </cell>
          <cell r="E135">
            <v>53191</v>
          </cell>
          <cell r="F135" t="str">
            <v>ASC</v>
          </cell>
          <cell r="G135" t="str">
            <v>JAN</v>
          </cell>
          <cell r="H135" t="str">
            <v>Parker Mann</v>
          </cell>
          <cell r="I135" t="str">
            <v>Engel</v>
          </cell>
          <cell r="J135" t="str">
            <v>Weekly Wire</v>
          </cell>
          <cell r="K135" t="str">
            <v>DONNA</v>
          </cell>
          <cell r="L135" t="str">
            <v>Wachovia</v>
          </cell>
          <cell r="M135">
            <v>1167510</v>
          </cell>
          <cell r="N135">
            <v>0</v>
          </cell>
          <cell r="O135" t="str">
            <v>NASCO</v>
          </cell>
          <cell r="P135" t="str">
            <v>NATIONAL</v>
          </cell>
          <cell r="Q135">
            <v>5556</v>
          </cell>
          <cell r="R135">
            <v>0</v>
          </cell>
          <cell r="S135">
            <v>0</v>
          </cell>
          <cell r="T135">
            <v>0</v>
          </cell>
          <cell r="U135">
            <v>0</v>
          </cell>
          <cell r="V135">
            <v>0</v>
          </cell>
          <cell r="W135">
            <v>0</v>
          </cell>
          <cell r="X135">
            <v>0</v>
          </cell>
          <cell r="Y135">
            <v>0</v>
          </cell>
          <cell r="Z135">
            <v>0</v>
          </cell>
          <cell r="AA135">
            <v>682098.84</v>
          </cell>
          <cell r="AB135">
            <v>2451766.16</v>
          </cell>
          <cell r="AC135">
            <v>3133865</v>
          </cell>
          <cell r="AD135">
            <v>-14</v>
          </cell>
          <cell r="AE135">
            <v>3133851</v>
          </cell>
          <cell r="AF135">
            <v>0</v>
          </cell>
          <cell r="AG135">
            <v>0</v>
          </cell>
          <cell r="AH135">
            <v>-7</v>
          </cell>
          <cell r="AI135">
            <v>27687783</v>
          </cell>
          <cell r="AJ135">
            <v>30821648</v>
          </cell>
          <cell r="AK135">
            <v>3133865</v>
          </cell>
          <cell r="AL135">
            <v>30139549.16</v>
          </cell>
          <cell r="AM135">
            <v>0</v>
          </cell>
          <cell r="AN135">
            <v>0</v>
          </cell>
          <cell r="AO135">
            <v>0</v>
          </cell>
          <cell r="AP135">
            <v>0</v>
          </cell>
          <cell r="AQ135">
            <v>0</v>
          </cell>
          <cell r="AR135">
            <v>0</v>
          </cell>
          <cell r="AS135">
            <v>0</v>
          </cell>
          <cell r="AT135">
            <v>2674794.7844807585</v>
          </cell>
          <cell r="AU135">
            <v>-223049.62448075833</v>
          </cell>
          <cell r="AW135">
            <v>27687783</v>
          </cell>
          <cell r="AX135">
            <v>756316</v>
          </cell>
          <cell r="AY135">
            <v>28444099</v>
          </cell>
          <cell r="AZ135">
            <v>0</v>
          </cell>
          <cell r="BA135">
            <v>28444099</v>
          </cell>
          <cell r="BB135">
            <v>0</v>
          </cell>
          <cell r="BC135">
            <v>28444099</v>
          </cell>
          <cell r="BD135">
            <v>-14</v>
          </cell>
          <cell r="BE135">
            <v>3133865</v>
          </cell>
          <cell r="BF135">
            <v>-7</v>
          </cell>
          <cell r="BH135">
            <v>31577943</v>
          </cell>
          <cell r="BI135">
            <v>0</v>
          </cell>
          <cell r="BJ135">
            <v>31577943</v>
          </cell>
          <cell r="BK135">
            <v>0</v>
          </cell>
          <cell r="BL135">
            <v>31577943</v>
          </cell>
        </row>
        <row r="136">
          <cell r="B136" t="str">
            <v>THYSSEN KRUPP</v>
          </cell>
          <cell r="C136">
            <v>0</v>
          </cell>
          <cell r="D136">
            <v>1900352</v>
          </cell>
          <cell r="E136">
            <v>61872</v>
          </cell>
          <cell r="F136" t="str">
            <v>ASC</v>
          </cell>
          <cell r="G136" t="str">
            <v>JAN</v>
          </cell>
          <cell r="H136" t="str">
            <v>Parker Mann</v>
          </cell>
          <cell r="I136" t="str">
            <v>Chopper</v>
          </cell>
          <cell r="J136" t="str">
            <v>Direct Debit--Weekly</v>
          </cell>
          <cell r="K136" t="str">
            <v>NETTIE</v>
          </cell>
          <cell r="L136" t="str">
            <v>None</v>
          </cell>
          <cell r="M136">
            <v>0</v>
          </cell>
          <cell r="N136">
            <v>15285</v>
          </cell>
          <cell r="O136" t="str">
            <v>NASCO</v>
          </cell>
          <cell r="P136" t="str">
            <v>NATIONAL</v>
          </cell>
          <cell r="Q136">
            <v>2622</v>
          </cell>
          <cell r="R136">
            <v>0</v>
          </cell>
          <cell r="S136">
            <v>0</v>
          </cell>
          <cell r="T136">
            <v>0</v>
          </cell>
          <cell r="U136">
            <v>0</v>
          </cell>
          <cell r="V136">
            <v>0</v>
          </cell>
          <cell r="W136">
            <v>0</v>
          </cell>
          <cell r="X136">
            <v>0</v>
          </cell>
          <cell r="Y136">
            <v>39745.14</v>
          </cell>
          <cell r="Z136">
            <v>0</v>
          </cell>
          <cell r="AA136">
            <v>0</v>
          </cell>
          <cell r="AB136">
            <v>1285092.8600000001</v>
          </cell>
          <cell r="AC136">
            <v>1324838</v>
          </cell>
          <cell r="AD136">
            <v>30</v>
          </cell>
          <cell r="AE136">
            <v>1324868</v>
          </cell>
          <cell r="AF136">
            <v>0</v>
          </cell>
          <cell r="AG136">
            <v>0</v>
          </cell>
          <cell r="AH136">
            <v>0</v>
          </cell>
          <cell r="AI136">
            <v>13988758</v>
          </cell>
          <cell r="AJ136">
            <v>15313596</v>
          </cell>
          <cell r="AK136">
            <v>1324838</v>
          </cell>
          <cell r="AL136">
            <v>15313596</v>
          </cell>
          <cell r="AM136">
            <v>0</v>
          </cell>
          <cell r="AN136">
            <v>0</v>
          </cell>
          <cell r="AO136">
            <v>0</v>
          </cell>
          <cell r="AP136">
            <v>0</v>
          </cell>
          <cell r="AQ136">
            <v>0</v>
          </cell>
          <cell r="AR136">
            <v>0</v>
          </cell>
          <cell r="AS136">
            <v>0</v>
          </cell>
          <cell r="AT136">
            <v>1359164.5908616323</v>
          </cell>
          <cell r="AU136">
            <v>-34296.590861632256</v>
          </cell>
          <cell r="AW136">
            <v>13988758</v>
          </cell>
          <cell r="AX136">
            <v>498222</v>
          </cell>
          <cell r="AY136">
            <v>14486980</v>
          </cell>
          <cell r="AZ136">
            <v>0</v>
          </cell>
          <cell r="BA136">
            <v>14486980</v>
          </cell>
          <cell r="BB136">
            <v>0</v>
          </cell>
          <cell r="BC136">
            <v>14486980</v>
          </cell>
          <cell r="BD136">
            <v>30</v>
          </cell>
          <cell r="BE136">
            <v>1324838</v>
          </cell>
          <cell r="BF136">
            <v>0</v>
          </cell>
          <cell r="BH136">
            <v>15811848</v>
          </cell>
          <cell r="BI136">
            <v>0</v>
          </cell>
          <cell r="BJ136">
            <v>15811848</v>
          </cell>
          <cell r="BK136">
            <v>0</v>
          </cell>
          <cell r="BL136">
            <v>15811848</v>
          </cell>
        </row>
        <row r="137">
          <cell r="B137" t="str">
            <v>TOWN &amp; COUNTRY</v>
          </cell>
          <cell r="C137" t="str">
            <v>THETCA</v>
          </cell>
          <cell r="D137">
            <v>1900319</v>
          </cell>
          <cell r="E137">
            <v>61840</v>
          </cell>
          <cell r="F137" t="str">
            <v>ASC</v>
          </cell>
          <cell r="G137" t="str">
            <v>JAN</v>
          </cell>
          <cell r="H137" t="str">
            <v>Howard</v>
          </cell>
          <cell r="I137" t="str">
            <v>Engel</v>
          </cell>
          <cell r="J137" t="str">
            <v>Direct Debit--Weekly</v>
          </cell>
          <cell r="K137" t="str">
            <v>BARBARA</v>
          </cell>
          <cell r="L137" t="str">
            <v>Watson Wyatt</v>
          </cell>
          <cell r="M137">
            <v>0</v>
          </cell>
          <cell r="N137">
            <v>36081</v>
          </cell>
          <cell r="O137" t="str">
            <v>NASCO</v>
          </cell>
          <cell r="P137" t="str">
            <v>NATIONAL</v>
          </cell>
          <cell r="Q137">
            <v>365</v>
          </cell>
          <cell r="R137">
            <v>0</v>
          </cell>
          <cell r="S137">
            <v>50000</v>
          </cell>
          <cell r="T137">
            <v>1.25</v>
          </cell>
          <cell r="U137">
            <v>188705.16</v>
          </cell>
          <cell r="V137">
            <v>26957.88</v>
          </cell>
          <cell r="W137">
            <v>215663.04</v>
          </cell>
          <cell r="X137">
            <v>0</v>
          </cell>
          <cell r="Y137">
            <v>0</v>
          </cell>
          <cell r="Z137">
            <v>0</v>
          </cell>
          <cell r="AA137">
            <v>58408.74</v>
          </cell>
          <cell r="AB137">
            <v>175226.22</v>
          </cell>
          <cell r="AC137">
            <v>449298</v>
          </cell>
          <cell r="AD137">
            <v>-82</v>
          </cell>
          <cell r="AE137">
            <v>449216</v>
          </cell>
          <cell r="AF137">
            <v>0</v>
          </cell>
          <cell r="AG137">
            <v>0</v>
          </cell>
          <cell r="AH137">
            <v>0</v>
          </cell>
          <cell r="AI137">
            <v>1770942</v>
          </cell>
          <cell r="AJ137">
            <v>2220240</v>
          </cell>
          <cell r="AK137">
            <v>449298</v>
          </cell>
          <cell r="AL137">
            <v>2161831.2599999998</v>
          </cell>
          <cell r="AM137">
            <v>0</v>
          </cell>
          <cell r="AN137">
            <v>0</v>
          </cell>
          <cell r="AO137">
            <v>0</v>
          </cell>
          <cell r="AP137">
            <v>0</v>
          </cell>
          <cell r="AQ137">
            <v>43063</v>
          </cell>
          <cell r="AR137">
            <v>0</v>
          </cell>
          <cell r="AS137">
            <v>43063</v>
          </cell>
          <cell r="AT137">
            <v>175072.66066584899</v>
          </cell>
          <cell r="AU137">
            <v>172671.59933415102</v>
          </cell>
          <cell r="AW137">
            <v>1814005</v>
          </cell>
          <cell r="AX137">
            <v>47815</v>
          </cell>
          <cell r="AY137">
            <v>1861820</v>
          </cell>
          <cell r="AZ137">
            <v>0</v>
          </cell>
          <cell r="BA137">
            <v>1861820</v>
          </cell>
          <cell r="BB137">
            <v>0</v>
          </cell>
          <cell r="BC137">
            <v>1861820</v>
          </cell>
          <cell r="BD137">
            <v>-82</v>
          </cell>
          <cell r="BE137">
            <v>449298</v>
          </cell>
          <cell r="BF137">
            <v>0</v>
          </cell>
          <cell r="BH137">
            <v>2311036</v>
          </cell>
          <cell r="BI137">
            <v>43063</v>
          </cell>
          <cell r="BJ137">
            <v>2267973</v>
          </cell>
          <cell r="BK137">
            <v>0</v>
          </cell>
          <cell r="BL137">
            <v>2267973</v>
          </cell>
        </row>
        <row r="138">
          <cell r="B138" t="str">
            <v>TOWNE PARK</v>
          </cell>
          <cell r="C138">
            <v>0</v>
          </cell>
          <cell r="D138">
            <v>1900306</v>
          </cell>
          <cell r="E138">
            <v>61448</v>
          </cell>
          <cell r="F138" t="str">
            <v>ASC</v>
          </cell>
          <cell r="G138" t="str">
            <v>OCT</v>
          </cell>
          <cell r="H138" t="str">
            <v>Delong</v>
          </cell>
          <cell r="I138" t="str">
            <v>Drusano</v>
          </cell>
          <cell r="J138" t="str">
            <v>Direct Debit--Weekly</v>
          </cell>
          <cell r="K138" t="str">
            <v>LISA</v>
          </cell>
          <cell r="L138" t="str">
            <v>Huber, Oros &amp; Co.</v>
          </cell>
          <cell r="M138">
            <v>0</v>
          </cell>
          <cell r="N138">
            <v>10000</v>
          </cell>
          <cell r="O138" t="str">
            <v>NASCO</v>
          </cell>
          <cell r="P138" t="str">
            <v>NATIONAL</v>
          </cell>
          <cell r="Q138">
            <v>472</v>
          </cell>
          <cell r="R138">
            <v>0</v>
          </cell>
          <cell r="S138">
            <v>75000</v>
          </cell>
          <cell r="T138">
            <v>1.25</v>
          </cell>
          <cell r="U138">
            <v>110036.05</v>
          </cell>
          <cell r="V138">
            <v>30612.26</v>
          </cell>
          <cell r="W138">
            <v>140648.31</v>
          </cell>
          <cell r="X138">
            <v>0</v>
          </cell>
          <cell r="Y138">
            <v>13119.54</v>
          </cell>
          <cell r="Z138">
            <v>0</v>
          </cell>
          <cell r="AA138">
            <v>61224.52</v>
          </cell>
          <cell r="AB138">
            <v>222325.63</v>
          </cell>
          <cell r="AC138">
            <v>437318</v>
          </cell>
          <cell r="AD138">
            <v>0</v>
          </cell>
          <cell r="AE138">
            <v>437318</v>
          </cell>
          <cell r="AF138">
            <v>0</v>
          </cell>
          <cell r="AG138">
            <v>0</v>
          </cell>
          <cell r="AH138">
            <v>0</v>
          </cell>
          <cell r="AI138">
            <v>916174</v>
          </cell>
          <cell r="AJ138">
            <v>1353492</v>
          </cell>
          <cell r="AK138">
            <v>437318</v>
          </cell>
          <cell r="AL138">
            <v>1292267.48</v>
          </cell>
          <cell r="AM138">
            <v>0</v>
          </cell>
          <cell r="AN138">
            <v>0</v>
          </cell>
          <cell r="AO138">
            <v>0</v>
          </cell>
          <cell r="AP138">
            <v>0</v>
          </cell>
          <cell r="AQ138">
            <v>0</v>
          </cell>
          <cell r="AR138">
            <v>0</v>
          </cell>
          <cell r="AS138">
            <v>0</v>
          </cell>
          <cell r="AT138">
            <v>90415.040379052385</v>
          </cell>
          <cell r="AU138">
            <v>285678.43962094758</v>
          </cell>
          <cell r="AW138">
            <v>916174</v>
          </cell>
          <cell r="AX138">
            <v>80359</v>
          </cell>
          <cell r="AY138">
            <v>996533</v>
          </cell>
          <cell r="AZ138">
            <v>0</v>
          </cell>
          <cell r="BA138">
            <v>996533</v>
          </cell>
          <cell r="BB138">
            <v>0</v>
          </cell>
          <cell r="BC138">
            <v>996533</v>
          </cell>
          <cell r="BD138">
            <v>0</v>
          </cell>
          <cell r="BE138">
            <v>437318</v>
          </cell>
          <cell r="BF138">
            <v>0</v>
          </cell>
          <cell r="BH138">
            <v>1433851</v>
          </cell>
          <cell r="BI138">
            <v>0</v>
          </cell>
          <cell r="BJ138">
            <v>1433851</v>
          </cell>
          <cell r="BK138">
            <v>0</v>
          </cell>
          <cell r="BL138">
            <v>1433851</v>
          </cell>
        </row>
        <row r="139">
          <cell r="B139" t="str">
            <v>TRUCK DRIVERS</v>
          </cell>
          <cell r="C139" t="str">
            <v>UNION 355</v>
          </cell>
          <cell r="D139" t="str">
            <v>n/a</v>
          </cell>
          <cell r="E139">
            <v>47447</v>
          </cell>
          <cell r="F139" t="str">
            <v>ASC</v>
          </cell>
          <cell r="G139" t="str">
            <v>AUG</v>
          </cell>
          <cell r="H139" t="str">
            <v>Lentz</v>
          </cell>
          <cell r="I139" t="str">
            <v>Yocum</v>
          </cell>
          <cell r="J139" t="str">
            <v>Deposit--2 Month</v>
          </cell>
          <cell r="K139" t="str">
            <v>LISA</v>
          </cell>
          <cell r="L139" t="str">
            <v>None</v>
          </cell>
          <cell r="M139">
            <v>234266</v>
          </cell>
          <cell r="N139">
            <v>0</v>
          </cell>
          <cell r="O139" t="str">
            <v>CARE-S</v>
          </cell>
          <cell r="P139" t="str">
            <v>LOCAL</v>
          </cell>
          <cell r="Q139">
            <v>2832</v>
          </cell>
          <cell r="R139">
            <v>0</v>
          </cell>
          <cell r="S139">
            <v>0</v>
          </cell>
          <cell r="T139">
            <v>0</v>
          </cell>
          <cell r="U139">
            <v>0</v>
          </cell>
          <cell r="V139">
            <v>0</v>
          </cell>
          <cell r="W139">
            <v>0</v>
          </cell>
          <cell r="X139">
            <v>0</v>
          </cell>
          <cell r="Y139">
            <v>0</v>
          </cell>
          <cell r="Z139">
            <v>0</v>
          </cell>
          <cell r="AA139">
            <v>0</v>
          </cell>
          <cell r="AB139">
            <v>155576</v>
          </cell>
          <cell r="AC139">
            <v>155576</v>
          </cell>
          <cell r="AD139">
            <v>0</v>
          </cell>
          <cell r="AE139">
            <v>155576</v>
          </cell>
          <cell r="AF139">
            <v>0</v>
          </cell>
          <cell r="AG139">
            <v>0</v>
          </cell>
          <cell r="AH139">
            <v>0</v>
          </cell>
          <cell r="AI139">
            <v>1364927</v>
          </cell>
          <cell r="AJ139">
            <v>1520503</v>
          </cell>
          <cell r="AK139">
            <v>155576</v>
          </cell>
          <cell r="AL139">
            <v>1520503</v>
          </cell>
          <cell r="AM139">
            <v>0</v>
          </cell>
          <cell r="AN139">
            <v>0</v>
          </cell>
          <cell r="AO139">
            <v>0</v>
          </cell>
          <cell r="AP139">
            <v>0</v>
          </cell>
          <cell r="AQ139">
            <v>0</v>
          </cell>
          <cell r="AR139">
            <v>0</v>
          </cell>
          <cell r="AS139">
            <v>0</v>
          </cell>
          <cell r="AT139">
            <v>132565.78272431134</v>
          </cell>
          <cell r="AU139">
            <v>23010.217275688658</v>
          </cell>
          <cell r="AW139">
            <v>1364927</v>
          </cell>
          <cell r="AX139">
            <v>0</v>
          </cell>
          <cell r="AY139">
            <v>1364927</v>
          </cell>
          <cell r="AZ139">
            <v>0</v>
          </cell>
          <cell r="BA139">
            <v>1364927</v>
          </cell>
          <cell r="BB139">
            <v>0</v>
          </cell>
          <cell r="BC139">
            <v>1364927</v>
          </cell>
          <cell r="BD139">
            <v>0</v>
          </cell>
          <cell r="BE139">
            <v>155576</v>
          </cell>
          <cell r="BF139">
            <v>0</v>
          </cell>
          <cell r="BH139">
            <v>1520503</v>
          </cell>
          <cell r="BI139">
            <v>0</v>
          </cell>
          <cell r="BJ139">
            <v>1520503</v>
          </cell>
          <cell r="BK139">
            <v>0</v>
          </cell>
          <cell r="BL139">
            <v>1520503</v>
          </cell>
        </row>
        <row r="140">
          <cell r="B140" t="str">
            <v>UMMS/DEATON( DENTAL ONLY 7/1/04)</v>
          </cell>
          <cell r="C140">
            <v>0</v>
          </cell>
          <cell r="D140" t="str">
            <v>n/a</v>
          </cell>
          <cell r="E140">
            <v>19121</v>
          </cell>
          <cell r="F140" t="str">
            <v>ASC</v>
          </cell>
          <cell r="G140" t="str">
            <v>JUL</v>
          </cell>
          <cell r="H140" t="str">
            <v>Michael</v>
          </cell>
          <cell r="I140" t="str">
            <v>Maier</v>
          </cell>
          <cell r="J140" t="str">
            <v>Deposit-2 Months</v>
          </cell>
          <cell r="K140" t="str">
            <v>DONNA</v>
          </cell>
          <cell r="L140" t="str">
            <v>None</v>
          </cell>
          <cell r="M140">
            <v>506600</v>
          </cell>
          <cell r="N140">
            <v>56900</v>
          </cell>
          <cell r="O140" t="str">
            <v>CARE-S</v>
          </cell>
          <cell r="P140" t="str">
            <v>LOCAL</v>
          </cell>
          <cell r="Q140" t="str">
            <v>dental</v>
          </cell>
          <cell r="R140">
            <v>0</v>
          </cell>
          <cell r="S140">
            <v>0</v>
          </cell>
          <cell r="T140">
            <v>0</v>
          </cell>
          <cell r="U140">
            <v>0</v>
          </cell>
          <cell r="V140">
            <v>0</v>
          </cell>
          <cell r="W140">
            <v>0</v>
          </cell>
          <cell r="X140">
            <v>16800</v>
          </cell>
          <cell r="Y140">
            <v>6300</v>
          </cell>
          <cell r="Z140">
            <v>0</v>
          </cell>
          <cell r="AA140">
            <v>0</v>
          </cell>
          <cell r="AB140">
            <v>282832</v>
          </cell>
          <cell r="AC140">
            <v>305932</v>
          </cell>
          <cell r="AD140">
            <v>1215</v>
          </cell>
          <cell r="AE140">
            <v>307147</v>
          </cell>
          <cell r="AF140">
            <v>0</v>
          </cell>
          <cell r="AG140">
            <v>0</v>
          </cell>
          <cell r="AH140">
            <v>0</v>
          </cell>
          <cell r="AI140">
            <v>3094383</v>
          </cell>
          <cell r="AJ140">
            <v>3400315</v>
          </cell>
          <cell r="AK140">
            <v>305932</v>
          </cell>
          <cell r="AL140">
            <v>3400315</v>
          </cell>
          <cell r="AM140">
            <v>0</v>
          </cell>
          <cell r="AN140">
            <v>0</v>
          </cell>
          <cell r="AO140">
            <v>0</v>
          </cell>
          <cell r="AP140">
            <v>0</v>
          </cell>
          <cell r="AQ140">
            <v>0</v>
          </cell>
          <cell r="AR140">
            <v>0</v>
          </cell>
          <cell r="AS140">
            <v>0</v>
          </cell>
          <cell r="AT140">
            <v>297974.85746046208</v>
          </cell>
          <cell r="AU140">
            <v>9172.1425395379192</v>
          </cell>
          <cell r="AW140">
            <v>3094383</v>
          </cell>
          <cell r="AX140">
            <v>4228</v>
          </cell>
          <cell r="AY140">
            <v>3098611</v>
          </cell>
          <cell r="AZ140">
            <v>0</v>
          </cell>
          <cell r="BA140">
            <v>3098611</v>
          </cell>
          <cell r="BB140">
            <v>0</v>
          </cell>
          <cell r="BC140">
            <v>3098611</v>
          </cell>
          <cell r="BD140">
            <v>1215</v>
          </cell>
          <cell r="BE140">
            <v>305932</v>
          </cell>
          <cell r="BF140">
            <v>0</v>
          </cell>
          <cell r="BH140">
            <v>3405758</v>
          </cell>
          <cell r="BI140">
            <v>0</v>
          </cell>
          <cell r="BJ140">
            <v>3405758</v>
          </cell>
          <cell r="BK140">
            <v>0</v>
          </cell>
          <cell r="BL140">
            <v>3405758</v>
          </cell>
        </row>
        <row r="141">
          <cell r="B141" t="str">
            <v>UNION CITY BODY</v>
          </cell>
          <cell r="C141" t="str">
            <v>GRAND VEHICLE</v>
          </cell>
          <cell r="D141">
            <v>1900467</v>
          </cell>
          <cell r="E141">
            <v>63978</v>
          </cell>
          <cell r="F141" t="str">
            <v>ASC</v>
          </cell>
          <cell r="G141" t="str">
            <v>JAN</v>
          </cell>
          <cell r="H141" t="str">
            <v>Parker Mann</v>
          </cell>
          <cell r="I141" t="str">
            <v>Engel</v>
          </cell>
          <cell r="J141" t="str">
            <v>Weekly Wire</v>
          </cell>
          <cell r="K141" t="str">
            <v>BARBARA</v>
          </cell>
          <cell r="L141" t="str">
            <v>Wachovia</v>
          </cell>
          <cell r="M141">
            <v>90000</v>
          </cell>
          <cell r="N141">
            <v>0</v>
          </cell>
          <cell r="O141" t="str">
            <v>NASCO-S</v>
          </cell>
          <cell r="P141" t="str">
            <v>NATIONAL</v>
          </cell>
          <cell r="Q141">
            <v>765</v>
          </cell>
          <cell r="R141">
            <v>0</v>
          </cell>
          <cell r="S141">
            <v>0</v>
          </cell>
          <cell r="T141">
            <v>0</v>
          </cell>
          <cell r="U141">
            <v>0</v>
          </cell>
          <cell r="V141">
            <v>0</v>
          </cell>
          <cell r="W141">
            <v>0</v>
          </cell>
          <cell r="X141">
            <v>0</v>
          </cell>
          <cell r="Y141">
            <v>0</v>
          </cell>
          <cell r="Z141">
            <v>0</v>
          </cell>
          <cell r="AA141">
            <v>327963.3</v>
          </cell>
          <cell r="AB141">
            <v>765247.7</v>
          </cell>
          <cell r="AC141">
            <v>1093211</v>
          </cell>
          <cell r="AD141">
            <v>0</v>
          </cell>
          <cell r="AE141">
            <v>1093211</v>
          </cell>
          <cell r="AF141">
            <v>0</v>
          </cell>
          <cell r="AG141">
            <v>0</v>
          </cell>
          <cell r="AH141">
            <v>0</v>
          </cell>
          <cell r="AI141">
            <v>4187372</v>
          </cell>
          <cell r="AJ141">
            <v>5280583</v>
          </cell>
          <cell r="AK141">
            <v>1093211</v>
          </cell>
          <cell r="AL141">
            <v>4952619.7</v>
          </cell>
          <cell r="AM141">
            <v>0</v>
          </cell>
          <cell r="AN141">
            <v>0</v>
          </cell>
          <cell r="AO141">
            <v>0</v>
          </cell>
          <cell r="AP141">
            <v>0</v>
          </cell>
          <cell r="AQ141">
            <v>0</v>
          </cell>
          <cell r="AR141">
            <v>0</v>
          </cell>
          <cell r="AS141">
            <v>0</v>
          </cell>
          <cell r="AT141">
            <v>406900.50846953696</v>
          </cell>
          <cell r="AU141">
            <v>358347.19153046299</v>
          </cell>
          <cell r="AW141">
            <v>4187372</v>
          </cell>
          <cell r="AX141">
            <v>21190</v>
          </cell>
          <cell r="AY141">
            <v>4208562</v>
          </cell>
          <cell r="AZ141">
            <v>0</v>
          </cell>
          <cell r="BA141">
            <v>4208562</v>
          </cell>
          <cell r="BB141">
            <v>0</v>
          </cell>
          <cell r="BC141">
            <v>4208562</v>
          </cell>
          <cell r="BD141">
            <v>0</v>
          </cell>
          <cell r="BE141">
            <v>1093211</v>
          </cell>
          <cell r="BF141">
            <v>0</v>
          </cell>
          <cell r="BH141">
            <v>5301773</v>
          </cell>
          <cell r="BI141">
            <v>0</v>
          </cell>
          <cell r="BJ141">
            <v>5301773</v>
          </cell>
          <cell r="BK141">
            <v>0</v>
          </cell>
          <cell r="BL141">
            <v>5301773</v>
          </cell>
        </row>
        <row r="142">
          <cell r="B142" t="str">
            <v>UNIVERSITY PHYSICIANS DENTAL</v>
          </cell>
          <cell r="C142">
            <v>0</v>
          </cell>
          <cell r="D142" t="str">
            <v>n/a</v>
          </cell>
          <cell r="E142">
            <v>18278</v>
          </cell>
          <cell r="F142" t="str">
            <v>ASC</v>
          </cell>
          <cell r="G142" t="str">
            <v>JAN</v>
          </cell>
          <cell r="H142" t="str">
            <v>Michael</v>
          </cell>
          <cell r="I142" t="str">
            <v>Maier</v>
          </cell>
          <cell r="J142" t="str">
            <v>Deposit-2 Months</v>
          </cell>
          <cell r="K142" t="str">
            <v>DONNA</v>
          </cell>
          <cell r="L142" t="str">
            <v>None</v>
          </cell>
          <cell r="M142">
            <v>36600</v>
          </cell>
          <cell r="N142">
            <v>0</v>
          </cell>
          <cell r="O142" t="str">
            <v>CARE-S</v>
          </cell>
          <cell r="P142" t="str">
            <v>LOCAL</v>
          </cell>
          <cell r="Q142" t="str">
            <v>dental</v>
          </cell>
          <cell r="R142">
            <v>0</v>
          </cell>
          <cell r="S142">
            <v>0</v>
          </cell>
          <cell r="T142">
            <v>0</v>
          </cell>
          <cell r="U142">
            <v>0</v>
          </cell>
          <cell r="V142">
            <v>0</v>
          </cell>
          <cell r="W142">
            <v>0</v>
          </cell>
          <cell r="X142">
            <v>0</v>
          </cell>
          <cell r="Y142">
            <v>0</v>
          </cell>
          <cell r="Z142">
            <v>0</v>
          </cell>
          <cell r="AA142">
            <v>0</v>
          </cell>
          <cell r="AB142">
            <v>35389</v>
          </cell>
          <cell r="AC142">
            <v>35389</v>
          </cell>
          <cell r="AD142">
            <v>686</v>
          </cell>
          <cell r="AE142">
            <v>36075</v>
          </cell>
          <cell r="AF142">
            <v>0</v>
          </cell>
          <cell r="AG142">
            <v>0</v>
          </cell>
          <cell r="AH142">
            <v>0</v>
          </cell>
          <cell r="AI142">
            <v>230926</v>
          </cell>
          <cell r="AJ142">
            <v>266315</v>
          </cell>
          <cell r="AK142">
            <v>35389</v>
          </cell>
          <cell r="AL142">
            <v>266315</v>
          </cell>
          <cell r="AM142">
            <v>0</v>
          </cell>
          <cell r="AN142">
            <v>0</v>
          </cell>
          <cell r="AO142">
            <v>0</v>
          </cell>
          <cell r="AP142">
            <v>0</v>
          </cell>
          <cell r="AQ142">
            <v>0</v>
          </cell>
          <cell r="AR142">
            <v>0</v>
          </cell>
          <cell r="AS142">
            <v>0</v>
          </cell>
          <cell r="AT142">
            <v>22529.185684266031</v>
          </cell>
          <cell r="AU142">
            <v>13545.814315733969</v>
          </cell>
          <cell r="AW142">
            <v>230926</v>
          </cell>
          <cell r="AX142">
            <v>0</v>
          </cell>
          <cell r="AY142">
            <v>230926</v>
          </cell>
          <cell r="AZ142">
            <v>0</v>
          </cell>
          <cell r="BA142">
            <v>230926</v>
          </cell>
          <cell r="BB142">
            <v>0</v>
          </cell>
          <cell r="BC142">
            <v>230926</v>
          </cell>
          <cell r="BD142">
            <v>686</v>
          </cell>
          <cell r="BE142">
            <v>35389</v>
          </cell>
          <cell r="BF142">
            <v>0</v>
          </cell>
          <cell r="BH142">
            <v>267001</v>
          </cell>
          <cell r="BI142">
            <v>0</v>
          </cell>
          <cell r="BJ142">
            <v>267001</v>
          </cell>
          <cell r="BK142">
            <v>0</v>
          </cell>
          <cell r="BL142">
            <v>267001</v>
          </cell>
        </row>
        <row r="143">
          <cell r="B143" t="str">
            <v>US FOOD SERVICE</v>
          </cell>
          <cell r="C143">
            <v>0</v>
          </cell>
          <cell r="D143">
            <v>1900225</v>
          </cell>
          <cell r="E143">
            <v>59317</v>
          </cell>
          <cell r="F143" t="str">
            <v>ASC</v>
          </cell>
          <cell r="G143" t="str">
            <v>JAN</v>
          </cell>
          <cell r="H143" t="str">
            <v>Michael</v>
          </cell>
          <cell r="I143" t="str">
            <v>Maier</v>
          </cell>
          <cell r="J143" t="str">
            <v>Weekly Wire</v>
          </cell>
          <cell r="K143" t="str">
            <v>LISA</v>
          </cell>
          <cell r="L143" t="str">
            <v>None</v>
          </cell>
          <cell r="M143">
            <v>0</v>
          </cell>
          <cell r="N143">
            <v>60320</v>
          </cell>
          <cell r="O143" t="str">
            <v>Nasco</v>
          </cell>
          <cell r="P143" t="str">
            <v>NATIONAL</v>
          </cell>
          <cell r="Q143">
            <v>15807</v>
          </cell>
          <cell r="R143">
            <v>0</v>
          </cell>
          <cell r="S143">
            <v>0</v>
          </cell>
          <cell r="T143">
            <v>0</v>
          </cell>
          <cell r="U143">
            <v>0</v>
          </cell>
          <cell r="V143">
            <v>0</v>
          </cell>
          <cell r="W143">
            <v>0</v>
          </cell>
          <cell r="X143">
            <v>0</v>
          </cell>
          <cell r="Y143">
            <v>0</v>
          </cell>
          <cell r="Z143">
            <v>0</v>
          </cell>
          <cell r="AA143">
            <v>0</v>
          </cell>
          <cell r="AB143">
            <v>5339239</v>
          </cell>
          <cell r="AC143">
            <v>5339239</v>
          </cell>
          <cell r="AD143">
            <v>21</v>
          </cell>
          <cell r="AE143">
            <v>5339260</v>
          </cell>
          <cell r="AF143">
            <v>0</v>
          </cell>
          <cell r="AG143">
            <v>0</v>
          </cell>
          <cell r="AH143">
            <v>-510</v>
          </cell>
          <cell r="AI143">
            <v>81429217</v>
          </cell>
          <cell r="AJ143">
            <v>86768456</v>
          </cell>
          <cell r="AK143">
            <v>5339239</v>
          </cell>
          <cell r="AL143">
            <v>86768456</v>
          </cell>
          <cell r="AM143">
            <v>0</v>
          </cell>
          <cell r="AN143">
            <v>0</v>
          </cell>
          <cell r="AO143">
            <v>0</v>
          </cell>
          <cell r="AP143">
            <v>0</v>
          </cell>
          <cell r="AQ143">
            <v>0</v>
          </cell>
          <cell r="AR143">
            <v>0</v>
          </cell>
          <cell r="AS143">
            <v>0</v>
          </cell>
          <cell r="AT143">
            <v>7918209.1135279601</v>
          </cell>
          <cell r="AU143">
            <v>-2579459.1135279601</v>
          </cell>
          <cell r="AW143">
            <v>81429217</v>
          </cell>
          <cell r="AX143">
            <v>2184271</v>
          </cell>
          <cell r="AY143">
            <v>83613488</v>
          </cell>
          <cell r="AZ143">
            <v>0</v>
          </cell>
          <cell r="BA143">
            <v>83613488</v>
          </cell>
          <cell r="BB143">
            <v>0</v>
          </cell>
          <cell r="BC143">
            <v>83613488</v>
          </cell>
          <cell r="BD143">
            <v>21</v>
          </cell>
          <cell r="BE143">
            <v>5339239</v>
          </cell>
          <cell r="BF143">
            <v>-510</v>
          </cell>
          <cell r="BH143">
            <v>88952238</v>
          </cell>
          <cell r="BI143">
            <v>0</v>
          </cell>
          <cell r="BJ143">
            <v>88952238</v>
          </cell>
          <cell r="BK143">
            <v>0</v>
          </cell>
          <cell r="BL143">
            <v>88952238</v>
          </cell>
        </row>
        <row r="144">
          <cell r="B144" t="str">
            <v>US INTERNETWORKING</v>
          </cell>
          <cell r="C144">
            <v>0</v>
          </cell>
          <cell r="D144">
            <v>1900272</v>
          </cell>
          <cell r="E144">
            <v>51099</v>
          </cell>
          <cell r="F144" t="str">
            <v>ASC-Adjustable Retro</v>
          </cell>
          <cell r="G144" t="str">
            <v>JAN</v>
          </cell>
          <cell r="H144" t="str">
            <v>Parker Mann</v>
          </cell>
          <cell r="I144" t="str">
            <v>Drusano</v>
          </cell>
          <cell r="J144" t="str">
            <v>Direct Debit--Weekly</v>
          </cell>
          <cell r="K144" t="str">
            <v>LISA</v>
          </cell>
          <cell r="L144" t="str">
            <v>Huber,Oros &amp; Co.</v>
          </cell>
          <cell r="M144">
            <v>0</v>
          </cell>
          <cell r="N144">
            <v>125099</v>
          </cell>
          <cell r="O144" t="str">
            <v>NASCO</v>
          </cell>
          <cell r="P144" t="str">
            <v>NATIONAL</v>
          </cell>
          <cell r="Q144">
            <v>317</v>
          </cell>
          <cell r="R144">
            <v>0</v>
          </cell>
          <cell r="S144">
            <v>125000</v>
          </cell>
          <cell r="T144">
            <v>1.25</v>
          </cell>
          <cell r="U144">
            <v>68108.52</v>
          </cell>
          <cell r="V144">
            <v>26651.16</v>
          </cell>
          <cell r="W144">
            <v>94759.679999999993</v>
          </cell>
          <cell r="X144">
            <v>0</v>
          </cell>
          <cell r="Y144">
            <v>2961.24</v>
          </cell>
          <cell r="Z144">
            <v>0</v>
          </cell>
          <cell r="AA144">
            <v>56263.56</v>
          </cell>
          <cell r="AB144">
            <v>142139.51999999999</v>
          </cell>
          <cell r="AC144">
            <v>296124</v>
          </cell>
          <cell r="AD144">
            <v>-8</v>
          </cell>
          <cell r="AE144">
            <v>296116</v>
          </cell>
          <cell r="AF144">
            <v>0</v>
          </cell>
          <cell r="AG144">
            <v>0</v>
          </cell>
          <cell r="AH144">
            <v>0</v>
          </cell>
          <cell r="AI144">
            <v>1216637</v>
          </cell>
          <cell r="AJ144">
            <v>1512761</v>
          </cell>
          <cell r="AK144">
            <v>296124</v>
          </cell>
          <cell r="AL144">
            <v>1456497.44</v>
          </cell>
          <cell r="AM144">
            <v>0</v>
          </cell>
          <cell r="AN144">
            <v>0</v>
          </cell>
          <cell r="AO144">
            <v>0</v>
          </cell>
          <cell r="AP144">
            <v>0</v>
          </cell>
          <cell r="AQ144">
            <v>0</v>
          </cell>
          <cell r="AR144">
            <v>0</v>
          </cell>
          <cell r="AS144">
            <v>0</v>
          </cell>
          <cell r="AT144">
            <v>119121.68210032729</v>
          </cell>
          <cell r="AU144">
            <v>120730.75789967271</v>
          </cell>
          <cell r="AW144">
            <v>1216637</v>
          </cell>
          <cell r="AX144">
            <v>19604</v>
          </cell>
          <cell r="AY144">
            <v>1236241</v>
          </cell>
          <cell r="AZ144">
            <v>0</v>
          </cell>
          <cell r="BA144">
            <v>1236241</v>
          </cell>
          <cell r="BB144">
            <v>0</v>
          </cell>
          <cell r="BC144">
            <v>1236241</v>
          </cell>
          <cell r="BD144">
            <v>-8</v>
          </cell>
          <cell r="BE144">
            <v>296124</v>
          </cell>
          <cell r="BF144">
            <v>0</v>
          </cell>
          <cell r="BH144">
            <v>1532357</v>
          </cell>
          <cell r="BI144">
            <v>0</v>
          </cell>
          <cell r="BJ144">
            <v>1532357</v>
          </cell>
          <cell r="BK144">
            <v>0</v>
          </cell>
          <cell r="BL144">
            <v>1532357</v>
          </cell>
        </row>
        <row r="145">
          <cell r="B145" t="str">
            <v>VERTIS INC</v>
          </cell>
          <cell r="C145" t="str">
            <v>BIG FLOWER</v>
          </cell>
          <cell r="D145">
            <v>1900065</v>
          </cell>
          <cell r="E145">
            <v>53194</v>
          </cell>
          <cell r="F145" t="str">
            <v>ASC</v>
          </cell>
          <cell r="G145" t="str">
            <v>APR</v>
          </cell>
          <cell r="H145" t="str">
            <v>Michael</v>
          </cell>
          <cell r="I145" t="str">
            <v>Patton</v>
          </cell>
          <cell r="J145" t="str">
            <v>Weekly Wire</v>
          </cell>
          <cell r="K145" t="str">
            <v>LISA</v>
          </cell>
          <cell r="L145" t="str">
            <v>None</v>
          </cell>
          <cell r="M145">
            <v>0</v>
          </cell>
          <cell r="N145">
            <v>25000</v>
          </cell>
          <cell r="O145" t="str">
            <v>NASCO</v>
          </cell>
          <cell r="P145" t="str">
            <v>NATIONAL</v>
          </cell>
          <cell r="Q145">
            <v>4778</v>
          </cell>
          <cell r="R145">
            <v>0</v>
          </cell>
          <cell r="S145">
            <v>0</v>
          </cell>
          <cell r="T145">
            <v>0</v>
          </cell>
          <cell r="U145">
            <v>0</v>
          </cell>
          <cell r="V145">
            <v>0</v>
          </cell>
          <cell r="W145">
            <v>0</v>
          </cell>
          <cell r="X145">
            <v>0</v>
          </cell>
          <cell r="Y145">
            <v>0</v>
          </cell>
          <cell r="Z145">
            <v>0</v>
          </cell>
          <cell r="AA145">
            <v>0</v>
          </cell>
          <cell r="AB145">
            <v>1913019</v>
          </cell>
          <cell r="AC145">
            <v>1913019</v>
          </cell>
          <cell r="AD145">
            <v>0</v>
          </cell>
          <cell r="AE145">
            <v>1913019</v>
          </cell>
          <cell r="AF145">
            <v>0</v>
          </cell>
          <cell r="AG145">
            <v>0</v>
          </cell>
          <cell r="AH145">
            <v>274</v>
          </cell>
          <cell r="AI145">
            <v>22419325</v>
          </cell>
          <cell r="AJ145">
            <v>24332344</v>
          </cell>
          <cell r="AK145">
            <v>1913019</v>
          </cell>
          <cell r="AL145">
            <v>24332344</v>
          </cell>
          <cell r="AM145">
            <v>0</v>
          </cell>
          <cell r="AN145">
            <v>0</v>
          </cell>
          <cell r="AO145">
            <v>0</v>
          </cell>
          <cell r="AP145">
            <v>0</v>
          </cell>
          <cell r="AQ145">
            <v>0</v>
          </cell>
          <cell r="AR145">
            <v>0</v>
          </cell>
          <cell r="AS145">
            <v>0</v>
          </cell>
          <cell r="AT145">
            <v>2171925.4331377135</v>
          </cell>
          <cell r="AU145">
            <v>-258632.43313771347</v>
          </cell>
          <cell r="AW145">
            <v>22419325</v>
          </cell>
          <cell r="AX145">
            <v>803139</v>
          </cell>
          <cell r="AY145">
            <v>23222464</v>
          </cell>
          <cell r="AZ145">
            <v>0</v>
          </cell>
          <cell r="BA145">
            <v>23222464</v>
          </cell>
          <cell r="BB145">
            <v>0</v>
          </cell>
          <cell r="BC145">
            <v>23222464</v>
          </cell>
          <cell r="BD145">
            <v>0</v>
          </cell>
          <cell r="BE145">
            <v>1913019</v>
          </cell>
          <cell r="BF145">
            <v>274</v>
          </cell>
          <cell r="BH145">
            <v>25135757</v>
          </cell>
          <cell r="BI145">
            <v>0</v>
          </cell>
          <cell r="BJ145">
            <v>25135757</v>
          </cell>
          <cell r="BK145">
            <v>0</v>
          </cell>
          <cell r="BL145">
            <v>25135757</v>
          </cell>
        </row>
        <row r="146">
          <cell r="B146" t="str">
            <v>VIPS DENTAL</v>
          </cell>
          <cell r="C146">
            <v>0</v>
          </cell>
          <cell r="D146" t="str">
            <v>n/a</v>
          </cell>
          <cell r="E146">
            <v>44648</v>
          </cell>
          <cell r="F146" t="str">
            <v>ASC</v>
          </cell>
          <cell r="G146" t="str">
            <v>JAN</v>
          </cell>
          <cell r="H146" t="str">
            <v>Lentz</v>
          </cell>
          <cell r="I146" t="str">
            <v>Rossi</v>
          </cell>
          <cell r="J146" t="str">
            <v>Deposit-2 Months</v>
          </cell>
          <cell r="K146" t="str">
            <v>NETTIE</v>
          </cell>
          <cell r="L146" t="str">
            <v>None</v>
          </cell>
          <cell r="M146">
            <v>21400</v>
          </cell>
          <cell r="N146">
            <v>0</v>
          </cell>
          <cell r="O146" t="str">
            <v>CARE</v>
          </cell>
          <cell r="P146" t="str">
            <v>LOCAL</v>
          </cell>
          <cell r="Q146" t="str">
            <v>dental</v>
          </cell>
          <cell r="R146">
            <v>0</v>
          </cell>
          <cell r="S146">
            <v>0</v>
          </cell>
          <cell r="T146">
            <v>0</v>
          </cell>
          <cell r="U146">
            <v>0</v>
          </cell>
          <cell r="V146">
            <v>0</v>
          </cell>
          <cell r="W146">
            <v>0</v>
          </cell>
          <cell r="X146">
            <v>0</v>
          </cell>
          <cell r="Y146">
            <v>0</v>
          </cell>
          <cell r="Z146">
            <v>0</v>
          </cell>
          <cell r="AA146">
            <v>0</v>
          </cell>
          <cell r="AB146">
            <v>21032</v>
          </cell>
          <cell r="AC146">
            <v>21032</v>
          </cell>
          <cell r="AD146">
            <v>121</v>
          </cell>
          <cell r="AE146">
            <v>21153</v>
          </cell>
          <cell r="AF146">
            <v>0</v>
          </cell>
          <cell r="AG146">
            <v>0</v>
          </cell>
          <cell r="AH146">
            <v>0</v>
          </cell>
          <cell r="AI146">
            <v>173892</v>
          </cell>
          <cell r="AJ146">
            <v>194924</v>
          </cell>
          <cell r="AK146">
            <v>21032</v>
          </cell>
          <cell r="AL146">
            <v>194924</v>
          </cell>
          <cell r="AM146">
            <v>0</v>
          </cell>
          <cell r="AN146">
            <v>0</v>
          </cell>
          <cell r="AO146">
            <v>0</v>
          </cell>
          <cell r="AP146">
            <v>0</v>
          </cell>
          <cell r="AQ146">
            <v>0</v>
          </cell>
          <cell r="AR146">
            <v>0</v>
          </cell>
          <cell r="AS146">
            <v>0</v>
          </cell>
          <cell r="AT146">
            <v>16803.093354528599</v>
          </cell>
          <cell r="AU146">
            <v>4349.9066454714011</v>
          </cell>
          <cell r="AW146">
            <v>173892</v>
          </cell>
          <cell r="AX146">
            <v>0</v>
          </cell>
          <cell r="AY146">
            <v>173892</v>
          </cell>
          <cell r="AZ146">
            <v>0</v>
          </cell>
          <cell r="BA146">
            <v>173892</v>
          </cell>
          <cell r="BB146">
            <v>0</v>
          </cell>
          <cell r="BC146">
            <v>173892</v>
          </cell>
          <cell r="BD146">
            <v>121</v>
          </cell>
          <cell r="BE146">
            <v>21032</v>
          </cell>
          <cell r="BF146">
            <v>0</v>
          </cell>
          <cell r="BH146">
            <v>195045</v>
          </cell>
          <cell r="BI146">
            <v>0</v>
          </cell>
          <cell r="BJ146">
            <v>195045</v>
          </cell>
          <cell r="BK146">
            <v>0</v>
          </cell>
          <cell r="BL146">
            <v>195045</v>
          </cell>
        </row>
        <row r="147">
          <cell r="B147" t="str">
            <v>WAREHOUSE LOCAL 570</v>
          </cell>
          <cell r="C147">
            <v>0</v>
          </cell>
          <cell r="D147" t="str">
            <v>n/a</v>
          </cell>
          <cell r="E147">
            <v>39219</v>
          </cell>
          <cell r="F147" t="str">
            <v>ASC</v>
          </cell>
          <cell r="G147" t="str">
            <v>JAN</v>
          </cell>
          <cell r="H147" t="str">
            <v>Howard</v>
          </cell>
          <cell r="I147" t="str">
            <v>Yocum</v>
          </cell>
          <cell r="J147" t="str">
            <v>Wire--1 Month</v>
          </cell>
          <cell r="K147" t="str">
            <v>GINNY</v>
          </cell>
          <cell r="L147" t="str">
            <v>None</v>
          </cell>
          <cell r="M147">
            <v>199400</v>
          </cell>
          <cell r="N147">
            <v>0</v>
          </cell>
          <cell r="O147" t="str">
            <v>CARE</v>
          </cell>
          <cell r="P147" t="str">
            <v>LOCAL</v>
          </cell>
          <cell r="Q147" t="str">
            <v>drug</v>
          </cell>
          <cell r="R147">
            <v>0</v>
          </cell>
          <cell r="S147">
            <v>0</v>
          </cell>
          <cell r="T147">
            <v>0</v>
          </cell>
          <cell r="U147">
            <v>0</v>
          </cell>
          <cell r="V147">
            <v>0</v>
          </cell>
          <cell r="W147">
            <v>0</v>
          </cell>
          <cell r="X147">
            <v>0</v>
          </cell>
          <cell r="Y147">
            <v>0</v>
          </cell>
          <cell r="Z147">
            <v>0</v>
          </cell>
          <cell r="AA147">
            <v>0</v>
          </cell>
          <cell r="AB147">
            <v>28214</v>
          </cell>
          <cell r="AC147">
            <v>28214</v>
          </cell>
          <cell r="AD147">
            <v>0</v>
          </cell>
          <cell r="AE147">
            <v>28214</v>
          </cell>
          <cell r="AF147">
            <v>0</v>
          </cell>
          <cell r="AG147">
            <v>0</v>
          </cell>
          <cell r="AH147">
            <v>0</v>
          </cell>
          <cell r="AI147">
            <v>1627054</v>
          </cell>
          <cell r="AJ147">
            <v>1655268</v>
          </cell>
          <cell r="AK147">
            <v>28214</v>
          </cell>
          <cell r="AL147">
            <v>1655268</v>
          </cell>
          <cell r="AM147">
            <v>0</v>
          </cell>
          <cell r="AN147">
            <v>0</v>
          </cell>
          <cell r="AO147">
            <v>0</v>
          </cell>
          <cell r="AP147">
            <v>0</v>
          </cell>
          <cell r="AQ147">
            <v>0</v>
          </cell>
          <cell r="AR147">
            <v>0</v>
          </cell>
          <cell r="AS147">
            <v>0</v>
          </cell>
          <cell r="AT147">
            <v>158987.59056541376</v>
          </cell>
          <cell r="AU147">
            <v>-130773.59056541376</v>
          </cell>
          <cell r="AW147">
            <v>1627054</v>
          </cell>
          <cell r="AX147">
            <v>0</v>
          </cell>
          <cell r="AY147">
            <v>1627054</v>
          </cell>
          <cell r="AZ147">
            <v>0</v>
          </cell>
          <cell r="BA147">
            <v>1627054</v>
          </cell>
          <cell r="BB147">
            <v>0</v>
          </cell>
          <cell r="BC147">
            <v>1627054</v>
          </cell>
          <cell r="BD147">
            <v>0</v>
          </cell>
          <cell r="BE147">
            <v>28214</v>
          </cell>
          <cell r="BF147">
            <v>0</v>
          </cell>
          <cell r="BH147">
            <v>1655268</v>
          </cell>
          <cell r="BI147">
            <v>0</v>
          </cell>
          <cell r="BJ147">
            <v>1655268</v>
          </cell>
          <cell r="BK147">
            <v>0</v>
          </cell>
          <cell r="BL147">
            <v>1655268</v>
          </cell>
        </row>
        <row r="148">
          <cell r="B148" t="str">
            <v>WASHINGTON CO BD OF ED</v>
          </cell>
          <cell r="C148">
            <v>0</v>
          </cell>
          <cell r="D148" t="str">
            <v>n/a</v>
          </cell>
          <cell r="E148">
            <v>28795</v>
          </cell>
          <cell r="F148" t="str">
            <v>ASC</v>
          </cell>
          <cell r="G148" t="str">
            <v>JUL</v>
          </cell>
          <cell r="H148" t="str">
            <v>Michael</v>
          </cell>
          <cell r="I148" t="str">
            <v>Lopez</v>
          </cell>
          <cell r="J148" t="str">
            <v>Deposit-2 Months</v>
          </cell>
          <cell r="K148" t="str">
            <v>NETTIE</v>
          </cell>
          <cell r="L148" t="str">
            <v>None</v>
          </cell>
          <cell r="M148">
            <v>2985000</v>
          </cell>
          <cell r="N148">
            <v>430576</v>
          </cell>
          <cell r="O148" t="str">
            <v>CARE-S</v>
          </cell>
          <cell r="P148" t="str">
            <v>LOCAL</v>
          </cell>
          <cell r="Q148">
            <v>3195</v>
          </cell>
          <cell r="R148">
            <v>0</v>
          </cell>
          <cell r="S148">
            <v>150000</v>
          </cell>
          <cell r="T148">
            <v>0</v>
          </cell>
          <cell r="U148">
            <v>533519.51</v>
          </cell>
          <cell r="V148">
            <v>0</v>
          </cell>
          <cell r="W148">
            <v>533519.51</v>
          </cell>
          <cell r="X148">
            <v>150098.35999999999</v>
          </cell>
          <cell r="Y148">
            <v>86506</v>
          </cell>
          <cell r="Z148">
            <v>0</v>
          </cell>
          <cell r="AA148">
            <v>0</v>
          </cell>
          <cell r="AB148">
            <v>819685.13</v>
          </cell>
          <cell r="AC148">
            <v>1589809</v>
          </cell>
          <cell r="AD148">
            <v>3583</v>
          </cell>
          <cell r="AE148">
            <v>1593392</v>
          </cell>
          <cell r="AF148">
            <v>0</v>
          </cell>
          <cell r="AG148">
            <v>0</v>
          </cell>
          <cell r="AH148">
            <v>-18860</v>
          </cell>
          <cell r="AI148">
            <v>16878338</v>
          </cell>
          <cell r="AJ148">
            <v>18468147</v>
          </cell>
          <cell r="AK148">
            <v>1589809</v>
          </cell>
          <cell r="AL148">
            <v>18468147</v>
          </cell>
          <cell r="AM148">
            <v>0</v>
          </cell>
          <cell r="AN148">
            <v>0</v>
          </cell>
          <cell r="AO148">
            <v>0</v>
          </cell>
          <cell r="AP148">
            <v>0</v>
          </cell>
          <cell r="AQ148">
            <v>0</v>
          </cell>
          <cell r="AR148">
            <v>0</v>
          </cell>
          <cell r="AS148">
            <v>0</v>
          </cell>
          <cell r="AT148">
            <v>1641241.2862428443</v>
          </cell>
          <cell r="AU148">
            <v>-66709.286242844304</v>
          </cell>
          <cell r="AW148">
            <v>16878338</v>
          </cell>
          <cell r="AX148">
            <v>73175</v>
          </cell>
          <cell r="AY148">
            <v>16951513</v>
          </cell>
          <cell r="AZ148">
            <v>0</v>
          </cell>
          <cell r="BA148">
            <v>16951513</v>
          </cell>
          <cell r="BB148">
            <v>0</v>
          </cell>
          <cell r="BC148">
            <v>16951513</v>
          </cell>
          <cell r="BD148">
            <v>3583</v>
          </cell>
          <cell r="BE148">
            <v>1589809</v>
          </cell>
          <cell r="BF148">
            <v>-18860</v>
          </cell>
          <cell r="BH148">
            <v>18526045</v>
          </cell>
          <cell r="BI148">
            <v>0</v>
          </cell>
          <cell r="BJ148">
            <v>18526045</v>
          </cell>
          <cell r="BK148">
            <v>0</v>
          </cell>
          <cell r="BL148">
            <v>18526045</v>
          </cell>
        </row>
        <row r="149">
          <cell r="B149" t="str">
            <v>WASHINGTON CO GOVT</v>
          </cell>
          <cell r="C149">
            <v>0</v>
          </cell>
          <cell r="D149" t="str">
            <v>n/a</v>
          </cell>
          <cell r="E149">
            <v>60930</v>
          </cell>
          <cell r="F149" t="str">
            <v>ASC</v>
          </cell>
          <cell r="G149" t="str">
            <v>JUL</v>
          </cell>
          <cell r="H149" t="str">
            <v>Michael</v>
          </cell>
          <cell r="I149" t="str">
            <v>Lopez</v>
          </cell>
          <cell r="J149" t="str">
            <v>Direct Debit--Weekly</v>
          </cell>
          <cell r="K149" t="str">
            <v>NETTIE</v>
          </cell>
          <cell r="L149" t="str">
            <v>None</v>
          </cell>
          <cell r="M149">
            <v>0</v>
          </cell>
          <cell r="N149">
            <v>137211</v>
          </cell>
          <cell r="O149" t="str">
            <v>CARE</v>
          </cell>
          <cell r="P149" t="str">
            <v>LOCAL</v>
          </cell>
          <cell r="Q149">
            <v>764</v>
          </cell>
          <cell r="R149">
            <v>0</v>
          </cell>
          <cell r="S149">
            <v>150000</v>
          </cell>
          <cell r="T149">
            <v>1.25</v>
          </cell>
          <cell r="U149">
            <v>109504.8</v>
          </cell>
          <cell r="V149">
            <v>21900.959999999999</v>
          </cell>
          <cell r="W149">
            <v>131405.76000000001</v>
          </cell>
          <cell r="X149">
            <v>5475.24</v>
          </cell>
          <cell r="Y149">
            <v>29035.3</v>
          </cell>
          <cell r="Z149">
            <v>0</v>
          </cell>
          <cell r="AA149">
            <v>0</v>
          </cell>
          <cell r="AB149">
            <v>247365.7</v>
          </cell>
          <cell r="AC149">
            <v>413282</v>
          </cell>
          <cell r="AD149">
            <v>308</v>
          </cell>
          <cell r="AE149">
            <v>413590</v>
          </cell>
          <cell r="AF149">
            <v>0</v>
          </cell>
          <cell r="AG149">
            <v>0</v>
          </cell>
          <cell r="AH149">
            <v>600</v>
          </cell>
          <cell r="AI149">
            <v>4701595</v>
          </cell>
          <cell r="AJ149">
            <v>5114877</v>
          </cell>
          <cell r="AK149">
            <v>413282</v>
          </cell>
          <cell r="AL149">
            <v>5114877</v>
          </cell>
          <cell r="AM149">
            <v>0</v>
          </cell>
          <cell r="AN149">
            <v>0</v>
          </cell>
          <cell r="AO149">
            <v>0</v>
          </cell>
          <cell r="AP149">
            <v>0</v>
          </cell>
          <cell r="AQ149">
            <v>0</v>
          </cell>
          <cell r="AR149">
            <v>0</v>
          </cell>
          <cell r="AS149">
            <v>0</v>
          </cell>
          <cell r="AT149">
            <v>455168.30111657223</v>
          </cell>
          <cell r="AU149">
            <v>-40978.301116572227</v>
          </cell>
          <cell r="AW149">
            <v>4701595</v>
          </cell>
          <cell r="AX149">
            <v>12536</v>
          </cell>
          <cell r="AY149">
            <v>4714131</v>
          </cell>
          <cell r="AZ149">
            <v>57959</v>
          </cell>
          <cell r="BA149">
            <v>4772090</v>
          </cell>
          <cell r="BB149">
            <v>0</v>
          </cell>
          <cell r="BC149">
            <v>4772090</v>
          </cell>
          <cell r="BD149">
            <v>308</v>
          </cell>
          <cell r="BE149">
            <v>413282</v>
          </cell>
          <cell r="BF149">
            <v>600</v>
          </cell>
          <cell r="BH149">
            <v>5186280</v>
          </cell>
          <cell r="BI149">
            <v>0</v>
          </cell>
          <cell r="BJ149">
            <v>5186280</v>
          </cell>
          <cell r="BK149">
            <v>0</v>
          </cell>
          <cell r="BL149">
            <v>5186280</v>
          </cell>
        </row>
        <row r="150">
          <cell r="B150" t="str">
            <v>WATSON WYATT</v>
          </cell>
          <cell r="C150">
            <v>0</v>
          </cell>
          <cell r="D150">
            <v>1900447</v>
          </cell>
          <cell r="E150">
            <v>63839</v>
          </cell>
          <cell r="F150" t="str">
            <v>ASC</v>
          </cell>
          <cell r="G150" t="str">
            <v>JAN</v>
          </cell>
          <cell r="H150" t="str">
            <v>Hauff</v>
          </cell>
          <cell r="I150" t="str">
            <v>Drusano</v>
          </cell>
          <cell r="J150" t="str">
            <v>Direct Debit--Weekly</v>
          </cell>
          <cell r="K150" t="str">
            <v>DONNA</v>
          </cell>
          <cell r="L150" t="str">
            <v>None</v>
          </cell>
          <cell r="M150">
            <v>0</v>
          </cell>
          <cell r="N150">
            <v>0</v>
          </cell>
          <cell r="O150" t="str">
            <v>NASCO</v>
          </cell>
          <cell r="P150" t="str">
            <v>NATIONAL</v>
          </cell>
          <cell r="Q150">
            <v>2673</v>
          </cell>
          <cell r="R150">
            <v>0</v>
          </cell>
          <cell r="S150">
            <v>0</v>
          </cell>
          <cell r="T150">
            <v>0</v>
          </cell>
          <cell r="U150">
            <v>0</v>
          </cell>
          <cell r="V150">
            <v>0</v>
          </cell>
          <cell r="W150">
            <v>0</v>
          </cell>
          <cell r="X150">
            <v>0</v>
          </cell>
          <cell r="Y150">
            <v>0</v>
          </cell>
          <cell r="Z150">
            <v>0</v>
          </cell>
          <cell r="AA150">
            <v>0</v>
          </cell>
          <cell r="AB150">
            <v>1147865</v>
          </cell>
          <cell r="AC150">
            <v>1147865</v>
          </cell>
          <cell r="AD150">
            <v>0</v>
          </cell>
          <cell r="AE150">
            <v>1147865</v>
          </cell>
          <cell r="AF150">
            <v>0</v>
          </cell>
          <cell r="AG150">
            <v>0</v>
          </cell>
          <cell r="AH150">
            <v>-3250</v>
          </cell>
          <cell r="AI150">
            <v>11671285</v>
          </cell>
          <cell r="AJ150">
            <v>12819150</v>
          </cell>
          <cell r="AK150">
            <v>1147865</v>
          </cell>
          <cell r="AL150">
            <v>12819150</v>
          </cell>
          <cell r="AM150">
            <v>0</v>
          </cell>
          <cell r="AN150">
            <v>0</v>
          </cell>
          <cell r="AO150">
            <v>0</v>
          </cell>
          <cell r="AP150">
            <v>0</v>
          </cell>
          <cell r="AQ150">
            <v>0</v>
          </cell>
          <cell r="AR150">
            <v>0</v>
          </cell>
          <cell r="AS150">
            <v>0</v>
          </cell>
          <cell r="AT150">
            <v>1137410.114973929</v>
          </cell>
          <cell r="AU150">
            <v>7204.8850260709878</v>
          </cell>
          <cell r="AW150">
            <v>11671285</v>
          </cell>
          <cell r="AX150">
            <v>598207</v>
          </cell>
          <cell r="AY150">
            <v>12269492</v>
          </cell>
          <cell r="AZ150">
            <v>0</v>
          </cell>
          <cell r="BA150">
            <v>12269492</v>
          </cell>
          <cell r="BB150">
            <v>0</v>
          </cell>
          <cell r="BC150">
            <v>12269492</v>
          </cell>
          <cell r="BD150">
            <v>0</v>
          </cell>
          <cell r="BE150">
            <v>1147865</v>
          </cell>
          <cell r="BF150">
            <v>-3250</v>
          </cell>
          <cell r="BH150">
            <v>13414107</v>
          </cell>
          <cell r="BI150">
            <v>0</v>
          </cell>
          <cell r="BJ150">
            <v>13414107</v>
          </cell>
          <cell r="BK150">
            <v>0</v>
          </cell>
          <cell r="BL150">
            <v>13414107</v>
          </cell>
        </row>
        <row r="151">
          <cell r="B151" t="str">
            <v>WHITING TURNER</v>
          </cell>
          <cell r="C151">
            <v>0</v>
          </cell>
          <cell r="D151">
            <v>1900180</v>
          </cell>
          <cell r="E151">
            <v>11836</v>
          </cell>
          <cell r="F151" t="str">
            <v>ASC</v>
          </cell>
          <cell r="G151" t="str">
            <v>JAN</v>
          </cell>
          <cell r="H151" t="str">
            <v>Howard</v>
          </cell>
          <cell r="I151" t="str">
            <v>Patton</v>
          </cell>
          <cell r="J151" t="str">
            <v>Deposit--2 Month</v>
          </cell>
          <cell r="K151" t="str">
            <v>NETTIE</v>
          </cell>
          <cell r="L151" t="str">
            <v>None</v>
          </cell>
          <cell r="M151">
            <v>923170</v>
          </cell>
          <cell r="N151">
            <v>74668</v>
          </cell>
          <cell r="O151" t="str">
            <v>NASCO-S</v>
          </cell>
          <cell r="P151" t="str">
            <v>NATIONAL</v>
          </cell>
          <cell r="Q151">
            <v>1337</v>
          </cell>
          <cell r="R151">
            <v>0</v>
          </cell>
          <cell r="S151">
            <v>0</v>
          </cell>
          <cell r="T151">
            <v>0</v>
          </cell>
          <cell r="U151">
            <v>0</v>
          </cell>
          <cell r="V151">
            <v>0</v>
          </cell>
          <cell r="W151">
            <v>0</v>
          </cell>
          <cell r="X151">
            <v>0</v>
          </cell>
          <cell r="Y151">
            <v>0</v>
          </cell>
          <cell r="Z151">
            <v>0</v>
          </cell>
          <cell r="AA151">
            <v>0</v>
          </cell>
          <cell r="AB151">
            <v>565372</v>
          </cell>
          <cell r="AC151">
            <v>565372</v>
          </cell>
          <cell r="AD151">
            <v>130</v>
          </cell>
          <cell r="AE151">
            <v>565502</v>
          </cell>
          <cell r="AF151">
            <v>0</v>
          </cell>
          <cell r="AG151">
            <v>0</v>
          </cell>
          <cell r="AH151">
            <v>40</v>
          </cell>
          <cell r="AI151">
            <v>5817307</v>
          </cell>
          <cell r="AJ151">
            <v>6382679</v>
          </cell>
          <cell r="AK151">
            <v>565372</v>
          </cell>
          <cell r="AL151">
            <v>6382679</v>
          </cell>
          <cell r="AM151">
            <v>0</v>
          </cell>
          <cell r="AN151">
            <v>0</v>
          </cell>
          <cell r="AO151">
            <v>0</v>
          </cell>
          <cell r="AP151">
            <v>0</v>
          </cell>
          <cell r="AQ151">
            <v>0</v>
          </cell>
          <cell r="AR151">
            <v>0</v>
          </cell>
          <cell r="AS151">
            <v>0</v>
          </cell>
          <cell r="AT151">
            <v>568268.35267535876</v>
          </cell>
          <cell r="AU151">
            <v>-2726.3526753587648</v>
          </cell>
          <cell r="AW151">
            <v>5817307</v>
          </cell>
          <cell r="AX151">
            <v>152766</v>
          </cell>
          <cell r="AY151">
            <v>5970073</v>
          </cell>
          <cell r="AZ151">
            <v>0</v>
          </cell>
          <cell r="BA151">
            <v>5970073</v>
          </cell>
          <cell r="BB151">
            <v>0</v>
          </cell>
          <cell r="BC151">
            <v>5970073</v>
          </cell>
          <cell r="BD151">
            <v>130</v>
          </cell>
          <cell r="BE151">
            <v>565372</v>
          </cell>
          <cell r="BF151">
            <v>40</v>
          </cell>
          <cell r="BH151">
            <v>6535615</v>
          </cell>
          <cell r="BI151">
            <v>0</v>
          </cell>
          <cell r="BJ151">
            <v>6535615</v>
          </cell>
          <cell r="BK151">
            <v>0</v>
          </cell>
          <cell r="BL151">
            <v>6535615</v>
          </cell>
        </row>
        <row r="152">
          <cell r="B152" t="str">
            <v>WICOMICO ENTITIES RETRO</v>
          </cell>
          <cell r="C152">
            <v>0</v>
          </cell>
          <cell r="D152" t="str">
            <v>n/a</v>
          </cell>
          <cell r="E152">
            <v>58397</v>
          </cell>
          <cell r="F152" t="str">
            <v>Modified Retro</v>
          </cell>
          <cell r="G152" t="str">
            <v>SEP</v>
          </cell>
          <cell r="H152" t="str">
            <v>Hauff</v>
          </cell>
          <cell r="I152" t="str">
            <v>Tilghman</v>
          </cell>
          <cell r="J152" t="str">
            <v>Retrospective</v>
          </cell>
          <cell r="K152" t="str">
            <v>DONNA</v>
          </cell>
          <cell r="L152" t="str">
            <v>None</v>
          </cell>
          <cell r="M152">
            <v>0</v>
          </cell>
          <cell r="N152">
            <v>0</v>
          </cell>
          <cell r="O152" t="str">
            <v>CARE</v>
          </cell>
          <cell r="P152" t="str">
            <v>LOCAL</v>
          </cell>
          <cell r="Q152">
            <v>3622</v>
          </cell>
          <cell r="R152">
            <v>0</v>
          </cell>
          <cell r="S152">
            <v>250000</v>
          </cell>
          <cell r="T152">
            <v>1.1499999999999999</v>
          </cell>
          <cell r="U152">
            <v>451981.83</v>
          </cell>
          <cell r="V152">
            <v>216490.55</v>
          </cell>
          <cell r="W152">
            <v>668472.38</v>
          </cell>
          <cell r="X152">
            <v>0</v>
          </cell>
          <cell r="Y152">
            <v>117745.64</v>
          </cell>
          <cell r="Z152">
            <v>0</v>
          </cell>
          <cell r="AA152">
            <v>0</v>
          </cell>
          <cell r="AB152">
            <v>2157422.98</v>
          </cell>
          <cell r="AC152">
            <v>2943641</v>
          </cell>
          <cell r="AD152">
            <v>2581</v>
          </cell>
          <cell r="AE152">
            <v>2946222</v>
          </cell>
          <cell r="AF152">
            <v>0</v>
          </cell>
          <cell r="AG152">
            <v>0</v>
          </cell>
          <cell r="AH152">
            <v>0</v>
          </cell>
          <cell r="AI152">
            <v>19646620</v>
          </cell>
          <cell r="AJ152">
            <v>22590261</v>
          </cell>
          <cell r="AK152">
            <v>2943641</v>
          </cell>
          <cell r="AL152">
            <v>22590261</v>
          </cell>
          <cell r="AM152">
            <v>0</v>
          </cell>
          <cell r="AN152">
            <v>0</v>
          </cell>
          <cell r="AO152">
            <v>0</v>
          </cell>
          <cell r="AP152">
            <v>0</v>
          </cell>
          <cell r="AQ152">
            <v>0</v>
          </cell>
          <cell r="AR152">
            <v>0</v>
          </cell>
          <cell r="AS152">
            <v>0</v>
          </cell>
          <cell r="AT152">
            <v>1916845.115060752</v>
          </cell>
          <cell r="AU152">
            <v>1029376.884939248</v>
          </cell>
          <cell r="AW152">
            <v>19646620</v>
          </cell>
          <cell r="AX152">
            <v>72394</v>
          </cell>
          <cell r="AY152">
            <v>19719014</v>
          </cell>
          <cell r="AZ152">
            <v>0</v>
          </cell>
          <cell r="BA152">
            <v>19719014</v>
          </cell>
          <cell r="BB152">
            <v>0</v>
          </cell>
          <cell r="BC152">
            <v>19719014</v>
          </cell>
          <cell r="BD152">
            <v>2581</v>
          </cell>
          <cell r="BE152">
            <v>2943641</v>
          </cell>
          <cell r="BF152">
            <v>0</v>
          </cell>
          <cell r="BH152">
            <v>22665236</v>
          </cell>
          <cell r="BI152">
            <v>0</v>
          </cell>
          <cell r="BJ152">
            <v>22665236</v>
          </cell>
          <cell r="BK152">
            <v>0</v>
          </cell>
          <cell r="BL152">
            <v>22665236</v>
          </cell>
        </row>
        <row r="153">
          <cell r="B153" t="str">
            <v>WILKINS ROGERS</v>
          </cell>
          <cell r="C153">
            <v>0</v>
          </cell>
          <cell r="D153" t="str">
            <v>n/a</v>
          </cell>
          <cell r="E153">
            <v>27094</v>
          </cell>
          <cell r="F153" t="str">
            <v>ASC-Adjustable Retro</v>
          </cell>
          <cell r="G153" t="str">
            <v>MAY</v>
          </cell>
          <cell r="H153" t="str">
            <v>Richardson</v>
          </cell>
          <cell r="I153" t="str">
            <v>Engel</v>
          </cell>
          <cell r="J153" t="str">
            <v>Direct Debit--Weekly</v>
          </cell>
          <cell r="K153" t="str">
            <v>NETTIE</v>
          </cell>
          <cell r="L153" t="str">
            <v>Crawford, Slevin &amp; Hicks</v>
          </cell>
          <cell r="M153">
            <v>10294</v>
          </cell>
          <cell r="N153">
            <v>20841</v>
          </cell>
          <cell r="O153" t="str">
            <v>CARE</v>
          </cell>
          <cell r="P153" t="str">
            <v>LOCAL</v>
          </cell>
          <cell r="Q153">
            <v>113</v>
          </cell>
          <cell r="R153">
            <v>0</v>
          </cell>
          <cell r="S153">
            <v>50000</v>
          </cell>
          <cell r="T153">
            <v>1.25</v>
          </cell>
          <cell r="U153">
            <v>135116.17000000001</v>
          </cell>
          <cell r="V153">
            <v>30351.42</v>
          </cell>
          <cell r="W153">
            <v>165467.59</v>
          </cell>
          <cell r="X153">
            <v>6744.76</v>
          </cell>
          <cell r="Y153">
            <v>3372.38</v>
          </cell>
          <cell r="Z153">
            <v>0</v>
          </cell>
          <cell r="AA153">
            <v>24657.13</v>
          </cell>
          <cell r="AB153">
            <v>136996.14000000001</v>
          </cell>
          <cell r="AC153">
            <v>337238</v>
          </cell>
          <cell r="AD153">
            <v>41</v>
          </cell>
          <cell r="AE153">
            <v>337279</v>
          </cell>
          <cell r="AF153">
            <v>0</v>
          </cell>
          <cell r="AG153">
            <v>0</v>
          </cell>
          <cell r="AH153">
            <v>0</v>
          </cell>
          <cell r="AI153">
            <v>883498</v>
          </cell>
          <cell r="AJ153">
            <v>1220736</v>
          </cell>
          <cell r="AK153">
            <v>337238</v>
          </cell>
          <cell r="AL153">
            <v>1196078.8700000001</v>
          </cell>
          <cell r="AM153">
            <v>0</v>
          </cell>
          <cell r="AN153">
            <v>0</v>
          </cell>
          <cell r="AO153">
            <v>0</v>
          </cell>
          <cell r="AP153">
            <v>0</v>
          </cell>
          <cell r="AQ153">
            <v>120970</v>
          </cell>
          <cell r="AR153">
            <v>37706</v>
          </cell>
          <cell r="AS153">
            <v>158676</v>
          </cell>
          <cell r="AT153">
            <v>103288.35210962217</v>
          </cell>
          <cell r="AU153">
            <v>50657.517890377829</v>
          </cell>
          <cell r="AW153">
            <v>1042174</v>
          </cell>
          <cell r="AX153">
            <v>2366</v>
          </cell>
          <cell r="AY153">
            <v>1044540</v>
          </cell>
          <cell r="AZ153">
            <v>0</v>
          </cell>
          <cell r="BA153">
            <v>1044540</v>
          </cell>
          <cell r="BB153">
            <v>0</v>
          </cell>
          <cell r="BC153">
            <v>1044540</v>
          </cell>
          <cell r="BD153">
            <v>41</v>
          </cell>
          <cell r="BE153">
            <v>337238</v>
          </cell>
          <cell r="BF153">
            <v>0</v>
          </cell>
          <cell r="BH153">
            <v>1381819</v>
          </cell>
          <cell r="BI153">
            <v>158676</v>
          </cell>
          <cell r="BJ153">
            <v>1223143</v>
          </cell>
          <cell r="BK153">
            <v>0</v>
          </cell>
          <cell r="BL153">
            <v>1223143</v>
          </cell>
        </row>
        <row r="154">
          <cell r="B154" t="str">
            <v>WORCESTER CO GOVT DRUG</v>
          </cell>
          <cell r="C154">
            <v>0</v>
          </cell>
          <cell r="D154" t="str">
            <v>n/a</v>
          </cell>
          <cell r="E154">
            <v>10412</v>
          </cell>
          <cell r="F154" t="str">
            <v>ASC</v>
          </cell>
          <cell r="G154" t="str">
            <v>JUL</v>
          </cell>
          <cell r="H154" t="str">
            <v>Hauff</v>
          </cell>
          <cell r="I154" t="str">
            <v>Tilghmann</v>
          </cell>
          <cell r="J154" t="str">
            <v>Deposit-2 Month</v>
          </cell>
          <cell r="K154" t="str">
            <v>DONNA</v>
          </cell>
          <cell r="L154" t="str">
            <v>None</v>
          </cell>
          <cell r="M154">
            <v>570180</v>
          </cell>
          <cell r="N154">
            <v>0</v>
          </cell>
          <cell r="O154" t="str">
            <v>CARE-S</v>
          </cell>
          <cell r="P154" t="str">
            <v>LOCAL</v>
          </cell>
          <cell r="Q154" t="str">
            <v>drug</v>
          </cell>
          <cell r="R154">
            <v>0</v>
          </cell>
          <cell r="S154">
            <v>0</v>
          </cell>
          <cell r="T154">
            <v>0</v>
          </cell>
          <cell r="U154">
            <v>0</v>
          </cell>
          <cell r="V154">
            <v>0</v>
          </cell>
          <cell r="W154">
            <v>0</v>
          </cell>
          <cell r="X154">
            <v>0</v>
          </cell>
          <cell r="Y154">
            <v>0</v>
          </cell>
          <cell r="Z154">
            <v>0</v>
          </cell>
          <cell r="AA154">
            <v>0</v>
          </cell>
          <cell r="AB154">
            <v>53234</v>
          </cell>
          <cell r="AC154">
            <v>53234</v>
          </cell>
          <cell r="AD154">
            <v>0</v>
          </cell>
          <cell r="AE154">
            <v>53234</v>
          </cell>
          <cell r="AF154">
            <v>0</v>
          </cell>
          <cell r="AG154">
            <v>0</v>
          </cell>
          <cell r="AH154">
            <v>0</v>
          </cell>
          <cell r="AI154">
            <v>3683774</v>
          </cell>
          <cell r="AJ154">
            <v>3737008</v>
          </cell>
          <cell r="AK154">
            <v>53234</v>
          </cell>
          <cell r="AL154">
            <v>3737008</v>
          </cell>
          <cell r="AM154">
            <v>0</v>
          </cell>
          <cell r="AN154">
            <v>0</v>
          </cell>
          <cell r="AO154">
            <v>0</v>
          </cell>
          <cell r="AP154">
            <v>0</v>
          </cell>
          <cell r="AQ154">
            <v>0</v>
          </cell>
          <cell r="AR154">
            <v>0</v>
          </cell>
          <cell r="AS154">
            <v>0</v>
          </cell>
          <cell r="AT154">
            <v>360087.89422706689</v>
          </cell>
          <cell r="AU154">
            <v>-306853.89422706689</v>
          </cell>
          <cell r="AW154">
            <v>3683774</v>
          </cell>
          <cell r="AX154">
            <v>0</v>
          </cell>
          <cell r="AY154">
            <v>3683774</v>
          </cell>
          <cell r="AZ154">
            <v>0</v>
          </cell>
          <cell r="BA154">
            <v>3683774</v>
          </cell>
          <cell r="BB154">
            <v>0</v>
          </cell>
          <cell r="BC154">
            <v>3683774</v>
          </cell>
          <cell r="BD154">
            <v>0</v>
          </cell>
          <cell r="BE154">
            <v>53234</v>
          </cell>
          <cell r="BF154">
            <v>0</v>
          </cell>
          <cell r="BH154">
            <v>3737008</v>
          </cell>
          <cell r="BI154">
            <v>0</v>
          </cell>
          <cell r="BJ154">
            <v>3737008</v>
          </cell>
          <cell r="BK154">
            <v>0</v>
          </cell>
          <cell r="BL154">
            <v>3737008</v>
          </cell>
        </row>
        <row r="155">
          <cell r="B155" t="str">
            <v>YARA NORTH AMERICA INC</v>
          </cell>
          <cell r="C155">
            <v>0</v>
          </cell>
          <cell r="D155">
            <v>1900558</v>
          </cell>
          <cell r="E155">
            <v>65997</v>
          </cell>
          <cell r="F155">
            <v>0</v>
          </cell>
          <cell r="G155" t="str">
            <v>APR</v>
          </cell>
          <cell r="H155" t="str">
            <v>Parker Mann</v>
          </cell>
          <cell r="I155" t="str">
            <v>Drusano</v>
          </cell>
          <cell r="J155" t="str">
            <v>Direct Debit--Weekly</v>
          </cell>
          <cell r="K155" t="str">
            <v>BARBARA</v>
          </cell>
          <cell r="L155" t="str">
            <v>None</v>
          </cell>
          <cell r="M155">
            <v>0</v>
          </cell>
          <cell r="N155">
            <v>0</v>
          </cell>
          <cell r="O155" t="str">
            <v>NASCO</v>
          </cell>
          <cell r="P155" t="str">
            <v>NATIONAL</v>
          </cell>
          <cell r="Q155">
            <v>0</v>
          </cell>
          <cell r="R155">
            <v>0</v>
          </cell>
          <cell r="S155">
            <v>0</v>
          </cell>
          <cell r="T155">
            <v>0</v>
          </cell>
          <cell r="U155">
            <v>0</v>
          </cell>
          <cell r="V155">
            <v>0</v>
          </cell>
          <cell r="W155">
            <v>0</v>
          </cell>
          <cell r="X155">
            <v>0</v>
          </cell>
          <cell r="Y155">
            <v>0</v>
          </cell>
          <cell r="Z155">
            <v>0</v>
          </cell>
          <cell r="AA155">
            <v>0</v>
          </cell>
          <cell r="AB155">
            <v>57298</v>
          </cell>
          <cell r="AC155">
            <v>57298</v>
          </cell>
          <cell r="AD155">
            <v>0</v>
          </cell>
          <cell r="AE155">
            <v>57298</v>
          </cell>
          <cell r="AF155">
            <v>0</v>
          </cell>
          <cell r="AG155">
            <v>0</v>
          </cell>
          <cell r="AH155">
            <v>0</v>
          </cell>
          <cell r="AI155">
            <v>488784</v>
          </cell>
          <cell r="AJ155">
            <v>546082</v>
          </cell>
          <cell r="AK155">
            <v>57298</v>
          </cell>
          <cell r="AL155">
            <v>546082</v>
          </cell>
          <cell r="AM155">
            <v>0</v>
          </cell>
          <cell r="AN155">
            <v>0</v>
          </cell>
          <cell r="AO155">
            <v>0</v>
          </cell>
          <cell r="AP155">
            <v>0</v>
          </cell>
          <cell r="AQ155">
            <v>0</v>
          </cell>
          <cell r="AR155">
            <v>0</v>
          </cell>
          <cell r="AS155">
            <v>0</v>
          </cell>
          <cell r="AT155">
            <v>47325.658059997149</v>
          </cell>
          <cell r="AU155">
            <v>9972.3419400028506</v>
          </cell>
          <cell r="AW155">
            <v>488784</v>
          </cell>
          <cell r="AX155">
            <v>38405</v>
          </cell>
          <cell r="AY155">
            <v>527189</v>
          </cell>
          <cell r="AZ155">
            <v>-6861</v>
          </cell>
          <cell r="BA155">
            <v>520328</v>
          </cell>
          <cell r="BB155">
            <v>0</v>
          </cell>
          <cell r="BC155">
            <v>520328</v>
          </cell>
          <cell r="BD155">
            <v>0</v>
          </cell>
          <cell r="BE155">
            <v>57298</v>
          </cell>
          <cell r="BF155">
            <v>0</v>
          </cell>
          <cell r="BH155">
            <v>577626</v>
          </cell>
          <cell r="BI155">
            <v>0</v>
          </cell>
          <cell r="BJ155">
            <v>577626</v>
          </cell>
          <cell r="BK155">
            <v>0</v>
          </cell>
          <cell r="BL155">
            <v>577626</v>
          </cell>
        </row>
        <row r="156">
          <cell r="B156" t="str">
            <v>MISCELLANEOUS</v>
          </cell>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X156">
            <v>0</v>
          </cell>
          <cell r="Y156">
            <v>0</v>
          </cell>
          <cell r="Z156">
            <v>0</v>
          </cell>
          <cell r="AA156">
            <v>0</v>
          </cell>
          <cell r="AM156">
            <v>1239</v>
          </cell>
          <cell r="AN156">
            <v>0</v>
          </cell>
          <cell r="AO156">
            <v>0</v>
          </cell>
          <cell r="AP156">
            <v>0</v>
          </cell>
          <cell r="AQ156">
            <v>0</v>
          </cell>
          <cell r="AR156">
            <v>0</v>
          </cell>
          <cell r="AW156">
            <v>0</v>
          </cell>
          <cell r="AX156">
            <v>0</v>
          </cell>
          <cell r="AY156">
            <v>0</v>
          </cell>
          <cell r="AZ156">
            <v>0</v>
          </cell>
          <cell r="BA156">
            <v>0</v>
          </cell>
          <cell r="BB156">
            <v>0</v>
          </cell>
          <cell r="BD156">
            <v>0</v>
          </cell>
          <cell r="BE156">
            <v>0</v>
          </cell>
          <cell r="BF156">
            <v>-475744</v>
          </cell>
          <cell r="BH156">
            <v>-475744</v>
          </cell>
          <cell r="BI156">
            <v>0</v>
          </cell>
          <cell r="BJ156">
            <v>-475744</v>
          </cell>
          <cell r="BK156">
            <v>0</v>
          </cell>
        </row>
      </sheetData>
      <sheetData sheetId="21" refreshError="1">
        <row r="1">
          <cell r="A1" t="str">
            <v>Acct No</v>
          </cell>
          <cell r="B1" t="str">
            <v>Account Name</v>
          </cell>
          <cell r="C1" t="str">
            <v>Canc Date</v>
          </cell>
          <cell r="D1" t="str">
            <v>Team Leader</v>
          </cell>
          <cell r="E1" t="str">
            <v>Current Undw</v>
          </cell>
          <cell r="F1" t="str">
            <v>RCD</v>
          </cell>
          <cell r="G1" t="str">
            <v>LCF</v>
          </cell>
          <cell r="H1" t="str">
            <v>BP</v>
          </cell>
          <cell r="I1" t="str">
            <v>INT</v>
          </cell>
          <cell r="J1" t="str">
            <v>Billing</v>
          </cell>
          <cell r="K1" t="str">
            <v>Deposit</v>
          </cell>
          <cell r="L1" t="str">
            <v>Risk</v>
          </cell>
          <cell r="M1" t="str">
            <v>Rep</v>
          </cell>
          <cell r="N1" t="str">
            <v>Set Due</v>
          </cell>
          <cell r="O1" t="str">
            <v>RA Workmonth</v>
          </cell>
          <cell r="P1" t="str">
            <v>Prior Undw</v>
          </cell>
          <cell r="Q1" t="str">
            <v>Billing Person</v>
          </cell>
          <cell r="R1" t="str">
            <v>Loc</v>
          </cell>
          <cell r="S1" t="str">
            <v>Sp Spls</v>
          </cell>
          <cell r="T1" t="str">
            <v>Benefit</v>
          </cell>
          <cell r="U1" t="str">
            <v>Distribution Code</v>
          </cell>
          <cell r="V1" t="str">
            <v>Sold Grp Indicator</v>
          </cell>
          <cell r="W1" t="str">
            <v>Sold Grp Eff Date</v>
          </cell>
          <cell r="X1" t="str">
            <v>Count</v>
          </cell>
        </row>
        <row r="2">
          <cell r="A2" t="str">
            <v>0C9X</v>
          </cell>
          <cell r="B2" t="str">
            <v>1001 Restaurant Corporation</v>
          </cell>
          <cell r="C2" t="str">
            <v/>
          </cell>
          <cell r="D2" t="str">
            <v>Keefer</v>
          </cell>
          <cell r="E2" t="str">
            <v>Anderson</v>
          </cell>
          <cell r="F2" t="str">
            <v>03</v>
          </cell>
          <cell r="G2" t="str">
            <v/>
          </cell>
          <cell r="H2" t="str">
            <v/>
          </cell>
          <cell r="I2" t="str">
            <v/>
          </cell>
          <cell r="J2" t="str">
            <v/>
          </cell>
          <cell r="K2" t="str">
            <v/>
          </cell>
          <cell r="L2" t="str">
            <v>Fully</v>
          </cell>
          <cell r="M2" t="str">
            <v>Cosby</v>
          </cell>
          <cell r="N2" t="str">
            <v/>
          </cell>
          <cell r="O2" t="str">
            <v>11</v>
          </cell>
          <cell r="P2" t="str">
            <v/>
          </cell>
          <cell r="Q2" t="str">
            <v/>
          </cell>
          <cell r="R2" t="str">
            <v>MD</v>
          </cell>
          <cell r="S2">
            <v>0</v>
          </cell>
          <cell r="T2" t="str">
            <v>Dental &amp; Vision Only</v>
          </cell>
          <cell r="U2" t="str">
            <v>MFF5</v>
          </cell>
          <cell r="V2" t="str">
            <v>Y</v>
          </cell>
          <cell r="W2" t="str">
            <v>3/1/2005</v>
          </cell>
          <cell r="X2">
            <v>1</v>
          </cell>
        </row>
        <row r="3">
          <cell r="A3" t="str">
            <v>NZ59</v>
          </cell>
          <cell r="B3" t="str">
            <v xml:space="preserve">3 H Tecnology, Llc                                </v>
          </cell>
          <cell r="C3" t="str">
            <v/>
          </cell>
          <cell r="D3" t="str">
            <v>Keefer</v>
          </cell>
          <cell r="E3" t="str">
            <v>Newman</v>
          </cell>
          <cell r="F3" t="str">
            <v>08</v>
          </cell>
          <cell r="G3" t="str">
            <v>N</v>
          </cell>
          <cell r="H3" t="str">
            <v>N</v>
          </cell>
          <cell r="I3" t="str">
            <v>N</v>
          </cell>
          <cell r="J3" t="str">
            <v>Rates</v>
          </cell>
          <cell r="K3" t="str">
            <v/>
          </cell>
          <cell r="L3" t="str">
            <v>Fully</v>
          </cell>
          <cell r="M3" t="str">
            <v>Savoca</v>
          </cell>
          <cell r="N3" t="str">
            <v>0</v>
          </cell>
          <cell r="O3" t="str">
            <v>04</v>
          </cell>
          <cell r="P3" t="str">
            <v>LaTouche</v>
          </cell>
          <cell r="Q3" t="str">
            <v/>
          </cell>
          <cell r="R3" t="str">
            <v>VA</v>
          </cell>
          <cell r="S3">
            <v>50000</v>
          </cell>
          <cell r="T3" t="str">
            <v>PPO/POS/HMO</v>
          </cell>
          <cell r="U3" t="str">
            <v>BFF5/CFF5</v>
          </cell>
          <cell r="V3" t="str">
            <v/>
          </cell>
          <cell r="W3" t="str">
            <v/>
          </cell>
          <cell r="X3">
            <v>1</v>
          </cell>
        </row>
        <row r="4">
          <cell r="A4" t="str">
            <v>07GZ</v>
          </cell>
          <cell r="B4" t="str">
            <v xml:space="preserve">650 Water Street Inc. T/A Channel Inn Hotel       </v>
          </cell>
          <cell r="C4" t="str">
            <v/>
          </cell>
          <cell r="D4" t="str">
            <v>Keefer</v>
          </cell>
          <cell r="E4" t="str">
            <v>Burba</v>
          </cell>
          <cell r="F4" t="str">
            <v>11</v>
          </cell>
          <cell r="G4" t="str">
            <v>N</v>
          </cell>
          <cell r="H4" t="str">
            <v/>
          </cell>
          <cell r="I4" t="str">
            <v>N</v>
          </cell>
          <cell r="J4" t="str">
            <v>Rates</v>
          </cell>
          <cell r="K4" t="str">
            <v/>
          </cell>
          <cell r="L4" t="str">
            <v>Fully</v>
          </cell>
          <cell r="M4" t="str">
            <v>Cosby</v>
          </cell>
          <cell r="N4" t="str">
            <v/>
          </cell>
          <cell r="O4" t="str">
            <v>07</v>
          </cell>
          <cell r="P4" t="str">
            <v/>
          </cell>
          <cell r="Q4" t="str">
            <v/>
          </cell>
          <cell r="R4" t="str">
            <v>DC</v>
          </cell>
          <cell r="S4">
            <v>50000</v>
          </cell>
          <cell r="T4" t="str">
            <v>HMO/OA</v>
          </cell>
          <cell r="U4" t="str">
            <v>CFF5</v>
          </cell>
          <cell r="V4" t="str">
            <v>Y</v>
          </cell>
          <cell r="W4" t="str">
            <v>11/1/2004</v>
          </cell>
          <cell r="X4">
            <v>1</v>
          </cell>
        </row>
        <row r="5">
          <cell r="A5" t="str">
            <v>5V34</v>
          </cell>
          <cell r="B5" t="str">
            <v xml:space="preserve">A I Solutions Inc.                                </v>
          </cell>
          <cell r="C5" t="str">
            <v/>
          </cell>
          <cell r="D5" t="str">
            <v>Keefer</v>
          </cell>
          <cell r="E5" t="str">
            <v>LaTouche</v>
          </cell>
          <cell r="F5" t="str">
            <v>03</v>
          </cell>
          <cell r="G5" t="str">
            <v>N</v>
          </cell>
          <cell r="H5" t="str">
            <v/>
          </cell>
          <cell r="I5" t="str">
            <v>N</v>
          </cell>
          <cell r="J5" t="str">
            <v>Rates</v>
          </cell>
          <cell r="K5" t="str">
            <v/>
          </cell>
          <cell r="L5" t="str">
            <v>Fully</v>
          </cell>
          <cell r="M5" t="str">
            <v>Savoca</v>
          </cell>
          <cell r="N5" t="str">
            <v/>
          </cell>
          <cell r="O5" t="str">
            <v>11</v>
          </cell>
          <cell r="P5" t="str">
            <v>LaTouche</v>
          </cell>
          <cell r="Q5" t="str">
            <v/>
          </cell>
          <cell r="R5" t="str">
            <v>MD</v>
          </cell>
          <cell r="S5">
            <v>50000</v>
          </cell>
          <cell r="T5" t="str">
            <v>HMO/PPO</v>
          </cell>
          <cell r="U5" t="str">
            <v>BFF5/CFF5</v>
          </cell>
          <cell r="V5" t="str">
            <v/>
          </cell>
          <cell r="W5" t="str">
            <v/>
          </cell>
          <cell r="X5">
            <v>1</v>
          </cell>
        </row>
        <row r="6">
          <cell r="A6" t="str">
            <v>0KMU</v>
          </cell>
          <cell r="B6" t="str">
            <v xml:space="preserve">A W Industries, Inc.                              </v>
          </cell>
          <cell r="C6" t="str">
            <v/>
          </cell>
          <cell r="D6" t="str">
            <v>Keefer</v>
          </cell>
          <cell r="E6" t="str">
            <v>Burba</v>
          </cell>
          <cell r="F6" t="str">
            <v>05</v>
          </cell>
          <cell r="G6" t="str">
            <v>N</v>
          </cell>
          <cell r="H6" t="str">
            <v/>
          </cell>
          <cell r="I6" t="str">
            <v>N</v>
          </cell>
          <cell r="J6" t="str">
            <v>Rates</v>
          </cell>
          <cell r="K6" t="str">
            <v/>
          </cell>
          <cell r="L6" t="str">
            <v>Fully</v>
          </cell>
          <cell r="M6" t="str">
            <v>Rand</v>
          </cell>
          <cell r="N6" t="str">
            <v/>
          </cell>
          <cell r="O6" t="str">
            <v>01</v>
          </cell>
          <cell r="P6" t="str">
            <v/>
          </cell>
          <cell r="Q6" t="str">
            <v/>
          </cell>
          <cell r="R6" t="str">
            <v>MD</v>
          </cell>
          <cell r="S6">
            <v>50000</v>
          </cell>
          <cell r="T6" t="str">
            <v>HMO/OA/PPO</v>
          </cell>
          <cell r="U6" t="str">
            <v>BFF7/CFF7</v>
          </cell>
          <cell r="V6" t="str">
            <v>Y</v>
          </cell>
          <cell r="W6" t="str">
            <v>5/1/2005</v>
          </cell>
          <cell r="X6">
            <v>1</v>
          </cell>
        </row>
        <row r="7">
          <cell r="A7" t="str">
            <v>XV10</v>
          </cell>
          <cell r="B7" t="str">
            <v xml:space="preserve">A. J. Dwoskin &amp; Associates, Inc.                  </v>
          </cell>
          <cell r="C7" t="str">
            <v/>
          </cell>
          <cell r="D7" t="str">
            <v>Keefer</v>
          </cell>
          <cell r="E7" t="str">
            <v>Anderson</v>
          </cell>
          <cell r="F7" t="str">
            <v>07</v>
          </cell>
          <cell r="G7" t="str">
            <v/>
          </cell>
          <cell r="H7" t="str">
            <v/>
          </cell>
          <cell r="I7" t="str">
            <v/>
          </cell>
          <cell r="J7" t="str">
            <v>Rates</v>
          </cell>
          <cell r="K7" t="str">
            <v/>
          </cell>
          <cell r="L7" t="str">
            <v>Fully</v>
          </cell>
          <cell r="M7" t="str">
            <v>Savoca</v>
          </cell>
          <cell r="N7" t="str">
            <v/>
          </cell>
          <cell r="O7" t="str">
            <v>02</v>
          </cell>
          <cell r="P7" t="str">
            <v/>
          </cell>
          <cell r="Q7" t="str">
            <v/>
          </cell>
          <cell r="R7" t="str">
            <v>VA</v>
          </cell>
          <cell r="S7">
            <v>50000</v>
          </cell>
          <cell r="T7" t="str">
            <v>POE: HMO/Blue Preferred</v>
          </cell>
          <cell r="U7" t="str">
            <v>BFF5 CFF5</v>
          </cell>
          <cell r="V7" t="str">
            <v/>
          </cell>
          <cell r="W7" t="str">
            <v/>
          </cell>
          <cell r="X7">
            <v>1</v>
          </cell>
        </row>
        <row r="8">
          <cell r="A8" t="str">
            <v>2259</v>
          </cell>
          <cell r="B8" t="str">
            <v>AAAS</v>
          </cell>
          <cell r="C8" t="str">
            <v/>
          </cell>
          <cell r="D8" t="str">
            <v>McCourt</v>
          </cell>
          <cell r="E8" t="str">
            <v>Slack</v>
          </cell>
          <cell r="F8" t="str">
            <v>07</v>
          </cell>
          <cell r="G8" t="str">
            <v>N</v>
          </cell>
          <cell r="H8" t="str">
            <v>N</v>
          </cell>
          <cell r="I8" t="str">
            <v>N</v>
          </cell>
          <cell r="J8" t="str">
            <v>Rates</v>
          </cell>
          <cell r="K8" t="str">
            <v/>
          </cell>
          <cell r="L8" t="str">
            <v>Fully</v>
          </cell>
          <cell r="M8" t="str">
            <v>Dodds</v>
          </cell>
          <cell r="N8" t="str">
            <v>0</v>
          </cell>
          <cell r="O8" t="str">
            <v>03</v>
          </cell>
          <cell r="P8" t="str">
            <v>Slack</v>
          </cell>
          <cell r="Q8" t="str">
            <v/>
          </cell>
          <cell r="R8" t="str">
            <v>DC</v>
          </cell>
          <cell r="S8">
            <v>50000</v>
          </cell>
          <cell r="T8" t="str">
            <v>POS</v>
          </cell>
          <cell r="U8" t="str">
            <v>BFF7/CFF7</v>
          </cell>
          <cell r="V8" t="str">
            <v/>
          </cell>
          <cell r="W8" t="str">
            <v/>
          </cell>
          <cell r="X8">
            <v>1</v>
          </cell>
        </row>
        <row r="9">
          <cell r="A9" t="str">
            <v>QR20</v>
          </cell>
          <cell r="B9" t="str">
            <v>AASHTO</v>
          </cell>
          <cell r="C9" t="str">
            <v/>
          </cell>
          <cell r="D9" t="str">
            <v>Keefer</v>
          </cell>
          <cell r="E9" t="str">
            <v>Anderson</v>
          </cell>
          <cell r="F9" t="str">
            <v>05</v>
          </cell>
          <cell r="G9" t="str">
            <v>N</v>
          </cell>
          <cell r="H9" t="str">
            <v/>
          </cell>
          <cell r="I9" t="str">
            <v>N</v>
          </cell>
          <cell r="J9" t="str">
            <v>Rates</v>
          </cell>
          <cell r="K9" t="str">
            <v/>
          </cell>
          <cell r="L9" t="str">
            <v>Fully</v>
          </cell>
          <cell r="M9" t="str">
            <v>Dodds</v>
          </cell>
          <cell r="N9" t="str">
            <v/>
          </cell>
          <cell r="O9" t="str">
            <v>01</v>
          </cell>
          <cell r="P9" t="str">
            <v/>
          </cell>
          <cell r="Q9" t="str">
            <v/>
          </cell>
          <cell r="R9" t="str">
            <v>DC</v>
          </cell>
          <cell r="S9">
            <v>50000</v>
          </cell>
          <cell r="T9" t="str">
            <v>OA Rx</v>
          </cell>
          <cell r="U9" t="str">
            <v>BFF6</v>
          </cell>
          <cell r="V9" t="str">
            <v>Y</v>
          </cell>
          <cell r="W9" t="str">
            <v>5/1/2004</v>
          </cell>
          <cell r="X9">
            <v>1</v>
          </cell>
        </row>
        <row r="10">
          <cell r="A10" t="str">
            <v>CE17</v>
          </cell>
          <cell r="B10" t="str">
            <v>Academy Health</v>
          </cell>
          <cell r="C10" t="str">
            <v/>
          </cell>
          <cell r="D10" t="str">
            <v>McCourt</v>
          </cell>
          <cell r="E10" t="str">
            <v>Rutkowski</v>
          </cell>
          <cell r="F10" t="str">
            <v>01</v>
          </cell>
          <cell r="G10" t="str">
            <v>N</v>
          </cell>
          <cell r="H10" t="str">
            <v>N</v>
          </cell>
          <cell r="I10" t="str">
            <v>N</v>
          </cell>
          <cell r="J10" t="str">
            <v>Rates</v>
          </cell>
          <cell r="K10" t="str">
            <v/>
          </cell>
          <cell r="L10" t="str">
            <v>Fully</v>
          </cell>
          <cell r="M10" t="str">
            <v>Henton-Davis</v>
          </cell>
          <cell r="N10" t="str">
            <v/>
          </cell>
          <cell r="O10" t="str">
            <v>10</v>
          </cell>
          <cell r="P10" t="str">
            <v>Rutkowski</v>
          </cell>
          <cell r="Q10" t="str">
            <v/>
          </cell>
          <cell r="R10" t="str">
            <v>DC</v>
          </cell>
          <cell r="S10">
            <v>50000</v>
          </cell>
          <cell r="T10" t="str">
            <v>PPO/POS/HMO</v>
          </cell>
          <cell r="U10" t="str">
            <v>BFF5</v>
          </cell>
          <cell r="V10" t="str">
            <v/>
          </cell>
          <cell r="W10" t="str">
            <v/>
          </cell>
          <cell r="X10">
            <v>1</v>
          </cell>
        </row>
        <row r="11">
          <cell r="A11" t="str">
            <v>0EFG</v>
          </cell>
          <cell r="B11" t="str">
            <v xml:space="preserve">Access National Corporation                       </v>
          </cell>
          <cell r="C11" t="str">
            <v/>
          </cell>
          <cell r="D11" t="str">
            <v>McCourt</v>
          </cell>
          <cell r="E11" t="str">
            <v>Mugo</v>
          </cell>
          <cell r="F11" t="str">
            <v>12</v>
          </cell>
          <cell r="G11" t="str">
            <v/>
          </cell>
          <cell r="H11" t="str">
            <v/>
          </cell>
          <cell r="I11" t="str">
            <v/>
          </cell>
          <cell r="J11" t="str">
            <v>Rates</v>
          </cell>
          <cell r="K11" t="str">
            <v/>
          </cell>
          <cell r="L11" t="str">
            <v>Fully</v>
          </cell>
          <cell r="M11" t="str">
            <v>Thomas</v>
          </cell>
          <cell r="N11" t="str">
            <v/>
          </cell>
          <cell r="O11" t="str">
            <v>08</v>
          </cell>
          <cell r="P11" t="str">
            <v/>
          </cell>
          <cell r="Q11" t="str">
            <v/>
          </cell>
          <cell r="R11" t="str">
            <v>VA</v>
          </cell>
          <cell r="S11">
            <v>50000</v>
          </cell>
          <cell r="T11" t="str">
            <v>POE: Quadruple Opt POE package</v>
          </cell>
          <cell r="U11" t="str">
            <v>CFF6</v>
          </cell>
          <cell r="V11" t="str">
            <v>Y</v>
          </cell>
          <cell r="W11" t="str">
            <v>12/1/2004</v>
          </cell>
          <cell r="X11">
            <v>1</v>
          </cell>
        </row>
        <row r="12">
          <cell r="A12" t="str">
            <v>1C89</v>
          </cell>
          <cell r="B12" t="str">
            <v>Access Worldwide, Te/Ac Teleservices Group</v>
          </cell>
          <cell r="C12" t="str">
            <v/>
          </cell>
          <cell r="D12" t="str">
            <v>McCourt</v>
          </cell>
          <cell r="E12" t="str">
            <v>Mugo</v>
          </cell>
          <cell r="F12" t="str">
            <v>04</v>
          </cell>
          <cell r="G12" t="str">
            <v>N</v>
          </cell>
          <cell r="H12" t="str">
            <v/>
          </cell>
          <cell r="I12" t="str">
            <v>N</v>
          </cell>
          <cell r="J12" t="str">
            <v>Rates</v>
          </cell>
          <cell r="K12" t="str">
            <v/>
          </cell>
          <cell r="L12" t="str">
            <v>Fully</v>
          </cell>
          <cell r="M12" t="str">
            <v>Greenwell</v>
          </cell>
          <cell r="N12" t="str">
            <v>0</v>
          </cell>
          <cell r="O12" t="str">
            <v>12</v>
          </cell>
          <cell r="P12" t="str">
            <v/>
          </cell>
          <cell r="Q12" t="str">
            <v/>
          </cell>
          <cell r="R12" t="str">
            <v>MD</v>
          </cell>
          <cell r="S12">
            <v>50000</v>
          </cell>
          <cell r="T12" t="str">
            <v>PPO/POS</v>
          </cell>
          <cell r="U12" t="str">
            <v>BFF7/CFF7</v>
          </cell>
          <cell r="V12" t="str">
            <v/>
          </cell>
          <cell r="W12" t="str">
            <v/>
          </cell>
          <cell r="X12">
            <v>1</v>
          </cell>
        </row>
        <row r="13">
          <cell r="A13" t="str">
            <v>70GU</v>
          </cell>
          <cell r="B13" t="str">
            <v>Accotink Academy</v>
          </cell>
          <cell r="C13" t="str">
            <v/>
          </cell>
          <cell r="D13" t="str">
            <v>Keefer</v>
          </cell>
          <cell r="E13" t="str">
            <v>Taylor</v>
          </cell>
          <cell r="F13" t="str">
            <v>10</v>
          </cell>
          <cell r="G13" t="str">
            <v/>
          </cell>
          <cell r="H13" t="str">
            <v/>
          </cell>
          <cell r="I13" t="str">
            <v/>
          </cell>
          <cell r="J13" t="str">
            <v>Rates</v>
          </cell>
          <cell r="K13" t="str">
            <v/>
          </cell>
          <cell r="L13" t="str">
            <v>Fully</v>
          </cell>
          <cell r="M13" t="str">
            <v>Savoca</v>
          </cell>
          <cell r="N13" t="str">
            <v/>
          </cell>
          <cell r="O13" t="str">
            <v>06</v>
          </cell>
          <cell r="P13" t="str">
            <v/>
          </cell>
          <cell r="Q13" t="str">
            <v/>
          </cell>
          <cell r="R13" t="str">
            <v>VA</v>
          </cell>
          <cell r="S13">
            <v>50000</v>
          </cell>
          <cell r="T13" t="str">
            <v>PPO HMO</v>
          </cell>
          <cell r="U13" t="str">
            <v>BFF5/CFF5</v>
          </cell>
          <cell r="V13" t="str">
            <v>Y</v>
          </cell>
          <cell r="W13" t="str">
            <v>10/1/2004</v>
          </cell>
          <cell r="X13">
            <v>1</v>
          </cell>
        </row>
        <row r="14">
          <cell r="A14" t="str">
            <v>WV79</v>
          </cell>
          <cell r="B14" t="str">
            <v xml:space="preserve">Actionet, Inc.                                    </v>
          </cell>
          <cell r="C14" t="str">
            <v/>
          </cell>
          <cell r="D14" t="str">
            <v>Keefer</v>
          </cell>
          <cell r="E14" t="str">
            <v>Taylor</v>
          </cell>
          <cell r="F14" t="str">
            <v>07</v>
          </cell>
          <cell r="G14" t="str">
            <v>N</v>
          </cell>
          <cell r="H14" t="str">
            <v/>
          </cell>
          <cell r="I14" t="str">
            <v>N</v>
          </cell>
          <cell r="J14" t="str">
            <v>Rates</v>
          </cell>
          <cell r="K14" t="str">
            <v/>
          </cell>
          <cell r="L14" t="str">
            <v>Fully</v>
          </cell>
          <cell r="M14" t="str">
            <v>Savoca</v>
          </cell>
          <cell r="N14" t="str">
            <v/>
          </cell>
          <cell r="O14" t="str">
            <v>03</v>
          </cell>
          <cell r="P14" t="str">
            <v/>
          </cell>
          <cell r="Q14" t="str">
            <v/>
          </cell>
          <cell r="R14" t="str">
            <v>VA</v>
          </cell>
          <cell r="S14">
            <v>50000</v>
          </cell>
          <cell r="T14" t="str">
            <v>PPO/OA</v>
          </cell>
          <cell r="U14" t="str">
            <v>BFF5/CFF5</v>
          </cell>
          <cell r="V14" t="str">
            <v/>
          </cell>
          <cell r="W14" t="str">
            <v/>
          </cell>
          <cell r="X14">
            <v>1</v>
          </cell>
        </row>
        <row r="15">
          <cell r="A15" t="str">
            <v>XD11</v>
          </cell>
          <cell r="B15" t="str">
            <v xml:space="preserve">Adnet Systems, Inc.                               </v>
          </cell>
          <cell r="C15" t="str">
            <v/>
          </cell>
          <cell r="D15" t="str">
            <v>Keefer</v>
          </cell>
          <cell r="E15" t="str">
            <v>Newman</v>
          </cell>
          <cell r="F15" t="str">
            <v>07</v>
          </cell>
          <cell r="G15" t="str">
            <v>N</v>
          </cell>
          <cell r="H15" t="str">
            <v/>
          </cell>
          <cell r="I15" t="str">
            <v>N</v>
          </cell>
          <cell r="J15" t="str">
            <v>Rates</v>
          </cell>
          <cell r="K15" t="str">
            <v/>
          </cell>
          <cell r="L15" t="str">
            <v>Fully</v>
          </cell>
          <cell r="M15" t="str">
            <v>Dodds</v>
          </cell>
          <cell r="N15" t="str">
            <v/>
          </cell>
          <cell r="O15" t="str">
            <v>03</v>
          </cell>
          <cell r="P15" t="str">
            <v/>
          </cell>
          <cell r="Q15" t="str">
            <v/>
          </cell>
          <cell r="R15" t="str">
            <v>MD</v>
          </cell>
          <cell r="S15">
            <v>50000</v>
          </cell>
          <cell r="T15" t="str">
            <v>PPO/HMO</v>
          </cell>
          <cell r="U15" t="str">
            <v>BFF5/CFF5</v>
          </cell>
          <cell r="V15" t="str">
            <v/>
          </cell>
          <cell r="W15" t="str">
            <v/>
          </cell>
          <cell r="X15">
            <v>1</v>
          </cell>
        </row>
        <row r="16">
          <cell r="A16" t="str">
            <v>WE54</v>
          </cell>
          <cell r="B16" t="str">
            <v>Advanced Engineering &amp; Planning Corporation</v>
          </cell>
          <cell r="C16" t="str">
            <v/>
          </cell>
          <cell r="D16" t="str">
            <v>Keefer</v>
          </cell>
          <cell r="E16" t="str">
            <v>Taylor</v>
          </cell>
          <cell r="F16" t="str">
            <v>04</v>
          </cell>
          <cell r="G16" t="str">
            <v>N</v>
          </cell>
          <cell r="H16" t="str">
            <v>N</v>
          </cell>
          <cell r="I16" t="str">
            <v>N</v>
          </cell>
          <cell r="J16" t="str">
            <v>CPC Mo</v>
          </cell>
          <cell r="K16" t="str">
            <v>235000</v>
          </cell>
          <cell r="L16" t="str">
            <v>125%</v>
          </cell>
          <cell r="M16" t="str">
            <v>Dunn</v>
          </cell>
          <cell r="N16" t="str">
            <v>06</v>
          </cell>
          <cell r="O16" t="str">
            <v>12</v>
          </cell>
          <cell r="P16" t="str">
            <v/>
          </cell>
          <cell r="Q16" t="str">
            <v>Briscoe</v>
          </cell>
          <cell r="R16" t="str">
            <v>MD</v>
          </cell>
          <cell r="S16">
            <v>50000</v>
          </cell>
          <cell r="T16" t="str">
            <v>POS/PPO/HMO</v>
          </cell>
          <cell r="U16" t="str">
            <v>BAB7</v>
          </cell>
          <cell r="V16" t="str">
            <v/>
          </cell>
          <cell r="W16" t="str">
            <v/>
          </cell>
          <cell r="X16">
            <v>1</v>
          </cell>
        </row>
        <row r="17">
          <cell r="A17" t="str">
            <v>US11</v>
          </cell>
          <cell r="B17" t="str">
            <v>Advanced Software Systems, Inc.</v>
          </cell>
          <cell r="C17" t="str">
            <v/>
          </cell>
          <cell r="D17" t="str">
            <v>Keefer</v>
          </cell>
          <cell r="E17" t="str">
            <v>LaTouche</v>
          </cell>
          <cell r="F17" t="str">
            <v>09</v>
          </cell>
          <cell r="G17" t="str">
            <v>N</v>
          </cell>
          <cell r="H17" t="str">
            <v>N</v>
          </cell>
          <cell r="I17" t="str">
            <v>N</v>
          </cell>
          <cell r="J17" t="str">
            <v>Rates</v>
          </cell>
          <cell r="K17" t="str">
            <v/>
          </cell>
          <cell r="L17" t="str">
            <v>Fully</v>
          </cell>
          <cell r="M17" t="str">
            <v>Wise</v>
          </cell>
          <cell r="N17" t="str">
            <v>0</v>
          </cell>
          <cell r="O17" t="str">
            <v>05</v>
          </cell>
          <cell r="P17" t="str">
            <v>LaTouche</v>
          </cell>
          <cell r="Q17" t="str">
            <v/>
          </cell>
          <cell r="R17" t="str">
            <v>VA</v>
          </cell>
          <cell r="S17">
            <v>50000</v>
          </cell>
          <cell r="T17" t="str">
            <v>PPO/HMO/POS</v>
          </cell>
          <cell r="U17" t="str">
            <v>CFF5</v>
          </cell>
          <cell r="V17" t="str">
            <v/>
          </cell>
          <cell r="W17" t="str">
            <v/>
          </cell>
          <cell r="X17">
            <v>1</v>
          </cell>
        </row>
        <row r="18">
          <cell r="A18" t="str">
            <v>QR10</v>
          </cell>
          <cell r="B18" t="str">
            <v>AEM, Inc./ Interstate Worldwide Relocation, Inc.</v>
          </cell>
          <cell r="C18" t="str">
            <v/>
          </cell>
          <cell r="D18" t="str">
            <v>McCourt</v>
          </cell>
          <cell r="E18" t="str">
            <v>Slack</v>
          </cell>
          <cell r="F18" t="str">
            <v>12</v>
          </cell>
          <cell r="G18" t="str">
            <v/>
          </cell>
          <cell r="H18" t="str">
            <v/>
          </cell>
          <cell r="I18" t="str">
            <v/>
          </cell>
          <cell r="J18" t="str">
            <v>Rates</v>
          </cell>
          <cell r="K18" t="str">
            <v/>
          </cell>
          <cell r="L18" t="str">
            <v>Fully</v>
          </cell>
          <cell r="M18" t="str">
            <v>Savoca</v>
          </cell>
          <cell r="N18" t="str">
            <v/>
          </cell>
          <cell r="O18" t="str">
            <v>08</v>
          </cell>
          <cell r="P18" t="str">
            <v>Slack</v>
          </cell>
          <cell r="Q18" t="str">
            <v/>
          </cell>
          <cell r="R18" t="str">
            <v>VA</v>
          </cell>
          <cell r="S18">
            <v>50000</v>
          </cell>
          <cell r="T18" t="str">
            <v>HMO/POS/PPO</v>
          </cell>
          <cell r="U18" t="str">
            <v>BFF6/CFF6</v>
          </cell>
          <cell r="V18" t="str">
            <v>Y</v>
          </cell>
          <cell r="W18" t="str">
            <v>12/1/2002</v>
          </cell>
          <cell r="X18">
            <v>1</v>
          </cell>
        </row>
        <row r="19">
          <cell r="A19" t="str">
            <v>03ZV</v>
          </cell>
          <cell r="B19" t="str">
            <v>AEPTEC Microsystems</v>
          </cell>
          <cell r="C19" t="str">
            <v/>
          </cell>
          <cell r="D19" t="str">
            <v>Keefer</v>
          </cell>
          <cell r="E19" t="str">
            <v>Taylor</v>
          </cell>
          <cell r="F19" t="str">
            <v>04</v>
          </cell>
          <cell r="G19" t="str">
            <v/>
          </cell>
          <cell r="H19" t="str">
            <v/>
          </cell>
          <cell r="I19" t="str">
            <v/>
          </cell>
          <cell r="J19" t="str">
            <v>Rates</v>
          </cell>
          <cell r="K19" t="str">
            <v/>
          </cell>
          <cell r="L19" t="str">
            <v>Fully</v>
          </cell>
          <cell r="M19" t="str">
            <v>Dunn</v>
          </cell>
          <cell r="N19" t="str">
            <v/>
          </cell>
          <cell r="O19" t="str">
            <v>12</v>
          </cell>
          <cell r="P19" t="str">
            <v/>
          </cell>
          <cell r="Q19" t="str">
            <v/>
          </cell>
          <cell r="R19" t="str">
            <v>MD</v>
          </cell>
          <cell r="S19">
            <v>50000</v>
          </cell>
          <cell r="T19" t="str">
            <v>PPO</v>
          </cell>
          <cell r="U19" t="str">
            <v>BFF5</v>
          </cell>
          <cell r="V19" t="str">
            <v/>
          </cell>
          <cell r="W19" t="str">
            <v/>
          </cell>
          <cell r="X19">
            <v>1</v>
          </cell>
        </row>
        <row r="20">
          <cell r="A20" t="str">
            <v>6D45</v>
          </cell>
          <cell r="B20" t="str">
            <v>Aerolink Transportation</v>
          </cell>
          <cell r="C20" t="str">
            <v/>
          </cell>
          <cell r="D20" t="str">
            <v>Keefer</v>
          </cell>
          <cell r="E20" t="str">
            <v>Taylor</v>
          </cell>
          <cell r="F20" t="str">
            <v>01</v>
          </cell>
          <cell r="G20" t="str">
            <v>N</v>
          </cell>
          <cell r="H20" t="str">
            <v/>
          </cell>
          <cell r="I20" t="str">
            <v>N</v>
          </cell>
          <cell r="J20" t="str">
            <v>Rates</v>
          </cell>
          <cell r="K20" t="str">
            <v/>
          </cell>
          <cell r="L20" t="str">
            <v>Fully</v>
          </cell>
          <cell r="M20" t="str">
            <v>Guessford-Kline</v>
          </cell>
          <cell r="N20" t="str">
            <v>0</v>
          </cell>
          <cell r="O20" t="str">
            <v>09</v>
          </cell>
          <cell r="P20" t="str">
            <v/>
          </cell>
          <cell r="Q20" t="str">
            <v/>
          </cell>
          <cell r="R20" t="str">
            <v>DC</v>
          </cell>
          <cell r="S20">
            <v>50000</v>
          </cell>
          <cell r="T20" t="str">
            <v>HMO/POS/PPO</v>
          </cell>
          <cell r="U20" t="str">
            <v>BFF6/CFF6</v>
          </cell>
          <cell r="V20" t="str">
            <v/>
          </cell>
          <cell r="W20" t="str">
            <v/>
          </cell>
          <cell r="X20">
            <v>1</v>
          </cell>
        </row>
        <row r="21">
          <cell r="A21" t="str">
            <v>7L63</v>
          </cell>
          <cell r="B21" t="str">
            <v>Affiliated Sante Group, Inc.</v>
          </cell>
          <cell r="C21" t="str">
            <v/>
          </cell>
          <cell r="D21" t="str">
            <v>McCourt</v>
          </cell>
          <cell r="E21" t="str">
            <v>Rutkowski</v>
          </cell>
          <cell r="F21" t="str">
            <v>02</v>
          </cell>
          <cell r="G21" t="str">
            <v>N</v>
          </cell>
          <cell r="H21" t="str">
            <v>N</v>
          </cell>
          <cell r="I21" t="str">
            <v>N</v>
          </cell>
          <cell r="J21" t="str">
            <v>Rates</v>
          </cell>
          <cell r="K21" t="str">
            <v/>
          </cell>
          <cell r="L21" t="str">
            <v>Fully</v>
          </cell>
          <cell r="M21" t="str">
            <v>Housman</v>
          </cell>
          <cell r="N21" t="str">
            <v/>
          </cell>
          <cell r="O21" t="str">
            <v>10</v>
          </cell>
          <cell r="P21" t="str">
            <v>Rutkowski</v>
          </cell>
          <cell r="Q21" t="str">
            <v/>
          </cell>
          <cell r="R21" t="str">
            <v>MD</v>
          </cell>
          <cell r="S21">
            <v>50000</v>
          </cell>
          <cell r="T21" t="str">
            <v>HMO/POS</v>
          </cell>
          <cell r="U21" t="str">
            <v>BFF5</v>
          </cell>
          <cell r="V21" t="str">
            <v/>
          </cell>
          <cell r="W21" t="str">
            <v/>
          </cell>
          <cell r="X21">
            <v>1</v>
          </cell>
        </row>
        <row r="22">
          <cell r="A22" t="str">
            <v>ML29</v>
          </cell>
          <cell r="B22" t="str">
            <v xml:space="preserve">AFSCME                                            </v>
          </cell>
          <cell r="C22" t="str">
            <v/>
          </cell>
          <cell r="D22" t="str">
            <v>McCourt</v>
          </cell>
          <cell r="E22" t="str">
            <v>Rutkowski</v>
          </cell>
          <cell r="F22" t="str">
            <v>06</v>
          </cell>
          <cell r="G22" t="str">
            <v>N</v>
          </cell>
          <cell r="H22" t="str">
            <v/>
          </cell>
          <cell r="I22" t="str">
            <v>N</v>
          </cell>
          <cell r="J22" t="str">
            <v>Rates</v>
          </cell>
          <cell r="K22" t="str">
            <v/>
          </cell>
          <cell r="L22" t="str">
            <v>Fully</v>
          </cell>
          <cell r="M22" t="str">
            <v>Phillips</v>
          </cell>
          <cell r="N22" t="str">
            <v/>
          </cell>
          <cell r="O22" t="str">
            <v>02</v>
          </cell>
          <cell r="P22" t="str">
            <v>Rutkowski</v>
          </cell>
          <cell r="Q22" t="str">
            <v/>
          </cell>
          <cell r="R22" t="str">
            <v>DC</v>
          </cell>
          <cell r="S22">
            <v>50000</v>
          </cell>
          <cell r="T22" t="str">
            <v>HMO</v>
          </cell>
          <cell r="U22" t="str">
            <v>BFF5</v>
          </cell>
          <cell r="V22" t="str">
            <v/>
          </cell>
          <cell r="W22" t="str">
            <v/>
          </cell>
          <cell r="X22">
            <v>1</v>
          </cell>
        </row>
        <row r="23">
          <cell r="A23" t="str">
            <v>7H08</v>
          </cell>
          <cell r="B23" t="str">
            <v xml:space="preserve">Alarm Security Group LLC                          </v>
          </cell>
          <cell r="C23" t="str">
            <v/>
          </cell>
          <cell r="D23" t="str">
            <v>Keefer</v>
          </cell>
          <cell r="E23" t="str">
            <v>LaTouche</v>
          </cell>
          <cell r="F23" t="str">
            <v>09</v>
          </cell>
          <cell r="G23" t="str">
            <v>N</v>
          </cell>
          <cell r="H23" t="str">
            <v/>
          </cell>
          <cell r="I23" t="str">
            <v>N</v>
          </cell>
          <cell r="J23" t="str">
            <v>Rates</v>
          </cell>
          <cell r="K23" t="str">
            <v/>
          </cell>
          <cell r="L23" t="str">
            <v>Fully</v>
          </cell>
          <cell r="M23" t="str">
            <v>Wise</v>
          </cell>
          <cell r="N23" t="str">
            <v/>
          </cell>
          <cell r="O23" t="str">
            <v>05</v>
          </cell>
          <cell r="P23" t="str">
            <v>LaTouche</v>
          </cell>
          <cell r="Q23" t="str">
            <v/>
          </cell>
          <cell r="R23" t="str">
            <v>MD</v>
          </cell>
          <cell r="S23">
            <v>50000</v>
          </cell>
          <cell r="T23" t="str">
            <v>PPO</v>
          </cell>
          <cell r="U23" t="str">
            <v>BFF5</v>
          </cell>
          <cell r="V23" t="str">
            <v>Y</v>
          </cell>
          <cell r="W23" t="str">
            <v>9/1/2003</v>
          </cell>
          <cell r="X23">
            <v>1</v>
          </cell>
        </row>
        <row r="24">
          <cell r="A24" t="str">
            <v>PL18</v>
          </cell>
          <cell r="B24" t="str">
            <v>Alexandria Animal Hospital</v>
          </cell>
          <cell r="C24" t="str">
            <v/>
          </cell>
          <cell r="D24" t="str">
            <v>Keefer</v>
          </cell>
          <cell r="E24" t="str">
            <v>Burba</v>
          </cell>
          <cell r="F24" t="str">
            <v>11</v>
          </cell>
          <cell r="G24" t="str">
            <v>N</v>
          </cell>
          <cell r="H24" t="str">
            <v/>
          </cell>
          <cell r="I24" t="str">
            <v>N</v>
          </cell>
          <cell r="J24" t="str">
            <v>Rates</v>
          </cell>
          <cell r="K24" t="str">
            <v/>
          </cell>
          <cell r="L24" t="str">
            <v>Fully</v>
          </cell>
          <cell r="M24" t="str">
            <v>Savoca</v>
          </cell>
          <cell r="N24" t="str">
            <v/>
          </cell>
          <cell r="O24" t="str">
            <v>07</v>
          </cell>
          <cell r="P24" t="str">
            <v/>
          </cell>
          <cell r="Q24" t="str">
            <v/>
          </cell>
          <cell r="R24" t="str">
            <v>VA</v>
          </cell>
          <cell r="S24">
            <v>50000</v>
          </cell>
          <cell r="T24" t="str">
            <v>PPO</v>
          </cell>
          <cell r="U24" t="str">
            <v>BFF5/CFF5</v>
          </cell>
          <cell r="V24" t="str">
            <v/>
          </cell>
          <cell r="W24" t="str">
            <v/>
          </cell>
          <cell r="X24">
            <v>1</v>
          </cell>
        </row>
        <row r="25">
          <cell r="A25" t="str">
            <v>1B59</v>
          </cell>
          <cell r="B25" t="str">
            <v>Alexandria Sanitation Authority</v>
          </cell>
          <cell r="C25" t="str">
            <v/>
          </cell>
          <cell r="D25" t="str">
            <v>McCourt</v>
          </cell>
          <cell r="E25" t="str">
            <v>Slack</v>
          </cell>
          <cell r="F25" t="str">
            <v>01</v>
          </cell>
          <cell r="G25" t="str">
            <v>N</v>
          </cell>
          <cell r="H25" t="str">
            <v>N</v>
          </cell>
          <cell r="I25" t="str">
            <v>N</v>
          </cell>
          <cell r="J25" t="str">
            <v>Rates</v>
          </cell>
          <cell r="K25" t="str">
            <v/>
          </cell>
          <cell r="L25" t="str">
            <v>Fully</v>
          </cell>
          <cell r="M25" t="str">
            <v>Swears</v>
          </cell>
          <cell r="N25" t="str">
            <v>0</v>
          </cell>
          <cell r="O25" t="str">
            <v>09</v>
          </cell>
          <cell r="P25" t="str">
            <v>Slack</v>
          </cell>
          <cell r="Q25" t="str">
            <v/>
          </cell>
          <cell r="R25" t="str">
            <v>VA</v>
          </cell>
          <cell r="S25">
            <v>75000</v>
          </cell>
          <cell r="T25" t="str">
            <v>POS</v>
          </cell>
          <cell r="U25" t="str">
            <v>BFF6</v>
          </cell>
          <cell r="V25" t="str">
            <v/>
          </cell>
          <cell r="W25" t="str">
            <v/>
          </cell>
          <cell r="X25">
            <v>1</v>
          </cell>
        </row>
        <row r="26">
          <cell r="A26" t="str">
            <v>X425</v>
          </cell>
          <cell r="B26" t="str">
            <v>Alexandria School Board (DE Only)</v>
          </cell>
          <cell r="C26" t="str">
            <v/>
          </cell>
          <cell r="D26" t="str">
            <v>McCourt</v>
          </cell>
          <cell r="E26" t="str">
            <v>Quade</v>
          </cell>
          <cell r="F26" t="str">
            <v>07</v>
          </cell>
          <cell r="G26" t="str">
            <v>N</v>
          </cell>
          <cell r="H26" t="str">
            <v>N</v>
          </cell>
          <cell r="I26" t="str">
            <v>N</v>
          </cell>
          <cell r="J26" t="str">
            <v>Rates</v>
          </cell>
          <cell r="K26" t="str">
            <v/>
          </cell>
          <cell r="L26" t="str">
            <v>Fully</v>
          </cell>
          <cell r="M26" t="str">
            <v>Jordan</v>
          </cell>
          <cell r="N26" t="str">
            <v>0</v>
          </cell>
          <cell r="O26" t="str">
            <v>03</v>
          </cell>
          <cell r="P26" t="str">
            <v>Buyak</v>
          </cell>
          <cell r="Q26" t="str">
            <v/>
          </cell>
          <cell r="R26" t="str">
            <v>VA</v>
          </cell>
          <cell r="S26" t="str">
            <v/>
          </cell>
          <cell r="T26" t="str">
            <v>DO</v>
          </cell>
          <cell r="U26" t="str">
            <v>BFF7</v>
          </cell>
          <cell r="V26" t="str">
            <v/>
          </cell>
          <cell r="W26" t="str">
            <v/>
          </cell>
          <cell r="X26">
            <v>1</v>
          </cell>
        </row>
        <row r="27">
          <cell r="A27" t="str">
            <v>0C9U</v>
          </cell>
          <cell r="B27" t="str">
            <v>Alexandria Toyota, Inc.</v>
          </cell>
          <cell r="C27" t="str">
            <v/>
          </cell>
          <cell r="D27" t="str">
            <v>Keefer</v>
          </cell>
          <cell r="E27" t="str">
            <v>Anderson</v>
          </cell>
          <cell r="F27" t="str">
            <v>01</v>
          </cell>
          <cell r="G27" t="str">
            <v/>
          </cell>
          <cell r="H27" t="str">
            <v/>
          </cell>
          <cell r="I27" t="str">
            <v/>
          </cell>
          <cell r="J27" t="str">
            <v>Rates</v>
          </cell>
          <cell r="K27" t="str">
            <v/>
          </cell>
          <cell r="L27" t="str">
            <v>Fully</v>
          </cell>
          <cell r="M27" t="str">
            <v>Cosby</v>
          </cell>
          <cell r="N27" t="str">
            <v/>
          </cell>
          <cell r="O27" t="str">
            <v>09</v>
          </cell>
          <cell r="P27" t="str">
            <v/>
          </cell>
          <cell r="Q27" t="str">
            <v/>
          </cell>
          <cell r="R27" t="str">
            <v>VA</v>
          </cell>
          <cell r="S27">
            <v>50000</v>
          </cell>
          <cell r="T27" t="str">
            <v>HMO PPO POS Rx</v>
          </cell>
          <cell r="U27" t="str">
            <v>BFF6 CFF6</v>
          </cell>
          <cell r="V27" t="str">
            <v>Y</v>
          </cell>
          <cell r="W27" t="str">
            <v>1/1/2005</v>
          </cell>
          <cell r="X27">
            <v>1</v>
          </cell>
        </row>
        <row r="28">
          <cell r="A28" t="str">
            <v>3M20</v>
          </cell>
          <cell r="B28" t="str">
            <v>Allbritton Communications</v>
          </cell>
          <cell r="C28" t="str">
            <v/>
          </cell>
          <cell r="D28" t="str">
            <v>Keefer</v>
          </cell>
          <cell r="E28" t="str">
            <v>Anderson</v>
          </cell>
          <cell r="F28" t="str">
            <v>06</v>
          </cell>
          <cell r="G28" t="str">
            <v>N</v>
          </cell>
          <cell r="H28" t="str">
            <v/>
          </cell>
          <cell r="I28" t="str">
            <v>N</v>
          </cell>
          <cell r="J28" t="str">
            <v>Rates</v>
          </cell>
          <cell r="K28" t="str">
            <v/>
          </cell>
          <cell r="L28" t="str">
            <v>Fully</v>
          </cell>
          <cell r="M28" t="str">
            <v>Dunn</v>
          </cell>
          <cell r="N28" t="str">
            <v>0</v>
          </cell>
          <cell r="O28" t="str">
            <v>02</v>
          </cell>
          <cell r="P28" t="str">
            <v>LaTouche</v>
          </cell>
          <cell r="Q28" t="str">
            <v/>
          </cell>
          <cell r="R28" t="str">
            <v>DC</v>
          </cell>
          <cell r="S28">
            <v>100000</v>
          </cell>
          <cell r="T28" t="str">
            <v>PPO</v>
          </cell>
          <cell r="U28" t="str">
            <v>CFF7</v>
          </cell>
          <cell r="V28" t="str">
            <v/>
          </cell>
          <cell r="W28" t="str">
            <v/>
          </cell>
          <cell r="X28">
            <v>1</v>
          </cell>
        </row>
        <row r="29">
          <cell r="A29" t="str">
            <v>TC31</v>
          </cell>
          <cell r="B29" t="str">
            <v xml:space="preserve">Alliance to Save Energy                           </v>
          </cell>
          <cell r="C29" t="str">
            <v/>
          </cell>
          <cell r="D29" t="str">
            <v>McCourt</v>
          </cell>
          <cell r="E29" t="str">
            <v>Quade</v>
          </cell>
          <cell r="F29" t="str">
            <v>03</v>
          </cell>
          <cell r="G29" t="str">
            <v>N</v>
          </cell>
          <cell r="H29" t="str">
            <v>N</v>
          </cell>
          <cell r="I29" t="str">
            <v>N</v>
          </cell>
          <cell r="J29" t="str">
            <v>Rates</v>
          </cell>
          <cell r="K29" t="str">
            <v/>
          </cell>
          <cell r="L29" t="str">
            <v>Fully</v>
          </cell>
          <cell r="M29" t="str">
            <v>Henton-Davis</v>
          </cell>
          <cell r="N29" t="str">
            <v/>
          </cell>
          <cell r="O29" t="str">
            <v>11</v>
          </cell>
          <cell r="P29" t="str">
            <v>Mugo</v>
          </cell>
          <cell r="Q29" t="str">
            <v/>
          </cell>
          <cell r="R29" t="str">
            <v>DC</v>
          </cell>
          <cell r="S29">
            <v>50000</v>
          </cell>
          <cell r="T29" t="str">
            <v>PPO, OA, Rx, D</v>
          </cell>
          <cell r="U29" t="str">
            <v>BFF5 CFF5</v>
          </cell>
          <cell r="V29" t="str">
            <v/>
          </cell>
          <cell r="W29" t="str">
            <v/>
          </cell>
          <cell r="X29">
            <v>1</v>
          </cell>
        </row>
        <row r="30">
          <cell r="A30" t="str">
            <v>1813</v>
          </cell>
          <cell r="B30" t="str">
            <v>Allied Capital Corporation</v>
          </cell>
          <cell r="C30" t="str">
            <v/>
          </cell>
          <cell r="D30" t="str">
            <v>McCourt</v>
          </cell>
          <cell r="E30" t="str">
            <v>Quade</v>
          </cell>
          <cell r="F30" t="str">
            <v>01</v>
          </cell>
          <cell r="G30" t="str">
            <v>N</v>
          </cell>
          <cell r="H30" t="str">
            <v>N</v>
          </cell>
          <cell r="I30" t="str">
            <v>N</v>
          </cell>
          <cell r="J30" t="str">
            <v>Rates</v>
          </cell>
          <cell r="K30" t="str">
            <v/>
          </cell>
          <cell r="L30" t="str">
            <v>Fully</v>
          </cell>
          <cell r="M30" t="str">
            <v>Swears</v>
          </cell>
          <cell r="N30" t="str">
            <v>0</v>
          </cell>
          <cell r="O30" t="str">
            <v>08</v>
          </cell>
          <cell r="P30" t="str">
            <v>Addy</v>
          </cell>
          <cell r="Q30" t="str">
            <v/>
          </cell>
          <cell r="R30" t="str">
            <v>DC</v>
          </cell>
          <cell r="S30">
            <v>50000</v>
          </cell>
          <cell r="T30" t="str">
            <v>PPO POS HMO Rx</v>
          </cell>
          <cell r="U30" t="str">
            <v>BFF6/CFF6</v>
          </cell>
          <cell r="V30" t="str">
            <v/>
          </cell>
          <cell r="W30" t="str">
            <v/>
          </cell>
          <cell r="X30">
            <v>1</v>
          </cell>
        </row>
        <row r="31">
          <cell r="A31" t="str">
            <v>6V21</v>
          </cell>
          <cell r="B31" t="str">
            <v xml:space="preserve">Allied Trailers Sales &amp; Rentals                   </v>
          </cell>
          <cell r="C31" t="str">
            <v/>
          </cell>
          <cell r="D31" t="str">
            <v>McCourt</v>
          </cell>
          <cell r="E31" t="str">
            <v>Rutkowski</v>
          </cell>
          <cell r="F31" t="str">
            <v>06</v>
          </cell>
          <cell r="G31" t="str">
            <v>N</v>
          </cell>
          <cell r="H31" t="str">
            <v/>
          </cell>
          <cell r="I31" t="str">
            <v>N</v>
          </cell>
          <cell r="J31" t="str">
            <v>Rates</v>
          </cell>
          <cell r="K31" t="str">
            <v/>
          </cell>
          <cell r="L31" t="str">
            <v>Fully</v>
          </cell>
          <cell r="M31" t="str">
            <v>Swears</v>
          </cell>
          <cell r="N31" t="str">
            <v/>
          </cell>
          <cell r="O31" t="str">
            <v>02</v>
          </cell>
          <cell r="P31" t="str">
            <v>Rutkowski</v>
          </cell>
          <cell r="Q31" t="str">
            <v/>
          </cell>
          <cell r="R31" t="str">
            <v>MD</v>
          </cell>
          <cell r="S31">
            <v>50000</v>
          </cell>
          <cell r="T31" t="str">
            <v>PPO/HMO/POS</v>
          </cell>
          <cell r="U31" t="str">
            <v>BFF5/CFF5</v>
          </cell>
          <cell r="V31" t="str">
            <v>Y</v>
          </cell>
          <cell r="W31" t="str">
            <v>6/1/2002</v>
          </cell>
          <cell r="X31">
            <v>1</v>
          </cell>
        </row>
        <row r="32">
          <cell r="A32" t="str">
            <v>XF32</v>
          </cell>
          <cell r="B32" t="str">
            <v>Alphatech Corporation</v>
          </cell>
          <cell r="C32" t="str">
            <v/>
          </cell>
          <cell r="D32" t="str">
            <v>Keefer</v>
          </cell>
          <cell r="E32" t="str">
            <v>Johnson</v>
          </cell>
          <cell r="F32" t="str">
            <v>04</v>
          </cell>
          <cell r="G32" t="str">
            <v>N</v>
          </cell>
          <cell r="H32" t="str">
            <v>N</v>
          </cell>
          <cell r="I32" t="str">
            <v>N</v>
          </cell>
          <cell r="J32" t="str">
            <v>Rates</v>
          </cell>
          <cell r="K32" t="str">
            <v/>
          </cell>
          <cell r="L32" t="str">
            <v>Fully</v>
          </cell>
          <cell r="M32" t="str">
            <v>Guessford-Kline</v>
          </cell>
          <cell r="N32" t="str">
            <v>0</v>
          </cell>
          <cell r="O32" t="str">
            <v>12</v>
          </cell>
          <cell r="P32" t="str">
            <v/>
          </cell>
          <cell r="Q32" t="str">
            <v/>
          </cell>
          <cell r="R32" t="str">
            <v>VA</v>
          </cell>
          <cell r="S32">
            <v>50000</v>
          </cell>
          <cell r="T32" t="str">
            <v>PPO/POS</v>
          </cell>
          <cell r="U32" t="str">
            <v>BFF7/CFF7</v>
          </cell>
          <cell r="V32" t="str">
            <v/>
          </cell>
          <cell r="W32" t="str">
            <v/>
          </cell>
          <cell r="X32">
            <v>1</v>
          </cell>
        </row>
        <row r="33">
          <cell r="A33" t="str">
            <v>4S71</v>
          </cell>
          <cell r="B33" t="str">
            <v>American Academy of Physician</v>
          </cell>
          <cell r="C33" t="str">
            <v/>
          </cell>
          <cell r="D33" t="str">
            <v>McCourt</v>
          </cell>
          <cell r="E33" t="str">
            <v>Slack</v>
          </cell>
          <cell r="F33" t="str">
            <v>09</v>
          </cell>
          <cell r="G33" t="str">
            <v>N</v>
          </cell>
          <cell r="H33" t="str">
            <v/>
          </cell>
          <cell r="I33" t="str">
            <v>N</v>
          </cell>
          <cell r="J33" t="str">
            <v>Rates</v>
          </cell>
          <cell r="K33" t="str">
            <v/>
          </cell>
          <cell r="L33" t="str">
            <v>Fully</v>
          </cell>
          <cell r="M33" t="str">
            <v>Guessford-Kline</v>
          </cell>
          <cell r="N33" t="str">
            <v>0</v>
          </cell>
          <cell r="O33" t="str">
            <v>05</v>
          </cell>
          <cell r="P33" t="str">
            <v>Slack</v>
          </cell>
          <cell r="Q33" t="str">
            <v/>
          </cell>
          <cell r="R33" t="str">
            <v>MD</v>
          </cell>
          <cell r="S33">
            <v>50000</v>
          </cell>
          <cell r="T33" t="str">
            <v>PPO</v>
          </cell>
          <cell r="U33" t="str">
            <v>BFF5</v>
          </cell>
          <cell r="V33" t="str">
            <v/>
          </cell>
          <cell r="W33" t="str">
            <v/>
          </cell>
          <cell r="X33">
            <v>1</v>
          </cell>
        </row>
        <row r="34">
          <cell r="A34" t="str">
            <v>WE50</v>
          </cell>
          <cell r="B34" t="str">
            <v>American Association Blood Banks</v>
          </cell>
          <cell r="C34" t="str">
            <v/>
          </cell>
          <cell r="D34" t="str">
            <v>Keefer</v>
          </cell>
          <cell r="E34" t="str">
            <v>Anderson</v>
          </cell>
          <cell r="F34" t="str">
            <v>01</v>
          </cell>
          <cell r="G34" t="str">
            <v>N</v>
          </cell>
          <cell r="H34" t="str">
            <v/>
          </cell>
          <cell r="I34" t="str">
            <v>N</v>
          </cell>
          <cell r="J34" t="str">
            <v>Rates</v>
          </cell>
          <cell r="K34" t="str">
            <v/>
          </cell>
          <cell r="L34" t="str">
            <v>Fully</v>
          </cell>
          <cell r="M34" t="str">
            <v>Henton-Davis</v>
          </cell>
          <cell r="N34" t="str">
            <v>0</v>
          </cell>
          <cell r="O34" t="str">
            <v>09</v>
          </cell>
          <cell r="P34" t="str">
            <v>Ryan</v>
          </cell>
          <cell r="Q34" t="str">
            <v/>
          </cell>
          <cell r="R34" t="str">
            <v>MD</v>
          </cell>
          <cell r="S34">
            <v>50000</v>
          </cell>
          <cell r="T34" t="str">
            <v>PPO POS HMO</v>
          </cell>
          <cell r="U34" t="str">
            <v>BFF5/CFF5</v>
          </cell>
          <cell r="V34" t="str">
            <v/>
          </cell>
          <cell r="W34" t="str">
            <v/>
          </cell>
          <cell r="X34">
            <v>1</v>
          </cell>
        </row>
        <row r="35">
          <cell r="A35" t="str">
            <v>TR76</v>
          </cell>
          <cell r="B35" t="str">
            <v>American Association Motor Vehicles</v>
          </cell>
          <cell r="C35" t="str">
            <v/>
          </cell>
          <cell r="D35" t="str">
            <v>Keefer</v>
          </cell>
          <cell r="E35" t="str">
            <v>Johnson</v>
          </cell>
          <cell r="F35" t="str">
            <v>04</v>
          </cell>
          <cell r="G35" t="str">
            <v>N</v>
          </cell>
          <cell r="H35" t="str">
            <v>N</v>
          </cell>
          <cell r="I35" t="str">
            <v>N</v>
          </cell>
          <cell r="J35" t="str">
            <v>Rates</v>
          </cell>
          <cell r="K35" t="str">
            <v/>
          </cell>
          <cell r="L35" t="str">
            <v>Fully</v>
          </cell>
          <cell r="M35" t="str">
            <v>Savoca</v>
          </cell>
          <cell r="N35" t="str">
            <v>0</v>
          </cell>
          <cell r="O35" t="str">
            <v>12</v>
          </cell>
          <cell r="P35" t="str">
            <v>LaMorte</v>
          </cell>
          <cell r="Q35" t="str">
            <v/>
          </cell>
          <cell r="R35" t="str">
            <v>VA</v>
          </cell>
          <cell r="S35">
            <v>50000</v>
          </cell>
          <cell r="T35" t="str">
            <v>HMO/POS/PPO</v>
          </cell>
          <cell r="U35" t="str">
            <v>BFF5/CFF5</v>
          </cell>
          <cell r="V35" t="str">
            <v/>
          </cell>
          <cell r="W35" t="str">
            <v/>
          </cell>
          <cell r="X35">
            <v>1</v>
          </cell>
        </row>
        <row r="36">
          <cell r="A36" t="str">
            <v>MN96</v>
          </cell>
          <cell r="B36" t="str">
            <v>American Association of Health Plans</v>
          </cell>
          <cell r="C36" t="str">
            <v/>
          </cell>
          <cell r="D36" t="str">
            <v>McCourt</v>
          </cell>
          <cell r="E36" t="str">
            <v>Mugo</v>
          </cell>
          <cell r="F36" t="str">
            <v>10</v>
          </cell>
          <cell r="G36" t="str">
            <v>N</v>
          </cell>
          <cell r="H36" t="str">
            <v/>
          </cell>
          <cell r="I36" t="str">
            <v>N</v>
          </cell>
          <cell r="J36" t="str">
            <v>Rates</v>
          </cell>
          <cell r="K36" t="str">
            <v/>
          </cell>
          <cell r="L36" t="str">
            <v>Fully</v>
          </cell>
          <cell r="M36" t="str">
            <v>Savoca</v>
          </cell>
          <cell r="N36" t="str">
            <v>0</v>
          </cell>
          <cell r="O36" t="str">
            <v>06</v>
          </cell>
          <cell r="P36" t="str">
            <v>King, K.</v>
          </cell>
          <cell r="Q36" t="str">
            <v/>
          </cell>
          <cell r="R36" t="str">
            <v>DC</v>
          </cell>
          <cell r="S36">
            <v>50000</v>
          </cell>
          <cell r="T36" t="str">
            <v>HMO/ADV</v>
          </cell>
          <cell r="U36" t="str">
            <v>BFF5/CFF5</v>
          </cell>
          <cell r="V36" t="str">
            <v/>
          </cell>
          <cell r="W36" t="str">
            <v/>
          </cell>
          <cell r="X36">
            <v>1</v>
          </cell>
        </row>
        <row r="37">
          <cell r="A37" t="str">
            <v>7L88</v>
          </cell>
          <cell r="B37" t="str">
            <v xml:space="preserve">American Association of Museums                   </v>
          </cell>
          <cell r="C37" t="str">
            <v/>
          </cell>
          <cell r="D37" t="str">
            <v>Keefer</v>
          </cell>
          <cell r="E37" t="str">
            <v>Anderson</v>
          </cell>
          <cell r="F37" t="str">
            <v>05</v>
          </cell>
          <cell r="G37" t="str">
            <v/>
          </cell>
          <cell r="H37" t="str">
            <v/>
          </cell>
          <cell r="I37" t="str">
            <v/>
          </cell>
          <cell r="J37" t="str">
            <v>Rates</v>
          </cell>
          <cell r="K37" t="str">
            <v/>
          </cell>
          <cell r="L37" t="str">
            <v>FULLY</v>
          </cell>
          <cell r="M37" t="str">
            <v>Warren</v>
          </cell>
          <cell r="N37" t="str">
            <v/>
          </cell>
          <cell r="O37" t="str">
            <v>02</v>
          </cell>
          <cell r="P37" t="str">
            <v/>
          </cell>
          <cell r="Q37" t="str">
            <v/>
          </cell>
          <cell r="R37" t="str">
            <v>DC</v>
          </cell>
          <cell r="S37">
            <v>0</v>
          </cell>
          <cell r="T37" t="str">
            <v>PPO Rx</v>
          </cell>
          <cell r="U37" t="str">
            <v>BFF5</v>
          </cell>
          <cell r="V37" t="str">
            <v>Y</v>
          </cell>
          <cell r="W37" t="str">
            <v>5/1/2005</v>
          </cell>
          <cell r="X37">
            <v>1</v>
          </cell>
        </row>
        <row r="38">
          <cell r="A38" t="str">
            <v>3C51</v>
          </cell>
          <cell r="B38" t="str">
            <v xml:space="preserve">American Automatic SprinklerCompany, Inc.         </v>
          </cell>
          <cell r="C38" t="str">
            <v/>
          </cell>
          <cell r="D38" t="str">
            <v>Keefer</v>
          </cell>
          <cell r="E38" t="str">
            <v>LaTouche</v>
          </cell>
          <cell r="F38" t="str">
            <v>11</v>
          </cell>
          <cell r="G38" t="str">
            <v>N</v>
          </cell>
          <cell r="H38" t="str">
            <v/>
          </cell>
          <cell r="I38" t="str">
            <v>N</v>
          </cell>
          <cell r="J38" t="str">
            <v>Rates</v>
          </cell>
          <cell r="K38" t="str">
            <v/>
          </cell>
          <cell r="L38" t="str">
            <v>Fully</v>
          </cell>
          <cell r="M38" t="str">
            <v>Savoca</v>
          </cell>
          <cell r="N38" t="str">
            <v/>
          </cell>
          <cell r="O38" t="str">
            <v>07</v>
          </cell>
          <cell r="P38" t="str">
            <v>LaTouche</v>
          </cell>
          <cell r="Q38" t="str">
            <v/>
          </cell>
          <cell r="R38" t="str">
            <v>VA</v>
          </cell>
          <cell r="S38">
            <v>50000</v>
          </cell>
          <cell r="T38" t="str">
            <v>PPO/HMO</v>
          </cell>
          <cell r="U38" t="str">
            <v>BFF5/CFF5</v>
          </cell>
          <cell r="V38" t="str">
            <v/>
          </cell>
          <cell r="W38" t="str">
            <v/>
          </cell>
          <cell r="X38">
            <v>1</v>
          </cell>
        </row>
        <row r="39">
          <cell r="A39" t="str">
            <v>MX49</v>
          </cell>
          <cell r="B39" t="str">
            <v>American Capital Strategies</v>
          </cell>
          <cell r="C39" t="str">
            <v/>
          </cell>
          <cell r="D39" t="str">
            <v>Keefer</v>
          </cell>
          <cell r="E39" t="str">
            <v>Newman</v>
          </cell>
          <cell r="F39" t="str">
            <v>09</v>
          </cell>
          <cell r="G39" t="str">
            <v>N</v>
          </cell>
          <cell r="H39" t="str">
            <v/>
          </cell>
          <cell r="I39" t="str">
            <v>N</v>
          </cell>
          <cell r="J39" t="str">
            <v>Rates</v>
          </cell>
          <cell r="K39" t="str">
            <v/>
          </cell>
          <cell r="L39" t="str">
            <v>Fully</v>
          </cell>
          <cell r="M39" t="str">
            <v>Dodds</v>
          </cell>
          <cell r="N39" t="str">
            <v>0</v>
          </cell>
          <cell r="O39" t="str">
            <v>05</v>
          </cell>
          <cell r="P39" t="str">
            <v>Mugo</v>
          </cell>
          <cell r="Q39" t="str">
            <v/>
          </cell>
          <cell r="R39" t="str">
            <v>MD</v>
          </cell>
          <cell r="S39">
            <v>50000</v>
          </cell>
          <cell r="T39" t="str">
            <v>PPO</v>
          </cell>
          <cell r="U39" t="str">
            <v>BFF5</v>
          </cell>
          <cell r="V39" t="str">
            <v/>
          </cell>
          <cell r="W39" t="str">
            <v/>
          </cell>
          <cell r="X39">
            <v>1</v>
          </cell>
        </row>
        <row r="40">
          <cell r="A40" t="str">
            <v>UX63</v>
          </cell>
          <cell r="B40" t="str">
            <v>American College of OBGYN</v>
          </cell>
          <cell r="C40" t="str">
            <v/>
          </cell>
          <cell r="D40" t="str">
            <v>Keefer</v>
          </cell>
          <cell r="E40" t="str">
            <v>Taylor</v>
          </cell>
          <cell r="F40" t="str">
            <v>01</v>
          </cell>
          <cell r="G40" t="str">
            <v>N</v>
          </cell>
          <cell r="H40" t="str">
            <v>N</v>
          </cell>
          <cell r="I40" t="str">
            <v>N</v>
          </cell>
          <cell r="J40" t="str">
            <v>Rates</v>
          </cell>
          <cell r="K40" t="str">
            <v/>
          </cell>
          <cell r="L40" t="str">
            <v>Fully</v>
          </cell>
          <cell r="M40" t="str">
            <v>Henton-Davis</v>
          </cell>
          <cell r="N40" t="str">
            <v>0</v>
          </cell>
          <cell r="O40" t="str">
            <v>09</v>
          </cell>
          <cell r="P40" t="str">
            <v/>
          </cell>
          <cell r="Q40" t="str">
            <v/>
          </cell>
          <cell r="R40" t="str">
            <v>DC</v>
          </cell>
          <cell r="S40">
            <v>50000</v>
          </cell>
          <cell r="T40" t="str">
            <v>HMO/PPO</v>
          </cell>
          <cell r="U40" t="str">
            <v>BFF6/CFF6</v>
          </cell>
          <cell r="V40" t="str">
            <v/>
          </cell>
          <cell r="W40" t="str">
            <v/>
          </cell>
          <cell r="X40">
            <v>1</v>
          </cell>
        </row>
        <row r="41">
          <cell r="A41" t="str">
            <v>QJ53</v>
          </cell>
          <cell r="B41" t="str">
            <v>American Correctional Association</v>
          </cell>
          <cell r="C41" t="str">
            <v/>
          </cell>
          <cell r="D41" t="str">
            <v>Keefer</v>
          </cell>
          <cell r="E41" t="str">
            <v>Burba</v>
          </cell>
          <cell r="F41" t="str">
            <v>01</v>
          </cell>
          <cell r="G41" t="str">
            <v>N</v>
          </cell>
          <cell r="H41" t="str">
            <v>N</v>
          </cell>
          <cell r="I41" t="str">
            <v>N</v>
          </cell>
          <cell r="J41" t="str">
            <v>Rates</v>
          </cell>
          <cell r="K41" t="str">
            <v/>
          </cell>
          <cell r="L41" t="str">
            <v>Fully</v>
          </cell>
          <cell r="M41" t="str">
            <v>Guessford-Kline</v>
          </cell>
          <cell r="N41" t="str">
            <v/>
          </cell>
          <cell r="O41" t="str">
            <v>09</v>
          </cell>
          <cell r="P41" t="str">
            <v/>
          </cell>
          <cell r="Q41" t="str">
            <v/>
          </cell>
          <cell r="R41" t="str">
            <v>MD</v>
          </cell>
          <cell r="S41">
            <v>50000</v>
          </cell>
          <cell r="T41" t="str">
            <v>HMO/POS/PPO</v>
          </cell>
          <cell r="U41" t="str">
            <v>BFF5/CFF5</v>
          </cell>
          <cell r="V41" t="str">
            <v>Y</v>
          </cell>
          <cell r="W41" t="str">
            <v>1/1/2003</v>
          </cell>
          <cell r="X41">
            <v>1</v>
          </cell>
        </row>
        <row r="42">
          <cell r="A42" t="str">
            <v>CJ31</v>
          </cell>
          <cell r="B42" t="str">
            <v>American Council for International Education</v>
          </cell>
          <cell r="C42" t="str">
            <v/>
          </cell>
          <cell r="D42" t="str">
            <v>Keefer</v>
          </cell>
          <cell r="E42" t="str">
            <v>Anderson</v>
          </cell>
          <cell r="F42" t="str">
            <v>07</v>
          </cell>
          <cell r="G42" t="str">
            <v>N</v>
          </cell>
          <cell r="H42" t="str">
            <v/>
          </cell>
          <cell r="I42" t="str">
            <v>N</v>
          </cell>
          <cell r="J42" t="str">
            <v>Rates</v>
          </cell>
          <cell r="K42" t="str">
            <v/>
          </cell>
          <cell r="L42" t="str">
            <v>Fully</v>
          </cell>
          <cell r="M42" t="str">
            <v>Dodds</v>
          </cell>
          <cell r="N42" t="str">
            <v>0</v>
          </cell>
          <cell r="O42" t="str">
            <v>03</v>
          </cell>
          <cell r="P42" t="str">
            <v>King, K.</v>
          </cell>
          <cell r="Q42" t="str">
            <v/>
          </cell>
          <cell r="R42" t="str">
            <v>DC</v>
          </cell>
          <cell r="S42">
            <v>50000</v>
          </cell>
          <cell r="T42" t="str">
            <v>HMO POS PPO Rx</v>
          </cell>
          <cell r="U42" t="str">
            <v>BFF6/CFF6</v>
          </cell>
          <cell r="V42" t="str">
            <v/>
          </cell>
          <cell r="W42" t="str">
            <v/>
          </cell>
          <cell r="X42">
            <v>1</v>
          </cell>
        </row>
        <row r="43">
          <cell r="A43" t="str">
            <v>SG18</v>
          </cell>
          <cell r="B43" t="str">
            <v>American Farmland Trust</v>
          </cell>
          <cell r="C43" t="str">
            <v/>
          </cell>
          <cell r="D43" t="str">
            <v>McCourt</v>
          </cell>
          <cell r="E43" t="str">
            <v>Slack</v>
          </cell>
          <cell r="F43" t="str">
            <v>01</v>
          </cell>
          <cell r="G43" t="str">
            <v>N</v>
          </cell>
          <cell r="H43" t="str">
            <v/>
          </cell>
          <cell r="I43" t="str">
            <v>N</v>
          </cell>
          <cell r="J43" t="str">
            <v>Rates</v>
          </cell>
          <cell r="K43" t="str">
            <v/>
          </cell>
          <cell r="L43" t="str">
            <v>Fully</v>
          </cell>
          <cell r="M43" t="str">
            <v>Dodds</v>
          </cell>
          <cell r="N43" t="str">
            <v>0</v>
          </cell>
          <cell r="O43" t="str">
            <v>09</v>
          </cell>
          <cell r="P43" t="str">
            <v>Slack</v>
          </cell>
          <cell r="Q43" t="str">
            <v/>
          </cell>
          <cell r="R43" t="str">
            <v>DC</v>
          </cell>
          <cell r="S43">
            <v>50000</v>
          </cell>
          <cell r="T43" t="str">
            <v>PPO</v>
          </cell>
          <cell r="U43" t="str">
            <v>BFF5</v>
          </cell>
          <cell r="V43" t="str">
            <v/>
          </cell>
          <cell r="W43" t="str">
            <v/>
          </cell>
          <cell r="X43">
            <v>1</v>
          </cell>
        </row>
        <row r="44">
          <cell r="A44" t="str">
            <v>3499</v>
          </cell>
          <cell r="B44" t="str">
            <v>American Federation of Teachers</v>
          </cell>
          <cell r="C44" t="str">
            <v/>
          </cell>
          <cell r="D44" t="str">
            <v>McCourt</v>
          </cell>
          <cell r="E44" t="str">
            <v>Quade</v>
          </cell>
          <cell r="F44" t="str">
            <v>10</v>
          </cell>
          <cell r="G44" t="str">
            <v>N</v>
          </cell>
          <cell r="H44" t="str">
            <v>N</v>
          </cell>
          <cell r="I44" t="str">
            <v>N</v>
          </cell>
          <cell r="J44" t="str">
            <v>CPC Mo</v>
          </cell>
          <cell r="K44" t="str">
            <v>SW</v>
          </cell>
          <cell r="L44" t="str">
            <v>ASO</v>
          </cell>
          <cell r="M44" t="str">
            <v>Thompson, Alex</v>
          </cell>
          <cell r="N44" t="str">
            <v>1</v>
          </cell>
          <cell r="O44" t="str">
            <v>06</v>
          </cell>
          <cell r="P44" t="str">
            <v>King, R.</v>
          </cell>
          <cell r="Q44" t="str">
            <v>Smith</v>
          </cell>
          <cell r="R44" t="str">
            <v>DC</v>
          </cell>
          <cell r="S44">
            <v>125000</v>
          </cell>
          <cell r="T44" t="str">
            <v>Indem</v>
          </cell>
          <cell r="U44" t="str">
            <v>BAS7</v>
          </cell>
          <cell r="V44" t="str">
            <v/>
          </cell>
          <cell r="W44" t="str">
            <v/>
          </cell>
          <cell r="X44">
            <v>1</v>
          </cell>
        </row>
        <row r="45">
          <cell r="A45" t="str">
            <v>T484</v>
          </cell>
          <cell r="B45" t="str">
            <v>American Geophysical Union</v>
          </cell>
          <cell r="C45" t="str">
            <v/>
          </cell>
          <cell r="D45" t="str">
            <v>McCourt</v>
          </cell>
          <cell r="E45" t="str">
            <v>Mugo</v>
          </cell>
          <cell r="F45" t="str">
            <v>01</v>
          </cell>
          <cell r="G45" t="str">
            <v>N</v>
          </cell>
          <cell r="H45" t="str">
            <v>N</v>
          </cell>
          <cell r="I45" t="str">
            <v>N</v>
          </cell>
          <cell r="J45" t="str">
            <v>Rates</v>
          </cell>
          <cell r="K45" t="str">
            <v/>
          </cell>
          <cell r="L45" t="str">
            <v>Fully</v>
          </cell>
          <cell r="M45" t="str">
            <v>Dodds</v>
          </cell>
          <cell r="N45" t="str">
            <v>0</v>
          </cell>
          <cell r="O45" t="str">
            <v>09</v>
          </cell>
          <cell r="P45" t="str">
            <v>Batist</v>
          </cell>
          <cell r="Q45" t="str">
            <v/>
          </cell>
          <cell r="R45" t="str">
            <v>DC</v>
          </cell>
          <cell r="S45">
            <v>50000</v>
          </cell>
          <cell r="T45" t="str">
            <v>HMO/POS/PPS</v>
          </cell>
          <cell r="U45" t="str">
            <v>BFF6</v>
          </cell>
          <cell r="V45" t="str">
            <v/>
          </cell>
          <cell r="W45" t="str">
            <v/>
          </cell>
          <cell r="X45">
            <v>1</v>
          </cell>
        </row>
        <row r="46">
          <cell r="A46" t="str">
            <v>CG19</v>
          </cell>
          <cell r="B46" t="str">
            <v xml:space="preserve">American Health Care Association                  </v>
          </cell>
          <cell r="C46" t="str">
            <v/>
          </cell>
          <cell r="D46" t="str">
            <v>Keefer</v>
          </cell>
          <cell r="E46" t="str">
            <v>Burba</v>
          </cell>
          <cell r="F46" t="str">
            <v>01</v>
          </cell>
          <cell r="G46" t="str">
            <v>N</v>
          </cell>
          <cell r="H46" t="str">
            <v/>
          </cell>
          <cell r="I46" t="str">
            <v>N</v>
          </cell>
          <cell r="J46" t="str">
            <v>Rates</v>
          </cell>
          <cell r="K46" t="str">
            <v/>
          </cell>
          <cell r="L46" t="str">
            <v>Fully</v>
          </cell>
          <cell r="M46" t="str">
            <v>Savoca</v>
          </cell>
          <cell r="N46" t="str">
            <v/>
          </cell>
          <cell r="O46" t="str">
            <v>09</v>
          </cell>
          <cell r="P46" t="str">
            <v/>
          </cell>
          <cell r="Q46" t="str">
            <v/>
          </cell>
          <cell r="R46" t="str">
            <v>DC</v>
          </cell>
          <cell r="S46">
            <v>50000</v>
          </cell>
          <cell r="T46" t="str">
            <v>PPO/POS/HMO</v>
          </cell>
          <cell r="U46" t="str">
            <v>BFF5/CFF5</v>
          </cell>
          <cell r="V46" t="str">
            <v/>
          </cell>
          <cell r="W46" t="str">
            <v/>
          </cell>
          <cell r="X46">
            <v>1</v>
          </cell>
        </row>
        <row r="47">
          <cell r="A47" t="str">
            <v>TC62</v>
          </cell>
          <cell r="B47" t="str">
            <v xml:space="preserve">American Immigration Lawyers Assoc                </v>
          </cell>
          <cell r="C47" t="str">
            <v/>
          </cell>
          <cell r="D47" t="str">
            <v>Keefer</v>
          </cell>
          <cell r="E47" t="str">
            <v>Johnson</v>
          </cell>
          <cell r="F47" t="str">
            <v>06</v>
          </cell>
          <cell r="G47" t="str">
            <v>N</v>
          </cell>
          <cell r="H47" t="str">
            <v/>
          </cell>
          <cell r="I47" t="str">
            <v>N</v>
          </cell>
          <cell r="J47" t="str">
            <v>Rates</v>
          </cell>
          <cell r="K47" t="str">
            <v/>
          </cell>
          <cell r="L47" t="str">
            <v>Fully</v>
          </cell>
          <cell r="M47" t="str">
            <v>Swears</v>
          </cell>
          <cell r="N47" t="str">
            <v/>
          </cell>
          <cell r="O47" t="str">
            <v>02</v>
          </cell>
          <cell r="P47" t="str">
            <v/>
          </cell>
          <cell r="Q47" t="str">
            <v/>
          </cell>
          <cell r="R47" t="str">
            <v>DC</v>
          </cell>
          <cell r="S47">
            <v>50000</v>
          </cell>
          <cell r="T47" t="str">
            <v>POS/PPO/HMO</v>
          </cell>
          <cell r="U47" t="str">
            <v>BFF5/CFF5</v>
          </cell>
          <cell r="V47" t="str">
            <v/>
          </cell>
          <cell r="W47" t="str">
            <v/>
          </cell>
          <cell r="X47">
            <v>1</v>
          </cell>
        </row>
        <row r="48">
          <cell r="A48" t="str">
            <v>US23</v>
          </cell>
          <cell r="B48" t="str">
            <v xml:space="preserve">American Legacy Foundation                        </v>
          </cell>
          <cell r="C48" t="str">
            <v/>
          </cell>
          <cell r="D48" t="str">
            <v>Keefer</v>
          </cell>
          <cell r="E48" t="str">
            <v>Newman</v>
          </cell>
          <cell r="F48" t="str">
            <v>09</v>
          </cell>
          <cell r="G48" t="str">
            <v>N</v>
          </cell>
          <cell r="H48" t="str">
            <v/>
          </cell>
          <cell r="I48" t="str">
            <v>N</v>
          </cell>
          <cell r="J48" t="str">
            <v>Rates</v>
          </cell>
          <cell r="K48" t="str">
            <v/>
          </cell>
          <cell r="L48" t="str">
            <v>Fully</v>
          </cell>
          <cell r="M48" t="str">
            <v>Henton-Davis</v>
          </cell>
          <cell r="N48" t="str">
            <v>0</v>
          </cell>
          <cell r="O48" t="str">
            <v>05</v>
          </cell>
          <cell r="P48" t="str">
            <v>LaTouche</v>
          </cell>
          <cell r="Q48" t="str">
            <v/>
          </cell>
          <cell r="R48" t="str">
            <v>DC</v>
          </cell>
          <cell r="S48">
            <v>50000</v>
          </cell>
          <cell r="T48" t="str">
            <v>PPO</v>
          </cell>
          <cell r="U48" t="str">
            <v>BFF5</v>
          </cell>
          <cell r="V48" t="str">
            <v/>
          </cell>
          <cell r="W48" t="str">
            <v/>
          </cell>
          <cell r="X48">
            <v>1</v>
          </cell>
        </row>
        <row r="49">
          <cell r="A49" t="str">
            <v>BAM7</v>
          </cell>
          <cell r="B49" t="str">
            <v xml:space="preserve">American Majority Institute                       </v>
          </cell>
          <cell r="C49" t="str">
            <v/>
          </cell>
          <cell r="D49" t="str">
            <v>Keefer</v>
          </cell>
          <cell r="E49" t="str">
            <v>LaTouche</v>
          </cell>
          <cell r="F49" t="str">
            <v>12</v>
          </cell>
          <cell r="G49" t="str">
            <v>N</v>
          </cell>
          <cell r="H49" t="str">
            <v/>
          </cell>
          <cell r="I49" t="str">
            <v>N</v>
          </cell>
          <cell r="J49" t="str">
            <v>Rates</v>
          </cell>
          <cell r="K49" t="str">
            <v/>
          </cell>
          <cell r="L49" t="str">
            <v>Fully</v>
          </cell>
          <cell r="M49" t="str">
            <v>Savoca</v>
          </cell>
          <cell r="N49" t="str">
            <v/>
          </cell>
          <cell r="O49" t="str">
            <v>08</v>
          </cell>
          <cell r="P49" t="str">
            <v>LaTouche</v>
          </cell>
          <cell r="Q49" t="str">
            <v/>
          </cell>
          <cell r="R49" t="str">
            <v>DC</v>
          </cell>
          <cell r="S49">
            <v>50000</v>
          </cell>
          <cell r="T49" t="str">
            <v>PPO/HMO</v>
          </cell>
          <cell r="U49" t="str">
            <v>BFF5/CFF5</v>
          </cell>
          <cell r="V49" t="str">
            <v/>
          </cell>
          <cell r="W49" t="str">
            <v/>
          </cell>
          <cell r="X49">
            <v>1</v>
          </cell>
        </row>
        <row r="50">
          <cell r="A50" t="str">
            <v>7H53</v>
          </cell>
          <cell r="B50" t="str">
            <v>American Marketing Services, Inc.</v>
          </cell>
          <cell r="C50" t="str">
            <v/>
          </cell>
          <cell r="D50" t="str">
            <v>Keefer</v>
          </cell>
          <cell r="E50" t="str">
            <v>Burba</v>
          </cell>
          <cell r="F50" t="str">
            <v>06</v>
          </cell>
          <cell r="G50" t="str">
            <v>N</v>
          </cell>
          <cell r="H50" t="str">
            <v>N</v>
          </cell>
          <cell r="I50" t="str">
            <v>N</v>
          </cell>
          <cell r="J50" t="str">
            <v>Rates</v>
          </cell>
          <cell r="K50" t="str">
            <v/>
          </cell>
          <cell r="L50" t="str">
            <v>Fully</v>
          </cell>
          <cell r="M50" t="str">
            <v>Swears</v>
          </cell>
          <cell r="N50" t="str">
            <v/>
          </cell>
          <cell r="O50" t="str">
            <v>02</v>
          </cell>
          <cell r="P50" t="str">
            <v>LaTouche</v>
          </cell>
          <cell r="Q50" t="str">
            <v/>
          </cell>
          <cell r="R50" t="str">
            <v>MD</v>
          </cell>
          <cell r="S50">
            <v>50000</v>
          </cell>
          <cell r="T50" t="str">
            <v>HMO/OA</v>
          </cell>
          <cell r="U50" t="str">
            <v>CFF5</v>
          </cell>
          <cell r="V50" t="str">
            <v>Y</v>
          </cell>
          <cell r="W50" t="str">
            <v>6/1/2004</v>
          </cell>
          <cell r="X50">
            <v>1</v>
          </cell>
        </row>
        <row r="51">
          <cell r="A51" t="str">
            <v>0F19</v>
          </cell>
          <cell r="B51" t="str">
            <v>American Nurses Association</v>
          </cell>
          <cell r="C51" t="str">
            <v/>
          </cell>
          <cell r="D51" t="str">
            <v>Keefer</v>
          </cell>
          <cell r="E51" t="str">
            <v>Newman</v>
          </cell>
          <cell r="F51" t="str">
            <v>04</v>
          </cell>
          <cell r="G51" t="str">
            <v>Y</v>
          </cell>
          <cell r="H51" t="str">
            <v>N</v>
          </cell>
          <cell r="I51" t="str">
            <v>N</v>
          </cell>
          <cell r="J51" t="str">
            <v>CPC Mo</v>
          </cell>
          <cell r="K51" t="str">
            <v>184000</v>
          </cell>
          <cell r="L51" t="str">
            <v>125%</v>
          </cell>
          <cell r="M51" t="str">
            <v>Thompson, Alex</v>
          </cell>
          <cell r="N51" t="str">
            <v>3</v>
          </cell>
          <cell r="O51" t="str">
            <v>12</v>
          </cell>
          <cell r="P51" t="str">
            <v>Padrutt</v>
          </cell>
          <cell r="Q51" t="str">
            <v>Briscoe</v>
          </cell>
          <cell r="R51" t="str">
            <v>DC</v>
          </cell>
          <cell r="S51">
            <v>75000</v>
          </cell>
          <cell r="T51" t="str">
            <v>POS PPO</v>
          </cell>
          <cell r="U51" t="str">
            <v>BAB6</v>
          </cell>
          <cell r="V51" t="str">
            <v/>
          </cell>
          <cell r="W51" t="str">
            <v/>
          </cell>
          <cell r="X51">
            <v>1</v>
          </cell>
        </row>
        <row r="52">
          <cell r="A52" t="str">
            <v>WE52</v>
          </cell>
          <cell r="B52" t="str">
            <v>American Physical Therapy Association</v>
          </cell>
          <cell r="C52" t="str">
            <v/>
          </cell>
          <cell r="D52" t="str">
            <v>Keefer</v>
          </cell>
          <cell r="E52" t="str">
            <v>Johnson</v>
          </cell>
          <cell r="F52" t="str">
            <v>01</v>
          </cell>
          <cell r="G52" t="str">
            <v>N</v>
          </cell>
          <cell r="H52" t="str">
            <v>N</v>
          </cell>
          <cell r="I52" t="str">
            <v>N</v>
          </cell>
          <cell r="J52" t="str">
            <v>Rates</v>
          </cell>
          <cell r="K52" t="str">
            <v/>
          </cell>
          <cell r="L52" t="str">
            <v>Fully</v>
          </cell>
          <cell r="M52" t="str">
            <v>Wise</v>
          </cell>
          <cell r="N52" t="str">
            <v>0</v>
          </cell>
          <cell r="O52" t="str">
            <v>09</v>
          </cell>
          <cell r="P52" t="str">
            <v/>
          </cell>
          <cell r="Q52" t="str">
            <v/>
          </cell>
          <cell r="R52" t="str">
            <v>VA</v>
          </cell>
          <cell r="S52">
            <v>50000</v>
          </cell>
          <cell r="T52" t="str">
            <v>HMO/POS/PPO</v>
          </cell>
          <cell r="U52" t="str">
            <v>CFF5</v>
          </cell>
          <cell r="V52" t="str">
            <v/>
          </cell>
          <cell r="W52" t="str">
            <v/>
          </cell>
          <cell r="X52">
            <v>1</v>
          </cell>
        </row>
        <row r="53">
          <cell r="A53" t="str">
            <v>4137</v>
          </cell>
          <cell r="B53" t="str">
            <v>American Public Power Association</v>
          </cell>
          <cell r="C53" t="str">
            <v/>
          </cell>
          <cell r="D53" t="str">
            <v>Keefer</v>
          </cell>
          <cell r="E53" t="str">
            <v>Johnson</v>
          </cell>
          <cell r="F53" t="str">
            <v>01</v>
          </cell>
          <cell r="G53" t="str">
            <v>N</v>
          </cell>
          <cell r="H53" t="str">
            <v/>
          </cell>
          <cell r="I53" t="str">
            <v>N</v>
          </cell>
          <cell r="J53" t="str">
            <v>Rates</v>
          </cell>
          <cell r="K53" t="str">
            <v/>
          </cell>
          <cell r="L53" t="str">
            <v>Fully</v>
          </cell>
          <cell r="M53" t="str">
            <v>Swears</v>
          </cell>
          <cell r="N53" t="str">
            <v>0</v>
          </cell>
          <cell r="O53" t="str">
            <v>09</v>
          </cell>
          <cell r="P53" t="str">
            <v/>
          </cell>
          <cell r="Q53" t="str">
            <v/>
          </cell>
          <cell r="R53" t="str">
            <v>DC</v>
          </cell>
          <cell r="S53">
            <v>50000</v>
          </cell>
          <cell r="T53" t="str">
            <v>PPO/POS/HMO</v>
          </cell>
          <cell r="U53" t="str">
            <v>BFF5</v>
          </cell>
          <cell r="V53" t="str">
            <v/>
          </cell>
          <cell r="W53" t="str">
            <v/>
          </cell>
          <cell r="X53">
            <v>1</v>
          </cell>
        </row>
        <row r="54">
          <cell r="A54" t="str">
            <v>MT76</v>
          </cell>
          <cell r="B54" t="str">
            <v>American Registry of Pathology</v>
          </cell>
          <cell r="C54" t="str">
            <v/>
          </cell>
          <cell r="D54" t="str">
            <v>McCourt</v>
          </cell>
          <cell r="E54" t="str">
            <v>Quade</v>
          </cell>
          <cell r="F54" t="str">
            <v>04</v>
          </cell>
          <cell r="G54" t="str">
            <v>N</v>
          </cell>
          <cell r="H54" t="str">
            <v>N</v>
          </cell>
          <cell r="I54" t="str">
            <v>N</v>
          </cell>
          <cell r="J54" t="str">
            <v>Rates</v>
          </cell>
          <cell r="K54" t="str">
            <v/>
          </cell>
          <cell r="L54" t="str">
            <v>Fully</v>
          </cell>
          <cell r="M54" t="str">
            <v>Jordan</v>
          </cell>
          <cell r="N54" t="str">
            <v>0</v>
          </cell>
          <cell r="O54" t="str">
            <v>12</v>
          </cell>
          <cell r="P54" t="str">
            <v>Addy</v>
          </cell>
          <cell r="Q54" t="str">
            <v/>
          </cell>
          <cell r="R54" t="str">
            <v>DC</v>
          </cell>
          <cell r="S54">
            <v>75000</v>
          </cell>
          <cell r="T54" t="str">
            <v>HMO POS PPO Rx</v>
          </cell>
          <cell r="U54" t="str">
            <v>CFF7/BFF7</v>
          </cell>
          <cell r="V54" t="str">
            <v/>
          </cell>
          <cell r="W54" t="str">
            <v/>
          </cell>
          <cell r="X54">
            <v>1</v>
          </cell>
        </row>
        <row r="55">
          <cell r="A55" t="str">
            <v>XM88</v>
          </cell>
          <cell r="B55" t="str">
            <v>American Society for Training &amp; Development</v>
          </cell>
          <cell r="C55" t="str">
            <v/>
          </cell>
          <cell r="D55" t="str">
            <v>McCourt</v>
          </cell>
          <cell r="E55" t="str">
            <v>Rutkowski</v>
          </cell>
          <cell r="F55" t="str">
            <v>01</v>
          </cell>
          <cell r="G55" t="str">
            <v>N</v>
          </cell>
          <cell r="H55" t="str">
            <v/>
          </cell>
          <cell r="I55" t="str">
            <v>N</v>
          </cell>
          <cell r="J55" t="str">
            <v>Rates</v>
          </cell>
          <cell r="K55" t="str">
            <v/>
          </cell>
          <cell r="L55" t="str">
            <v>Fully</v>
          </cell>
          <cell r="M55" t="str">
            <v>Swears</v>
          </cell>
          <cell r="N55" t="str">
            <v>0</v>
          </cell>
          <cell r="O55" t="str">
            <v>09</v>
          </cell>
          <cell r="P55" t="str">
            <v>Rutkowski</v>
          </cell>
          <cell r="Q55" t="str">
            <v/>
          </cell>
          <cell r="R55" t="str">
            <v>VA</v>
          </cell>
          <cell r="S55">
            <v>50000</v>
          </cell>
          <cell r="T55" t="str">
            <v>HMO/PPO/POS</v>
          </cell>
          <cell r="U55" t="str">
            <v>CFF5</v>
          </cell>
          <cell r="V55" t="str">
            <v/>
          </cell>
          <cell r="W55" t="str">
            <v/>
          </cell>
          <cell r="X55">
            <v>1</v>
          </cell>
        </row>
        <row r="56">
          <cell r="A56" t="str">
            <v>3M38</v>
          </cell>
          <cell r="B56" t="str">
            <v>American Society of Association Executives</v>
          </cell>
          <cell r="C56" t="str">
            <v/>
          </cell>
          <cell r="D56" t="str">
            <v>Keefer</v>
          </cell>
          <cell r="E56" t="str">
            <v>Burba</v>
          </cell>
          <cell r="F56" t="str">
            <v>01</v>
          </cell>
          <cell r="G56" t="str">
            <v>N</v>
          </cell>
          <cell r="H56" t="str">
            <v/>
          </cell>
          <cell r="I56" t="str">
            <v>N</v>
          </cell>
          <cell r="J56" t="str">
            <v>Rates</v>
          </cell>
          <cell r="K56" t="str">
            <v/>
          </cell>
          <cell r="L56" t="str">
            <v>Fully</v>
          </cell>
          <cell r="M56" t="str">
            <v>Dodds</v>
          </cell>
          <cell r="N56" t="str">
            <v>0</v>
          </cell>
          <cell r="O56" t="str">
            <v>09</v>
          </cell>
          <cell r="P56" t="str">
            <v/>
          </cell>
          <cell r="Q56" t="str">
            <v/>
          </cell>
          <cell r="R56" t="str">
            <v>DC</v>
          </cell>
          <cell r="S56">
            <v>50000</v>
          </cell>
          <cell r="T56" t="str">
            <v>PPO/POS/HMO</v>
          </cell>
          <cell r="U56" t="str">
            <v>BFF6/CFF6</v>
          </cell>
          <cell r="V56" t="str">
            <v/>
          </cell>
          <cell r="W56" t="str">
            <v/>
          </cell>
          <cell r="X56">
            <v>1</v>
          </cell>
        </row>
        <row r="57">
          <cell r="A57" t="str">
            <v>1P30</v>
          </cell>
          <cell r="B57" t="str">
            <v>American Society Of Clinical Oncology</v>
          </cell>
          <cell r="C57" t="str">
            <v/>
          </cell>
          <cell r="D57" t="str">
            <v>Keefer</v>
          </cell>
          <cell r="E57" t="str">
            <v>Burba</v>
          </cell>
          <cell r="F57" t="str">
            <v>10</v>
          </cell>
          <cell r="G57" t="str">
            <v>N</v>
          </cell>
          <cell r="H57" t="str">
            <v/>
          </cell>
          <cell r="I57" t="str">
            <v>N</v>
          </cell>
          <cell r="J57" t="str">
            <v>Rates</v>
          </cell>
          <cell r="K57" t="str">
            <v/>
          </cell>
          <cell r="L57" t="str">
            <v>Fully</v>
          </cell>
          <cell r="M57" t="str">
            <v>Henton-Davis</v>
          </cell>
          <cell r="N57" t="str">
            <v/>
          </cell>
          <cell r="O57" t="str">
            <v>06</v>
          </cell>
          <cell r="P57" t="str">
            <v/>
          </cell>
          <cell r="Q57" t="str">
            <v/>
          </cell>
          <cell r="R57" t="str">
            <v>VA</v>
          </cell>
          <cell r="S57">
            <v>50000</v>
          </cell>
          <cell r="T57" t="str">
            <v>PPO</v>
          </cell>
          <cell r="U57" t="str">
            <v>BFF6</v>
          </cell>
          <cell r="V57" t="str">
            <v/>
          </cell>
          <cell r="W57" t="str">
            <v/>
          </cell>
          <cell r="X57">
            <v>1</v>
          </cell>
        </row>
        <row r="58">
          <cell r="A58" t="str">
            <v>6D60</v>
          </cell>
          <cell r="B58" t="str">
            <v>American Society of Health - System Pharmacists</v>
          </cell>
          <cell r="C58" t="str">
            <v/>
          </cell>
          <cell r="D58" t="str">
            <v>Keefer</v>
          </cell>
          <cell r="E58" t="str">
            <v>Anderson</v>
          </cell>
          <cell r="F58" t="str">
            <v>01</v>
          </cell>
          <cell r="G58" t="str">
            <v>N</v>
          </cell>
          <cell r="H58" t="str">
            <v/>
          </cell>
          <cell r="I58" t="str">
            <v/>
          </cell>
          <cell r="J58" t="str">
            <v>Rates</v>
          </cell>
          <cell r="K58" t="str">
            <v/>
          </cell>
          <cell r="L58" t="str">
            <v>Fully</v>
          </cell>
          <cell r="M58" t="str">
            <v>Swears</v>
          </cell>
          <cell r="N58" t="str">
            <v/>
          </cell>
          <cell r="O58" t="str">
            <v>09</v>
          </cell>
          <cell r="P58" t="str">
            <v/>
          </cell>
          <cell r="Q58" t="str">
            <v/>
          </cell>
          <cell r="R58" t="str">
            <v>MD</v>
          </cell>
          <cell r="S58">
            <v>50000</v>
          </cell>
          <cell r="T58" t="str">
            <v>PPO HMO POS Rx D</v>
          </cell>
          <cell r="U58" t="str">
            <v>BFF6/CFF6</v>
          </cell>
          <cell r="V58" t="str">
            <v>Y</v>
          </cell>
          <cell r="W58" t="str">
            <v>1/1/2003</v>
          </cell>
          <cell r="X58">
            <v>1</v>
          </cell>
        </row>
        <row r="59">
          <cell r="A59" t="str">
            <v>0Y10</v>
          </cell>
          <cell r="B59" t="str">
            <v>American University (The)</v>
          </cell>
          <cell r="C59" t="str">
            <v/>
          </cell>
          <cell r="D59" t="str">
            <v>Keefer</v>
          </cell>
          <cell r="E59" t="str">
            <v>Newman</v>
          </cell>
          <cell r="F59" t="str">
            <v>01</v>
          </cell>
          <cell r="G59" t="str">
            <v>Y</v>
          </cell>
          <cell r="H59" t="str">
            <v>N</v>
          </cell>
          <cell r="I59" t="str">
            <v>N</v>
          </cell>
          <cell r="J59" t="str">
            <v>CPC Mo</v>
          </cell>
          <cell r="K59" t="str">
            <v>818000</v>
          </cell>
          <cell r="L59" t="str">
            <v>ASO</v>
          </cell>
          <cell r="M59" t="str">
            <v>Greenwell</v>
          </cell>
          <cell r="N59" t="str">
            <v>3</v>
          </cell>
          <cell r="O59" t="str">
            <v>06</v>
          </cell>
          <cell r="P59" t="str">
            <v>Padrutt</v>
          </cell>
          <cell r="Q59" t="str">
            <v>Smith</v>
          </cell>
          <cell r="R59" t="str">
            <v>DC</v>
          </cell>
          <cell r="S59">
            <v>100000</v>
          </cell>
          <cell r="T59" t="str">
            <v>POS</v>
          </cell>
          <cell r="U59" t="str">
            <v>BAS7</v>
          </cell>
          <cell r="V59" t="str">
            <v/>
          </cell>
          <cell r="W59" t="str">
            <v/>
          </cell>
          <cell r="X59">
            <v>1</v>
          </cell>
        </row>
        <row r="60">
          <cell r="A60" t="str">
            <v>7G99</v>
          </cell>
          <cell r="B60" t="str">
            <v>Amisys Synertech Inc</v>
          </cell>
          <cell r="C60" t="str">
            <v/>
          </cell>
          <cell r="D60" t="str">
            <v>McCourt</v>
          </cell>
          <cell r="E60" t="str">
            <v>Slack</v>
          </cell>
          <cell r="F60" t="str">
            <v>01</v>
          </cell>
          <cell r="G60" t="str">
            <v>N</v>
          </cell>
          <cell r="H60" t="str">
            <v/>
          </cell>
          <cell r="I60" t="str">
            <v>N</v>
          </cell>
          <cell r="J60" t="str">
            <v>Rates</v>
          </cell>
          <cell r="K60" t="str">
            <v/>
          </cell>
          <cell r="L60" t="str">
            <v>Fully</v>
          </cell>
          <cell r="M60" t="str">
            <v>Guessford-Kline</v>
          </cell>
          <cell r="N60" t="str">
            <v/>
          </cell>
          <cell r="O60" t="str">
            <v>09</v>
          </cell>
          <cell r="P60" t="str">
            <v>Slack</v>
          </cell>
          <cell r="Q60" t="str">
            <v/>
          </cell>
          <cell r="R60" t="str">
            <v>MD</v>
          </cell>
          <cell r="S60">
            <v>50000</v>
          </cell>
          <cell r="T60" t="str">
            <v>PPO/POS/HMO</v>
          </cell>
          <cell r="U60" t="str">
            <v>CFF5</v>
          </cell>
          <cell r="V60" t="str">
            <v>Y</v>
          </cell>
          <cell r="W60" t="str">
            <v>7/1/2003</v>
          </cell>
          <cell r="X60">
            <v>1</v>
          </cell>
        </row>
        <row r="61">
          <cell r="A61" t="str">
            <v>UX73</v>
          </cell>
          <cell r="B61" t="str">
            <v>Analytic Services, Inc</v>
          </cell>
          <cell r="C61" t="str">
            <v/>
          </cell>
          <cell r="D61" t="str">
            <v>Keefer</v>
          </cell>
          <cell r="E61" t="str">
            <v>Padrutt</v>
          </cell>
          <cell r="F61" t="str">
            <v>01</v>
          </cell>
          <cell r="G61" t="str">
            <v>N</v>
          </cell>
          <cell r="H61" t="str">
            <v>N</v>
          </cell>
          <cell r="I61" t="str">
            <v>N</v>
          </cell>
          <cell r="J61" t="str">
            <v>Rates</v>
          </cell>
          <cell r="K61" t="str">
            <v/>
          </cell>
          <cell r="L61" t="str">
            <v>Fully</v>
          </cell>
          <cell r="M61" t="str">
            <v>Dunn</v>
          </cell>
          <cell r="N61" t="str">
            <v>0</v>
          </cell>
          <cell r="O61" t="str">
            <v>07</v>
          </cell>
          <cell r="P61" t="str">
            <v>Padrutt</v>
          </cell>
          <cell r="Q61" t="str">
            <v/>
          </cell>
          <cell r="R61" t="str">
            <v>VA</v>
          </cell>
          <cell r="S61">
            <v>50000</v>
          </cell>
          <cell r="T61" t="str">
            <v>HMO/PPO</v>
          </cell>
          <cell r="U61" t="str">
            <v>BFF7/CFF7</v>
          </cell>
          <cell r="V61" t="str">
            <v/>
          </cell>
          <cell r="W61" t="str">
            <v/>
          </cell>
          <cell r="X61">
            <v>1</v>
          </cell>
        </row>
        <row r="62">
          <cell r="A62" t="str">
            <v>BFS5</v>
          </cell>
          <cell r="B62" t="str">
            <v xml:space="preserve">Antex Biologics, Inc                              </v>
          </cell>
          <cell r="C62" t="str">
            <v/>
          </cell>
          <cell r="D62" t="str">
            <v>Keefer</v>
          </cell>
          <cell r="E62" t="str">
            <v>Johnson</v>
          </cell>
          <cell r="F62" t="str">
            <v>07</v>
          </cell>
          <cell r="G62" t="str">
            <v>N</v>
          </cell>
          <cell r="H62" t="str">
            <v/>
          </cell>
          <cell r="I62" t="str">
            <v>N</v>
          </cell>
          <cell r="J62" t="str">
            <v>Rates</v>
          </cell>
          <cell r="K62" t="str">
            <v/>
          </cell>
          <cell r="L62" t="str">
            <v>Fully</v>
          </cell>
          <cell r="M62" t="str">
            <v/>
          </cell>
          <cell r="N62" t="str">
            <v/>
          </cell>
          <cell r="O62" t="str">
            <v>03</v>
          </cell>
          <cell r="P62" t="str">
            <v/>
          </cell>
          <cell r="Q62" t="str">
            <v/>
          </cell>
          <cell r="R62" t="str">
            <v>MD</v>
          </cell>
          <cell r="S62">
            <v>50000</v>
          </cell>
          <cell r="T62" t="str">
            <v>HMO/OA/POS</v>
          </cell>
          <cell r="U62" t="str">
            <v>CFF5</v>
          </cell>
          <cell r="V62" t="str">
            <v/>
          </cell>
          <cell r="W62" t="str">
            <v/>
          </cell>
          <cell r="X62">
            <v>1</v>
          </cell>
        </row>
        <row r="63">
          <cell r="A63" t="str">
            <v>QR12</v>
          </cell>
          <cell r="B63" t="str">
            <v xml:space="preserve">AnviCom, Inc.                                     </v>
          </cell>
          <cell r="C63" t="str">
            <v/>
          </cell>
          <cell r="D63" t="str">
            <v>McCourt</v>
          </cell>
          <cell r="E63" t="str">
            <v>Rutkowski</v>
          </cell>
          <cell r="F63" t="str">
            <v>01</v>
          </cell>
          <cell r="G63" t="str">
            <v>N</v>
          </cell>
          <cell r="H63" t="str">
            <v/>
          </cell>
          <cell r="I63" t="str">
            <v>N</v>
          </cell>
          <cell r="J63" t="str">
            <v>Rates</v>
          </cell>
          <cell r="K63" t="str">
            <v/>
          </cell>
          <cell r="L63" t="str">
            <v>Fully</v>
          </cell>
          <cell r="M63" t="str">
            <v>Wise</v>
          </cell>
          <cell r="N63" t="str">
            <v/>
          </cell>
          <cell r="O63" t="str">
            <v>08</v>
          </cell>
          <cell r="P63" t="str">
            <v>Rutkowski</v>
          </cell>
          <cell r="Q63" t="str">
            <v/>
          </cell>
          <cell r="R63" t="str">
            <v>VA</v>
          </cell>
          <cell r="S63">
            <v>50000</v>
          </cell>
          <cell r="T63" t="str">
            <v>HMO/PPO/OA</v>
          </cell>
          <cell r="U63" t="str">
            <v>BFF6/CFF6</v>
          </cell>
          <cell r="V63" t="str">
            <v>Y</v>
          </cell>
          <cell r="W63" t="str">
            <v>1/1/2004</v>
          </cell>
          <cell r="X63">
            <v>1</v>
          </cell>
        </row>
        <row r="64">
          <cell r="A64" t="str">
            <v>CD13</v>
          </cell>
          <cell r="B64" t="str">
            <v>APCO Associates, Inc.</v>
          </cell>
          <cell r="C64" t="str">
            <v/>
          </cell>
          <cell r="D64" t="str">
            <v>Keefer</v>
          </cell>
          <cell r="E64" t="str">
            <v>Johnson</v>
          </cell>
          <cell r="F64" t="str">
            <v>01</v>
          </cell>
          <cell r="G64" t="str">
            <v>N</v>
          </cell>
          <cell r="H64" t="str">
            <v>N</v>
          </cell>
          <cell r="I64" t="str">
            <v>N</v>
          </cell>
          <cell r="J64" t="str">
            <v>Rates</v>
          </cell>
          <cell r="K64" t="str">
            <v/>
          </cell>
          <cell r="L64" t="str">
            <v>Fully</v>
          </cell>
          <cell r="M64" t="str">
            <v>Guessford-Kline</v>
          </cell>
          <cell r="N64" t="str">
            <v>0</v>
          </cell>
          <cell r="O64" t="str">
            <v>09</v>
          </cell>
          <cell r="P64" t="str">
            <v>Taylor</v>
          </cell>
          <cell r="Q64" t="str">
            <v/>
          </cell>
          <cell r="R64" t="str">
            <v>DC</v>
          </cell>
          <cell r="S64">
            <v>50000</v>
          </cell>
          <cell r="T64" t="str">
            <v>PPO</v>
          </cell>
          <cell r="U64" t="str">
            <v>BFF5</v>
          </cell>
          <cell r="V64" t="str">
            <v/>
          </cell>
          <cell r="W64" t="str">
            <v/>
          </cell>
          <cell r="X64">
            <v>1</v>
          </cell>
        </row>
        <row r="65">
          <cell r="A65" t="str">
            <v>PN05</v>
          </cell>
          <cell r="B65" t="str">
            <v xml:space="preserve">Applied Computing Technologies Inc                </v>
          </cell>
          <cell r="C65" t="str">
            <v/>
          </cell>
          <cell r="D65" t="str">
            <v>McCourt</v>
          </cell>
          <cell r="E65" t="str">
            <v>Mugo</v>
          </cell>
          <cell r="F65" t="str">
            <v>11</v>
          </cell>
          <cell r="G65" t="str">
            <v>N</v>
          </cell>
          <cell r="H65" t="str">
            <v/>
          </cell>
          <cell r="I65" t="str">
            <v>N</v>
          </cell>
          <cell r="J65" t="str">
            <v>Rates</v>
          </cell>
          <cell r="K65" t="str">
            <v/>
          </cell>
          <cell r="L65" t="str">
            <v>Fully</v>
          </cell>
          <cell r="M65" t="str">
            <v>Henton-Davis</v>
          </cell>
          <cell r="N65" t="str">
            <v/>
          </cell>
          <cell r="O65" t="str">
            <v>07</v>
          </cell>
          <cell r="P65" t="str">
            <v/>
          </cell>
          <cell r="Q65" t="str">
            <v/>
          </cell>
          <cell r="R65" t="str">
            <v>VA</v>
          </cell>
          <cell r="S65">
            <v>50000</v>
          </cell>
          <cell r="T65" t="str">
            <v>PPO</v>
          </cell>
          <cell r="U65" t="str">
            <v>BFF5</v>
          </cell>
          <cell r="V65" t="str">
            <v/>
          </cell>
          <cell r="W65" t="str">
            <v/>
          </cell>
          <cell r="X65">
            <v>1</v>
          </cell>
        </row>
        <row r="66">
          <cell r="A66" t="str">
            <v>7G30</v>
          </cell>
          <cell r="B66" t="str">
            <v>Aquilent Inc.</v>
          </cell>
          <cell r="C66" t="str">
            <v/>
          </cell>
          <cell r="D66" t="str">
            <v>Keefer</v>
          </cell>
          <cell r="E66" t="str">
            <v>Burba</v>
          </cell>
          <cell r="F66" t="str">
            <v>01</v>
          </cell>
          <cell r="G66" t="str">
            <v>N</v>
          </cell>
          <cell r="H66" t="str">
            <v/>
          </cell>
          <cell r="I66" t="str">
            <v>N</v>
          </cell>
          <cell r="J66" t="str">
            <v>Rates</v>
          </cell>
          <cell r="K66" t="str">
            <v/>
          </cell>
          <cell r="L66" t="str">
            <v>Fully</v>
          </cell>
          <cell r="M66" t="str">
            <v>Heinze</v>
          </cell>
          <cell r="N66" t="str">
            <v/>
          </cell>
          <cell r="O66" t="str">
            <v>09</v>
          </cell>
          <cell r="P66" t="str">
            <v/>
          </cell>
          <cell r="Q66" t="str">
            <v/>
          </cell>
          <cell r="R66" t="str">
            <v>MD</v>
          </cell>
          <cell r="S66">
            <v>50000</v>
          </cell>
          <cell r="T66" t="str">
            <v>PPO/HMO</v>
          </cell>
          <cell r="U66" t="str">
            <v>BFF6/CFF6</v>
          </cell>
          <cell r="V66" t="str">
            <v/>
          </cell>
          <cell r="W66" t="str">
            <v/>
          </cell>
          <cell r="X66">
            <v>1</v>
          </cell>
        </row>
        <row r="67">
          <cell r="A67" t="str">
            <v>3M23</v>
          </cell>
          <cell r="B67" t="str">
            <v>ARC of Montgomery County (The)</v>
          </cell>
          <cell r="C67" t="str">
            <v/>
          </cell>
          <cell r="D67" t="str">
            <v>McCourt</v>
          </cell>
          <cell r="E67" t="str">
            <v>Quade</v>
          </cell>
          <cell r="F67" t="str">
            <v>07</v>
          </cell>
          <cell r="G67" t="str">
            <v>N</v>
          </cell>
          <cell r="H67" t="str">
            <v/>
          </cell>
          <cell r="I67" t="str">
            <v>N</v>
          </cell>
          <cell r="J67" t="str">
            <v>Rates</v>
          </cell>
          <cell r="K67" t="str">
            <v/>
          </cell>
          <cell r="L67" t="str">
            <v>Fully</v>
          </cell>
          <cell r="M67" t="str">
            <v>Wise</v>
          </cell>
          <cell r="N67" t="str">
            <v>0</v>
          </cell>
          <cell r="O67" t="str">
            <v>03</v>
          </cell>
          <cell r="P67" t="str">
            <v>Addy</v>
          </cell>
          <cell r="Q67" t="str">
            <v/>
          </cell>
          <cell r="R67" t="str">
            <v>MD</v>
          </cell>
          <cell r="S67">
            <v>50000</v>
          </cell>
          <cell r="T67" t="str">
            <v>POS/PPO/HMO</v>
          </cell>
          <cell r="U67" t="str">
            <v>BFF6/CFF6</v>
          </cell>
          <cell r="V67" t="str">
            <v/>
          </cell>
          <cell r="W67" t="str">
            <v/>
          </cell>
          <cell r="X67">
            <v>1</v>
          </cell>
        </row>
        <row r="68">
          <cell r="A68" t="str">
            <v>7G71</v>
          </cell>
          <cell r="B68" t="str">
            <v>Arent Fox PLLC</v>
          </cell>
          <cell r="C68" t="str">
            <v/>
          </cell>
          <cell r="D68" t="str">
            <v>McCourt</v>
          </cell>
          <cell r="E68" t="str">
            <v>Quade</v>
          </cell>
          <cell r="F68" t="str">
            <v>01</v>
          </cell>
          <cell r="G68" t="str">
            <v>N</v>
          </cell>
          <cell r="H68" t="str">
            <v>N</v>
          </cell>
          <cell r="I68" t="str">
            <v>N</v>
          </cell>
          <cell r="J68" t="str">
            <v>Rates</v>
          </cell>
          <cell r="K68" t="str">
            <v/>
          </cell>
          <cell r="L68" t="str">
            <v>Fully</v>
          </cell>
          <cell r="M68" t="str">
            <v>Jordan</v>
          </cell>
          <cell r="N68" t="str">
            <v/>
          </cell>
          <cell r="O68" t="str">
            <v>08</v>
          </cell>
          <cell r="P68" t="str">
            <v/>
          </cell>
          <cell r="Q68" t="str">
            <v/>
          </cell>
          <cell r="R68" t="str">
            <v>DC</v>
          </cell>
          <cell r="S68">
            <v>100000</v>
          </cell>
          <cell r="T68" t="str">
            <v>HMO/PPO</v>
          </cell>
          <cell r="U68" t="str">
            <v>BFF7/CFF7</v>
          </cell>
          <cell r="V68" t="str">
            <v>Y</v>
          </cell>
          <cell r="W68" t="str">
            <v>1/1/2003</v>
          </cell>
          <cell r="X68">
            <v>1</v>
          </cell>
        </row>
        <row r="69">
          <cell r="A69" t="str">
            <v>0F62</v>
          </cell>
          <cell r="B69" t="str">
            <v>Arlington County Government</v>
          </cell>
          <cell r="C69" t="str">
            <v/>
          </cell>
          <cell r="D69" t="str">
            <v>Keefer</v>
          </cell>
          <cell r="E69" t="str">
            <v>Anderson</v>
          </cell>
          <cell r="F69" t="str">
            <v>07</v>
          </cell>
          <cell r="G69" t="str">
            <v>Y</v>
          </cell>
          <cell r="H69" t="str">
            <v>N</v>
          </cell>
          <cell r="I69" t="str">
            <v>N</v>
          </cell>
          <cell r="J69" t="str">
            <v>CPC Mo</v>
          </cell>
          <cell r="K69" t="str">
            <v>WW</v>
          </cell>
          <cell r="L69" t="str">
            <v>ASO</v>
          </cell>
          <cell r="M69" t="str">
            <v>Lewis</v>
          </cell>
          <cell r="N69" t="str">
            <v>9</v>
          </cell>
          <cell r="O69" t="str">
            <v>02</v>
          </cell>
          <cell r="P69" t="str">
            <v>Padrutt</v>
          </cell>
          <cell r="Q69" t="str">
            <v>Smith</v>
          </cell>
          <cell r="R69" t="str">
            <v>VA</v>
          </cell>
          <cell r="S69" t="str">
            <v/>
          </cell>
          <cell r="T69" t="str">
            <v>POS</v>
          </cell>
          <cell r="U69" t="str">
            <v>BAD8</v>
          </cell>
          <cell r="V69" t="str">
            <v/>
          </cell>
          <cell r="W69" t="str">
            <v/>
          </cell>
          <cell r="X69">
            <v>1</v>
          </cell>
        </row>
        <row r="70">
          <cell r="A70" t="str">
            <v>R120</v>
          </cell>
          <cell r="B70" t="str">
            <v>Arlington County Schools</v>
          </cell>
          <cell r="C70" t="str">
            <v/>
          </cell>
          <cell r="D70" t="str">
            <v>Keefer</v>
          </cell>
          <cell r="E70" t="str">
            <v>Anderson</v>
          </cell>
          <cell r="F70" t="str">
            <v>07</v>
          </cell>
          <cell r="G70" t="str">
            <v>Y</v>
          </cell>
          <cell r="H70" t="str">
            <v>N</v>
          </cell>
          <cell r="I70" t="str">
            <v>N</v>
          </cell>
          <cell r="J70" t="str">
            <v>CPC Mo</v>
          </cell>
          <cell r="K70" t="str">
            <v>WW</v>
          </cell>
          <cell r="L70" t="str">
            <v>ASO</v>
          </cell>
          <cell r="M70" t="str">
            <v>Jordan</v>
          </cell>
          <cell r="N70" t="str">
            <v>9</v>
          </cell>
          <cell r="O70" t="str">
            <v>02</v>
          </cell>
          <cell r="P70" t="str">
            <v>Padrutt</v>
          </cell>
          <cell r="Q70" t="str">
            <v>Smith</v>
          </cell>
          <cell r="R70" t="str">
            <v>VA</v>
          </cell>
          <cell r="S70" t="str">
            <v/>
          </cell>
          <cell r="T70" t="str">
            <v>Indem</v>
          </cell>
          <cell r="U70" t="str">
            <v>BAD7</v>
          </cell>
          <cell r="V70" t="str">
            <v/>
          </cell>
          <cell r="W70" t="str">
            <v/>
          </cell>
          <cell r="X70">
            <v>1</v>
          </cell>
        </row>
        <row r="71">
          <cell r="A71" t="str">
            <v>BWY7</v>
          </cell>
          <cell r="B71" t="str">
            <v>Army and Navy Club (The)</v>
          </cell>
          <cell r="C71" t="str">
            <v/>
          </cell>
          <cell r="D71" t="str">
            <v>Keefer</v>
          </cell>
          <cell r="E71" t="str">
            <v>Burba</v>
          </cell>
          <cell r="F71" t="str">
            <v>07</v>
          </cell>
          <cell r="G71" t="str">
            <v>N</v>
          </cell>
          <cell r="H71" t="str">
            <v/>
          </cell>
          <cell r="I71" t="str">
            <v>N</v>
          </cell>
          <cell r="J71" t="str">
            <v>Rates</v>
          </cell>
          <cell r="K71" t="str">
            <v/>
          </cell>
          <cell r="L71" t="str">
            <v>Fully</v>
          </cell>
          <cell r="M71" t="str">
            <v>Cosby</v>
          </cell>
          <cell r="N71" t="str">
            <v/>
          </cell>
          <cell r="O71" t="str">
            <v>03</v>
          </cell>
          <cell r="P71" t="str">
            <v/>
          </cell>
          <cell r="Q71" t="str">
            <v/>
          </cell>
          <cell r="R71" t="str">
            <v>DC</v>
          </cell>
          <cell r="S71">
            <v>50000</v>
          </cell>
          <cell r="T71" t="str">
            <v>HMO/OA</v>
          </cell>
          <cell r="U71" t="str">
            <v>CFF5</v>
          </cell>
          <cell r="V71" t="str">
            <v>Y</v>
          </cell>
          <cell r="W71" t="str">
            <v>7/1/2004</v>
          </cell>
          <cell r="X71">
            <v>1</v>
          </cell>
        </row>
        <row r="72">
          <cell r="A72" t="str">
            <v>6A27</v>
          </cell>
          <cell r="B72" t="str">
            <v xml:space="preserve">Ashoka Innovators for the Public                  </v>
          </cell>
          <cell r="C72" t="str">
            <v/>
          </cell>
          <cell r="D72" t="str">
            <v>Keefer</v>
          </cell>
          <cell r="E72" t="str">
            <v>Anderson</v>
          </cell>
          <cell r="F72" t="str">
            <v>11</v>
          </cell>
          <cell r="G72" t="str">
            <v/>
          </cell>
          <cell r="H72" t="str">
            <v/>
          </cell>
          <cell r="I72" t="str">
            <v/>
          </cell>
          <cell r="J72" t="str">
            <v>Rates</v>
          </cell>
          <cell r="K72" t="str">
            <v/>
          </cell>
          <cell r="L72" t="str">
            <v>Fully</v>
          </cell>
          <cell r="M72" t="str">
            <v>Henton-Davis</v>
          </cell>
          <cell r="N72" t="str">
            <v/>
          </cell>
          <cell r="O72" t="str">
            <v>07</v>
          </cell>
          <cell r="P72" t="str">
            <v/>
          </cell>
          <cell r="Q72" t="str">
            <v/>
          </cell>
          <cell r="R72" t="str">
            <v>VA</v>
          </cell>
          <cell r="S72">
            <v>50000</v>
          </cell>
          <cell r="T72" t="str">
            <v>PPO HMO POS Rx</v>
          </cell>
          <cell r="U72" t="str">
            <v>BFF5 CFF5</v>
          </cell>
          <cell r="V72" t="str">
            <v/>
          </cell>
          <cell r="W72" t="str">
            <v/>
          </cell>
          <cell r="X72">
            <v>1</v>
          </cell>
        </row>
        <row r="73">
          <cell r="A73" t="str">
            <v>CJ03</v>
          </cell>
          <cell r="B73" t="str">
            <v>ASM Research, Inc.</v>
          </cell>
          <cell r="C73" t="str">
            <v/>
          </cell>
          <cell r="D73" t="str">
            <v>McCourt</v>
          </cell>
          <cell r="E73" t="str">
            <v>Slack</v>
          </cell>
          <cell r="F73" t="str">
            <v>02</v>
          </cell>
          <cell r="G73" t="str">
            <v>N</v>
          </cell>
          <cell r="H73" t="str">
            <v/>
          </cell>
          <cell r="I73" t="str">
            <v>N</v>
          </cell>
          <cell r="J73" t="str">
            <v>Rates</v>
          </cell>
          <cell r="K73" t="str">
            <v/>
          </cell>
          <cell r="L73" t="str">
            <v>Fully</v>
          </cell>
          <cell r="M73" t="str">
            <v>Greenwell</v>
          </cell>
          <cell r="N73" t="str">
            <v>0</v>
          </cell>
          <cell r="O73" t="str">
            <v>10</v>
          </cell>
          <cell r="P73" t="str">
            <v>Slack</v>
          </cell>
          <cell r="Q73" t="str">
            <v/>
          </cell>
          <cell r="R73" t="str">
            <v>VA</v>
          </cell>
          <cell r="S73">
            <v>50000</v>
          </cell>
          <cell r="T73" t="str">
            <v>POS</v>
          </cell>
          <cell r="U73" t="str">
            <v>BFF5</v>
          </cell>
          <cell r="V73" t="str">
            <v/>
          </cell>
          <cell r="W73" t="str">
            <v/>
          </cell>
          <cell r="X73">
            <v>1</v>
          </cell>
        </row>
        <row r="74">
          <cell r="A74" t="str">
            <v>7H17</v>
          </cell>
          <cell r="B74" t="str">
            <v>Association Mutual Health Insurance Company</v>
          </cell>
          <cell r="C74" t="str">
            <v/>
          </cell>
          <cell r="D74" t="str">
            <v>Keefer</v>
          </cell>
          <cell r="E74" t="str">
            <v>Anderson</v>
          </cell>
          <cell r="F74" t="str">
            <v>01</v>
          </cell>
          <cell r="G74" t="str">
            <v/>
          </cell>
          <cell r="H74" t="str">
            <v/>
          </cell>
          <cell r="I74" t="str">
            <v/>
          </cell>
          <cell r="J74" t="str">
            <v/>
          </cell>
          <cell r="K74" t="str">
            <v/>
          </cell>
          <cell r="L74" t="str">
            <v>Fully</v>
          </cell>
          <cell r="M74" t="str">
            <v>Greenwell</v>
          </cell>
          <cell r="N74" t="str">
            <v/>
          </cell>
          <cell r="O74" t="str">
            <v>08</v>
          </cell>
          <cell r="P74" t="str">
            <v/>
          </cell>
          <cell r="Q74" t="str">
            <v/>
          </cell>
          <cell r="R74" t="str">
            <v>DC</v>
          </cell>
          <cell r="S74">
            <v>50000</v>
          </cell>
          <cell r="T74" t="str">
            <v>HMO Rx</v>
          </cell>
          <cell r="U74" t="str">
            <v>CFF7</v>
          </cell>
          <cell r="V74" t="str">
            <v>Y</v>
          </cell>
          <cell r="W74" t="str">
            <v>1/1/2004</v>
          </cell>
          <cell r="X74">
            <v>1</v>
          </cell>
        </row>
        <row r="75">
          <cell r="A75" t="str">
            <v>TM87</v>
          </cell>
          <cell r="B75" t="str">
            <v xml:space="preserve">Association of Alexandria Radiologists, P.C.      </v>
          </cell>
          <cell r="C75" t="str">
            <v/>
          </cell>
          <cell r="D75" t="str">
            <v>Keefer</v>
          </cell>
          <cell r="E75" t="str">
            <v>LaTouche</v>
          </cell>
          <cell r="F75" t="str">
            <v>11</v>
          </cell>
          <cell r="G75" t="str">
            <v>N</v>
          </cell>
          <cell r="H75" t="str">
            <v/>
          </cell>
          <cell r="I75" t="str">
            <v>N</v>
          </cell>
          <cell r="J75" t="str">
            <v>Rates</v>
          </cell>
          <cell r="K75" t="str">
            <v/>
          </cell>
          <cell r="L75" t="str">
            <v>Fully</v>
          </cell>
          <cell r="M75" t="str">
            <v>Guessford-Kline</v>
          </cell>
          <cell r="N75" t="str">
            <v>0</v>
          </cell>
          <cell r="O75" t="str">
            <v>07</v>
          </cell>
          <cell r="P75" t="str">
            <v>LaTouche</v>
          </cell>
          <cell r="Q75" t="str">
            <v/>
          </cell>
          <cell r="R75" t="str">
            <v>VA</v>
          </cell>
          <cell r="S75">
            <v>50000</v>
          </cell>
          <cell r="T75" t="str">
            <v>PPO/HMO</v>
          </cell>
          <cell r="U75" t="str">
            <v>BFF5/CFF5</v>
          </cell>
          <cell r="V75" t="str">
            <v/>
          </cell>
          <cell r="W75" t="str">
            <v/>
          </cell>
          <cell r="X75">
            <v>1</v>
          </cell>
        </row>
        <row r="76">
          <cell r="A76" t="str">
            <v>MS67</v>
          </cell>
          <cell r="B76" t="str">
            <v xml:space="preserve">Association of Schools of Public Health           </v>
          </cell>
          <cell r="C76" t="str">
            <v/>
          </cell>
          <cell r="D76" t="str">
            <v>Keefer</v>
          </cell>
          <cell r="E76" t="str">
            <v>Newman</v>
          </cell>
          <cell r="F76" t="str">
            <v>05</v>
          </cell>
          <cell r="G76" t="str">
            <v>N</v>
          </cell>
          <cell r="H76" t="str">
            <v/>
          </cell>
          <cell r="I76" t="str">
            <v>N</v>
          </cell>
          <cell r="J76" t="str">
            <v>Rates</v>
          </cell>
          <cell r="K76" t="str">
            <v/>
          </cell>
          <cell r="L76" t="str">
            <v>Fully</v>
          </cell>
          <cell r="M76" t="str">
            <v>Dodds</v>
          </cell>
          <cell r="N76" t="str">
            <v/>
          </cell>
          <cell r="O76" t="str">
            <v>01</v>
          </cell>
          <cell r="P76" t="str">
            <v/>
          </cell>
          <cell r="Q76" t="str">
            <v/>
          </cell>
          <cell r="R76" t="str">
            <v>DC</v>
          </cell>
          <cell r="S76">
            <v>50000</v>
          </cell>
          <cell r="T76" t="str">
            <v>PPO PPO OA</v>
          </cell>
          <cell r="U76" t="str">
            <v>BFF5 CFF5</v>
          </cell>
          <cell r="V76" t="str">
            <v/>
          </cell>
          <cell r="W76" t="str">
            <v/>
          </cell>
          <cell r="X76">
            <v>1</v>
          </cell>
        </row>
        <row r="77">
          <cell r="A77" t="str">
            <v>0EFY</v>
          </cell>
          <cell r="B77" t="str">
            <v>Atlantic Services Group, Inc.</v>
          </cell>
          <cell r="C77" t="str">
            <v/>
          </cell>
          <cell r="D77" t="str">
            <v>Keefer</v>
          </cell>
          <cell r="E77" t="str">
            <v>Newman</v>
          </cell>
          <cell r="F77" t="str">
            <v>06</v>
          </cell>
          <cell r="G77" t="str">
            <v>N</v>
          </cell>
          <cell r="H77" t="str">
            <v/>
          </cell>
          <cell r="I77" t="str">
            <v>N</v>
          </cell>
          <cell r="J77" t="str">
            <v>Rates</v>
          </cell>
          <cell r="K77" t="str">
            <v/>
          </cell>
          <cell r="L77" t="str">
            <v>Fully</v>
          </cell>
          <cell r="M77" t="str">
            <v>Thomas</v>
          </cell>
          <cell r="N77" t="str">
            <v/>
          </cell>
          <cell r="O77" t="str">
            <v>02</v>
          </cell>
          <cell r="P77" t="str">
            <v/>
          </cell>
          <cell r="Q77" t="str">
            <v/>
          </cell>
          <cell r="R77" t="str">
            <v>DC</v>
          </cell>
          <cell r="S77">
            <v>50000</v>
          </cell>
          <cell r="T77" t="str">
            <v>HMO OA PPO</v>
          </cell>
          <cell r="U77" t="str">
            <v>BFF5 CFF5</v>
          </cell>
          <cell r="V77" t="str">
            <v>Y</v>
          </cell>
          <cell r="W77" t="str">
            <v>5/15/2005</v>
          </cell>
          <cell r="X77">
            <v>1</v>
          </cell>
        </row>
        <row r="78">
          <cell r="A78" t="str">
            <v>0KMT</v>
          </cell>
          <cell r="B78" t="str">
            <v xml:space="preserve">Auto Parts Associates                             </v>
          </cell>
          <cell r="C78" t="str">
            <v/>
          </cell>
          <cell r="D78" t="str">
            <v>McCourt</v>
          </cell>
          <cell r="E78" t="str">
            <v>Mugo</v>
          </cell>
          <cell r="F78" t="str">
            <v>03</v>
          </cell>
          <cell r="G78" t="str">
            <v>N</v>
          </cell>
          <cell r="H78" t="str">
            <v/>
          </cell>
          <cell r="I78" t="str">
            <v>N</v>
          </cell>
          <cell r="J78" t="str">
            <v>Rates</v>
          </cell>
          <cell r="K78" t="str">
            <v/>
          </cell>
          <cell r="L78" t="str">
            <v>Fully</v>
          </cell>
          <cell r="M78" t="str">
            <v>Thomas</v>
          </cell>
          <cell r="N78" t="str">
            <v/>
          </cell>
          <cell r="O78" t="str">
            <v>11</v>
          </cell>
          <cell r="P78" t="str">
            <v/>
          </cell>
          <cell r="Q78" t="str">
            <v/>
          </cell>
          <cell r="R78" t="str">
            <v>VA</v>
          </cell>
          <cell r="S78">
            <v>0</v>
          </cell>
          <cell r="T78" t="str">
            <v>POE: Quadruple Opt POE package</v>
          </cell>
          <cell r="U78" t="str">
            <v>CFF5</v>
          </cell>
          <cell r="V78" t="str">
            <v>Y</v>
          </cell>
          <cell r="W78" t="str">
            <v>3/1/2005</v>
          </cell>
          <cell r="X78">
            <v>1</v>
          </cell>
        </row>
        <row r="79">
          <cell r="A79" t="str">
            <v>TD96</v>
          </cell>
          <cell r="B79" t="str">
            <v>Avalon Bay Communities, Inc.</v>
          </cell>
          <cell r="C79" t="str">
            <v/>
          </cell>
          <cell r="D79" t="str">
            <v>McCourt</v>
          </cell>
          <cell r="E79" t="str">
            <v>Mugo</v>
          </cell>
          <cell r="F79" t="str">
            <v>01</v>
          </cell>
          <cell r="G79" t="str">
            <v>N</v>
          </cell>
          <cell r="H79" t="str">
            <v>N</v>
          </cell>
          <cell r="I79" t="str">
            <v>N</v>
          </cell>
          <cell r="J79" t="str">
            <v>CPC Mo</v>
          </cell>
          <cell r="K79" t="str">
            <v>WW</v>
          </cell>
          <cell r="L79" t="str">
            <v>ASO</v>
          </cell>
          <cell r="M79" t="str">
            <v>Dunn</v>
          </cell>
          <cell r="N79" t="str">
            <v>3</v>
          </cell>
          <cell r="O79" t="str">
            <v>05</v>
          </cell>
          <cell r="P79" t="str">
            <v>King, K.</v>
          </cell>
          <cell r="Q79" t="str">
            <v>Mugo</v>
          </cell>
          <cell r="R79" t="str">
            <v>VA</v>
          </cell>
          <cell r="S79">
            <v>100000</v>
          </cell>
          <cell r="T79" t="str">
            <v>PPO</v>
          </cell>
          <cell r="U79" t="str">
            <v>BAS8</v>
          </cell>
          <cell r="V79" t="str">
            <v/>
          </cell>
          <cell r="W79" t="str">
            <v/>
          </cell>
          <cell r="X79">
            <v>1</v>
          </cell>
        </row>
        <row r="80">
          <cell r="A80" t="str">
            <v>3M93</v>
          </cell>
          <cell r="B80" t="str">
            <v>Avendra, LLC</v>
          </cell>
          <cell r="C80" t="str">
            <v/>
          </cell>
          <cell r="D80" t="str">
            <v>McCourt</v>
          </cell>
          <cell r="E80" t="str">
            <v>Quade</v>
          </cell>
          <cell r="F80" t="str">
            <v>01</v>
          </cell>
          <cell r="G80" t="str">
            <v>N</v>
          </cell>
          <cell r="H80" t="str">
            <v>N</v>
          </cell>
          <cell r="I80" t="str">
            <v>N</v>
          </cell>
          <cell r="J80" t="str">
            <v>Rates</v>
          </cell>
          <cell r="K80" t="str">
            <v/>
          </cell>
          <cell r="L80" t="str">
            <v>Fully</v>
          </cell>
          <cell r="M80" t="str">
            <v>Henton-Davis</v>
          </cell>
          <cell r="N80" t="str">
            <v>0</v>
          </cell>
          <cell r="O80" t="str">
            <v>09</v>
          </cell>
          <cell r="P80" t="str">
            <v/>
          </cell>
          <cell r="Q80" t="str">
            <v/>
          </cell>
          <cell r="R80" t="str">
            <v>MD</v>
          </cell>
          <cell r="S80">
            <v>50000</v>
          </cell>
          <cell r="T80" t="str">
            <v>HMO/POS/PPO</v>
          </cell>
          <cell r="U80" t="str">
            <v>BFF6/CFF6</v>
          </cell>
          <cell r="V80" t="str">
            <v/>
          </cell>
          <cell r="W80" t="str">
            <v/>
          </cell>
          <cell r="X80">
            <v>1</v>
          </cell>
        </row>
        <row r="81">
          <cell r="A81" t="str">
            <v>BWY5</v>
          </cell>
          <cell r="B81" t="str">
            <v>Avineon, Inc.</v>
          </cell>
          <cell r="C81" t="str">
            <v/>
          </cell>
          <cell r="D81" t="str">
            <v>McCourt</v>
          </cell>
          <cell r="E81" t="str">
            <v>Slack</v>
          </cell>
          <cell r="F81" t="str">
            <v>07</v>
          </cell>
          <cell r="G81" t="str">
            <v>N</v>
          </cell>
          <cell r="H81" t="str">
            <v>Y</v>
          </cell>
          <cell r="I81" t="str">
            <v>N</v>
          </cell>
          <cell r="J81" t="str">
            <v>Rates</v>
          </cell>
          <cell r="K81" t="str">
            <v>0</v>
          </cell>
          <cell r="L81" t="str">
            <v>Fully</v>
          </cell>
          <cell r="M81" t="str">
            <v>Cosby</v>
          </cell>
          <cell r="N81" t="str">
            <v>0</v>
          </cell>
          <cell r="O81" t="str">
            <v>03</v>
          </cell>
          <cell r="P81" t="str">
            <v>Slack</v>
          </cell>
          <cell r="Q81" t="str">
            <v/>
          </cell>
          <cell r="R81" t="str">
            <v>VA</v>
          </cell>
          <cell r="S81">
            <v>0</v>
          </cell>
          <cell r="T81" t="str">
            <v>PPO 2</v>
          </cell>
          <cell r="U81" t="str">
            <v/>
          </cell>
          <cell r="V81" t="str">
            <v>Y</v>
          </cell>
          <cell r="W81" t="str">
            <v>7/1/2004</v>
          </cell>
          <cell r="X81">
            <v>1</v>
          </cell>
        </row>
        <row r="82">
          <cell r="A82" t="str">
            <v>WL14</v>
          </cell>
          <cell r="B82" t="str">
            <v>AWS, Inc.</v>
          </cell>
          <cell r="C82" t="str">
            <v/>
          </cell>
          <cell r="D82" t="str">
            <v>McCourt</v>
          </cell>
          <cell r="E82" t="str">
            <v>Mugo</v>
          </cell>
          <cell r="F82" t="str">
            <v>01</v>
          </cell>
          <cell r="G82" t="str">
            <v>N</v>
          </cell>
          <cell r="H82" t="str">
            <v/>
          </cell>
          <cell r="I82" t="str">
            <v>N</v>
          </cell>
          <cell r="J82" t="str">
            <v>Rates</v>
          </cell>
          <cell r="K82" t="str">
            <v/>
          </cell>
          <cell r="L82" t="str">
            <v>Fully</v>
          </cell>
          <cell r="M82" t="str">
            <v>Henton-Davis</v>
          </cell>
          <cell r="N82" t="str">
            <v>0</v>
          </cell>
          <cell r="O82" t="str">
            <v>09</v>
          </cell>
          <cell r="P82" t="str">
            <v/>
          </cell>
          <cell r="Q82" t="str">
            <v/>
          </cell>
          <cell r="R82" t="str">
            <v>MD</v>
          </cell>
          <cell r="S82">
            <v>50000</v>
          </cell>
          <cell r="T82" t="str">
            <v>HMO/POS/PPO</v>
          </cell>
          <cell r="U82" t="str">
            <v>CFF5</v>
          </cell>
          <cell r="V82" t="str">
            <v/>
          </cell>
          <cell r="W82" t="str">
            <v/>
          </cell>
          <cell r="X82">
            <v>1</v>
          </cell>
        </row>
        <row r="83">
          <cell r="A83" t="str">
            <v>6J22</v>
          </cell>
          <cell r="B83" t="str">
            <v>Axiom Systems, Inc.</v>
          </cell>
          <cell r="C83" t="str">
            <v/>
          </cell>
          <cell r="D83" t="str">
            <v>McCourt</v>
          </cell>
          <cell r="E83" t="str">
            <v>Mugo</v>
          </cell>
          <cell r="F83" t="str">
            <v>01</v>
          </cell>
          <cell r="G83" t="str">
            <v>N</v>
          </cell>
          <cell r="H83" t="str">
            <v/>
          </cell>
          <cell r="I83" t="str">
            <v>N</v>
          </cell>
          <cell r="J83" t="str">
            <v>Rates</v>
          </cell>
          <cell r="K83" t="str">
            <v/>
          </cell>
          <cell r="L83" t="str">
            <v>Fully</v>
          </cell>
          <cell r="M83" t="str">
            <v>Dodds</v>
          </cell>
          <cell r="N83" t="str">
            <v/>
          </cell>
          <cell r="O83" t="str">
            <v>09</v>
          </cell>
          <cell r="P83" t="str">
            <v/>
          </cell>
          <cell r="Q83" t="str">
            <v/>
          </cell>
          <cell r="R83" t="str">
            <v>MD</v>
          </cell>
          <cell r="S83">
            <v>50000</v>
          </cell>
          <cell r="T83" t="str">
            <v>PPO/HMO</v>
          </cell>
          <cell r="U83" t="str">
            <v>CFF5</v>
          </cell>
          <cell r="V83" t="str">
            <v/>
          </cell>
          <cell r="W83" t="str">
            <v/>
          </cell>
          <cell r="X83">
            <v>1</v>
          </cell>
        </row>
        <row r="84">
          <cell r="A84" t="str">
            <v>PP53</v>
          </cell>
          <cell r="B84" t="str">
            <v>BAE Systems Advanced Power Technologies</v>
          </cell>
          <cell r="C84" t="str">
            <v/>
          </cell>
          <cell r="D84" t="str">
            <v>McCourt</v>
          </cell>
          <cell r="E84" t="str">
            <v>Quade</v>
          </cell>
          <cell r="F84" t="str">
            <v>01</v>
          </cell>
          <cell r="G84" t="str">
            <v>N</v>
          </cell>
          <cell r="H84" t="str">
            <v>N</v>
          </cell>
          <cell r="I84" t="str">
            <v>N</v>
          </cell>
          <cell r="J84" t="str">
            <v>Rates</v>
          </cell>
          <cell r="K84" t="str">
            <v/>
          </cell>
          <cell r="L84" t="str">
            <v>Fully</v>
          </cell>
          <cell r="M84" t="str">
            <v>Wise</v>
          </cell>
          <cell r="N84" t="str">
            <v>0</v>
          </cell>
          <cell r="O84" t="str">
            <v>09</v>
          </cell>
          <cell r="P84" t="str">
            <v>Buyak</v>
          </cell>
          <cell r="Q84" t="str">
            <v/>
          </cell>
          <cell r="R84" t="str">
            <v>DC</v>
          </cell>
          <cell r="S84">
            <v>50000</v>
          </cell>
          <cell r="T84" t="str">
            <v>HMO/PPO/POS</v>
          </cell>
          <cell r="U84" t="str">
            <v>BFF5/CFF5</v>
          </cell>
          <cell r="V84" t="str">
            <v/>
          </cell>
          <cell r="W84" t="str">
            <v/>
          </cell>
          <cell r="X84">
            <v>1</v>
          </cell>
        </row>
        <row r="85">
          <cell r="A85" t="str">
            <v>UP54</v>
          </cell>
          <cell r="B85" t="str">
            <v xml:space="preserve">BAI, Inc.                                         </v>
          </cell>
          <cell r="C85" t="str">
            <v/>
          </cell>
          <cell r="D85" t="str">
            <v>McCourt</v>
          </cell>
          <cell r="E85" t="str">
            <v>Mugo</v>
          </cell>
          <cell r="F85" t="str">
            <v>01</v>
          </cell>
          <cell r="G85" t="str">
            <v>N</v>
          </cell>
          <cell r="H85" t="str">
            <v/>
          </cell>
          <cell r="I85" t="str">
            <v>N</v>
          </cell>
          <cell r="J85" t="str">
            <v>Rates</v>
          </cell>
          <cell r="K85" t="str">
            <v/>
          </cell>
          <cell r="L85" t="str">
            <v>Fully</v>
          </cell>
          <cell r="M85" t="str">
            <v>Savoca</v>
          </cell>
          <cell r="N85" t="str">
            <v/>
          </cell>
          <cell r="O85" t="str">
            <v>09</v>
          </cell>
          <cell r="P85" t="str">
            <v/>
          </cell>
          <cell r="Q85" t="str">
            <v/>
          </cell>
          <cell r="R85" t="str">
            <v>VA</v>
          </cell>
          <cell r="S85">
            <v>50000</v>
          </cell>
          <cell r="T85" t="str">
            <v>PPO</v>
          </cell>
          <cell r="U85" t="str">
            <v>BFF5</v>
          </cell>
          <cell r="V85" t="str">
            <v/>
          </cell>
          <cell r="W85" t="str">
            <v/>
          </cell>
          <cell r="X85">
            <v>1</v>
          </cell>
        </row>
        <row r="86">
          <cell r="A86" t="str">
            <v>07H3</v>
          </cell>
          <cell r="B86" t="str">
            <v>Bakery de France</v>
          </cell>
          <cell r="C86" t="str">
            <v/>
          </cell>
          <cell r="D86" t="str">
            <v>McCourt</v>
          </cell>
          <cell r="E86" t="str">
            <v>Slack</v>
          </cell>
          <cell r="F86" t="str">
            <v>11</v>
          </cell>
          <cell r="G86" t="str">
            <v>N</v>
          </cell>
          <cell r="H86" t="str">
            <v>Y</v>
          </cell>
          <cell r="I86" t="str">
            <v>N</v>
          </cell>
          <cell r="J86" t="str">
            <v>Rates</v>
          </cell>
          <cell r="K86" t="str">
            <v/>
          </cell>
          <cell r="L86" t="str">
            <v>100%</v>
          </cell>
          <cell r="M86" t="str">
            <v>Cosby</v>
          </cell>
          <cell r="N86" t="str">
            <v/>
          </cell>
          <cell r="O86" t="str">
            <v>07</v>
          </cell>
          <cell r="P86" t="str">
            <v>Slack</v>
          </cell>
          <cell r="Q86" t="str">
            <v/>
          </cell>
          <cell r="R86" t="str">
            <v>MD</v>
          </cell>
          <cell r="S86">
            <v>0</v>
          </cell>
          <cell r="T86" t="str">
            <v>HMO/PPO/RX</v>
          </cell>
          <cell r="U86" t="str">
            <v/>
          </cell>
          <cell r="V86" t="str">
            <v>Y</v>
          </cell>
          <cell r="W86" t="str">
            <v>11/1/2004</v>
          </cell>
          <cell r="X86">
            <v>1</v>
          </cell>
        </row>
        <row r="87">
          <cell r="A87" t="str">
            <v>3J72</v>
          </cell>
          <cell r="B87" t="str">
            <v xml:space="preserve">Baldino's Lock &amp; Key Services, Inc                </v>
          </cell>
          <cell r="C87" t="str">
            <v/>
          </cell>
          <cell r="D87" t="str">
            <v>Keefer</v>
          </cell>
          <cell r="E87" t="str">
            <v>Padrutt</v>
          </cell>
          <cell r="F87" t="str">
            <v>01</v>
          </cell>
          <cell r="G87" t="str">
            <v>N</v>
          </cell>
          <cell r="H87" t="str">
            <v/>
          </cell>
          <cell r="I87" t="str">
            <v>N</v>
          </cell>
          <cell r="J87" t="str">
            <v>Rates</v>
          </cell>
          <cell r="K87" t="str">
            <v/>
          </cell>
          <cell r="L87" t="str">
            <v>Fully</v>
          </cell>
          <cell r="M87" t="str">
            <v>Savoca</v>
          </cell>
          <cell r="N87" t="str">
            <v/>
          </cell>
          <cell r="O87" t="str">
            <v>09</v>
          </cell>
          <cell r="P87" t="str">
            <v>Padrutt</v>
          </cell>
          <cell r="Q87" t="str">
            <v/>
          </cell>
          <cell r="R87" t="str">
            <v>VA</v>
          </cell>
          <cell r="S87">
            <v>50000</v>
          </cell>
          <cell r="T87" t="str">
            <v>PPO/HMO/Adv</v>
          </cell>
          <cell r="U87" t="str">
            <v>BFF5/CFF5</v>
          </cell>
          <cell r="V87" t="str">
            <v/>
          </cell>
          <cell r="W87" t="str">
            <v/>
          </cell>
          <cell r="X87">
            <v>1</v>
          </cell>
        </row>
        <row r="88">
          <cell r="A88" t="str">
            <v>UL20</v>
          </cell>
          <cell r="B88" t="str">
            <v>Barrie School</v>
          </cell>
          <cell r="C88" t="str">
            <v/>
          </cell>
          <cell r="D88" t="str">
            <v>Keefer</v>
          </cell>
          <cell r="E88" t="str">
            <v>Anderson</v>
          </cell>
          <cell r="F88" t="str">
            <v>06</v>
          </cell>
          <cell r="G88" t="str">
            <v>N</v>
          </cell>
          <cell r="H88" t="str">
            <v/>
          </cell>
          <cell r="I88" t="str">
            <v>N</v>
          </cell>
          <cell r="J88" t="str">
            <v>Rates</v>
          </cell>
          <cell r="K88" t="str">
            <v/>
          </cell>
          <cell r="L88" t="str">
            <v>Fully</v>
          </cell>
          <cell r="M88" t="str">
            <v>Savoca</v>
          </cell>
          <cell r="N88" t="str">
            <v>0</v>
          </cell>
          <cell r="O88" t="str">
            <v>02</v>
          </cell>
          <cell r="P88" t="str">
            <v>LaTouche</v>
          </cell>
          <cell r="Q88" t="str">
            <v/>
          </cell>
          <cell r="R88" t="str">
            <v>MD</v>
          </cell>
          <cell r="S88">
            <v>50000</v>
          </cell>
          <cell r="T88" t="str">
            <v>HMO/POS/PPO</v>
          </cell>
          <cell r="U88" t="str">
            <v>BFF5/CFF5</v>
          </cell>
          <cell r="V88" t="str">
            <v/>
          </cell>
          <cell r="W88" t="str">
            <v/>
          </cell>
          <cell r="X88">
            <v>1</v>
          </cell>
        </row>
        <row r="89">
          <cell r="A89" t="str">
            <v>TV01</v>
          </cell>
          <cell r="B89" t="str">
            <v>Base Technologies Inc</v>
          </cell>
          <cell r="C89" t="str">
            <v/>
          </cell>
          <cell r="D89" t="str">
            <v>McCourt</v>
          </cell>
          <cell r="E89" t="str">
            <v>Quade</v>
          </cell>
          <cell r="F89" t="str">
            <v>10</v>
          </cell>
          <cell r="G89" t="str">
            <v>N</v>
          </cell>
          <cell r="H89" t="str">
            <v>N</v>
          </cell>
          <cell r="I89" t="str">
            <v>N</v>
          </cell>
          <cell r="J89" t="str">
            <v>Rates</v>
          </cell>
          <cell r="K89" t="str">
            <v/>
          </cell>
          <cell r="L89" t="str">
            <v>Fully</v>
          </cell>
          <cell r="M89" t="str">
            <v>Rutkowski</v>
          </cell>
          <cell r="N89" t="str">
            <v>0</v>
          </cell>
          <cell r="O89" t="str">
            <v>06</v>
          </cell>
          <cell r="P89" t="str">
            <v>Johnson</v>
          </cell>
          <cell r="Q89" t="str">
            <v/>
          </cell>
          <cell r="R89" t="str">
            <v>VA</v>
          </cell>
          <cell r="S89">
            <v>50000</v>
          </cell>
          <cell r="T89" t="str">
            <v>HMO/PPO</v>
          </cell>
          <cell r="U89" t="str">
            <v>BFF6/CFF6</v>
          </cell>
          <cell r="V89" t="str">
            <v/>
          </cell>
          <cell r="W89" t="str">
            <v/>
          </cell>
          <cell r="X89">
            <v>1</v>
          </cell>
        </row>
        <row r="90">
          <cell r="A90" t="str">
            <v>3F20</v>
          </cell>
          <cell r="B90" t="str">
            <v>Battelle Memorial Institute</v>
          </cell>
          <cell r="C90" t="str">
            <v/>
          </cell>
          <cell r="D90" t="str">
            <v>Keefer</v>
          </cell>
          <cell r="E90" t="str">
            <v>Taylor</v>
          </cell>
          <cell r="F90" t="str">
            <v>01</v>
          </cell>
          <cell r="G90" t="str">
            <v>N</v>
          </cell>
          <cell r="H90" t="str">
            <v/>
          </cell>
          <cell r="I90" t="str">
            <v>N</v>
          </cell>
          <cell r="J90" t="str">
            <v>Rates</v>
          </cell>
          <cell r="K90" t="str">
            <v/>
          </cell>
          <cell r="L90" t="str">
            <v>Fully</v>
          </cell>
          <cell r="M90" t="str">
            <v>Bradshaw</v>
          </cell>
          <cell r="N90" t="str">
            <v>0</v>
          </cell>
          <cell r="O90" t="str">
            <v>08</v>
          </cell>
          <cell r="P90" t="str">
            <v/>
          </cell>
          <cell r="Q90" t="str">
            <v/>
          </cell>
          <cell r="R90" t="str">
            <v>MD</v>
          </cell>
          <cell r="S90">
            <v>50000</v>
          </cell>
          <cell r="T90" t="str">
            <v>HMO</v>
          </cell>
          <cell r="U90" t="str">
            <v>CFF6</v>
          </cell>
          <cell r="V90" t="str">
            <v/>
          </cell>
          <cell r="W90" t="str">
            <v/>
          </cell>
          <cell r="X90">
            <v>1</v>
          </cell>
        </row>
        <row r="91">
          <cell r="A91" t="str">
            <v>MP94</v>
          </cell>
          <cell r="B91" t="str">
            <v>BC/BS Association</v>
          </cell>
          <cell r="C91" t="str">
            <v/>
          </cell>
          <cell r="D91" t="str">
            <v>McCourt</v>
          </cell>
          <cell r="E91" t="str">
            <v>Rutkowski</v>
          </cell>
          <cell r="F91" t="str">
            <v>01</v>
          </cell>
          <cell r="G91" t="str">
            <v>N</v>
          </cell>
          <cell r="H91" t="str">
            <v>N</v>
          </cell>
          <cell r="I91" t="str">
            <v>N</v>
          </cell>
          <cell r="J91" t="str">
            <v>Rates</v>
          </cell>
          <cell r="K91" t="str">
            <v/>
          </cell>
          <cell r="L91" t="str">
            <v>Fully</v>
          </cell>
          <cell r="M91" t="str">
            <v>Swears</v>
          </cell>
          <cell r="N91" t="str">
            <v>0</v>
          </cell>
          <cell r="O91" t="str">
            <v>09</v>
          </cell>
          <cell r="P91" t="str">
            <v>Rutkowski</v>
          </cell>
          <cell r="Q91" t="str">
            <v/>
          </cell>
          <cell r="R91" t="str">
            <v>DC</v>
          </cell>
          <cell r="S91">
            <v>50000</v>
          </cell>
          <cell r="T91" t="str">
            <v>HMO</v>
          </cell>
          <cell r="U91" t="str">
            <v>CFF5</v>
          </cell>
          <cell r="V91" t="str">
            <v/>
          </cell>
          <cell r="W91" t="str">
            <v/>
          </cell>
          <cell r="X91">
            <v>1</v>
          </cell>
        </row>
        <row r="92">
          <cell r="A92" t="str">
            <v>0KMS</v>
          </cell>
          <cell r="B92" t="str">
            <v xml:space="preserve">Bee &amp; H Electric Company                          </v>
          </cell>
          <cell r="C92" t="str">
            <v/>
          </cell>
          <cell r="D92" t="str">
            <v>Keefer</v>
          </cell>
          <cell r="E92" t="str">
            <v>Burba</v>
          </cell>
          <cell r="F92" t="str">
            <v>02</v>
          </cell>
          <cell r="G92" t="str">
            <v>N</v>
          </cell>
          <cell r="H92" t="str">
            <v/>
          </cell>
          <cell r="I92" t="str">
            <v>N</v>
          </cell>
          <cell r="J92" t="str">
            <v>Rates</v>
          </cell>
          <cell r="K92" t="str">
            <v/>
          </cell>
          <cell r="L92" t="str">
            <v>Fully</v>
          </cell>
          <cell r="M92" t="str">
            <v>Rand</v>
          </cell>
          <cell r="N92" t="str">
            <v/>
          </cell>
          <cell r="O92" t="str">
            <v>10</v>
          </cell>
          <cell r="P92" t="str">
            <v/>
          </cell>
          <cell r="Q92" t="str">
            <v/>
          </cell>
          <cell r="R92" t="str">
            <v>VA</v>
          </cell>
          <cell r="S92">
            <v>50000</v>
          </cell>
          <cell r="T92" t="str">
            <v>HMO/OA/POS</v>
          </cell>
          <cell r="U92" t="str">
            <v>CFF5</v>
          </cell>
          <cell r="V92" t="str">
            <v>Y</v>
          </cell>
          <cell r="W92" t="str">
            <v>2/1/2005</v>
          </cell>
          <cell r="X92">
            <v>1</v>
          </cell>
        </row>
        <row r="93">
          <cell r="A93" t="str">
            <v>6U38</v>
          </cell>
          <cell r="B93" t="str">
            <v xml:space="preserve">Beery Rio                                         </v>
          </cell>
          <cell r="C93" t="str">
            <v/>
          </cell>
          <cell r="D93" t="str">
            <v>Keefer</v>
          </cell>
          <cell r="E93" t="str">
            <v>Newman</v>
          </cell>
          <cell r="F93" t="str">
            <v>04</v>
          </cell>
          <cell r="G93" t="str">
            <v>N</v>
          </cell>
          <cell r="H93" t="str">
            <v/>
          </cell>
          <cell r="I93" t="str">
            <v>N</v>
          </cell>
          <cell r="J93" t="str">
            <v>Rates</v>
          </cell>
          <cell r="K93" t="str">
            <v/>
          </cell>
          <cell r="L93" t="str">
            <v>Fully</v>
          </cell>
          <cell r="M93" t="str">
            <v>Henton-Davis</v>
          </cell>
          <cell r="N93" t="str">
            <v/>
          </cell>
          <cell r="O93" t="str">
            <v>12</v>
          </cell>
          <cell r="P93" t="str">
            <v/>
          </cell>
          <cell r="Q93" t="str">
            <v/>
          </cell>
          <cell r="R93" t="str">
            <v>VA</v>
          </cell>
          <cell r="S93">
            <v>50000</v>
          </cell>
          <cell r="T93" t="str">
            <v>PPO/POS</v>
          </cell>
          <cell r="U93" t="str">
            <v>BFF5</v>
          </cell>
          <cell r="V93" t="str">
            <v/>
          </cell>
          <cell r="W93" t="str">
            <v/>
          </cell>
          <cell r="X93">
            <v>1</v>
          </cell>
        </row>
        <row r="94">
          <cell r="A94" t="str">
            <v>TA36</v>
          </cell>
          <cell r="B94" t="str">
            <v xml:space="preserve">Benelli USA                                       </v>
          </cell>
          <cell r="C94" t="str">
            <v/>
          </cell>
          <cell r="D94" t="str">
            <v>McCourt</v>
          </cell>
          <cell r="E94" t="str">
            <v>Mugo</v>
          </cell>
          <cell r="F94" t="str">
            <v>04</v>
          </cell>
          <cell r="G94" t="str">
            <v>N</v>
          </cell>
          <cell r="H94" t="str">
            <v/>
          </cell>
          <cell r="I94" t="str">
            <v>N</v>
          </cell>
          <cell r="J94" t="str">
            <v>Rates</v>
          </cell>
          <cell r="K94" t="str">
            <v/>
          </cell>
          <cell r="L94" t="str">
            <v>Fully</v>
          </cell>
          <cell r="M94" t="str">
            <v>Dodds</v>
          </cell>
          <cell r="N94" t="str">
            <v/>
          </cell>
          <cell r="O94" t="str">
            <v>12</v>
          </cell>
          <cell r="P94" t="str">
            <v/>
          </cell>
          <cell r="Q94" t="str">
            <v/>
          </cell>
          <cell r="R94" t="str">
            <v>MD</v>
          </cell>
          <cell r="S94">
            <v>50000</v>
          </cell>
          <cell r="T94" t="str">
            <v>PPO</v>
          </cell>
          <cell r="U94" t="str">
            <v>BFF5</v>
          </cell>
          <cell r="V94" t="str">
            <v/>
          </cell>
          <cell r="W94" t="str">
            <v/>
          </cell>
          <cell r="X94">
            <v>1</v>
          </cell>
        </row>
        <row r="95">
          <cell r="A95" t="str">
            <v>7G41</v>
          </cell>
          <cell r="B95" t="str">
            <v>Beretta USA</v>
          </cell>
          <cell r="C95" t="str">
            <v/>
          </cell>
          <cell r="D95" t="str">
            <v>McCourt</v>
          </cell>
          <cell r="E95" t="str">
            <v>Rutkowski</v>
          </cell>
          <cell r="F95" t="str">
            <v>05</v>
          </cell>
          <cell r="G95" t="str">
            <v>N</v>
          </cell>
          <cell r="H95" t="str">
            <v/>
          </cell>
          <cell r="I95" t="str">
            <v>N</v>
          </cell>
          <cell r="J95" t="str">
            <v>Rates</v>
          </cell>
          <cell r="K95" t="str">
            <v/>
          </cell>
          <cell r="L95" t="str">
            <v>Fully</v>
          </cell>
          <cell r="M95" t="str">
            <v>Lewis</v>
          </cell>
          <cell r="N95" t="str">
            <v/>
          </cell>
          <cell r="O95" t="str">
            <v>01</v>
          </cell>
          <cell r="P95" t="str">
            <v>Rutkowski</v>
          </cell>
          <cell r="Q95" t="str">
            <v/>
          </cell>
          <cell r="R95" t="str">
            <v>MD</v>
          </cell>
          <cell r="S95">
            <v>50000</v>
          </cell>
          <cell r="T95" t="str">
            <v>PPO/HMO/OpACC</v>
          </cell>
          <cell r="U95" t="str">
            <v>BFF7/CFF7</v>
          </cell>
          <cell r="V95" t="str">
            <v>Y</v>
          </cell>
          <cell r="W95" t="str">
            <v>5/1/2002</v>
          </cell>
          <cell r="X95">
            <v>1</v>
          </cell>
        </row>
        <row r="96">
          <cell r="A96" t="str">
            <v>CJ25</v>
          </cell>
          <cell r="B96" t="str">
            <v xml:space="preserve">Bert W. Smith, Jr. &amp; Co. Chartered T/A Bert Smith </v>
          </cell>
          <cell r="C96" t="str">
            <v/>
          </cell>
          <cell r="D96" t="str">
            <v>Keefer</v>
          </cell>
          <cell r="E96" t="str">
            <v>Anderson</v>
          </cell>
          <cell r="F96" t="str">
            <v>02</v>
          </cell>
          <cell r="G96" t="str">
            <v>N</v>
          </cell>
          <cell r="H96" t="str">
            <v/>
          </cell>
          <cell r="I96" t="str">
            <v>N</v>
          </cell>
          <cell r="J96" t="str">
            <v>Rates</v>
          </cell>
          <cell r="K96" t="str">
            <v/>
          </cell>
          <cell r="L96" t="str">
            <v>Fully</v>
          </cell>
          <cell r="M96" t="str">
            <v>Wise</v>
          </cell>
          <cell r="N96" t="str">
            <v/>
          </cell>
          <cell r="O96" t="str">
            <v>10</v>
          </cell>
          <cell r="P96" t="str">
            <v/>
          </cell>
          <cell r="Q96" t="str">
            <v/>
          </cell>
          <cell r="R96" t="str">
            <v>DC</v>
          </cell>
          <cell r="S96">
            <v>50000</v>
          </cell>
          <cell r="T96" t="str">
            <v>POS Rx D</v>
          </cell>
          <cell r="U96" t="str">
            <v>BFF5</v>
          </cell>
          <cell r="V96" t="str">
            <v/>
          </cell>
          <cell r="W96" t="str">
            <v/>
          </cell>
          <cell r="X96">
            <v>1</v>
          </cell>
        </row>
        <row r="97">
          <cell r="A97" t="str">
            <v>0C67</v>
          </cell>
          <cell r="B97" t="str">
            <v>Best Practices, Inc.  (Emer. Physicians of No. VA)</v>
          </cell>
          <cell r="C97" t="str">
            <v/>
          </cell>
          <cell r="D97" t="str">
            <v>Keefer</v>
          </cell>
          <cell r="E97" t="str">
            <v>Newman</v>
          </cell>
          <cell r="F97" t="str">
            <v>01</v>
          </cell>
          <cell r="G97" t="str">
            <v>N</v>
          </cell>
          <cell r="H97" t="str">
            <v/>
          </cell>
          <cell r="I97" t="str">
            <v>N</v>
          </cell>
          <cell r="J97" t="str">
            <v>Rates</v>
          </cell>
          <cell r="K97" t="str">
            <v/>
          </cell>
          <cell r="L97" t="str">
            <v>Fully</v>
          </cell>
          <cell r="M97" t="str">
            <v>Dodds</v>
          </cell>
          <cell r="N97" t="str">
            <v/>
          </cell>
          <cell r="O97" t="str">
            <v>09</v>
          </cell>
          <cell r="P97" t="str">
            <v>King, R.</v>
          </cell>
          <cell r="Q97" t="str">
            <v/>
          </cell>
          <cell r="R97" t="str">
            <v>VA</v>
          </cell>
          <cell r="S97">
            <v>50000</v>
          </cell>
          <cell r="T97" t="str">
            <v>PPO Rx D</v>
          </cell>
          <cell r="U97" t="str">
            <v>BFF5</v>
          </cell>
          <cell r="V97" t="str">
            <v/>
          </cell>
          <cell r="W97" t="str">
            <v/>
          </cell>
          <cell r="X97">
            <v>1</v>
          </cell>
        </row>
        <row r="98">
          <cell r="A98" t="str">
            <v>WT73</v>
          </cell>
          <cell r="B98" t="str">
            <v>Beta Analytics, Inc.</v>
          </cell>
          <cell r="C98" t="str">
            <v/>
          </cell>
          <cell r="D98" t="str">
            <v>Keefer</v>
          </cell>
          <cell r="E98" t="str">
            <v>Newman</v>
          </cell>
          <cell r="F98" t="str">
            <v>02</v>
          </cell>
          <cell r="G98" t="str">
            <v>N</v>
          </cell>
          <cell r="H98" t="str">
            <v/>
          </cell>
          <cell r="I98" t="str">
            <v>N</v>
          </cell>
          <cell r="J98" t="str">
            <v>Rates</v>
          </cell>
          <cell r="K98" t="str">
            <v/>
          </cell>
          <cell r="L98" t="str">
            <v>Fully</v>
          </cell>
          <cell r="M98" t="str">
            <v>Savoca</v>
          </cell>
          <cell r="N98" t="str">
            <v>0</v>
          </cell>
          <cell r="O98" t="str">
            <v>10</v>
          </cell>
          <cell r="P98" t="str">
            <v>King, R.</v>
          </cell>
          <cell r="Q98" t="str">
            <v/>
          </cell>
          <cell r="R98" t="str">
            <v>MD</v>
          </cell>
          <cell r="S98">
            <v>50000</v>
          </cell>
          <cell r="T98" t="str">
            <v>HMO/PPO</v>
          </cell>
          <cell r="U98" t="str">
            <v>BFF6/CFF6</v>
          </cell>
          <cell r="V98" t="str">
            <v/>
          </cell>
          <cell r="W98" t="str">
            <v/>
          </cell>
          <cell r="X98">
            <v>1</v>
          </cell>
        </row>
        <row r="99">
          <cell r="A99" t="str">
            <v>PH42</v>
          </cell>
          <cell r="B99" t="str">
            <v xml:space="preserve">Betah Associates, Inc.                            </v>
          </cell>
          <cell r="C99" t="str">
            <v/>
          </cell>
          <cell r="D99" t="str">
            <v>Keefer</v>
          </cell>
          <cell r="E99" t="str">
            <v>Johnson</v>
          </cell>
          <cell r="F99" t="str">
            <v>10</v>
          </cell>
          <cell r="G99" t="str">
            <v>N</v>
          </cell>
          <cell r="H99" t="str">
            <v/>
          </cell>
          <cell r="I99" t="str">
            <v>N</v>
          </cell>
          <cell r="J99" t="str">
            <v>Rates</v>
          </cell>
          <cell r="K99" t="str">
            <v/>
          </cell>
          <cell r="L99" t="str">
            <v>Fully</v>
          </cell>
          <cell r="M99" t="str">
            <v>Henton-Davis</v>
          </cell>
          <cell r="N99" t="str">
            <v/>
          </cell>
          <cell r="O99" t="str">
            <v>06</v>
          </cell>
          <cell r="P99" t="str">
            <v/>
          </cell>
          <cell r="Q99" t="str">
            <v/>
          </cell>
          <cell r="R99" t="str">
            <v>MD</v>
          </cell>
          <cell r="S99">
            <v>50000</v>
          </cell>
          <cell r="T99" t="str">
            <v>Adv/PPO</v>
          </cell>
          <cell r="U99" t="str">
            <v>BFF5/CFF5</v>
          </cell>
          <cell r="V99" t="str">
            <v/>
          </cell>
          <cell r="W99" t="str">
            <v/>
          </cell>
          <cell r="X99">
            <v>1</v>
          </cell>
        </row>
        <row r="100">
          <cell r="A100" t="str">
            <v>MC36</v>
          </cell>
          <cell r="B100" t="str">
            <v>BHS Management (Capitol Hill Hospital)</v>
          </cell>
          <cell r="C100" t="str">
            <v/>
          </cell>
          <cell r="D100" t="str">
            <v>McCourt</v>
          </cell>
          <cell r="E100" t="str">
            <v>Mugo</v>
          </cell>
          <cell r="F100" t="str">
            <v>08</v>
          </cell>
          <cell r="G100" t="str">
            <v>N</v>
          </cell>
          <cell r="H100" t="str">
            <v>N</v>
          </cell>
          <cell r="I100" t="str">
            <v>N</v>
          </cell>
          <cell r="J100" t="str">
            <v>Rates</v>
          </cell>
          <cell r="K100" t="str">
            <v/>
          </cell>
          <cell r="L100" t="str">
            <v>Fully</v>
          </cell>
          <cell r="M100" t="str">
            <v>Savoca</v>
          </cell>
          <cell r="N100" t="str">
            <v>0</v>
          </cell>
          <cell r="O100" t="str">
            <v>04</v>
          </cell>
          <cell r="P100" t="str">
            <v>Batist</v>
          </cell>
          <cell r="Q100" t="str">
            <v/>
          </cell>
          <cell r="R100" t="str">
            <v>DC</v>
          </cell>
          <cell r="S100">
            <v>50000</v>
          </cell>
          <cell r="T100" t="str">
            <v>POS</v>
          </cell>
          <cell r="U100" t="str">
            <v>BFF6</v>
          </cell>
          <cell r="V100" t="str">
            <v/>
          </cell>
          <cell r="W100" t="str">
            <v>8/1/2003</v>
          </cell>
          <cell r="X100">
            <v>1</v>
          </cell>
        </row>
        <row r="101">
          <cell r="A101" t="str">
            <v>SJ88</v>
          </cell>
          <cell r="B101" t="str">
            <v xml:space="preserve">Billy Casper Golf Management, Inc.                </v>
          </cell>
          <cell r="C101" t="str">
            <v/>
          </cell>
          <cell r="D101" t="str">
            <v>Keefer</v>
          </cell>
          <cell r="E101" t="str">
            <v>Johnson</v>
          </cell>
          <cell r="F101" t="str">
            <v>05</v>
          </cell>
          <cell r="G101" t="str">
            <v>N</v>
          </cell>
          <cell r="H101" t="str">
            <v/>
          </cell>
          <cell r="I101" t="str">
            <v>N</v>
          </cell>
          <cell r="J101" t="str">
            <v>Rates</v>
          </cell>
          <cell r="K101" t="str">
            <v/>
          </cell>
          <cell r="L101" t="str">
            <v>Fully</v>
          </cell>
          <cell r="M101" t="str">
            <v>Henton-Davis</v>
          </cell>
          <cell r="N101" t="str">
            <v/>
          </cell>
          <cell r="O101" t="str">
            <v>01</v>
          </cell>
          <cell r="P101" t="str">
            <v/>
          </cell>
          <cell r="Q101" t="str">
            <v/>
          </cell>
          <cell r="R101" t="str">
            <v>VA</v>
          </cell>
          <cell r="S101">
            <v>50000</v>
          </cell>
          <cell r="T101" t="str">
            <v>HMO/PPO/POS</v>
          </cell>
          <cell r="U101" t="str">
            <v>BFF5/CFF5</v>
          </cell>
          <cell r="V101" t="str">
            <v/>
          </cell>
          <cell r="W101" t="str">
            <v/>
          </cell>
          <cell r="X101">
            <v>1</v>
          </cell>
        </row>
        <row r="102">
          <cell r="A102" t="str">
            <v>1D83</v>
          </cell>
          <cell r="B102" t="str">
            <v xml:space="preserve">Bingham McCutchen LLP                             </v>
          </cell>
          <cell r="C102" t="str">
            <v/>
          </cell>
          <cell r="D102" t="str">
            <v>Keefer</v>
          </cell>
          <cell r="E102" t="str">
            <v>Burba</v>
          </cell>
          <cell r="F102" t="str">
            <v>01</v>
          </cell>
          <cell r="G102" t="str">
            <v>N</v>
          </cell>
          <cell r="H102" t="str">
            <v/>
          </cell>
          <cell r="I102" t="str">
            <v>N</v>
          </cell>
          <cell r="J102" t="str">
            <v>Rates</v>
          </cell>
          <cell r="K102" t="str">
            <v/>
          </cell>
          <cell r="L102" t="str">
            <v>Fully</v>
          </cell>
          <cell r="M102" t="str">
            <v>Savoca</v>
          </cell>
          <cell r="N102" t="str">
            <v/>
          </cell>
          <cell r="O102" t="str">
            <v>09</v>
          </cell>
          <cell r="P102" t="str">
            <v/>
          </cell>
          <cell r="Q102" t="str">
            <v/>
          </cell>
          <cell r="R102" t="str">
            <v>DC</v>
          </cell>
          <cell r="S102">
            <v>50000</v>
          </cell>
          <cell r="T102" t="str">
            <v>POS/HMO/PPO</v>
          </cell>
          <cell r="U102" t="str">
            <v>BFF5/CFF5</v>
          </cell>
          <cell r="V102" t="str">
            <v/>
          </cell>
          <cell r="W102" t="str">
            <v/>
          </cell>
          <cell r="X102">
            <v>1</v>
          </cell>
        </row>
        <row r="103">
          <cell r="A103" t="str">
            <v>QR22</v>
          </cell>
          <cell r="B103" t="str">
            <v>Bioqual, Inc.</v>
          </cell>
          <cell r="C103" t="str">
            <v/>
          </cell>
          <cell r="D103" t="str">
            <v>Keefer</v>
          </cell>
          <cell r="E103" t="str">
            <v>Taylor</v>
          </cell>
          <cell r="F103" t="str">
            <v>06</v>
          </cell>
          <cell r="G103" t="str">
            <v>N</v>
          </cell>
          <cell r="H103" t="str">
            <v/>
          </cell>
          <cell r="I103" t="str">
            <v>N</v>
          </cell>
          <cell r="J103" t="str">
            <v>Rates</v>
          </cell>
          <cell r="K103" t="str">
            <v/>
          </cell>
          <cell r="L103" t="str">
            <v>Fully</v>
          </cell>
          <cell r="M103" t="str">
            <v>Warren</v>
          </cell>
          <cell r="N103" t="str">
            <v/>
          </cell>
          <cell r="O103" t="str">
            <v>02</v>
          </cell>
          <cell r="P103" t="str">
            <v/>
          </cell>
          <cell r="Q103" t="str">
            <v/>
          </cell>
          <cell r="R103" t="str">
            <v>MD</v>
          </cell>
          <cell r="S103">
            <v>50000</v>
          </cell>
          <cell r="T103" t="str">
            <v>OA HMO PPO</v>
          </cell>
          <cell r="U103" t="str">
            <v>BFF6 CFF6</v>
          </cell>
          <cell r="V103" t="str">
            <v>Y</v>
          </cell>
          <cell r="W103" t="str">
            <v>6/1/2004</v>
          </cell>
          <cell r="X103">
            <v>1</v>
          </cell>
        </row>
        <row r="104">
          <cell r="A104" t="str">
            <v>UC95</v>
          </cell>
          <cell r="B104" t="str">
            <v xml:space="preserve">Biotechnology Industry Organization               </v>
          </cell>
          <cell r="C104" t="str">
            <v/>
          </cell>
          <cell r="D104" t="str">
            <v>Keefer</v>
          </cell>
          <cell r="E104" t="str">
            <v>Burba</v>
          </cell>
          <cell r="F104" t="str">
            <v>05</v>
          </cell>
          <cell r="G104" t="str">
            <v>N</v>
          </cell>
          <cell r="H104" t="str">
            <v/>
          </cell>
          <cell r="I104" t="str">
            <v>N</v>
          </cell>
          <cell r="J104" t="str">
            <v>Rates</v>
          </cell>
          <cell r="K104" t="str">
            <v/>
          </cell>
          <cell r="L104" t="str">
            <v>Fully</v>
          </cell>
          <cell r="M104" t="str">
            <v>Swears</v>
          </cell>
          <cell r="N104" t="str">
            <v/>
          </cell>
          <cell r="O104" t="str">
            <v>01</v>
          </cell>
          <cell r="P104" t="str">
            <v/>
          </cell>
          <cell r="Q104" t="str">
            <v/>
          </cell>
          <cell r="R104" t="str">
            <v>DC</v>
          </cell>
          <cell r="S104">
            <v>50000</v>
          </cell>
          <cell r="T104" t="str">
            <v>PPO/POS/HMO</v>
          </cell>
          <cell r="U104" t="str">
            <v>BFF5/CFF5</v>
          </cell>
          <cell r="V104" t="str">
            <v/>
          </cell>
          <cell r="W104" t="str">
            <v/>
          </cell>
          <cell r="X104">
            <v>1</v>
          </cell>
        </row>
        <row r="105">
          <cell r="A105" t="str">
            <v>BGP8</v>
          </cell>
          <cell r="B105" t="str">
            <v xml:space="preserve">Boat People S.O.S.                                </v>
          </cell>
          <cell r="C105" t="str">
            <v/>
          </cell>
          <cell r="D105" t="str">
            <v>Keefer</v>
          </cell>
          <cell r="E105" t="str">
            <v>Johnson</v>
          </cell>
          <cell r="F105" t="str">
            <v>09</v>
          </cell>
          <cell r="G105" t="str">
            <v>N</v>
          </cell>
          <cell r="H105" t="str">
            <v/>
          </cell>
          <cell r="I105" t="str">
            <v>N</v>
          </cell>
          <cell r="J105" t="str">
            <v>Rates</v>
          </cell>
          <cell r="K105" t="str">
            <v/>
          </cell>
          <cell r="L105" t="str">
            <v>Fully</v>
          </cell>
          <cell r="M105" t="str">
            <v>Dodds</v>
          </cell>
          <cell r="N105" t="str">
            <v/>
          </cell>
          <cell r="O105" t="str">
            <v>05</v>
          </cell>
          <cell r="P105" t="str">
            <v/>
          </cell>
          <cell r="Q105" t="str">
            <v/>
          </cell>
          <cell r="R105" t="str">
            <v>VA</v>
          </cell>
          <cell r="S105">
            <v>50000</v>
          </cell>
          <cell r="T105" t="str">
            <v>PPO</v>
          </cell>
          <cell r="U105" t="str">
            <v>BFF5</v>
          </cell>
          <cell r="V105" t="str">
            <v/>
          </cell>
          <cell r="W105" t="str">
            <v/>
          </cell>
          <cell r="X105">
            <v>1</v>
          </cell>
        </row>
        <row r="106">
          <cell r="A106" t="str">
            <v>3M37</v>
          </cell>
          <cell r="B106" t="str">
            <v>Boland Services, Inc.</v>
          </cell>
          <cell r="C106" t="str">
            <v/>
          </cell>
          <cell r="D106" t="str">
            <v>Keefer</v>
          </cell>
          <cell r="E106" t="str">
            <v>Johnson</v>
          </cell>
          <cell r="F106" t="str">
            <v>12</v>
          </cell>
          <cell r="G106" t="str">
            <v>N</v>
          </cell>
          <cell r="H106" t="str">
            <v/>
          </cell>
          <cell r="I106" t="str">
            <v>N</v>
          </cell>
          <cell r="J106" t="str">
            <v>Rates</v>
          </cell>
          <cell r="K106" t="str">
            <v/>
          </cell>
          <cell r="L106" t="str">
            <v>Fully</v>
          </cell>
          <cell r="M106" t="str">
            <v>Dodds</v>
          </cell>
          <cell r="N106" t="str">
            <v>0</v>
          </cell>
          <cell r="O106" t="str">
            <v>08</v>
          </cell>
          <cell r="P106" t="str">
            <v/>
          </cell>
          <cell r="Q106" t="str">
            <v/>
          </cell>
          <cell r="R106" t="str">
            <v>MD</v>
          </cell>
          <cell r="S106">
            <v>50000</v>
          </cell>
          <cell r="T106" t="str">
            <v>PPO/POS/HMO</v>
          </cell>
          <cell r="U106" t="str">
            <v>BFF5/CFF5</v>
          </cell>
          <cell r="V106" t="str">
            <v/>
          </cell>
          <cell r="W106" t="str">
            <v/>
          </cell>
          <cell r="X106">
            <v>1</v>
          </cell>
        </row>
        <row r="107">
          <cell r="A107" t="str">
            <v>6L05</v>
          </cell>
          <cell r="B107" t="str">
            <v xml:space="preserve">Booz Allen Hamilton                               </v>
          </cell>
          <cell r="C107" t="str">
            <v/>
          </cell>
          <cell r="D107" t="str">
            <v>McCourt</v>
          </cell>
          <cell r="E107" t="str">
            <v>Mugo</v>
          </cell>
          <cell r="F107" t="str">
            <v>01</v>
          </cell>
          <cell r="G107" t="str">
            <v>N</v>
          </cell>
          <cell r="H107" t="str">
            <v/>
          </cell>
          <cell r="I107" t="str">
            <v>N</v>
          </cell>
          <cell r="J107" t="str">
            <v>Rates</v>
          </cell>
          <cell r="K107" t="str">
            <v/>
          </cell>
          <cell r="L107" t="str">
            <v>Fully</v>
          </cell>
          <cell r="M107" t="str">
            <v>Bradshaw</v>
          </cell>
          <cell r="N107" t="str">
            <v/>
          </cell>
          <cell r="O107" t="str">
            <v>09</v>
          </cell>
          <cell r="P107" t="str">
            <v/>
          </cell>
          <cell r="Q107" t="str">
            <v/>
          </cell>
          <cell r="R107" t="str">
            <v>VA</v>
          </cell>
          <cell r="S107">
            <v>50000</v>
          </cell>
          <cell r="T107" t="str">
            <v>HMO</v>
          </cell>
          <cell r="U107" t="str">
            <v>CFF5</v>
          </cell>
          <cell r="V107" t="str">
            <v/>
          </cell>
          <cell r="W107" t="str">
            <v/>
          </cell>
          <cell r="X107">
            <v>1</v>
          </cell>
        </row>
        <row r="108">
          <cell r="A108" t="str">
            <v>7L14</v>
          </cell>
          <cell r="B108" t="str">
            <v>Bowa Builders</v>
          </cell>
          <cell r="C108" t="str">
            <v/>
          </cell>
          <cell r="D108" t="str">
            <v>Keefer</v>
          </cell>
          <cell r="E108" t="str">
            <v>Johnson</v>
          </cell>
          <cell r="F108" t="str">
            <v>12</v>
          </cell>
          <cell r="G108" t="str">
            <v>N</v>
          </cell>
          <cell r="H108" t="str">
            <v>N</v>
          </cell>
          <cell r="I108" t="str">
            <v>N</v>
          </cell>
          <cell r="J108" t="str">
            <v>Rates</v>
          </cell>
          <cell r="K108" t="str">
            <v/>
          </cell>
          <cell r="L108" t="str">
            <v>Fully</v>
          </cell>
          <cell r="M108" t="str">
            <v>Wise</v>
          </cell>
          <cell r="N108" t="str">
            <v/>
          </cell>
          <cell r="O108" t="str">
            <v>08</v>
          </cell>
          <cell r="P108" t="str">
            <v/>
          </cell>
          <cell r="Q108" t="str">
            <v/>
          </cell>
          <cell r="R108" t="str">
            <v>VA</v>
          </cell>
          <cell r="S108">
            <v>50000</v>
          </cell>
          <cell r="T108" t="str">
            <v>HMO, OA PPO DENTAL</v>
          </cell>
          <cell r="U108" t="str">
            <v>BFF5</v>
          </cell>
          <cell r="V108" t="str">
            <v>Y</v>
          </cell>
          <cell r="W108" t="str">
            <v>12/1/2004</v>
          </cell>
          <cell r="X108">
            <v>1</v>
          </cell>
        </row>
        <row r="109">
          <cell r="A109" t="str">
            <v>TH16</v>
          </cell>
          <cell r="B109" t="str">
            <v xml:space="preserve">Brace Management Group, Inc.                      </v>
          </cell>
          <cell r="C109" t="str">
            <v/>
          </cell>
          <cell r="D109" t="str">
            <v>Keefer</v>
          </cell>
          <cell r="E109" t="str">
            <v>LaTouche</v>
          </cell>
          <cell r="F109" t="str">
            <v>04</v>
          </cell>
          <cell r="G109" t="str">
            <v>N</v>
          </cell>
          <cell r="H109" t="str">
            <v/>
          </cell>
          <cell r="I109" t="str">
            <v>N</v>
          </cell>
          <cell r="J109" t="str">
            <v>Rates</v>
          </cell>
          <cell r="K109" t="str">
            <v/>
          </cell>
          <cell r="L109" t="str">
            <v>Fully</v>
          </cell>
          <cell r="M109" t="str">
            <v>Guessford-Kline</v>
          </cell>
          <cell r="N109" t="str">
            <v/>
          </cell>
          <cell r="O109" t="str">
            <v>12</v>
          </cell>
          <cell r="P109" t="str">
            <v>LaTouche</v>
          </cell>
          <cell r="Q109" t="str">
            <v/>
          </cell>
          <cell r="R109" t="str">
            <v>MD</v>
          </cell>
          <cell r="S109">
            <v>50000</v>
          </cell>
          <cell r="T109" t="str">
            <v>PPO</v>
          </cell>
          <cell r="U109" t="str">
            <v>BFF5</v>
          </cell>
          <cell r="V109" t="str">
            <v/>
          </cell>
          <cell r="W109" t="str">
            <v/>
          </cell>
          <cell r="X109">
            <v>1</v>
          </cell>
        </row>
        <row r="110">
          <cell r="A110" t="str">
            <v>XL24</v>
          </cell>
          <cell r="B110" t="str">
            <v>Broadsoft</v>
          </cell>
          <cell r="C110" t="str">
            <v/>
          </cell>
          <cell r="D110" t="str">
            <v>Keefer</v>
          </cell>
          <cell r="E110" t="str">
            <v>Burba</v>
          </cell>
          <cell r="F110" t="str">
            <v>06</v>
          </cell>
          <cell r="G110" t="str">
            <v>N</v>
          </cell>
          <cell r="H110" t="str">
            <v/>
          </cell>
          <cell r="I110" t="str">
            <v>N</v>
          </cell>
          <cell r="J110" t="str">
            <v>Rates</v>
          </cell>
          <cell r="K110" t="str">
            <v/>
          </cell>
          <cell r="L110" t="str">
            <v>Fully</v>
          </cell>
          <cell r="M110" t="str">
            <v>Wise</v>
          </cell>
          <cell r="N110" t="str">
            <v/>
          </cell>
          <cell r="O110" t="str">
            <v>02</v>
          </cell>
          <cell r="P110" t="str">
            <v>Barkley</v>
          </cell>
          <cell r="Q110" t="str">
            <v/>
          </cell>
          <cell r="R110" t="str">
            <v>MD</v>
          </cell>
          <cell r="S110">
            <v>50000</v>
          </cell>
          <cell r="T110" t="str">
            <v>PPO/OA/HMO</v>
          </cell>
          <cell r="U110" t="str">
            <v>BFF5/CFF5</v>
          </cell>
          <cell r="V110" t="str">
            <v/>
          </cell>
          <cell r="W110" t="str">
            <v/>
          </cell>
          <cell r="X110">
            <v>1</v>
          </cell>
        </row>
        <row r="111">
          <cell r="A111" t="str">
            <v>7H21</v>
          </cell>
          <cell r="B111" t="str">
            <v>Burns, Doane, Swecker &amp; Mathis LLP</v>
          </cell>
          <cell r="C111" t="str">
            <v/>
          </cell>
          <cell r="D111" t="str">
            <v>McCourt</v>
          </cell>
          <cell r="E111" t="str">
            <v>Mugo</v>
          </cell>
          <cell r="F111" t="str">
            <v>01</v>
          </cell>
          <cell r="G111" t="str">
            <v>N</v>
          </cell>
          <cell r="H111" t="str">
            <v>N</v>
          </cell>
          <cell r="I111" t="str">
            <v>N</v>
          </cell>
          <cell r="J111" t="str">
            <v>Rates</v>
          </cell>
          <cell r="K111" t="str">
            <v/>
          </cell>
          <cell r="L111" t="str">
            <v>Fully</v>
          </cell>
          <cell r="M111" t="str">
            <v>Dunn</v>
          </cell>
          <cell r="N111" t="str">
            <v/>
          </cell>
          <cell r="O111" t="str">
            <v>09</v>
          </cell>
          <cell r="P111" t="str">
            <v>Addy</v>
          </cell>
          <cell r="Q111" t="str">
            <v/>
          </cell>
          <cell r="R111" t="str">
            <v>VA</v>
          </cell>
          <cell r="S111">
            <v>75000</v>
          </cell>
          <cell r="T111" t="str">
            <v>HMO/PPO</v>
          </cell>
          <cell r="U111" t="str">
            <v>BFF7/CFF7</v>
          </cell>
          <cell r="V111" t="str">
            <v>Y</v>
          </cell>
          <cell r="W111" t="str">
            <v>1/1/2004</v>
          </cell>
          <cell r="X111">
            <v>1</v>
          </cell>
        </row>
        <row r="112">
          <cell r="A112" t="str">
            <v>7L33</v>
          </cell>
          <cell r="B112" t="str">
            <v xml:space="preserve">BW Medical Laboratories                           </v>
          </cell>
          <cell r="C112" t="str">
            <v/>
          </cell>
          <cell r="D112" t="str">
            <v>Keefer</v>
          </cell>
          <cell r="E112" t="str">
            <v>Padrutt</v>
          </cell>
          <cell r="F112" t="str">
            <v>01</v>
          </cell>
          <cell r="G112" t="str">
            <v>N</v>
          </cell>
          <cell r="H112" t="str">
            <v/>
          </cell>
          <cell r="I112" t="str">
            <v>N</v>
          </cell>
          <cell r="J112" t="str">
            <v>Rates</v>
          </cell>
          <cell r="K112" t="str">
            <v/>
          </cell>
          <cell r="L112" t="str">
            <v>Fully</v>
          </cell>
          <cell r="M112" t="str">
            <v>Warren</v>
          </cell>
          <cell r="N112" t="str">
            <v/>
          </cell>
          <cell r="O112" t="str">
            <v>09</v>
          </cell>
          <cell r="P112" t="str">
            <v/>
          </cell>
          <cell r="Q112" t="str">
            <v/>
          </cell>
          <cell r="R112" t="str">
            <v>MD</v>
          </cell>
          <cell r="S112">
            <v>50000</v>
          </cell>
          <cell r="T112" t="str">
            <v>OA</v>
          </cell>
          <cell r="U112" t="str">
            <v>CFF5</v>
          </cell>
          <cell r="V112" t="str">
            <v>Y</v>
          </cell>
          <cell r="W112" t="str">
            <v>1/1/2005</v>
          </cell>
          <cell r="X112">
            <v>1</v>
          </cell>
        </row>
        <row r="113">
          <cell r="A113" t="str">
            <v>3L23</v>
          </cell>
          <cell r="B113" t="str">
            <v xml:space="preserve">C2 Technologies, Inc.                             </v>
          </cell>
          <cell r="C113" t="str">
            <v/>
          </cell>
          <cell r="D113" t="str">
            <v>McCourt</v>
          </cell>
          <cell r="E113" t="str">
            <v>Rutkowski</v>
          </cell>
          <cell r="F113" t="str">
            <v>01</v>
          </cell>
          <cell r="G113" t="str">
            <v>N</v>
          </cell>
          <cell r="H113" t="str">
            <v/>
          </cell>
          <cell r="I113" t="str">
            <v>N</v>
          </cell>
          <cell r="J113" t="str">
            <v>Rates</v>
          </cell>
          <cell r="K113" t="str">
            <v/>
          </cell>
          <cell r="L113" t="str">
            <v>Fully</v>
          </cell>
          <cell r="M113" t="str">
            <v>Wise</v>
          </cell>
          <cell r="N113" t="str">
            <v/>
          </cell>
          <cell r="O113" t="str">
            <v>09</v>
          </cell>
          <cell r="P113" t="str">
            <v>Rutkowski</v>
          </cell>
          <cell r="Q113" t="str">
            <v/>
          </cell>
          <cell r="R113" t="str">
            <v>VA</v>
          </cell>
          <cell r="S113">
            <v>50000</v>
          </cell>
          <cell r="T113" t="str">
            <v>PPO/HMO/POS</v>
          </cell>
          <cell r="U113" t="str">
            <v>CFF5</v>
          </cell>
          <cell r="V113" t="str">
            <v/>
          </cell>
          <cell r="W113" t="str">
            <v/>
          </cell>
          <cell r="X113">
            <v>1</v>
          </cell>
        </row>
        <row r="114">
          <cell r="A114" t="str">
            <v>BVW0</v>
          </cell>
          <cell r="B114" t="str">
            <v xml:space="preserve">CAF USA, Inc.                                     </v>
          </cell>
          <cell r="C114" t="str">
            <v/>
          </cell>
          <cell r="D114" t="str">
            <v>McCourt</v>
          </cell>
          <cell r="E114" t="str">
            <v>Quade</v>
          </cell>
          <cell r="F114" t="str">
            <v>01</v>
          </cell>
          <cell r="G114" t="str">
            <v>N</v>
          </cell>
          <cell r="H114" t="str">
            <v>N</v>
          </cell>
          <cell r="I114" t="str">
            <v>N</v>
          </cell>
          <cell r="J114" t="str">
            <v>Rates</v>
          </cell>
          <cell r="K114" t="str">
            <v/>
          </cell>
          <cell r="L114" t="str">
            <v>Fully</v>
          </cell>
          <cell r="M114" t="str">
            <v>Henton-Davis</v>
          </cell>
          <cell r="N114" t="str">
            <v/>
          </cell>
          <cell r="O114" t="str">
            <v>09</v>
          </cell>
          <cell r="P114" t="str">
            <v/>
          </cell>
          <cell r="Q114" t="str">
            <v/>
          </cell>
          <cell r="R114" t="str">
            <v>DC</v>
          </cell>
          <cell r="S114">
            <v>50000</v>
          </cell>
          <cell r="T114" t="str">
            <v>PPO</v>
          </cell>
          <cell r="U114" t="str">
            <v>BFF6</v>
          </cell>
          <cell r="V114" t="str">
            <v>Y</v>
          </cell>
          <cell r="W114" t="str">
            <v>10/1/2003</v>
          </cell>
          <cell r="X114">
            <v>1</v>
          </cell>
        </row>
        <row r="115">
          <cell r="A115" t="str">
            <v>6D63</v>
          </cell>
          <cell r="B115" t="str">
            <v>Cafritz Company</v>
          </cell>
          <cell r="C115" t="str">
            <v/>
          </cell>
          <cell r="D115" t="str">
            <v>McCourt</v>
          </cell>
          <cell r="E115" t="str">
            <v>Slack</v>
          </cell>
          <cell r="F115" t="str">
            <v>01</v>
          </cell>
          <cell r="G115" t="str">
            <v>N</v>
          </cell>
          <cell r="H115" t="str">
            <v>N</v>
          </cell>
          <cell r="I115" t="str">
            <v>N</v>
          </cell>
          <cell r="J115" t="str">
            <v>Rates</v>
          </cell>
          <cell r="K115" t="str">
            <v/>
          </cell>
          <cell r="L115" t="str">
            <v>Fully</v>
          </cell>
          <cell r="M115" t="str">
            <v>Guessford-Kline</v>
          </cell>
          <cell r="N115" t="str">
            <v>0</v>
          </cell>
          <cell r="O115" t="str">
            <v>09</v>
          </cell>
          <cell r="P115" t="str">
            <v>Slack</v>
          </cell>
          <cell r="Q115" t="str">
            <v/>
          </cell>
          <cell r="R115" t="str">
            <v>DC</v>
          </cell>
          <cell r="S115">
            <v>50000</v>
          </cell>
          <cell r="T115" t="str">
            <v>HMO/POS/PPO</v>
          </cell>
          <cell r="U115" t="str">
            <v>BFF5/CFF5</v>
          </cell>
          <cell r="V115" t="str">
            <v/>
          </cell>
          <cell r="W115" t="str">
            <v/>
          </cell>
          <cell r="X115">
            <v>1</v>
          </cell>
        </row>
        <row r="116">
          <cell r="A116" t="str">
            <v>XR29</v>
          </cell>
          <cell r="B116" t="str">
            <v xml:space="preserve">Campaign Mail &amp; Data, Inc.                        </v>
          </cell>
          <cell r="C116" t="str">
            <v/>
          </cell>
          <cell r="D116" t="str">
            <v>Keefer</v>
          </cell>
          <cell r="E116" t="str">
            <v>Burba</v>
          </cell>
          <cell r="F116" t="str">
            <v>09</v>
          </cell>
          <cell r="G116" t="str">
            <v>N</v>
          </cell>
          <cell r="H116" t="str">
            <v/>
          </cell>
          <cell r="I116" t="str">
            <v>N</v>
          </cell>
          <cell r="J116" t="str">
            <v>Rates</v>
          </cell>
          <cell r="K116" t="str">
            <v/>
          </cell>
          <cell r="L116" t="str">
            <v>Fully</v>
          </cell>
          <cell r="M116" t="str">
            <v>Dodds</v>
          </cell>
          <cell r="N116" t="str">
            <v/>
          </cell>
          <cell r="O116" t="str">
            <v>05</v>
          </cell>
          <cell r="P116" t="str">
            <v/>
          </cell>
          <cell r="Q116" t="str">
            <v/>
          </cell>
          <cell r="R116" t="str">
            <v>VA</v>
          </cell>
          <cell r="S116">
            <v>50000</v>
          </cell>
          <cell r="T116" t="str">
            <v>POS/HMO/PPO</v>
          </cell>
          <cell r="U116" t="str">
            <v>BFF5/CFF5</v>
          </cell>
          <cell r="V116" t="str">
            <v/>
          </cell>
          <cell r="W116" t="str">
            <v/>
          </cell>
          <cell r="X116">
            <v>1</v>
          </cell>
        </row>
        <row r="117">
          <cell r="A117" t="str">
            <v>QJ09</v>
          </cell>
          <cell r="B117" t="str">
            <v xml:space="preserve">Can-Am Contractors, Inc.                          </v>
          </cell>
          <cell r="C117" t="str">
            <v/>
          </cell>
          <cell r="D117" t="str">
            <v>Keefer</v>
          </cell>
          <cell r="E117" t="str">
            <v>Burba</v>
          </cell>
          <cell r="F117" t="str">
            <v>12</v>
          </cell>
          <cell r="G117" t="str">
            <v>N</v>
          </cell>
          <cell r="H117" t="str">
            <v/>
          </cell>
          <cell r="I117" t="str">
            <v>N</v>
          </cell>
          <cell r="J117" t="str">
            <v>Rates</v>
          </cell>
          <cell r="K117" t="str">
            <v/>
          </cell>
          <cell r="L117" t="str">
            <v>Fully</v>
          </cell>
          <cell r="M117" t="str">
            <v>Thomas</v>
          </cell>
          <cell r="N117" t="str">
            <v/>
          </cell>
          <cell r="O117" t="str">
            <v>08</v>
          </cell>
          <cell r="P117" t="str">
            <v/>
          </cell>
          <cell r="Q117" t="str">
            <v/>
          </cell>
          <cell r="R117" t="str">
            <v>MD</v>
          </cell>
          <cell r="S117">
            <v>50000</v>
          </cell>
          <cell r="T117" t="str">
            <v>HMO</v>
          </cell>
          <cell r="U117" t="str">
            <v>CFF5</v>
          </cell>
          <cell r="V117" t="str">
            <v>Y</v>
          </cell>
          <cell r="W117" t="str">
            <v>12/1/2004</v>
          </cell>
          <cell r="X117">
            <v>1</v>
          </cell>
        </row>
        <row r="118">
          <cell r="A118" t="str">
            <v>MF46</v>
          </cell>
          <cell r="B118" t="str">
            <v>Capital Rentals</v>
          </cell>
          <cell r="C118" t="str">
            <v/>
          </cell>
          <cell r="D118" t="str">
            <v>Keefer</v>
          </cell>
          <cell r="E118" t="str">
            <v>Johnson</v>
          </cell>
          <cell r="F118" t="str">
            <v>01</v>
          </cell>
          <cell r="G118" t="str">
            <v>N</v>
          </cell>
          <cell r="H118" t="str">
            <v>N</v>
          </cell>
          <cell r="I118" t="str">
            <v>N</v>
          </cell>
          <cell r="J118" t="str">
            <v>Rates</v>
          </cell>
          <cell r="K118" t="str">
            <v/>
          </cell>
          <cell r="L118" t="str">
            <v>Fully</v>
          </cell>
          <cell r="M118" t="str">
            <v>Wise</v>
          </cell>
          <cell r="N118" t="str">
            <v>0</v>
          </cell>
          <cell r="O118" t="str">
            <v>09</v>
          </cell>
          <cell r="P118" t="str">
            <v/>
          </cell>
          <cell r="Q118" t="str">
            <v/>
          </cell>
          <cell r="R118" t="str">
            <v>VA</v>
          </cell>
          <cell r="S118">
            <v>50000</v>
          </cell>
          <cell r="T118" t="str">
            <v>ADV</v>
          </cell>
          <cell r="U118" t="str">
            <v>CFF5</v>
          </cell>
          <cell r="V118" t="str">
            <v/>
          </cell>
          <cell r="W118" t="str">
            <v/>
          </cell>
          <cell r="X118">
            <v>1</v>
          </cell>
        </row>
        <row r="119">
          <cell r="A119" t="str">
            <v>TJ01</v>
          </cell>
          <cell r="B119" t="str">
            <v>Capital Surini Group (The)</v>
          </cell>
          <cell r="C119" t="str">
            <v/>
          </cell>
          <cell r="D119" t="str">
            <v>McCourt</v>
          </cell>
          <cell r="E119" t="str">
            <v>Slack</v>
          </cell>
          <cell r="F119" t="str">
            <v>04</v>
          </cell>
          <cell r="G119" t="str">
            <v>N</v>
          </cell>
          <cell r="H119" t="str">
            <v>N</v>
          </cell>
          <cell r="I119" t="str">
            <v>N</v>
          </cell>
          <cell r="J119" t="str">
            <v>Rates</v>
          </cell>
          <cell r="K119" t="str">
            <v/>
          </cell>
          <cell r="L119" t="str">
            <v>Fully</v>
          </cell>
          <cell r="M119" t="str">
            <v>Guessford-Kline</v>
          </cell>
          <cell r="N119" t="str">
            <v>0</v>
          </cell>
          <cell r="O119" t="str">
            <v>12</v>
          </cell>
          <cell r="P119" t="str">
            <v>Slack</v>
          </cell>
          <cell r="Q119" t="str">
            <v/>
          </cell>
          <cell r="R119" t="str">
            <v>MD</v>
          </cell>
          <cell r="S119">
            <v>50000</v>
          </cell>
          <cell r="T119" t="str">
            <v>HMO/PPO/ADV</v>
          </cell>
          <cell r="U119" t="str">
            <v>BFF6/CFF6</v>
          </cell>
          <cell r="V119" t="str">
            <v/>
          </cell>
          <cell r="W119" t="str">
            <v/>
          </cell>
          <cell r="X119">
            <v>1</v>
          </cell>
        </row>
        <row r="120">
          <cell r="A120" t="str">
            <v>7H49</v>
          </cell>
          <cell r="B120" t="str">
            <v xml:space="preserve">Capitol Cadillac Company                          </v>
          </cell>
          <cell r="C120" t="str">
            <v/>
          </cell>
          <cell r="D120" t="str">
            <v>Keefer</v>
          </cell>
          <cell r="E120" t="str">
            <v>Burba</v>
          </cell>
          <cell r="F120" t="str">
            <v>06</v>
          </cell>
          <cell r="G120" t="str">
            <v>N</v>
          </cell>
          <cell r="H120" t="str">
            <v/>
          </cell>
          <cell r="I120" t="str">
            <v>N</v>
          </cell>
          <cell r="J120" t="str">
            <v>Rates</v>
          </cell>
          <cell r="K120" t="str">
            <v/>
          </cell>
          <cell r="L120" t="str">
            <v>Fully</v>
          </cell>
          <cell r="M120" t="str">
            <v>Swears</v>
          </cell>
          <cell r="N120" t="str">
            <v/>
          </cell>
          <cell r="O120" t="str">
            <v>02</v>
          </cell>
          <cell r="P120" t="str">
            <v/>
          </cell>
          <cell r="Q120" t="str">
            <v/>
          </cell>
          <cell r="R120" t="str">
            <v>MD</v>
          </cell>
          <cell r="S120">
            <v>50000</v>
          </cell>
          <cell r="T120" t="str">
            <v>PPO/OA/HMO</v>
          </cell>
          <cell r="U120" t="str">
            <v>BFF5/CFF5</v>
          </cell>
          <cell r="V120" t="str">
            <v>Y</v>
          </cell>
          <cell r="W120" t="str">
            <v>6/1/2004</v>
          </cell>
          <cell r="X120">
            <v>1</v>
          </cell>
        </row>
        <row r="121">
          <cell r="A121" t="str">
            <v>07GT</v>
          </cell>
          <cell r="B121" t="str">
            <v xml:space="preserve">Capitol Drywall, Inc.                             </v>
          </cell>
          <cell r="C121" t="str">
            <v/>
          </cell>
          <cell r="D121" t="str">
            <v>Keefer</v>
          </cell>
          <cell r="E121" t="str">
            <v>LaTouche</v>
          </cell>
          <cell r="F121" t="str">
            <v>09</v>
          </cell>
          <cell r="G121" t="str">
            <v>N</v>
          </cell>
          <cell r="H121" t="str">
            <v/>
          </cell>
          <cell r="I121" t="str">
            <v>N</v>
          </cell>
          <cell r="J121" t="str">
            <v>Rates</v>
          </cell>
          <cell r="K121" t="str">
            <v/>
          </cell>
          <cell r="L121" t="str">
            <v>Fully</v>
          </cell>
          <cell r="M121" t="str">
            <v>Cosby</v>
          </cell>
          <cell r="N121" t="str">
            <v/>
          </cell>
          <cell r="O121" t="str">
            <v>05</v>
          </cell>
          <cell r="P121" t="str">
            <v>LaTouche</v>
          </cell>
          <cell r="Q121" t="str">
            <v/>
          </cell>
          <cell r="R121" t="str">
            <v>MD</v>
          </cell>
          <cell r="S121">
            <v>50000</v>
          </cell>
          <cell r="T121" t="str">
            <v>PPO/HMO</v>
          </cell>
          <cell r="U121" t="str">
            <v>BFF5/CFF5</v>
          </cell>
          <cell r="V121" t="str">
            <v>Y</v>
          </cell>
          <cell r="W121" t="str">
            <v>9/1/2004</v>
          </cell>
          <cell r="X121">
            <v>1</v>
          </cell>
        </row>
        <row r="122">
          <cell r="A122" t="str">
            <v>7L49</v>
          </cell>
          <cell r="B122" t="str">
            <v>CAR LIFE ENTERPRISES</v>
          </cell>
          <cell r="C122" t="str">
            <v/>
          </cell>
          <cell r="D122" t="str">
            <v>Keefer</v>
          </cell>
          <cell r="E122" t="str">
            <v>Johnson</v>
          </cell>
          <cell r="F122" t="str">
            <v>01</v>
          </cell>
          <cell r="G122" t="str">
            <v>N</v>
          </cell>
          <cell r="H122" t="str">
            <v>N</v>
          </cell>
          <cell r="I122" t="str">
            <v>N</v>
          </cell>
          <cell r="J122" t="str">
            <v>Rates</v>
          </cell>
          <cell r="K122" t="str">
            <v/>
          </cell>
          <cell r="L122" t="str">
            <v>Fully</v>
          </cell>
          <cell r="M122" t="str">
            <v>Wise</v>
          </cell>
          <cell r="N122" t="str">
            <v/>
          </cell>
          <cell r="O122" t="str">
            <v>09</v>
          </cell>
          <cell r="P122" t="str">
            <v/>
          </cell>
          <cell r="Q122" t="str">
            <v/>
          </cell>
          <cell r="R122" t="str">
            <v>MD</v>
          </cell>
          <cell r="S122">
            <v>50000</v>
          </cell>
          <cell r="T122" t="str">
            <v/>
          </cell>
          <cell r="U122" t="str">
            <v>BFF5</v>
          </cell>
          <cell r="V122" t="str">
            <v>Y</v>
          </cell>
          <cell r="W122" t="str">
            <v>1/1/2005</v>
          </cell>
          <cell r="X122">
            <v>1</v>
          </cell>
        </row>
        <row r="123">
          <cell r="A123" t="str">
            <v>M082</v>
          </cell>
          <cell r="B123" t="str">
            <v>Cardiovascular Group (The)</v>
          </cell>
          <cell r="C123" t="str">
            <v/>
          </cell>
          <cell r="D123" t="str">
            <v>Keefer</v>
          </cell>
          <cell r="E123" t="str">
            <v>Burba</v>
          </cell>
          <cell r="F123" t="str">
            <v>04</v>
          </cell>
          <cell r="G123" t="str">
            <v>N</v>
          </cell>
          <cell r="H123" t="str">
            <v/>
          </cell>
          <cell r="I123" t="str">
            <v>N</v>
          </cell>
          <cell r="J123" t="str">
            <v>Rates</v>
          </cell>
          <cell r="K123" t="str">
            <v/>
          </cell>
          <cell r="L123" t="str">
            <v>Fully</v>
          </cell>
          <cell r="M123" t="str">
            <v>Savoca</v>
          </cell>
          <cell r="N123" t="str">
            <v/>
          </cell>
          <cell r="O123" t="str">
            <v>12</v>
          </cell>
          <cell r="P123" t="str">
            <v>Thacker</v>
          </cell>
          <cell r="Q123" t="str">
            <v/>
          </cell>
          <cell r="R123" t="str">
            <v>VA</v>
          </cell>
          <cell r="S123">
            <v>50000</v>
          </cell>
          <cell r="T123" t="str">
            <v>HMO/PPO/OA</v>
          </cell>
          <cell r="U123" t="str">
            <v>BFF6/CFF6</v>
          </cell>
          <cell r="V123" t="str">
            <v/>
          </cell>
          <cell r="W123" t="str">
            <v/>
          </cell>
          <cell r="X123">
            <v>1</v>
          </cell>
        </row>
        <row r="124">
          <cell r="A124" t="str">
            <v>3K95</v>
          </cell>
          <cell r="B124" t="str">
            <v xml:space="preserve">Carlos Rosario Career Center                      </v>
          </cell>
          <cell r="C124" t="str">
            <v/>
          </cell>
          <cell r="D124" t="str">
            <v>Keefer</v>
          </cell>
          <cell r="E124" t="str">
            <v>Newman</v>
          </cell>
          <cell r="F124" t="str">
            <v>12</v>
          </cell>
          <cell r="G124" t="str">
            <v>N</v>
          </cell>
          <cell r="H124" t="str">
            <v/>
          </cell>
          <cell r="I124" t="str">
            <v>N</v>
          </cell>
          <cell r="J124" t="str">
            <v>Rates</v>
          </cell>
          <cell r="K124" t="str">
            <v/>
          </cell>
          <cell r="L124" t="str">
            <v>Fully</v>
          </cell>
          <cell r="M124" t="str">
            <v>Wise</v>
          </cell>
          <cell r="N124" t="str">
            <v/>
          </cell>
          <cell r="O124" t="str">
            <v>08</v>
          </cell>
          <cell r="P124" t="str">
            <v/>
          </cell>
          <cell r="Q124" t="str">
            <v/>
          </cell>
          <cell r="R124" t="str">
            <v>DC</v>
          </cell>
          <cell r="S124">
            <v>50000</v>
          </cell>
          <cell r="T124" t="str">
            <v>PPO/HMO</v>
          </cell>
          <cell r="U124" t="str">
            <v>BFF5/CFF5</v>
          </cell>
          <cell r="V124" t="str">
            <v/>
          </cell>
          <cell r="W124" t="str">
            <v/>
          </cell>
          <cell r="X124">
            <v>1</v>
          </cell>
        </row>
        <row r="125">
          <cell r="A125" t="str">
            <v>MW12</v>
          </cell>
          <cell r="B125" t="str">
            <v>Cassidy &amp; Pinkard, Inc.</v>
          </cell>
          <cell r="C125" t="str">
            <v/>
          </cell>
          <cell r="D125" t="str">
            <v>Keefer</v>
          </cell>
          <cell r="E125" t="str">
            <v>Johnson</v>
          </cell>
          <cell r="F125" t="str">
            <v>02</v>
          </cell>
          <cell r="G125" t="str">
            <v>N</v>
          </cell>
          <cell r="H125" t="str">
            <v>N</v>
          </cell>
          <cell r="I125" t="str">
            <v>N</v>
          </cell>
          <cell r="J125" t="str">
            <v>Rates</v>
          </cell>
          <cell r="K125" t="str">
            <v/>
          </cell>
          <cell r="L125" t="str">
            <v>Fully</v>
          </cell>
          <cell r="M125" t="str">
            <v>Dodds</v>
          </cell>
          <cell r="N125" t="str">
            <v>0</v>
          </cell>
          <cell r="O125" t="str">
            <v>10</v>
          </cell>
          <cell r="P125" t="str">
            <v>Kochert</v>
          </cell>
          <cell r="Q125" t="str">
            <v/>
          </cell>
          <cell r="R125" t="str">
            <v>DC</v>
          </cell>
          <cell r="S125">
            <v>50000</v>
          </cell>
          <cell r="T125" t="str">
            <v>POS</v>
          </cell>
          <cell r="U125" t="str">
            <v>BFF5</v>
          </cell>
          <cell r="V125" t="str">
            <v/>
          </cell>
          <cell r="W125" t="str">
            <v/>
          </cell>
          <cell r="X125">
            <v>1</v>
          </cell>
        </row>
        <row r="126">
          <cell r="A126" t="str">
            <v>0KMW</v>
          </cell>
          <cell r="B126" t="str">
            <v>Catholic Cemeteries of the Archdiocese of Washingt</v>
          </cell>
          <cell r="C126" t="str">
            <v/>
          </cell>
          <cell r="D126" t="str">
            <v>Keefer</v>
          </cell>
          <cell r="E126" t="str">
            <v>Burba</v>
          </cell>
          <cell r="F126" t="str">
            <v>06</v>
          </cell>
          <cell r="G126" t="str">
            <v>N</v>
          </cell>
          <cell r="H126" t="str">
            <v/>
          </cell>
          <cell r="I126" t="str">
            <v>N</v>
          </cell>
          <cell r="J126" t="str">
            <v>Rates</v>
          </cell>
          <cell r="K126" t="str">
            <v/>
          </cell>
          <cell r="L126" t="str">
            <v>Fully</v>
          </cell>
          <cell r="M126" t="str">
            <v>Rand</v>
          </cell>
          <cell r="N126" t="str">
            <v/>
          </cell>
          <cell r="O126" t="str">
            <v>02</v>
          </cell>
          <cell r="P126" t="str">
            <v/>
          </cell>
          <cell r="Q126" t="str">
            <v/>
          </cell>
          <cell r="R126" t="str">
            <v>DC</v>
          </cell>
          <cell r="S126">
            <v>50000</v>
          </cell>
          <cell r="T126" t="str">
            <v>HMO/OA</v>
          </cell>
          <cell r="U126" t="str">
            <v>CFF5</v>
          </cell>
          <cell r="V126" t="str">
            <v>Y</v>
          </cell>
          <cell r="W126" t="str">
            <v>6/1/2005</v>
          </cell>
          <cell r="X126">
            <v>1</v>
          </cell>
        </row>
        <row r="127">
          <cell r="A127" t="str">
            <v>UM32</v>
          </cell>
          <cell r="B127" t="str">
            <v>Cavalier Maintenance Service</v>
          </cell>
          <cell r="C127" t="str">
            <v/>
          </cell>
          <cell r="D127" t="str">
            <v>Keefer</v>
          </cell>
          <cell r="E127" t="str">
            <v>Anderson</v>
          </cell>
          <cell r="F127" t="str">
            <v>07</v>
          </cell>
          <cell r="G127" t="str">
            <v>N</v>
          </cell>
          <cell r="H127" t="str">
            <v>N</v>
          </cell>
          <cell r="I127" t="str">
            <v>N</v>
          </cell>
          <cell r="J127" t="str">
            <v>Rates</v>
          </cell>
          <cell r="K127" t="str">
            <v/>
          </cell>
          <cell r="L127" t="str">
            <v>Fully</v>
          </cell>
          <cell r="M127" t="str">
            <v>Wise</v>
          </cell>
          <cell r="N127" t="str">
            <v>0</v>
          </cell>
          <cell r="O127" t="str">
            <v>03</v>
          </cell>
          <cell r="P127" t="str">
            <v>King, K.</v>
          </cell>
          <cell r="Q127" t="str">
            <v/>
          </cell>
          <cell r="R127" t="str">
            <v>VA</v>
          </cell>
          <cell r="S127">
            <v>50000</v>
          </cell>
          <cell r="T127" t="str">
            <v>HMO PPO OA Rx</v>
          </cell>
          <cell r="U127" t="str">
            <v>BFF5/CFF5</v>
          </cell>
          <cell r="V127" t="str">
            <v/>
          </cell>
          <cell r="W127" t="str">
            <v/>
          </cell>
          <cell r="X127">
            <v>1</v>
          </cell>
        </row>
        <row r="128">
          <cell r="A128" t="str">
            <v>SF91</v>
          </cell>
          <cell r="B128" t="str">
            <v>CDM Group, Inc. (The)</v>
          </cell>
          <cell r="C128" t="str">
            <v/>
          </cell>
          <cell r="D128" t="str">
            <v>McCourt</v>
          </cell>
          <cell r="E128" t="str">
            <v>Quade</v>
          </cell>
          <cell r="F128" t="str">
            <v>01</v>
          </cell>
          <cell r="G128" t="str">
            <v>N</v>
          </cell>
          <cell r="H128" t="str">
            <v>N</v>
          </cell>
          <cell r="I128" t="str">
            <v>N</v>
          </cell>
          <cell r="J128" t="str">
            <v>Rates</v>
          </cell>
          <cell r="K128" t="str">
            <v/>
          </cell>
          <cell r="L128" t="str">
            <v>Fully</v>
          </cell>
          <cell r="M128" t="str">
            <v>Dodds</v>
          </cell>
          <cell r="N128" t="str">
            <v>0</v>
          </cell>
          <cell r="O128" t="str">
            <v>09</v>
          </cell>
          <cell r="P128" t="str">
            <v>Johnson</v>
          </cell>
          <cell r="Q128" t="str">
            <v/>
          </cell>
          <cell r="R128" t="str">
            <v>MD</v>
          </cell>
          <cell r="S128">
            <v>50000</v>
          </cell>
          <cell r="T128" t="str">
            <v>PPO</v>
          </cell>
          <cell r="U128" t="str">
            <v>BFF5</v>
          </cell>
          <cell r="V128" t="str">
            <v/>
          </cell>
          <cell r="W128" t="str">
            <v/>
          </cell>
          <cell r="X128">
            <v>1</v>
          </cell>
        </row>
        <row r="129">
          <cell r="A129" t="str">
            <v>MZ45</v>
          </cell>
          <cell r="B129" t="str">
            <v>Centech Group, Inc. (The)</v>
          </cell>
          <cell r="C129" t="str">
            <v/>
          </cell>
          <cell r="D129" t="str">
            <v>McCourt</v>
          </cell>
          <cell r="E129" t="str">
            <v>Slack</v>
          </cell>
          <cell r="F129" t="str">
            <v>04</v>
          </cell>
          <cell r="G129" t="str">
            <v>N</v>
          </cell>
          <cell r="H129" t="str">
            <v>N</v>
          </cell>
          <cell r="I129" t="str">
            <v>N</v>
          </cell>
          <cell r="J129" t="str">
            <v>Rates</v>
          </cell>
          <cell r="K129" t="str">
            <v/>
          </cell>
          <cell r="L129" t="str">
            <v>Fully</v>
          </cell>
          <cell r="M129" t="str">
            <v>Dunn</v>
          </cell>
          <cell r="N129" t="str">
            <v>0</v>
          </cell>
          <cell r="O129" t="str">
            <v>12</v>
          </cell>
          <cell r="P129" t="str">
            <v>Slack</v>
          </cell>
          <cell r="Q129" t="str">
            <v/>
          </cell>
          <cell r="R129" t="str">
            <v>VA</v>
          </cell>
          <cell r="S129">
            <v>50000</v>
          </cell>
          <cell r="T129" t="str">
            <v>PPO/POS/HMO</v>
          </cell>
          <cell r="U129" t="str">
            <v>BFF7/CFF7</v>
          </cell>
          <cell r="V129" t="str">
            <v/>
          </cell>
          <cell r="W129" t="str">
            <v/>
          </cell>
          <cell r="X129">
            <v>1</v>
          </cell>
        </row>
        <row r="130">
          <cell r="A130" t="str">
            <v>3M19</v>
          </cell>
          <cell r="B130" t="str">
            <v>Center for Community Change</v>
          </cell>
          <cell r="C130" t="str">
            <v/>
          </cell>
          <cell r="D130" t="str">
            <v>McCourt</v>
          </cell>
          <cell r="E130" t="str">
            <v>Quade</v>
          </cell>
          <cell r="F130" t="str">
            <v>06</v>
          </cell>
          <cell r="G130" t="str">
            <v>N</v>
          </cell>
          <cell r="H130" t="str">
            <v>N</v>
          </cell>
          <cell r="I130" t="str">
            <v>N</v>
          </cell>
          <cell r="J130" t="str">
            <v>Rates</v>
          </cell>
          <cell r="K130" t="str">
            <v/>
          </cell>
          <cell r="L130" t="str">
            <v>Fully</v>
          </cell>
          <cell r="M130" t="str">
            <v>Savoca</v>
          </cell>
          <cell r="N130" t="str">
            <v>0</v>
          </cell>
          <cell r="O130" t="str">
            <v>02</v>
          </cell>
          <cell r="P130" t="str">
            <v/>
          </cell>
          <cell r="Q130" t="str">
            <v/>
          </cell>
          <cell r="R130" t="str">
            <v>DC</v>
          </cell>
          <cell r="S130">
            <v>50000</v>
          </cell>
          <cell r="T130" t="str">
            <v>HMO/POS/PPO</v>
          </cell>
          <cell r="U130" t="str">
            <v>BFF5/CFF5</v>
          </cell>
          <cell r="V130" t="str">
            <v/>
          </cell>
          <cell r="W130" t="str">
            <v/>
          </cell>
          <cell r="X130">
            <v>1</v>
          </cell>
        </row>
        <row r="131">
          <cell r="A131" t="str">
            <v>4H31</v>
          </cell>
          <cell r="B131" t="str">
            <v>Center for Correctional Health &amp; Studies</v>
          </cell>
          <cell r="C131" t="str">
            <v/>
          </cell>
          <cell r="D131" t="str">
            <v>McCourt</v>
          </cell>
          <cell r="E131" t="str">
            <v>Rutkowski</v>
          </cell>
          <cell r="F131" t="str">
            <v>05</v>
          </cell>
          <cell r="G131" t="str">
            <v>N</v>
          </cell>
          <cell r="H131" t="str">
            <v/>
          </cell>
          <cell r="I131" t="str">
            <v>N</v>
          </cell>
          <cell r="J131" t="str">
            <v>Rates</v>
          </cell>
          <cell r="K131" t="str">
            <v/>
          </cell>
          <cell r="L131" t="str">
            <v>Fully</v>
          </cell>
          <cell r="M131" t="str">
            <v>Dodds</v>
          </cell>
          <cell r="N131" t="str">
            <v>0</v>
          </cell>
          <cell r="O131" t="str">
            <v>01</v>
          </cell>
          <cell r="P131" t="str">
            <v>Rutkowski</v>
          </cell>
          <cell r="Q131" t="str">
            <v/>
          </cell>
          <cell r="R131" t="str">
            <v>MD</v>
          </cell>
          <cell r="S131">
            <v>50000</v>
          </cell>
          <cell r="T131" t="str">
            <v>POS/HMO</v>
          </cell>
          <cell r="U131" t="str">
            <v>BFF6/CFF6</v>
          </cell>
          <cell r="V131" t="str">
            <v/>
          </cell>
          <cell r="W131" t="str">
            <v/>
          </cell>
          <cell r="X131">
            <v>1</v>
          </cell>
        </row>
        <row r="132">
          <cell r="A132" t="str">
            <v>NC33</v>
          </cell>
          <cell r="B132" t="str">
            <v>Center for Strategic and International Studies (</v>
          </cell>
          <cell r="C132" t="str">
            <v/>
          </cell>
          <cell r="D132" t="str">
            <v>McCourt</v>
          </cell>
          <cell r="E132" t="str">
            <v>Rutkowski</v>
          </cell>
          <cell r="F132" t="str">
            <v>07</v>
          </cell>
          <cell r="G132" t="str">
            <v>N</v>
          </cell>
          <cell r="H132" t="str">
            <v>N</v>
          </cell>
          <cell r="I132" t="str">
            <v>N</v>
          </cell>
          <cell r="J132" t="str">
            <v>Rates</v>
          </cell>
          <cell r="K132" t="str">
            <v/>
          </cell>
          <cell r="L132" t="str">
            <v>Fully</v>
          </cell>
          <cell r="M132" t="str">
            <v>Dodds</v>
          </cell>
          <cell r="N132" t="str">
            <v>0</v>
          </cell>
          <cell r="O132" t="str">
            <v>03</v>
          </cell>
          <cell r="P132" t="str">
            <v>Rutkowski</v>
          </cell>
          <cell r="Q132" t="str">
            <v/>
          </cell>
          <cell r="R132" t="str">
            <v>DC</v>
          </cell>
          <cell r="S132">
            <v>50000</v>
          </cell>
          <cell r="T132" t="str">
            <v>POS</v>
          </cell>
          <cell r="U132" t="str">
            <v>BFF6/CFF6</v>
          </cell>
          <cell r="V132" t="str">
            <v/>
          </cell>
          <cell r="W132" t="str">
            <v/>
          </cell>
          <cell r="X132">
            <v>1</v>
          </cell>
        </row>
        <row r="133">
          <cell r="A133" t="str">
            <v>UR66</v>
          </cell>
          <cell r="B133" t="str">
            <v>Central Wholesalers</v>
          </cell>
          <cell r="C133" t="str">
            <v/>
          </cell>
          <cell r="D133" t="str">
            <v>Keefer</v>
          </cell>
          <cell r="E133" t="str">
            <v>Taylor</v>
          </cell>
          <cell r="F133" t="str">
            <v>08</v>
          </cell>
          <cell r="G133" t="str">
            <v>N</v>
          </cell>
          <cell r="H133" t="str">
            <v>N</v>
          </cell>
          <cell r="I133" t="str">
            <v>N</v>
          </cell>
          <cell r="J133" t="str">
            <v>Rates</v>
          </cell>
          <cell r="K133" t="str">
            <v/>
          </cell>
          <cell r="L133" t="str">
            <v>Fully</v>
          </cell>
          <cell r="M133" t="str">
            <v>Wise</v>
          </cell>
          <cell r="N133" t="str">
            <v>0</v>
          </cell>
          <cell r="O133" t="str">
            <v>04</v>
          </cell>
          <cell r="P133" t="str">
            <v/>
          </cell>
          <cell r="Q133" t="str">
            <v/>
          </cell>
          <cell r="R133" t="str">
            <v>MD</v>
          </cell>
          <cell r="S133">
            <v>50000</v>
          </cell>
          <cell r="T133" t="str">
            <v>HMO/POS/PPO</v>
          </cell>
          <cell r="U133" t="str">
            <v>BFF6/CFF6</v>
          </cell>
          <cell r="V133" t="str">
            <v/>
          </cell>
          <cell r="W133" t="str">
            <v/>
          </cell>
          <cell r="X133">
            <v>1</v>
          </cell>
        </row>
        <row r="134">
          <cell r="A134" t="str">
            <v>3D51</v>
          </cell>
          <cell r="B134" t="str">
            <v>Centre for Development and Population Activiti</v>
          </cell>
          <cell r="C134" t="str">
            <v/>
          </cell>
          <cell r="D134" t="str">
            <v>Keefer</v>
          </cell>
          <cell r="E134" t="str">
            <v>Johnson</v>
          </cell>
          <cell r="F134" t="str">
            <v>01</v>
          </cell>
          <cell r="G134" t="str">
            <v>N</v>
          </cell>
          <cell r="H134" t="str">
            <v/>
          </cell>
          <cell r="I134" t="str">
            <v>N</v>
          </cell>
          <cell r="J134" t="str">
            <v>Rates</v>
          </cell>
          <cell r="K134" t="str">
            <v/>
          </cell>
          <cell r="L134" t="str">
            <v>Fully</v>
          </cell>
          <cell r="M134" t="str">
            <v>Dodds</v>
          </cell>
          <cell r="N134" t="str">
            <v/>
          </cell>
          <cell r="O134" t="str">
            <v>09</v>
          </cell>
          <cell r="P134" t="str">
            <v>King, R.</v>
          </cell>
          <cell r="Q134" t="str">
            <v/>
          </cell>
          <cell r="R134" t="str">
            <v>DC</v>
          </cell>
          <cell r="S134">
            <v>50000</v>
          </cell>
          <cell r="T134" t="str">
            <v>PPO/HMO/POS</v>
          </cell>
          <cell r="U134" t="str">
            <v>BFF5/CFF5</v>
          </cell>
          <cell r="V134" t="str">
            <v/>
          </cell>
          <cell r="W134" t="str">
            <v/>
          </cell>
          <cell r="X134">
            <v>1</v>
          </cell>
        </row>
        <row r="135">
          <cell r="A135" t="str">
            <v>0EFN</v>
          </cell>
          <cell r="B135" t="str">
            <v>Centronia</v>
          </cell>
          <cell r="C135" t="str">
            <v/>
          </cell>
          <cell r="D135" t="str">
            <v>Keefer</v>
          </cell>
          <cell r="E135" t="str">
            <v>Taylor</v>
          </cell>
          <cell r="F135" t="str">
            <v>02</v>
          </cell>
          <cell r="G135" t="str">
            <v/>
          </cell>
          <cell r="H135" t="str">
            <v/>
          </cell>
          <cell r="I135" t="str">
            <v/>
          </cell>
          <cell r="J135" t="str">
            <v>Rates</v>
          </cell>
          <cell r="K135" t="str">
            <v/>
          </cell>
          <cell r="L135" t="str">
            <v>Fully</v>
          </cell>
          <cell r="M135" t="str">
            <v>Daley</v>
          </cell>
          <cell r="N135" t="str">
            <v/>
          </cell>
          <cell r="O135" t="str">
            <v>10</v>
          </cell>
          <cell r="P135" t="str">
            <v/>
          </cell>
          <cell r="Q135" t="str">
            <v/>
          </cell>
          <cell r="R135" t="str">
            <v>DC</v>
          </cell>
          <cell r="S135">
            <v>50000</v>
          </cell>
          <cell r="T135" t="str">
            <v>POS HMO Rx</v>
          </cell>
          <cell r="U135" t="str">
            <v>CFF5 BFF5</v>
          </cell>
          <cell r="V135" t="str">
            <v>Y</v>
          </cell>
          <cell r="W135" t="str">
            <v>2/1/2005</v>
          </cell>
          <cell r="X135">
            <v>1</v>
          </cell>
        </row>
        <row r="136">
          <cell r="A136" t="str">
            <v>7H76</v>
          </cell>
          <cell r="B136" t="str">
            <v xml:space="preserve">Chaney Enterprises Inc                            </v>
          </cell>
          <cell r="C136" t="str">
            <v/>
          </cell>
          <cell r="D136" t="str">
            <v>McCourt</v>
          </cell>
          <cell r="E136" t="str">
            <v>Mugo</v>
          </cell>
          <cell r="F136" t="str">
            <v>09</v>
          </cell>
          <cell r="G136" t="str">
            <v/>
          </cell>
          <cell r="H136" t="str">
            <v/>
          </cell>
          <cell r="I136" t="str">
            <v/>
          </cell>
          <cell r="J136" t="str">
            <v/>
          </cell>
          <cell r="K136" t="str">
            <v/>
          </cell>
          <cell r="L136" t="str">
            <v>Fully</v>
          </cell>
          <cell r="M136" t="str">
            <v>Grabarek</v>
          </cell>
          <cell r="N136" t="str">
            <v/>
          </cell>
          <cell r="O136" t="str">
            <v>05</v>
          </cell>
          <cell r="P136" t="str">
            <v/>
          </cell>
          <cell r="Q136" t="str">
            <v/>
          </cell>
          <cell r="R136" t="str">
            <v>MD</v>
          </cell>
          <cell r="S136">
            <v>50000</v>
          </cell>
          <cell r="T136" t="str">
            <v>POE: Triple Option POE package</v>
          </cell>
          <cell r="U136" t="str">
            <v>CFF7</v>
          </cell>
          <cell r="V136" t="str">
            <v>Y</v>
          </cell>
          <cell r="W136" t="str">
            <v>9/1/2004</v>
          </cell>
          <cell r="X136">
            <v>1</v>
          </cell>
        </row>
        <row r="137">
          <cell r="A137" t="str">
            <v>TX21</v>
          </cell>
          <cell r="B137" t="str">
            <v>Chemonics International</v>
          </cell>
          <cell r="C137" t="str">
            <v/>
          </cell>
          <cell r="D137" t="str">
            <v>Keefer</v>
          </cell>
          <cell r="E137" t="str">
            <v>Taylor</v>
          </cell>
          <cell r="F137" t="str">
            <v>04</v>
          </cell>
          <cell r="G137" t="str">
            <v>N</v>
          </cell>
          <cell r="H137" t="str">
            <v>N</v>
          </cell>
          <cell r="I137" t="str">
            <v>N</v>
          </cell>
          <cell r="J137" t="str">
            <v>Rates</v>
          </cell>
          <cell r="K137" t="str">
            <v/>
          </cell>
          <cell r="L137" t="str">
            <v>Fully</v>
          </cell>
          <cell r="M137" t="str">
            <v>Dunn</v>
          </cell>
          <cell r="N137" t="str">
            <v>0</v>
          </cell>
          <cell r="O137" t="str">
            <v>11</v>
          </cell>
          <cell r="P137" t="str">
            <v>Taylor</v>
          </cell>
          <cell r="Q137" t="str">
            <v/>
          </cell>
          <cell r="R137" t="str">
            <v>DC</v>
          </cell>
          <cell r="S137">
            <v>100000</v>
          </cell>
          <cell r="T137" t="str">
            <v>PPO HMO POS</v>
          </cell>
          <cell r="U137" t="str">
            <v>BFF7/CFF7</v>
          </cell>
          <cell r="V137" t="str">
            <v/>
          </cell>
          <cell r="W137" t="str">
            <v/>
          </cell>
          <cell r="X137">
            <v>1</v>
          </cell>
        </row>
        <row r="138">
          <cell r="A138" t="str">
            <v>NA67</v>
          </cell>
          <cell r="B138" t="str">
            <v xml:space="preserve">Cherokee Information Services Inc.                </v>
          </cell>
          <cell r="C138" t="str">
            <v/>
          </cell>
          <cell r="D138" t="str">
            <v>Keefer</v>
          </cell>
          <cell r="E138" t="str">
            <v>Newman</v>
          </cell>
          <cell r="F138" t="str">
            <v>06</v>
          </cell>
          <cell r="G138" t="str">
            <v>N</v>
          </cell>
          <cell r="H138" t="str">
            <v/>
          </cell>
          <cell r="I138" t="str">
            <v>N</v>
          </cell>
          <cell r="J138" t="str">
            <v>Rates</v>
          </cell>
          <cell r="K138" t="str">
            <v/>
          </cell>
          <cell r="L138" t="str">
            <v>Fully</v>
          </cell>
          <cell r="M138" t="str">
            <v>Dodds</v>
          </cell>
          <cell r="N138" t="str">
            <v/>
          </cell>
          <cell r="O138" t="str">
            <v>02</v>
          </cell>
          <cell r="P138" t="str">
            <v>King, R.</v>
          </cell>
          <cell r="Q138" t="str">
            <v/>
          </cell>
          <cell r="R138" t="str">
            <v>VA</v>
          </cell>
          <cell r="S138">
            <v>50000</v>
          </cell>
          <cell r="T138" t="str">
            <v>PPO/HMO/POS</v>
          </cell>
          <cell r="U138" t="str">
            <v>BFF5/CFF5</v>
          </cell>
          <cell r="V138" t="str">
            <v/>
          </cell>
          <cell r="W138" t="str">
            <v/>
          </cell>
          <cell r="X138">
            <v>1</v>
          </cell>
        </row>
        <row r="139">
          <cell r="A139" t="str">
            <v>06QW</v>
          </cell>
          <cell r="B139" t="str">
            <v>Cherokee Wholesalers</v>
          </cell>
          <cell r="C139" t="str">
            <v/>
          </cell>
          <cell r="D139" t="str">
            <v>Keefer</v>
          </cell>
          <cell r="E139" t="str">
            <v>Anderson</v>
          </cell>
          <cell r="F139" t="str">
            <v>11</v>
          </cell>
          <cell r="G139" t="str">
            <v>N</v>
          </cell>
          <cell r="H139" t="str">
            <v/>
          </cell>
          <cell r="I139" t="str">
            <v/>
          </cell>
          <cell r="J139" t="str">
            <v/>
          </cell>
          <cell r="K139" t="str">
            <v/>
          </cell>
          <cell r="L139" t="str">
            <v>Fully</v>
          </cell>
          <cell r="M139" t="str">
            <v>Rand</v>
          </cell>
          <cell r="N139" t="str">
            <v/>
          </cell>
          <cell r="O139" t="str">
            <v>07</v>
          </cell>
          <cell r="P139" t="str">
            <v/>
          </cell>
          <cell r="Q139" t="str">
            <v/>
          </cell>
          <cell r="R139" t="str">
            <v>VA</v>
          </cell>
          <cell r="S139">
            <v>50000</v>
          </cell>
          <cell r="T139" t="str">
            <v>HMO3 PPO1 Rx D</v>
          </cell>
          <cell r="U139" t="str">
            <v>BFF5 CFF5</v>
          </cell>
          <cell r="V139" t="str">
            <v>Y</v>
          </cell>
          <cell r="W139" t="str">
            <v>11/1/2004</v>
          </cell>
          <cell r="X139">
            <v>1</v>
          </cell>
        </row>
        <row r="140">
          <cell r="A140" t="str">
            <v>6L50</v>
          </cell>
          <cell r="B140" t="str">
            <v>Cherry Engineering Support, Inc.</v>
          </cell>
          <cell r="C140" t="str">
            <v/>
          </cell>
          <cell r="D140" t="str">
            <v>McCourt</v>
          </cell>
          <cell r="E140" t="str">
            <v>Slack</v>
          </cell>
          <cell r="F140" t="str">
            <v>01</v>
          </cell>
          <cell r="G140" t="str">
            <v>N</v>
          </cell>
          <cell r="H140" t="str">
            <v/>
          </cell>
          <cell r="I140" t="str">
            <v>N</v>
          </cell>
          <cell r="J140" t="str">
            <v>Rates</v>
          </cell>
          <cell r="K140" t="str">
            <v/>
          </cell>
          <cell r="L140" t="str">
            <v>Fully</v>
          </cell>
          <cell r="M140" t="str">
            <v>Guessford-Kline</v>
          </cell>
          <cell r="N140" t="str">
            <v>0</v>
          </cell>
          <cell r="O140" t="str">
            <v>09</v>
          </cell>
          <cell r="P140" t="str">
            <v>Slack</v>
          </cell>
          <cell r="Q140" t="str">
            <v/>
          </cell>
          <cell r="R140" t="str">
            <v>VA</v>
          </cell>
          <cell r="S140">
            <v>50000</v>
          </cell>
          <cell r="T140" t="str">
            <v>HMO/POS/PPO</v>
          </cell>
          <cell r="U140" t="str">
            <v>BFF5/CFF5</v>
          </cell>
          <cell r="V140" t="str">
            <v/>
          </cell>
          <cell r="W140" t="str">
            <v/>
          </cell>
          <cell r="X140">
            <v>1</v>
          </cell>
        </row>
        <row r="141">
          <cell r="A141" t="str">
            <v>QR21</v>
          </cell>
          <cell r="B141" t="str">
            <v>Chesapeake Resources, Inc.</v>
          </cell>
          <cell r="C141" t="str">
            <v/>
          </cell>
          <cell r="D141" t="str">
            <v>Keefer</v>
          </cell>
          <cell r="E141" t="str">
            <v>Johnson</v>
          </cell>
          <cell r="F141" t="str">
            <v>07</v>
          </cell>
          <cell r="G141" t="str">
            <v>N</v>
          </cell>
          <cell r="H141" t="str">
            <v>N</v>
          </cell>
          <cell r="I141" t="str">
            <v>N</v>
          </cell>
          <cell r="J141" t="str">
            <v>Rates</v>
          </cell>
          <cell r="K141" t="str">
            <v/>
          </cell>
          <cell r="L141" t="str">
            <v>Fully</v>
          </cell>
          <cell r="M141" t="str">
            <v>Wise</v>
          </cell>
          <cell r="N141" t="str">
            <v/>
          </cell>
          <cell r="O141" t="str">
            <v>03</v>
          </cell>
          <cell r="P141" t="str">
            <v/>
          </cell>
          <cell r="Q141" t="str">
            <v/>
          </cell>
          <cell r="R141" t="str">
            <v>MD</v>
          </cell>
          <cell r="S141">
            <v>50000</v>
          </cell>
          <cell r="T141" t="str">
            <v>HMO,PPO,RX</v>
          </cell>
          <cell r="U141" t="str">
            <v>BFF5</v>
          </cell>
          <cell r="V141" t="str">
            <v>Y</v>
          </cell>
          <cell r="W141" t="str">
            <v>7/1/2004</v>
          </cell>
          <cell r="X141">
            <v>1</v>
          </cell>
        </row>
        <row r="142">
          <cell r="A142" t="str">
            <v>1A20</v>
          </cell>
          <cell r="B142" t="str">
            <v>Chevy Chase Bank</v>
          </cell>
          <cell r="C142" t="str">
            <v/>
          </cell>
          <cell r="D142" t="str">
            <v>McCourt</v>
          </cell>
          <cell r="E142" t="str">
            <v>Slack</v>
          </cell>
          <cell r="F142" t="str">
            <v>04</v>
          </cell>
          <cell r="G142" t="str">
            <v>Y</v>
          </cell>
          <cell r="H142" t="str">
            <v>N</v>
          </cell>
          <cell r="I142" t="str">
            <v>N</v>
          </cell>
          <cell r="J142" t="str">
            <v>CPC Mo</v>
          </cell>
          <cell r="K142" t="str">
            <v>WW</v>
          </cell>
          <cell r="L142" t="str">
            <v>ASO</v>
          </cell>
          <cell r="M142" t="str">
            <v>Jordan</v>
          </cell>
          <cell r="N142" t="str">
            <v>6</v>
          </cell>
          <cell r="O142" t="str">
            <v>12</v>
          </cell>
          <cell r="P142" t="str">
            <v>Slack</v>
          </cell>
          <cell r="Q142" t="str">
            <v>Slack</v>
          </cell>
          <cell r="R142" t="str">
            <v>MD</v>
          </cell>
          <cell r="S142">
            <v>0</v>
          </cell>
          <cell r="T142" t="str">
            <v>POS</v>
          </cell>
          <cell r="U142" t="str">
            <v>BAS7</v>
          </cell>
          <cell r="V142" t="str">
            <v/>
          </cell>
          <cell r="W142" t="str">
            <v/>
          </cell>
          <cell r="X142">
            <v>1</v>
          </cell>
        </row>
        <row r="143">
          <cell r="A143" t="str">
            <v>NJ52</v>
          </cell>
          <cell r="B143" t="str">
            <v>Choice Hotels International</v>
          </cell>
          <cell r="C143" t="str">
            <v/>
          </cell>
          <cell r="D143" t="str">
            <v>Keefer</v>
          </cell>
          <cell r="E143" t="str">
            <v>Newman</v>
          </cell>
          <cell r="F143" t="str">
            <v>01</v>
          </cell>
          <cell r="G143" t="str">
            <v>Y</v>
          </cell>
          <cell r="H143" t="str">
            <v>N</v>
          </cell>
          <cell r="I143" t="str">
            <v>N</v>
          </cell>
          <cell r="J143" t="str">
            <v>CPC Mo</v>
          </cell>
          <cell r="K143" t="str">
            <v>WW</v>
          </cell>
          <cell r="L143" t="str">
            <v>110%</v>
          </cell>
          <cell r="M143" t="str">
            <v>Lewis</v>
          </cell>
          <cell r="N143" t="str">
            <v>3</v>
          </cell>
          <cell r="O143" t="str">
            <v>07</v>
          </cell>
          <cell r="P143" t="str">
            <v>Johnson</v>
          </cell>
          <cell r="Q143" t="str">
            <v>Smith</v>
          </cell>
          <cell r="R143" t="str">
            <v>MD</v>
          </cell>
          <cell r="S143">
            <v>150000</v>
          </cell>
          <cell r="T143" t="str">
            <v>PPO</v>
          </cell>
          <cell r="U143" t="str">
            <v>BAB7</v>
          </cell>
          <cell r="V143" t="str">
            <v/>
          </cell>
          <cell r="W143" t="str">
            <v/>
          </cell>
          <cell r="X143">
            <v>1</v>
          </cell>
        </row>
        <row r="144">
          <cell r="A144" t="str">
            <v>XM86</v>
          </cell>
          <cell r="B144" t="str">
            <v>Christian Relief Services Charities</v>
          </cell>
          <cell r="C144" t="str">
            <v/>
          </cell>
          <cell r="D144" t="str">
            <v>Keefer</v>
          </cell>
          <cell r="E144" t="str">
            <v>Newman</v>
          </cell>
          <cell r="F144" t="str">
            <v>01</v>
          </cell>
          <cell r="G144" t="str">
            <v>N</v>
          </cell>
          <cell r="H144" t="str">
            <v/>
          </cell>
          <cell r="I144" t="str">
            <v>N</v>
          </cell>
          <cell r="J144" t="str">
            <v>Rates</v>
          </cell>
          <cell r="K144" t="str">
            <v/>
          </cell>
          <cell r="L144" t="str">
            <v>Fully</v>
          </cell>
          <cell r="M144" t="str">
            <v>Dodds</v>
          </cell>
          <cell r="N144" t="str">
            <v>0</v>
          </cell>
          <cell r="O144" t="str">
            <v>09</v>
          </cell>
          <cell r="P144" t="str">
            <v>King, R.</v>
          </cell>
          <cell r="Q144" t="str">
            <v/>
          </cell>
          <cell r="R144" t="str">
            <v>VA</v>
          </cell>
          <cell r="S144">
            <v>50000</v>
          </cell>
          <cell r="T144" t="str">
            <v>PPO</v>
          </cell>
          <cell r="U144" t="str">
            <v>BFF6</v>
          </cell>
          <cell r="V144" t="str">
            <v/>
          </cell>
          <cell r="W144" t="str">
            <v/>
          </cell>
          <cell r="X144">
            <v>1</v>
          </cell>
        </row>
        <row r="145">
          <cell r="A145" t="str">
            <v>6J23</v>
          </cell>
          <cell r="B145" t="str">
            <v xml:space="preserve">Christopher Consultants Ltd.                      </v>
          </cell>
          <cell r="C145" t="str">
            <v/>
          </cell>
          <cell r="D145" t="str">
            <v>McCourt</v>
          </cell>
          <cell r="E145" t="str">
            <v>Rutkowski</v>
          </cell>
          <cell r="F145" t="str">
            <v>01</v>
          </cell>
          <cell r="G145" t="str">
            <v>N</v>
          </cell>
          <cell r="H145" t="str">
            <v/>
          </cell>
          <cell r="I145" t="str">
            <v>N</v>
          </cell>
          <cell r="J145" t="str">
            <v>Rates</v>
          </cell>
          <cell r="K145" t="str">
            <v/>
          </cell>
          <cell r="L145" t="str">
            <v>Fully</v>
          </cell>
          <cell r="M145" t="str">
            <v>Wise</v>
          </cell>
          <cell r="N145" t="str">
            <v/>
          </cell>
          <cell r="O145" t="str">
            <v>09</v>
          </cell>
          <cell r="P145" t="str">
            <v>Rutkowski</v>
          </cell>
          <cell r="Q145" t="str">
            <v/>
          </cell>
          <cell r="R145" t="str">
            <v>VA</v>
          </cell>
          <cell r="S145">
            <v>50000</v>
          </cell>
          <cell r="T145" t="str">
            <v>PPO/HMO</v>
          </cell>
          <cell r="U145" t="str">
            <v>BFF6/CFF6</v>
          </cell>
          <cell r="V145" t="str">
            <v/>
          </cell>
          <cell r="W145" t="str">
            <v/>
          </cell>
          <cell r="X145">
            <v>1</v>
          </cell>
        </row>
        <row r="146">
          <cell r="A146" t="str">
            <v>4L33</v>
          </cell>
          <cell r="B146" t="str">
            <v>City of Greenbelt</v>
          </cell>
          <cell r="C146" t="str">
            <v/>
          </cell>
          <cell r="D146" t="str">
            <v>McCourt</v>
          </cell>
          <cell r="E146" t="str">
            <v>Quade</v>
          </cell>
          <cell r="F146" t="str">
            <v>07</v>
          </cell>
          <cell r="G146" t="str">
            <v>N</v>
          </cell>
          <cell r="H146" t="str">
            <v>N</v>
          </cell>
          <cell r="I146" t="str">
            <v>N</v>
          </cell>
          <cell r="J146" t="str">
            <v>Rates</v>
          </cell>
          <cell r="K146" t="str">
            <v/>
          </cell>
          <cell r="L146" t="str">
            <v>Fully</v>
          </cell>
          <cell r="M146" t="str">
            <v>Wise</v>
          </cell>
          <cell r="N146" t="str">
            <v>0</v>
          </cell>
          <cell r="O146" t="str">
            <v>02</v>
          </cell>
          <cell r="P146" t="str">
            <v/>
          </cell>
          <cell r="Q146" t="str">
            <v/>
          </cell>
          <cell r="R146" t="str">
            <v>MD</v>
          </cell>
          <cell r="S146">
            <v>50000</v>
          </cell>
          <cell r="T146" t="str">
            <v>HMO/OA/PPO</v>
          </cell>
          <cell r="U146" t="str">
            <v>BFF6/CFF6</v>
          </cell>
          <cell r="V146" t="str">
            <v/>
          </cell>
          <cell r="W146" t="str">
            <v/>
          </cell>
          <cell r="X146">
            <v>1</v>
          </cell>
        </row>
        <row r="147">
          <cell r="A147" t="str">
            <v>4S26</v>
          </cell>
          <cell r="B147" t="str">
            <v>City of Rockville</v>
          </cell>
          <cell r="C147" t="str">
            <v/>
          </cell>
          <cell r="D147" t="str">
            <v>McCourt</v>
          </cell>
          <cell r="E147" t="str">
            <v>Quade</v>
          </cell>
          <cell r="F147" t="str">
            <v>01</v>
          </cell>
          <cell r="G147" t="str">
            <v>N</v>
          </cell>
          <cell r="H147" t="str">
            <v>Y</v>
          </cell>
          <cell r="I147" t="str">
            <v>N</v>
          </cell>
          <cell r="J147" t="str">
            <v>Rates</v>
          </cell>
          <cell r="K147" t="str">
            <v/>
          </cell>
          <cell r="L147" t="str">
            <v>Fully</v>
          </cell>
          <cell r="M147" t="str">
            <v>Greenwell</v>
          </cell>
          <cell r="N147" t="str">
            <v>0</v>
          </cell>
          <cell r="O147" t="str">
            <v>08</v>
          </cell>
          <cell r="P147" t="str">
            <v>Ryan</v>
          </cell>
          <cell r="Q147" t="str">
            <v/>
          </cell>
          <cell r="R147" t="str">
            <v>MD</v>
          </cell>
          <cell r="S147">
            <v>50000</v>
          </cell>
          <cell r="T147" t="str">
            <v>HMO</v>
          </cell>
          <cell r="U147" t="str">
            <v>CFF7</v>
          </cell>
          <cell r="V147" t="str">
            <v/>
          </cell>
          <cell r="W147" t="str">
            <v/>
          </cell>
          <cell r="X147">
            <v>1</v>
          </cell>
        </row>
        <row r="148">
          <cell r="A148" t="str">
            <v>QJ07</v>
          </cell>
          <cell r="B148" t="str">
            <v>Close Up Foundation</v>
          </cell>
          <cell r="C148" t="str">
            <v/>
          </cell>
          <cell r="D148" t="str">
            <v>Keefer</v>
          </cell>
          <cell r="E148" t="str">
            <v>LaTouche</v>
          </cell>
          <cell r="F148" t="str">
            <v>01</v>
          </cell>
          <cell r="G148" t="str">
            <v>N</v>
          </cell>
          <cell r="H148" t="str">
            <v/>
          </cell>
          <cell r="I148" t="str">
            <v>N</v>
          </cell>
          <cell r="J148" t="str">
            <v>Rates</v>
          </cell>
          <cell r="K148" t="str">
            <v/>
          </cell>
          <cell r="L148" t="str">
            <v>Fully</v>
          </cell>
          <cell r="M148" t="str">
            <v>Rand</v>
          </cell>
          <cell r="N148" t="str">
            <v/>
          </cell>
          <cell r="O148" t="str">
            <v>09</v>
          </cell>
          <cell r="P148" t="str">
            <v>LaTouche</v>
          </cell>
          <cell r="Q148" t="str">
            <v/>
          </cell>
          <cell r="R148" t="str">
            <v>VA</v>
          </cell>
          <cell r="S148">
            <v>50000</v>
          </cell>
          <cell r="T148" t="str">
            <v>HMO/OA/BP</v>
          </cell>
          <cell r="U148" t="str">
            <v>BFF5/CFF5</v>
          </cell>
          <cell r="V148" t="str">
            <v/>
          </cell>
          <cell r="W148" t="str">
            <v/>
          </cell>
          <cell r="X148">
            <v>1</v>
          </cell>
        </row>
        <row r="149">
          <cell r="A149" t="str">
            <v>WU95</v>
          </cell>
          <cell r="B149" t="str">
            <v>Cogent Communications</v>
          </cell>
          <cell r="C149" t="str">
            <v/>
          </cell>
          <cell r="D149" t="str">
            <v>Keefer</v>
          </cell>
          <cell r="E149" t="str">
            <v>LaTouche</v>
          </cell>
          <cell r="F149" t="str">
            <v>01</v>
          </cell>
          <cell r="G149" t="str">
            <v>N</v>
          </cell>
          <cell r="H149" t="str">
            <v/>
          </cell>
          <cell r="I149" t="str">
            <v>N</v>
          </cell>
          <cell r="J149" t="str">
            <v>Rates</v>
          </cell>
          <cell r="K149" t="str">
            <v/>
          </cell>
          <cell r="L149" t="str">
            <v>Fully</v>
          </cell>
          <cell r="M149" t="str">
            <v>Wise</v>
          </cell>
          <cell r="N149" t="str">
            <v>0</v>
          </cell>
          <cell r="O149" t="str">
            <v>09</v>
          </cell>
          <cell r="P149" t="str">
            <v>Padrutt</v>
          </cell>
          <cell r="Q149" t="str">
            <v/>
          </cell>
          <cell r="R149" t="str">
            <v>DC</v>
          </cell>
          <cell r="S149">
            <v>50000</v>
          </cell>
          <cell r="T149" t="str">
            <v>PPO</v>
          </cell>
          <cell r="U149" t="str">
            <v>BFF6/CFF6</v>
          </cell>
          <cell r="V149" t="str">
            <v/>
          </cell>
          <cell r="W149" t="str">
            <v/>
          </cell>
          <cell r="X149">
            <v>1</v>
          </cell>
        </row>
        <row r="150">
          <cell r="A150" t="str">
            <v>U992</v>
          </cell>
          <cell r="B150" t="str">
            <v>Cohen, Milstein, Hausfeld &amp; Toll</v>
          </cell>
          <cell r="C150" t="str">
            <v/>
          </cell>
          <cell r="D150" t="str">
            <v>McCourt</v>
          </cell>
          <cell r="E150" t="str">
            <v>Quade</v>
          </cell>
          <cell r="F150" t="str">
            <v>04</v>
          </cell>
          <cell r="G150" t="str">
            <v>N</v>
          </cell>
          <cell r="H150" t="str">
            <v>N</v>
          </cell>
          <cell r="I150" t="str">
            <v>N</v>
          </cell>
          <cell r="J150" t="str">
            <v>Rates</v>
          </cell>
          <cell r="K150" t="str">
            <v/>
          </cell>
          <cell r="L150" t="str">
            <v>Fully</v>
          </cell>
          <cell r="M150" t="str">
            <v>Wise</v>
          </cell>
          <cell r="N150" t="str">
            <v>0</v>
          </cell>
          <cell r="O150" t="str">
            <v>12</v>
          </cell>
          <cell r="P150" t="str">
            <v/>
          </cell>
          <cell r="Q150" t="str">
            <v/>
          </cell>
          <cell r="R150" t="str">
            <v>DC</v>
          </cell>
          <cell r="S150">
            <v>50000</v>
          </cell>
          <cell r="T150" t="str">
            <v>PPO/HMO</v>
          </cell>
          <cell r="U150" t="str">
            <v>BFF6/CFF6</v>
          </cell>
          <cell r="V150" t="str">
            <v/>
          </cell>
          <cell r="W150" t="str">
            <v/>
          </cell>
          <cell r="X150">
            <v>1</v>
          </cell>
        </row>
        <row r="151">
          <cell r="A151" t="str">
            <v>TF68</v>
          </cell>
          <cell r="B151" t="str">
            <v xml:space="preserve">Columbia Pike Animal Hospital                     </v>
          </cell>
          <cell r="C151" t="str">
            <v/>
          </cell>
          <cell r="D151" t="str">
            <v>Keefer</v>
          </cell>
          <cell r="E151" t="str">
            <v>Newman</v>
          </cell>
          <cell r="F151" t="str">
            <v>08</v>
          </cell>
          <cell r="G151" t="str">
            <v>N</v>
          </cell>
          <cell r="H151" t="str">
            <v/>
          </cell>
          <cell r="I151" t="str">
            <v>N</v>
          </cell>
          <cell r="J151" t="str">
            <v>Rates</v>
          </cell>
          <cell r="K151" t="str">
            <v/>
          </cell>
          <cell r="L151" t="str">
            <v>Fully</v>
          </cell>
          <cell r="M151" t="str">
            <v>Savoca</v>
          </cell>
          <cell r="N151" t="str">
            <v/>
          </cell>
          <cell r="O151" t="str">
            <v>04</v>
          </cell>
          <cell r="P151" t="str">
            <v/>
          </cell>
          <cell r="Q151" t="str">
            <v/>
          </cell>
          <cell r="R151" t="str">
            <v>VA</v>
          </cell>
          <cell r="S151">
            <v>50000</v>
          </cell>
          <cell r="T151" t="str">
            <v>PPO/Blue Pref</v>
          </cell>
          <cell r="U151" t="str">
            <v>BFF5</v>
          </cell>
          <cell r="V151" t="str">
            <v/>
          </cell>
          <cell r="W151" t="str">
            <v/>
          </cell>
          <cell r="X151">
            <v>1</v>
          </cell>
        </row>
        <row r="152">
          <cell r="A152" t="str">
            <v>4H33</v>
          </cell>
          <cell r="B152" t="str">
            <v>Columbia Research Corporation</v>
          </cell>
          <cell r="C152" t="str">
            <v/>
          </cell>
          <cell r="D152" t="str">
            <v>Keefer</v>
          </cell>
          <cell r="E152" t="str">
            <v>Burba</v>
          </cell>
          <cell r="F152" t="str">
            <v>07</v>
          </cell>
          <cell r="G152" t="str">
            <v>N</v>
          </cell>
          <cell r="H152" t="str">
            <v/>
          </cell>
          <cell r="I152" t="str">
            <v>N</v>
          </cell>
          <cell r="J152" t="str">
            <v>Rates</v>
          </cell>
          <cell r="K152" t="str">
            <v/>
          </cell>
          <cell r="L152" t="str">
            <v>Fully</v>
          </cell>
          <cell r="M152" t="str">
            <v>Henton-Davis</v>
          </cell>
          <cell r="N152" t="str">
            <v/>
          </cell>
          <cell r="O152" t="str">
            <v>03</v>
          </cell>
          <cell r="P152" t="str">
            <v/>
          </cell>
          <cell r="Q152" t="str">
            <v/>
          </cell>
          <cell r="R152" t="str">
            <v>DC</v>
          </cell>
          <cell r="S152">
            <v>50000</v>
          </cell>
          <cell r="T152" t="str">
            <v>PPO</v>
          </cell>
          <cell r="U152" t="str">
            <v>BFF6</v>
          </cell>
          <cell r="V152" t="str">
            <v/>
          </cell>
          <cell r="W152" t="str">
            <v/>
          </cell>
          <cell r="X152">
            <v>1</v>
          </cell>
        </row>
        <row r="153">
          <cell r="A153" t="str">
            <v>3M31</v>
          </cell>
          <cell r="B153" t="str">
            <v>Columbia Woodworking</v>
          </cell>
          <cell r="C153" t="str">
            <v/>
          </cell>
          <cell r="D153" t="str">
            <v>Keefer</v>
          </cell>
          <cell r="E153" t="str">
            <v>Newman</v>
          </cell>
          <cell r="F153" t="str">
            <v>09</v>
          </cell>
          <cell r="G153" t="str">
            <v>N</v>
          </cell>
          <cell r="H153" t="str">
            <v>N</v>
          </cell>
          <cell r="I153" t="str">
            <v>N</v>
          </cell>
          <cell r="J153" t="str">
            <v>Rates</v>
          </cell>
          <cell r="K153" t="str">
            <v/>
          </cell>
          <cell r="L153" t="str">
            <v>Fully</v>
          </cell>
          <cell r="M153" t="str">
            <v>Swears</v>
          </cell>
          <cell r="N153" t="str">
            <v>0</v>
          </cell>
          <cell r="O153" t="str">
            <v>05</v>
          </cell>
          <cell r="P153" t="str">
            <v>LaTouche</v>
          </cell>
          <cell r="Q153" t="str">
            <v/>
          </cell>
          <cell r="R153" t="str">
            <v>DC</v>
          </cell>
          <cell r="S153">
            <v>50000</v>
          </cell>
          <cell r="T153" t="str">
            <v>POS/PPO/HMO</v>
          </cell>
          <cell r="U153" t="str">
            <v>CFF5</v>
          </cell>
          <cell r="V153" t="str">
            <v/>
          </cell>
          <cell r="W153" t="str">
            <v/>
          </cell>
          <cell r="X153">
            <v>1</v>
          </cell>
        </row>
        <row r="154">
          <cell r="A154" t="str">
            <v>TV91</v>
          </cell>
          <cell r="B154" t="str">
            <v>Combined Properties</v>
          </cell>
          <cell r="C154" t="str">
            <v/>
          </cell>
          <cell r="D154" t="str">
            <v>Keefer</v>
          </cell>
          <cell r="E154" t="str">
            <v>Newman</v>
          </cell>
          <cell r="F154" t="str">
            <v>01</v>
          </cell>
          <cell r="G154" t="str">
            <v>N</v>
          </cell>
          <cell r="H154" t="str">
            <v/>
          </cell>
          <cell r="I154" t="str">
            <v>N</v>
          </cell>
          <cell r="J154" t="str">
            <v>Rates</v>
          </cell>
          <cell r="K154" t="str">
            <v/>
          </cell>
          <cell r="L154" t="str">
            <v>Fully</v>
          </cell>
          <cell r="M154" t="str">
            <v>Guessford-Kline</v>
          </cell>
          <cell r="N154" t="str">
            <v>0</v>
          </cell>
          <cell r="O154" t="str">
            <v>09</v>
          </cell>
          <cell r="P154" t="str">
            <v>King, R.</v>
          </cell>
          <cell r="Q154" t="str">
            <v/>
          </cell>
          <cell r="R154" t="str">
            <v>MD</v>
          </cell>
          <cell r="S154">
            <v>50000</v>
          </cell>
          <cell r="T154" t="str">
            <v>HMO/POS/PPO</v>
          </cell>
          <cell r="U154" t="str">
            <v>BFF5/CFF5</v>
          </cell>
          <cell r="V154" t="str">
            <v/>
          </cell>
          <cell r="W154" t="str">
            <v/>
          </cell>
          <cell r="X154">
            <v>1</v>
          </cell>
        </row>
        <row r="155">
          <cell r="A155" t="str">
            <v>UY13</v>
          </cell>
          <cell r="B155" t="str">
            <v xml:space="preserve">Commonwealth Technology, Inc                      </v>
          </cell>
          <cell r="C155" t="str">
            <v/>
          </cell>
          <cell r="D155" t="str">
            <v>Keefer</v>
          </cell>
          <cell r="E155" t="str">
            <v>Padrutt</v>
          </cell>
          <cell r="F155" t="str">
            <v>10</v>
          </cell>
          <cell r="G155" t="str">
            <v>N</v>
          </cell>
          <cell r="H155" t="str">
            <v/>
          </cell>
          <cell r="I155" t="str">
            <v>N</v>
          </cell>
          <cell r="J155" t="str">
            <v>Rates</v>
          </cell>
          <cell r="K155" t="str">
            <v/>
          </cell>
          <cell r="L155" t="str">
            <v>Fully</v>
          </cell>
          <cell r="M155" t="str">
            <v>Rutkowski</v>
          </cell>
          <cell r="N155" t="str">
            <v/>
          </cell>
          <cell r="O155" t="str">
            <v>06</v>
          </cell>
          <cell r="P155" t="str">
            <v>Padrutt</v>
          </cell>
          <cell r="Q155" t="str">
            <v/>
          </cell>
          <cell r="R155" t="str">
            <v>VA</v>
          </cell>
          <cell r="S155">
            <v>50000</v>
          </cell>
          <cell r="T155" t="str">
            <v>POS/PPO/HMO</v>
          </cell>
          <cell r="U155" t="str">
            <v>BFF5/CFF5</v>
          </cell>
          <cell r="V155" t="str">
            <v/>
          </cell>
          <cell r="W155" t="str">
            <v/>
          </cell>
          <cell r="X155">
            <v>1</v>
          </cell>
        </row>
        <row r="156">
          <cell r="A156" t="str">
            <v>TE64</v>
          </cell>
          <cell r="B156" t="str">
            <v>Communications Engineering, Inc.</v>
          </cell>
          <cell r="C156" t="str">
            <v/>
          </cell>
          <cell r="D156" t="str">
            <v>McCourt</v>
          </cell>
          <cell r="E156" t="str">
            <v>Slack</v>
          </cell>
          <cell r="F156" t="str">
            <v>05</v>
          </cell>
          <cell r="G156" t="str">
            <v>N</v>
          </cell>
          <cell r="H156" t="str">
            <v/>
          </cell>
          <cell r="I156" t="str">
            <v>N</v>
          </cell>
          <cell r="J156" t="str">
            <v>Rates</v>
          </cell>
          <cell r="K156" t="str">
            <v/>
          </cell>
          <cell r="L156" t="str">
            <v>Fully</v>
          </cell>
          <cell r="M156" t="str">
            <v>Wise</v>
          </cell>
          <cell r="N156" t="str">
            <v>0</v>
          </cell>
          <cell r="O156" t="str">
            <v>01</v>
          </cell>
          <cell r="P156" t="str">
            <v>Slack</v>
          </cell>
          <cell r="Q156" t="str">
            <v/>
          </cell>
          <cell r="R156" t="str">
            <v>VA</v>
          </cell>
          <cell r="S156">
            <v>50000</v>
          </cell>
          <cell r="T156" t="str">
            <v>HMO/PPO</v>
          </cell>
          <cell r="U156" t="str">
            <v>BFF5/CFF5</v>
          </cell>
          <cell r="V156" t="str">
            <v/>
          </cell>
          <cell r="W156" t="str">
            <v/>
          </cell>
          <cell r="X156">
            <v>1</v>
          </cell>
        </row>
        <row r="157">
          <cell r="A157" t="str">
            <v>0CA3</v>
          </cell>
          <cell r="B157" t="str">
            <v>Communications Resource, Inc.</v>
          </cell>
          <cell r="C157" t="str">
            <v/>
          </cell>
          <cell r="D157" t="str">
            <v>Keefer</v>
          </cell>
          <cell r="E157" t="str">
            <v>Newman</v>
          </cell>
          <cell r="F157" t="str">
            <v>05</v>
          </cell>
          <cell r="G157" t="str">
            <v>N</v>
          </cell>
          <cell r="H157" t="str">
            <v/>
          </cell>
          <cell r="I157" t="str">
            <v>N</v>
          </cell>
          <cell r="J157" t="str">
            <v>Rates</v>
          </cell>
          <cell r="K157" t="str">
            <v/>
          </cell>
          <cell r="L157" t="str">
            <v>Fully</v>
          </cell>
          <cell r="M157" t="str">
            <v/>
          </cell>
          <cell r="N157" t="str">
            <v/>
          </cell>
          <cell r="O157" t="str">
            <v>01</v>
          </cell>
          <cell r="P157" t="str">
            <v/>
          </cell>
          <cell r="Q157" t="str">
            <v/>
          </cell>
          <cell r="R157" t="str">
            <v>VA</v>
          </cell>
          <cell r="S157">
            <v>50000</v>
          </cell>
          <cell r="T157" t="str">
            <v>HMO PPO</v>
          </cell>
          <cell r="U157" t="str">
            <v>BFF5 CFF5</v>
          </cell>
          <cell r="V157" t="str">
            <v>Y</v>
          </cell>
          <cell r="W157" t="str">
            <v>5/1/2005</v>
          </cell>
          <cell r="X157">
            <v>1</v>
          </cell>
        </row>
        <row r="158">
          <cell r="A158" t="str">
            <v>R189</v>
          </cell>
          <cell r="B158" t="str">
            <v>Communications Workers of America</v>
          </cell>
          <cell r="C158" t="str">
            <v/>
          </cell>
          <cell r="D158" t="str">
            <v>Keefer</v>
          </cell>
          <cell r="E158" t="str">
            <v>Taylor</v>
          </cell>
          <cell r="F158" t="str">
            <v>07</v>
          </cell>
          <cell r="G158" t="str">
            <v>Y</v>
          </cell>
          <cell r="H158" t="str">
            <v>N</v>
          </cell>
          <cell r="I158" t="str">
            <v>Y</v>
          </cell>
          <cell r="J158" t="str">
            <v>CPC Mo</v>
          </cell>
          <cell r="K158" t="str">
            <v>1054000</v>
          </cell>
          <cell r="L158" t="str">
            <v>115%</v>
          </cell>
          <cell r="M158" t="str">
            <v>Thomason</v>
          </cell>
          <cell r="N158" t="str">
            <v>9</v>
          </cell>
          <cell r="O158" t="str">
            <v>02</v>
          </cell>
          <cell r="P158" t="str">
            <v>Taylor</v>
          </cell>
          <cell r="Q158" t="str">
            <v>Smith</v>
          </cell>
          <cell r="R158" t="str">
            <v>DC</v>
          </cell>
          <cell r="S158">
            <v>200000</v>
          </cell>
          <cell r="T158" t="str">
            <v>PPO/Indem</v>
          </cell>
          <cell r="U158" t="str">
            <v>BAB8</v>
          </cell>
          <cell r="V158" t="str">
            <v/>
          </cell>
          <cell r="W158" t="str">
            <v/>
          </cell>
          <cell r="X158">
            <v>1</v>
          </cell>
        </row>
        <row r="159">
          <cell r="A159" t="str">
            <v>TN40</v>
          </cell>
          <cell r="B159" t="str">
            <v>Community Academy Public Charter School</v>
          </cell>
          <cell r="C159" t="str">
            <v/>
          </cell>
          <cell r="D159" t="str">
            <v>McCourt</v>
          </cell>
          <cell r="E159" t="str">
            <v>Mugo</v>
          </cell>
          <cell r="F159" t="str">
            <v>10</v>
          </cell>
          <cell r="G159" t="str">
            <v>N</v>
          </cell>
          <cell r="H159" t="str">
            <v/>
          </cell>
          <cell r="I159" t="str">
            <v>N</v>
          </cell>
          <cell r="J159" t="str">
            <v>Rates</v>
          </cell>
          <cell r="K159" t="str">
            <v/>
          </cell>
          <cell r="L159" t="str">
            <v>Fully</v>
          </cell>
          <cell r="M159" t="str">
            <v>Wise</v>
          </cell>
          <cell r="N159" t="str">
            <v>0</v>
          </cell>
          <cell r="O159" t="str">
            <v>06</v>
          </cell>
          <cell r="P159" t="str">
            <v/>
          </cell>
          <cell r="Q159" t="str">
            <v/>
          </cell>
          <cell r="R159" t="str">
            <v>DC</v>
          </cell>
          <cell r="S159">
            <v>50000</v>
          </cell>
          <cell r="T159" t="str">
            <v>HMO/POS/PPO</v>
          </cell>
          <cell r="U159" t="str">
            <v>CFF5</v>
          </cell>
          <cell r="V159" t="str">
            <v/>
          </cell>
          <cell r="W159" t="str">
            <v/>
          </cell>
          <cell r="X159">
            <v>1</v>
          </cell>
        </row>
        <row r="160">
          <cell r="A160" t="str">
            <v>BUT3</v>
          </cell>
          <cell r="B160" t="str">
            <v>Community Clinic</v>
          </cell>
          <cell r="C160" t="str">
            <v/>
          </cell>
          <cell r="D160" t="str">
            <v>Keefer</v>
          </cell>
          <cell r="E160" t="str">
            <v>Taylor</v>
          </cell>
          <cell r="F160" t="str">
            <v>12</v>
          </cell>
          <cell r="G160" t="str">
            <v/>
          </cell>
          <cell r="H160" t="str">
            <v/>
          </cell>
          <cell r="I160" t="str">
            <v/>
          </cell>
          <cell r="J160" t="str">
            <v/>
          </cell>
          <cell r="K160" t="str">
            <v/>
          </cell>
          <cell r="L160" t="str">
            <v>Fully</v>
          </cell>
          <cell r="M160" t="str">
            <v/>
          </cell>
          <cell r="N160" t="str">
            <v/>
          </cell>
          <cell r="O160" t="str">
            <v>08</v>
          </cell>
          <cell r="P160" t="str">
            <v/>
          </cell>
          <cell r="Q160" t="str">
            <v/>
          </cell>
          <cell r="R160" t="str">
            <v>MD</v>
          </cell>
          <cell r="S160">
            <v>50000</v>
          </cell>
          <cell r="T160" t="str">
            <v>HMO PPO DE</v>
          </cell>
          <cell r="U160" t="str">
            <v>BFF5 CFF5</v>
          </cell>
          <cell r="V160" t="str">
            <v>Y</v>
          </cell>
          <cell r="W160" t="str">
            <v>12/1/2004</v>
          </cell>
          <cell r="X160">
            <v>1</v>
          </cell>
        </row>
        <row r="161">
          <cell r="A161" t="str">
            <v>4S57</v>
          </cell>
          <cell r="B161" t="str">
            <v xml:space="preserve">Community Multi Services, Inc.                    </v>
          </cell>
          <cell r="C161" t="str">
            <v/>
          </cell>
          <cell r="D161" t="str">
            <v>Keefer</v>
          </cell>
          <cell r="E161" t="str">
            <v>Burba</v>
          </cell>
          <cell r="F161" t="str">
            <v>09</v>
          </cell>
          <cell r="G161" t="str">
            <v>N</v>
          </cell>
          <cell r="H161" t="str">
            <v/>
          </cell>
          <cell r="I161" t="str">
            <v>N</v>
          </cell>
          <cell r="J161" t="str">
            <v>Rates</v>
          </cell>
          <cell r="K161" t="str">
            <v/>
          </cell>
          <cell r="L161" t="str">
            <v>Fully</v>
          </cell>
          <cell r="M161" t="str">
            <v/>
          </cell>
          <cell r="N161" t="str">
            <v/>
          </cell>
          <cell r="O161" t="str">
            <v>05</v>
          </cell>
          <cell r="P161" t="str">
            <v/>
          </cell>
          <cell r="Q161" t="str">
            <v/>
          </cell>
          <cell r="R161" t="str">
            <v>DC</v>
          </cell>
          <cell r="S161">
            <v>50000</v>
          </cell>
          <cell r="T161" t="str">
            <v>HMO/OA/PPO</v>
          </cell>
          <cell r="U161" t="str">
            <v>BFF5/CFF5</v>
          </cell>
          <cell r="V161" t="str">
            <v/>
          </cell>
          <cell r="W161" t="str">
            <v/>
          </cell>
          <cell r="X161">
            <v>1</v>
          </cell>
        </row>
        <row r="162">
          <cell r="A162" t="str">
            <v>0EFP</v>
          </cell>
          <cell r="B162" t="str">
            <v xml:space="preserve">Community Research Associates, Inc.               </v>
          </cell>
          <cell r="C162" t="str">
            <v/>
          </cell>
          <cell r="D162" t="str">
            <v>Keefer</v>
          </cell>
          <cell r="E162" t="str">
            <v>Burba</v>
          </cell>
          <cell r="F162" t="str">
            <v>02</v>
          </cell>
          <cell r="G162" t="str">
            <v>N</v>
          </cell>
          <cell r="H162" t="str">
            <v/>
          </cell>
          <cell r="I162" t="str">
            <v>N</v>
          </cell>
          <cell r="J162" t="str">
            <v>Rates</v>
          </cell>
          <cell r="K162" t="str">
            <v/>
          </cell>
          <cell r="L162" t="str">
            <v>Fully</v>
          </cell>
          <cell r="M162" t="str">
            <v>Thomas</v>
          </cell>
          <cell r="N162" t="str">
            <v/>
          </cell>
          <cell r="O162" t="str">
            <v>10</v>
          </cell>
          <cell r="P162" t="str">
            <v/>
          </cell>
          <cell r="Q162" t="str">
            <v/>
          </cell>
          <cell r="R162" t="str">
            <v>VA</v>
          </cell>
          <cell r="S162">
            <v>50000</v>
          </cell>
          <cell r="T162" t="str">
            <v>PPO/PPO</v>
          </cell>
          <cell r="U162" t="str">
            <v>BFF5</v>
          </cell>
          <cell r="V162" t="str">
            <v>Y</v>
          </cell>
          <cell r="W162" t="str">
            <v>2/1/2005</v>
          </cell>
          <cell r="X162">
            <v>1</v>
          </cell>
        </row>
        <row r="163">
          <cell r="A163" t="str">
            <v>3M05</v>
          </cell>
          <cell r="B163" t="str">
            <v>Community Residences, Inc.</v>
          </cell>
          <cell r="C163" t="str">
            <v/>
          </cell>
          <cell r="D163" t="str">
            <v>McCourt</v>
          </cell>
          <cell r="E163" t="str">
            <v>Slack</v>
          </cell>
          <cell r="F163" t="str">
            <v>01</v>
          </cell>
          <cell r="G163" t="str">
            <v>N</v>
          </cell>
          <cell r="H163" t="str">
            <v/>
          </cell>
          <cell r="I163" t="str">
            <v>N</v>
          </cell>
          <cell r="J163" t="str">
            <v>Rates</v>
          </cell>
          <cell r="K163" t="str">
            <v/>
          </cell>
          <cell r="L163" t="str">
            <v>Fully</v>
          </cell>
          <cell r="M163" t="str">
            <v>Swears</v>
          </cell>
          <cell r="N163" t="str">
            <v>0</v>
          </cell>
          <cell r="O163" t="str">
            <v>09</v>
          </cell>
          <cell r="P163" t="str">
            <v>Slack</v>
          </cell>
          <cell r="Q163" t="str">
            <v/>
          </cell>
          <cell r="R163" t="str">
            <v>VA</v>
          </cell>
          <cell r="S163">
            <v>50000</v>
          </cell>
          <cell r="T163" t="str">
            <v>HMO/PPO</v>
          </cell>
          <cell r="U163" t="str">
            <v>BFF6/CFF6</v>
          </cell>
          <cell r="V163" t="str">
            <v/>
          </cell>
          <cell r="W163" t="str">
            <v/>
          </cell>
          <cell r="X163">
            <v>1</v>
          </cell>
        </row>
        <row r="164">
          <cell r="A164" t="str">
            <v>TJ29</v>
          </cell>
          <cell r="B164" t="str">
            <v xml:space="preserve">Computer Patent Annuities North America, LLC      </v>
          </cell>
          <cell r="C164" t="str">
            <v/>
          </cell>
          <cell r="D164" t="str">
            <v>Keefer</v>
          </cell>
          <cell r="E164" t="str">
            <v>Newman</v>
          </cell>
          <cell r="F164" t="str">
            <v>05</v>
          </cell>
          <cell r="G164" t="str">
            <v>N</v>
          </cell>
          <cell r="H164" t="str">
            <v/>
          </cell>
          <cell r="I164" t="str">
            <v>N</v>
          </cell>
          <cell r="J164" t="str">
            <v>Rates</v>
          </cell>
          <cell r="K164" t="str">
            <v/>
          </cell>
          <cell r="L164" t="str">
            <v>Fully</v>
          </cell>
          <cell r="M164" t="str">
            <v>Henton-Davis</v>
          </cell>
          <cell r="N164" t="str">
            <v/>
          </cell>
          <cell r="O164" t="str">
            <v>01</v>
          </cell>
          <cell r="P164" t="str">
            <v>LaTouche</v>
          </cell>
          <cell r="Q164" t="str">
            <v/>
          </cell>
          <cell r="R164" t="str">
            <v>VA</v>
          </cell>
          <cell r="S164">
            <v>50000</v>
          </cell>
          <cell r="T164" t="str">
            <v>PPO</v>
          </cell>
          <cell r="U164" t="str">
            <v>BFF5</v>
          </cell>
          <cell r="V164" t="str">
            <v/>
          </cell>
          <cell r="W164" t="str">
            <v/>
          </cell>
          <cell r="X164">
            <v>1</v>
          </cell>
        </row>
        <row r="165">
          <cell r="A165" t="str">
            <v>UN41</v>
          </cell>
          <cell r="B165" t="str">
            <v>Computer Systems Center</v>
          </cell>
          <cell r="C165" t="str">
            <v/>
          </cell>
          <cell r="D165" t="str">
            <v>Keefer</v>
          </cell>
          <cell r="E165" t="str">
            <v>Johnson</v>
          </cell>
          <cell r="F165" t="str">
            <v>07</v>
          </cell>
          <cell r="G165" t="str">
            <v>N</v>
          </cell>
          <cell r="H165" t="str">
            <v>N</v>
          </cell>
          <cell r="I165" t="str">
            <v>N</v>
          </cell>
          <cell r="J165" t="str">
            <v>Rates</v>
          </cell>
          <cell r="K165" t="str">
            <v/>
          </cell>
          <cell r="L165" t="str">
            <v>Fully</v>
          </cell>
          <cell r="M165" t="str">
            <v>Dodds</v>
          </cell>
          <cell r="N165" t="str">
            <v>0</v>
          </cell>
          <cell r="O165" t="str">
            <v>03</v>
          </cell>
          <cell r="P165" t="str">
            <v>Taylor</v>
          </cell>
          <cell r="Q165" t="str">
            <v/>
          </cell>
          <cell r="R165" t="str">
            <v>VA</v>
          </cell>
          <cell r="S165">
            <v>50000</v>
          </cell>
          <cell r="T165" t="str">
            <v>PPO/HMO/POS</v>
          </cell>
          <cell r="U165" t="str">
            <v>CFF5</v>
          </cell>
          <cell r="V165" t="str">
            <v/>
          </cell>
          <cell r="W165" t="str">
            <v/>
          </cell>
          <cell r="X165">
            <v>1</v>
          </cell>
        </row>
        <row r="166">
          <cell r="A166" t="str">
            <v>WP88</v>
          </cell>
          <cell r="B166" t="str">
            <v>Computer Systems Management, Inc.</v>
          </cell>
          <cell r="C166" t="str">
            <v/>
          </cell>
          <cell r="D166" t="str">
            <v>Keefer</v>
          </cell>
          <cell r="E166" t="str">
            <v>Burba</v>
          </cell>
          <cell r="F166" t="str">
            <v>12</v>
          </cell>
          <cell r="G166" t="str">
            <v>N</v>
          </cell>
          <cell r="H166" t="str">
            <v/>
          </cell>
          <cell r="I166" t="str">
            <v>N</v>
          </cell>
          <cell r="J166" t="str">
            <v>Rates</v>
          </cell>
          <cell r="K166" t="str">
            <v/>
          </cell>
          <cell r="L166" t="str">
            <v>Fully</v>
          </cell>
          <cell r="M166" t="str">
            <v>Henton-Davis</v>
          </cell>
          <cell r="N166" t="str">
            <v/>
          </cell>
          <cell r="O166" t="str">
            <v>08</v>
          </cell>
          <cell r="P166" t="str">
            <v>Padrutt</v>
          </cell>
          <cell r="Q166" t="str">
            <v/>
          </cell>
          <cell r="R166" t="str">
            <v>VA</v>
          </cell>
          <cell r="S166">
            <v>50000</v>
          </cell>
          <cell r="T166" t="str">
            <v>PPO/POS/HMO</v>
          </cell>
          <cell r="U166" t="str">
            <v>BFF5/CFF5</v>
          </cell>
          <cell r="V166" t="str">
            <v/>
          </cell>
          <cell r="W166" t="str">
            <v/>
          </cell>
          <cell r="X166">
            <v>1</v>
          </cell>
        </row>
        <row r="167">
          <cell r="A167" t="str">
            <v>QJ50</v>
          </cell>
          <cell r="B167" t="str">
            <v>Computing Technology</v>
          </cell>
          <cell r="C167" t="str">
            <v/>
          </cell>
          <cell r="D167" t="str">
            <v>Keefer</v>
          </cell>
          <cell r="E167" t="str">
            <v>Taylor</v>
          </cell>
          <cell r="F167" t="str">
            <v>11</v>
          </cell>
          <cell r="G167" t="str">
            <v>N</v>
          </cell>
          <cell r="H167" t="str">
            <v>N</v>
          </cell>
          <cell r="I167" t="str">
            <v>N</v>
          </cell>
          <cell r="J167" t="str">
            <v>Rates</v>
          </cell>
          <cell r="K167" t="str">
            <v/>
          </cell>
          <cell r="L167" t="str">
            <v>Fully</v>
          </cell>
          <cell r="M167" t="str">
            <v>Savoca</v>
          </cell>
          <cell r="N167" t="str">
            <v/>
          </cell>
          <cell r="O167" t="str">
            <v>07</v>
          </cell>
          <cell r="P167" t="str">
            <v/>
          </cell>
          <cell r="Q167" t="str">
            <v/>
          </cell>
          <cell r="R167" t="str">
            <v>VA</v>
          </cell>
          <cell r="S167">
            <v>50000</v>
          </cell>
          <cell r="T167" t="str">
            <v>PPO HMO Rx</v>
          </cell>
          <cell r="U167" t="str">
            <v>BFF6/CFF6</v>
          </cell>
          <cell r="V167" t="str">
            <v>Y</v>
          </cell>
          <cell r="W167" t="str">
            <v>11/1/2002</v>
          </cell>
          <cell r="X167">
            <v>1</v>
          </cell>
        </row>
        <row r="168">
          <cell r="A168" t="str">
            <v>7L72</v>
          </cell>
          <cell r="B168" t="str">
            <v xml:space="preserve">Congressional Motors Inc                          </v>
          </cell>
          <cell r="C168" t="str">
            <v/>
          </cell>
          <cell r="D168" t="str">
            <v>Keefer</v>
          </cell>
          <cell r="E168" t="str">
            <v>Burba</v>
          </cell>
          <cell r="F168" t="str">
            <v>03</v>
          </cell>
          <cell r="G168" t="str">
            <v>N</v>
          </cell>
          <cell r="H168" t="str">
            <v/>
          </cell>
          <cell r="I168" t="str">
            <v>N</v>
          </cell>
          <cell r="J168" t="str">
            <v>Rates</v>
          </cell>
          <cell r="K168" t="str">
            <v/>
          </cell>
          <cell r="L168" t="str">
            <v>Fully</v>
          </cell>
          <cell r="M168" t="str">
            <v>Housman</v>
          </cell>
          <cell r="N168" t="str">
            <v/>
          </cell>
          <cell r="O168" t="str">
            <v>11</v>
          </cell>
          <cell r="P168" t="str">
            <v/>
          </cell>
          <cell r="Q168" t="str">
            <v/>
          </cell>
          <cell r="R168" t="str">
            <v>MD</v>
          </cell>
          <cell r="S168">
            <v>50000</v>
          </cell>
          <cell r="T168" t="str">
            <v>PPO/OA/HMO</v>
          </cell>
          <cell r="U168" t="str">
            <v>BFF5/CFF5</v>
          </cell>
          <cell r="V168" t="str">
            <v>Y</v>
          </cell>
          <cell r="W168" t="str">
            <v>3/1/2005</v>
          </cell>
          <cell r="X168">
            <v>1</v>
          </cell>
        </row>
        <row r="169">
          <cell r="A169" t="str">
            <v>CF49</v>
          </cell>
          <cell r="B169" t="str">
            <v>Conservation Fund (The)</v>
          </cell>
          <cell r="C169" t="str">
            <v/>
          </cell>
          <cell r="D169" t="str">
            <v>McCourt</v>
          </cell>
          <cell r="E169" t="str">
            <v>Rutkowski</v>
          </cell>
          <cell r="F169" t="str">
            <v>02</v>
          </cell>
          <cell r="G169" t="str">
            <v>N</v>
          </cell>
          <cell r="H169" t="str">
            <v>N</v>
          </cell>
          <cell r="I169" t="str">
            <v>N</v>
          </cell>
          <cell r="J169" t="str">
            <v>Rates</v>
          </cell>
          <cell r="K169" t="str">
            <v/>
          </cell>
          <cell r="L169" t="str">
            <v>Fully</v>
          </cell>
          <cell r="M169" t="str">
            <v>Savoca</v>
          </cell>
          <cell r="N169" t="str">
            <v>0</v>
          </cell>
          <cell r="O169" t="str">
            <v>10</v>
          </cell>
          <cell r="P169" t="str">
            <v>Rutkowski</v>
          </cell>
          <cell r="Q169" t="str">
            <v/>
          </cell>
          <cell r="R169" t="str">
            <v>VA</v>
          </cell>
          <cell r="S169">
            <v>50000</v>
          </cell>
          <cell r="T169" t="str">
            <v>PPO/POS</v>
          </cell>
          <cell r="U169" t="str">
            <v>BFF5/CFF5</v>
          </cell>
          <cell r="V169" t="str">
            <v/>
          </cell>
          <cell r="W169" t="str">
            <v/>
          </cell>
          <cell r="X169">
            <v>1</v>
          </cell>
        </row>
        <row r="170">
          <cell r="A170" t="str">
            <v>TV70</v>
          </cell>
          <cell r="B170" t="str">
            <v xml:space="preserve">Consolidated Water Proofing Contractors, Inc      </v>
          </cell>
          <cell r="C170" t="str">
            <v/>
          </cell>
          <cell r="D170" t="str">
            <v>Keefer</v>
          </cell>
          <cell r="E170" t="str">
            <v>Johnson</v>
          </cell>
          <cell r="F170" t="str">
            <v>03</v>
          </cell>
          <cell r="G170" t="str">
            <v>N</v>
          </cell>
          <cell r="H170" t="str">
            <v/>
          </cell>
          <cell r="I170" t="str">
            <v>N</v>
          </cell>
          <cell r="J170" t="str">
            <v>Rates</v>
          </cell>
          <cell r="K170" t="str">
            <v/>
          </cell>
          <cell r="L170" t="str">
            <v>Fully</v>
          </cell>
          <cell r="M170" t="str">
            <v>Savoca</v>
          </cell>
          <cell r="N170" t="str">
            <v/>
          </cell>
          <cell r="O170" t="str">
            <v>11</v>
          </cell>
          <cell r="P170" t="str">
            <v/>
          </cell>
          <cell r="Q170" t="str">
            <v/>
          </cell>
          <cell r="R170" t="str">
            <v>MD</v>
          </cell>
          <cell r="S170">
            <v>50000</v>
          </cell>
          <cell r="T170" t="str">
            <v>POS/HMO/PPO</v>
          </cell>
          <cell r="U170" t="str">
            <v>BFF5/CFF5</v>
          </cell>
          <cell r="V170" t="str">
            <v/>
          </cell>
          <cell r="W170" t="str">
            <v/>
          </cell>
          <cell r="X170">
            <v>1</v>
          </cell>
        </row>
        <row r="171">
          <cell r="A171" t="str">
            <v>XX39</v>
          </cell>
          <cell r="B171" t="str">
            <v xml:space="preserve">Convergenz, LLC                                   </v>
          </cell>
          <cell r="C171" t="str">
            <v/>
          </cell>
          <cell r="D171" t="str">
            <v>Keefer</v>
          </cell>
          <cell r="E171" t="str">
            <v>Johnson</v>
          </cell>
          <cell r="F171" t="str">
            <v>09</v>
          </cell>
          <cell r="G171" t="str">
            <v>N</v>
          </cell>
          <cell r="H171" t="str">
            <v>N</v>
          </cell>
          <cell r="I171" t="str">
            <v>N</v>
          </cell>
          <cell r="J171" t="str">
            <v>Rates</v>
          </cell>
          <cell r="K171" t="str">
            <v/>
          </cell>
          <cell r="L171" t="str">
            <v>Fully</v>
          </cell>
          <cell r="M171" t="str">
            <v>Savoca</v>
          </cell>
          <cell r="N171" t="str">
            <v/>
          </cell>
          <cell r="O171" t="str">
            <v>05</v>
          </cell>
          <cell r="P171" t="str">
            <v/>
          </cell>
          <cell r="Q171" t="str">
            <v/>
          </cell>
          <cell r="R171" t="str">
            <v>MDSGR</v>
          </cell>
          <cell r="S171">
            <v>50000</v>
          </cell>
          <cell r="T171" t="str">
            <v>POE: HMO/Blue Preferred</v>
          </cell>
          <cell r="U171" t="str">
            <v>CFF5</v>
          </cell>
          <cell r="V171" t="str">
            <v/>
          </cell>
          <cell r="W171" t="str">
            <v/>
          </cell>
          <cell r="X171">
            <v>1</v>
          </cell>
        </row>
        <row r="172">
          <cell r="A172" t="str">
            <v>6C00</v>
          </cell>
          <cell r="B172" t="str">
            <v>Corcoran Gallery of Art</v>
          </cell>
          <cell r="C172" t="str">
            <v/>
          </cell>
          <cell r="D172" t="str">
            <v>Keefer</v>
          </cell>
          <cell r="E172" t="str">
            <v>Padrutt</v>
          </cell>
          <cell r="F172" t="str">
            <v>12</v>
          </cell>
          <cell r="G172" t="str">
            <v>N</v>
          </cell>
          <cell r="H172" t="str">
            <v/>
          </cell>
          <cell r="I172" t="str">
            <v>N</v>
          </cell>
          <cell r="J172" t="str">
            <v>Rates</v>
          </cell>
          <cell r="K172" t="str">
            <v/>
          </cell>
          <cell r="L172" t="str">
            <v>Fully</v>
          </cell>
          <cell r="M172" t="str">
            <v>Guessford-Kline</v>
          </cell>
          <cell r="N172" t="str">
            <v>0</v>
          </cell>
          <cell r="O172" t="str">
            <v>08</v>
          </cell>
          <cell r="P172" t="str">
            <v>Padrutt</v>
          </cell>
          <cell r="Q172" t="str">
            <v/>
          </cell>
          <cell r="R172" t="str">
            <v>DC</v>
          </cell>
          <cell r="S172">
            <v>50000</v>
          </cell>
          <cell r="T172" t="str">
            <v>OA/PPO/HMO</v>
          </cell>
          <cell r="U172" t="str">
            <v>BFF6/CFF6</v>
          </cell>
          <cell r="V172" t="str">
            <v/>
          </cell>
          <cell r="W172" t="str">
            <v/>
          </cell>
          <cell r="X172">
            <v>1</v>
          </cell>
        </row>
        <row r="173">
          <cell r="A173" t="str">
            <v>7H06</v>
          </cell>
          <cell r="B173" t="str">
            <v xml:space="preserve">Corporate Fitness Works, Inc                      </v>
          </cell>
          <cell r="C173" t="str">
            <v/>
          </cell>
          <cell r="D173" t="str">
            <v>McCourt</v>
          </cell>
          <cell r="E173" t="str">
            <v>Mugo</v>
          </cell>
          <cell r="F173" t="str">
            <v>09</v>
          </cell>
          <cell r="G173" t="str">
            <v>N</v>
          </cell>
          <cell r="H173" t="str">
            <v/>
          </cell>
          <cell r="I173" t="str">
            <v>N</v>
          </cell>
          <cell r="J173" t="str">
            <v>Rates</v>
          </cell>
          <cell r="K173" t="str">
            <v/>
          </cell>
          <cell r="L173" t="str">
            <v>Fully</v>
          </cell>
          <cell r="M173" t="str">
            <v>Guessford-Kline</v>
          </cell>
          <cell r="N173" t="str">
            <v/>
          </cell>
          <cell r="O173" t="str">
            <v>05</v>
          </cell>
          <cell r="P173" t="str">
            <v>Henton</v>
          </cell>
          <cell r="Q173" t="str">
            <v/>
          </cell>
          <cell r="R173" t="str">
            <v>MD</v>
          </cell>
          <cell r="S173">
            <v>0</v>
          </cell>
          <cell r="T173" t="str">
            <v>PPO</v>
          </cell>
          <cell r="U173" t="str">
            <v>BFF5</v>
          </cell>
          <cell r="V173" t="str">
            <v>Y</v>
          </cell>
          <cell r="W173" t="str">
            <v>9/1/2003</v>
          </cell>
          <cell r="X173">
            <v>1</v>
          </cell>
        </row>
        <row r="174">
          <cell r="A174" t="str">
            <v>7L69</v>
          </cell>
          <cell r="B174" t="str">
            <v xml:space="preserve">Corsair, Inc                                      </v>
          </cell>
          <cell r="C174" t="str">
            <v/>
          </cell>
          <cell r="D174" t="str">
            <v>Keefer</v>
          </cell>
          <cell r="E174" t="str">
            <v>Burba</v>
          </cell>
          <cell r="F174" t="str">
            <v>02</v>
          </cell>
          <cell r="G174" t="str">
            <v>N</v>
          </cell>
          <cell r="H174" t="str">
            <v/>
          </cell>
          <cell r="I174" t="str">
            <v>N</v>
          </cell>
          <cell r="J174" t="str">
            <v>Rates</v>
          </cell>
          <cell r="K174" t="str">
            <v/>
          </cell>
          <cell r="L174" t="str">
            <v>Fully</v>
          </cell>
          <cell r="M174" t="str">
            <v>Grabarek</v>
          </cell>
          <cell r="N174" t="str">
            <v/>
          </cell>
          <cell r="O174" t="str">
            <v>10</v>
          </cell>
          <cell r="P174" t="str">
            <v/>
          </cell>
          <cell r="Q174" t="str">
            <v/>
          </cell>
          <cell r="R174" t="str">
            <v>MD</v>
          </cell>
          <cell r="S174">
            <v>50000</v>
          </cell>
          <cell r="T174" t="str">
            <v>OA</v>
          </cell>
          <cell r="U174" t="str">
            <v>CFF5</v>
          </cell>
          <cell r="V174" t="str">
            <v>Y</v>
          </cell>
          <cell r="W174" t="str">
            <v>2/1/2005</v>
          </cell>
          <cell r="X174">
            <v>1</v>
          </cell>
        </row>
        <row r="175">
          <cell r="A175" t="str">
            <v>XS45</v>
          </cell>
          <cell r="B175" t="str">
            <v>Council for Professional Recognition (The)</v>
          </cell>
          <cell r="C175" t="str">
            <v/>
          </cell>
          <cell r="D175" t="str">
            <v>McCourt</v>
          </cell>
          <cell r="E175" t="str">
            <v>Slack</v>
          </cell>
          <cell r="F175" t="str">
            <v>07</v>
          </cell>
          <cell r="G175" t="str">
            <v>N</v>
          </cell>
          <cell r="H175" t="str">
            <v/>
          </cell>
          <cell r="I175" t="str">
            <v>N</v>
          </cell>
          <cell r="J175" t="str">
            <v>Rates</v>
          </cell>
          <cell r="K175" t="str">
            <v/>
          </cell>
          <cell r="L175" t="str">
            <v>Fully</v>
          </cell>
          <cell r="M175" t="str">
            <v>Savoca</v>
          </cell>
          <cell r="N175" t="str">
            <v/>
          </cell>
          <cell r="O175" t="str">
            <v>03</v>
          </cell>
          <cell r="P175" t="str">
            <v>Slack</v>
          </cell>
          <cell r="Q175" t="str">
            <v/>
          </cell>
          <cell r="R175" t="str">
            <v>DC</v>
          </cell>
          <cell r="S175">
            <v>50000</v>
          </cell>
          <cell r="T175" t="str">
            <v>PPO</v>
          </cell>
          <cell r="U175" t="str">
            <v>BFF5</v>
          </cell>
          <cell r="V175" t="str">
            <v/>
          </cell>
          <cell r="W175" t="str">
            <v/>
          </cell>
          <cell r="X175">
            <v>1</v>
          </cell>
        </row>
        <row r="176">
          <cell r="A176" t="str">
            <v>CL53</v>
          </cell>
          <cell r="B176" t="str">
            <v>Council of Chief State School</v>
          </cell>
          <cell r="C176" t="str">
            <v/>
          </cell>
          <cell r="D176" t="str">
            <v>McCourt</v>
          </cell>
          <cell r="E176" t="str">
            <v>Mugo</v>
          </cell>
          <cell r="F176" t="str">
            <v>07</v>
          </cell>
          <cell r="G176" t="str">
            <v>N</v>
          </cell>
          <cell r="H176" t="str">
            <v>N</v>
          </cell>
          <cell r="I176" t="str">
            <v>N</v>
          </cell>
          <cell r="J176" t="str">
            <v>Rates</v>
          </cell>
          <cell r="K176" t="str">
            <v/>
          </cell>
          <cell r="L176" t="str">
            <v>Fully</v>
          </cell>
          <cell r="M176" t="str">
            <v>Khatib</v>
          </cell>
          <cell r="N176" t="str">
            <v>0</v>
          </cell>
          <cell r="O176" t="str">
            <v>03</v>
          </cell>
          <cell r="P176" t="str">
            <v>Addy</v>
          </cell>
          <cell r="Q176" t="str">
            <v/>
          </cell>
          <cell r="R176" t="str">
            <v>DC</v>
          </cell>
          <cell r="S176">
            <v>50000</v>
          </cell>
          <cell r="T176" t="str">
            <v>POS</v>
          </cell>
          <cell r="U176" t="str">
            <v>BFF5/CFF5</v>
          </cell>
          <cell r="V176" t="str">
            <v/>
          </cell>
          <cell r="W176" t="str">
            <v/>
          </cell>
          <cell r="X176">
            <v>1</v>
          </cell>
        </row>
        <row r="177">
          <cell r="A177" t="str">
            <v>5K04</v>
          </cell>
          <cell r="B177" t="str">
            <v xml:space="preserve">Counter Intelligence Inc.                         </v>
          </cell>
          <cell r="C177" t="str">
            <v/>
          </cell>
          <cell r="D177" t="str">
            <v>McCourt</v>
          </cell>
          <cell r="E177" t="str">
            <v>Mugo</v>
          </cell>
          <cell r="F177" t="str">
            <v>07</v>
          </cell>
          <cell r="G177" t="str">
            <v>N</v>
          </cell>
          <cell r="H177" t="str">
            <v/>
          </cell>
          <cell r="I177" t="str">
            <v>N</v>
          </cell>
          <cell r="J177" t="str">
            <v>Rates</v>
          </cell>
          <cell r="K177" t="str">
            <v/>
          </cell>
          <cell r="L177" t="str">
            <v>Fully</v>
          </cell>
          <cell r="M177" t="str">
            <v>Dodds</v>
          </cell>
          <cell r="N177" t="str">
            <v/>
          </cell>
          <cell r="O177" t="str">
            <v>03</v>
          </cell>
          <cell r="P177" t="str">
            <v/>
          </cell>
          <cell r="Q177" t="str">
            <v/>
          </cell>
          <cell r="R177" t="str">
            <v>MD</v>
          </cell>
          <cell r="S177">
            <v>50000</v>
          </cell>
          <cell r="T177" t="str">
            <v>HMO</v>
          </cell>
          <cell r="U177" t="str">
            <v>CFF5</v>
          </cell>
          <cell r="V177" t="str">
            <v/>
          </cell>
          <cell r="W177" t="str">
            <v/>
          </cell>
          <cell r="X177">
            <v>1</v>
          </cell>
        </row>
        <row r="178">
          <cell r="A178" t="str">
            <v>PS78</v>
          </cell>
          <cell r="B178" t="str">
            <v>Counterpart International</v>
          </cell>
          <cell r="C178" t="str">
            <v/>
          </cell>
          <cell r="D178" t="str">
            <v>McCourt</v>
          </cell>
          <cell r="E178" t="str">
            <v>Quade</v>
          </cell>
          <cell r="F178" t="str">
            <v>05</v>
          </cell>
          <cell r="G178" t="str">
            <v>N</v>
          </cell>
          <cell r="H178" t="str">
            <v/>
          </cell>
          <cell r="I178" t="str">
            <v>N</v>
          </cell>
          <cell r="J178" t="str">
            <v>Rates</v>
          </cell>
          <cell r="K178" t="str">
            <v/>
          </cell>
          <cell r="L178" t="str">
            <v>Fully</v>
          </cell>
          <cell r="M178" t="str">
            <v>Wise</v>
          </cell>
          <cell r="N178" t="str">
            <v>0</v>
          </cell>
          <cell r="O178" t="str">
            <v>01</v>
          </cell>
          <cell r="P178" t="str">
            <v/>
          </cell>
          <cell r="Q178" t="str">
            <v/>
          </cell>
          <cell r="R178" t="str">
            <v>DC</v>
          </cell>
          <cell r="S178">
            <v>50000</v>
          </cell>
          <cell r="T178" t="str">
            <v>PPO</v>
          </cell>
          <cell r="U178" t="str">
            <v>BFF5</v>
          </cell>
          <cell r="V178" t="str">
            <v/>
          </cell>
          <cell r="W178" t="str">
            <v/>
          </cell>
          <cell r="X178">
            <v>1</v>
          </cell>
        </row>
        <row r="179">
          <cell r="A179" t="str">
            <v>TS94</v>
          </cell>
          <cell r="B179" t="str">
            <v xml:space="preserve">Covenant House Washington                         </v>
          </cell>
          <cell r="C179" t="str">
            <v/>
          </cell>
          <cell r="D179" t="str">
            <v>Keefer</v>
          </cell>
          <cell r="E179" t="str">
            <v>Padrutt</v>
          </cell>
          <cell r="F179" t="str">
            <v>12</v>
          </cell>
          <cell r="G179" t="str">
            <v>N</v>
          </cell>
          <cell r="H179" t="str">
            <v/>
          </cell>
          <cell r="I179" t="str">
            <v>N</v>
          </cell>
          <cell r="J179" t="str">
            <v>Rates</v>
          </cell>
          <cell r="K179" t="str">
            <v/>
          </cell>
          <cell r="L179" t="str">
            <v>Fully</v>
          </cell>
          <cell r="M179" t="str">
            <v>Swears</v>
          </cell>
          <cell r="N179" t="str">
            <v/>
          </cell>
          <cell r="O179" t="str">
            <v>08</v>
          </cell>
          <cell r="P179" t="str">
            <v>Padrutt</v>
          </cell>
          <cell r="Q179" t="str">
            <v/>
          </cell>
          <cell r="R179" t="str">
            <v>DC</v>
          </cell>
          <cell r="S179">
            <v>50000</v>
          </cell>
          <cell r="T179" t="str">
            <v>PPO/POS/HMO</v>
          </cell>
          <cell r="U179" t="str">
            <v>BFF5/CFF5</v>
          </cell>
          <cell r="V179" t="str">
            <v/>
          </cell>
          <cell r="W179" t="str">
            <v/>
          </cell>
          <cell r="X179">
            <v>1</v>
          </cell>
        </row>
        <row r="180">
          <cell r="A180" t="str">
            <v>XC56</v>
          </cell>
          <cell r="B180" t="str">
            <v xml:space="preserve">Creative Associates International                 </v>
          </cell>
          <cell r="C180" t="str">
            <v/>
          </cell>
          <cell r="D180" t="str">
            <v>Keefer</v>
          </cell>
          <cell r="E180" t="str">
            <v>Johnson</v>
          </cell>
          <cell r="F180" t="str">
            <v>06</v>
          </cell>
          <cell r="G180" t="str">
            <v>N</v>
          </cell>
          <cell r="H180" t="str">
            <v/>
          </cell>
          <cell r="I180" t="str">
            <v>N</v>
          </cell>
          <cell r="J180" t="str">
            <v>Rates</v>
          </cell>
          <cell r="K180" t="str">
            <v/>
          </cell>
          <cell r="L180" t="str">
            <v>Fully</v>
          </cell>
          <cell r="M180" t="str">
            <v>Dodds</v>
          </cell>
          <cell r="N180" t="str">
            <v/>
          </cell>
          <cell r="O180" t="str">
            <v>02</v>
          </cell>
          <cell r="P180" t="str">
            <v/>
          </cell>
          <cell r="Q180" t="str">
            <v/>
          </cell>
          <cell r="R180" t="str">
            <v>DC</v>
          </cell>
          <cell r="S180">
            <v>50000</v>
          </cell>
          <cell r="T180" t="str">
            <v>PPO/HMO</v>
          </cell>
          <cell r="U180" t="str">
            <v>BFF5/CFF5</v>
          </cell>
          <cell r="V180" t="str">
            <v/>
          </cell>
          <cell r="W180" t="str">
            <v/>
          </cell>
          <cell r="X180">
            <v>1</v>
          </cell>
        </row>
        <row r="181">
          <cell r="A181" t="str">
            <v>PF30</v>
          </cell>
          <cell r="B181" t="str">
            <v>Creative Hotel Associates, LLC</v>
          </cell>
          <cell r="C181" t="str">
            <v/>
          </cell>
          <cell r="D181" t="str">
            <v>McCourt</v>
          </cell>
          <cell r="E181" t="str">
            <v>Rutkowski</v>
          </cell>
          <cell r="F181" t="str">
            <v>01</v>
          </cell>
          <cell r="G181" t="str">
            <v>N</v>
          </cell>
          <cell r="H181" t="str">
            <v/>
          </cell>
          <cell r="I181" t="str">
            <v>N</v>
          </cell>
          <cell r="J181" t="str">
            <v>Rates</v>
          </cell>
          <cell r="K181" t="str">
            <v/>
          </cell>
          <cell r="L181" t="str">
            <v>Fully</v>
          </cell>
          <cell r="M181" t="str">
            <v>Henton-Davis</v>
          </cell>
          <cell r="N181" t="str">
            <v>0</v>
          </cell>
          <cell r="O181" t="str">
            <v>09</v>
          </cell>
          <cell r="P181" t="str">
            <v>Rutkowski</v>
          </cell>
          <cell r="Q181" t="str">
            <v/>
          </cell>
          <cell r="R181" t="str">
            <v>MD</v>
          </cell>
          <cell r="S181">
            <v>50000</v>
          </cell>
          <cell r="T181" t="str">
            <v>PPO</v>
          </cell>
          <cell r="U181" t="str">
            <v>BFF5</v>
          </cell>
          <cell r="V181" t="str">
            <v/>
          </cell>
          <cell r="W181" t="str">
            <v/>
          </cell>
          <cell r="X181">
            <v>1</v>
          </cell>
        </row>
        <row r="182">
          <cell r="A182" t="str">
            <v>4V33</v>
          </cell>
          <cell r="B182" t="str">
            <v xml:space="preserve">Creative Information Technology, Inc.             </v>
          </cell>
          <cell r="C182" t="str">
            <v/>
          </cell>
          <cell r="D182" t="str">
            <v>Keefer</v>
          </cell>
          <cell r="E182" t="str">
            <v>Burba</v>
          </cell>
          <cell r="F182" t="str">
            <v>07</v>
          </cell>
          <cell r="G182" t="str">
            <v>N</v>
          </cell>
          <cell r="H182" t="str">
            <v/>
          </cell>
          <cell r="I182" t="str">
            <v>N</v>
          </cell>
          <cell r="J182" t="str">
            <v>Rates</v>
          </cell>
          <cell r="K182" t="str">
            <v/>
          </cell>
          <cell r="L182" t="str">
            <v>Fully</v>
          </cell>
          <cell r="M182" t="str">
            <v>Dodds</v>
          </cell>
          <cell r="N182" t="str">
            <v/>
          </cell>
          <cell r="O182" t="str">
            <v>03</v>
          </cell>
          <cell r="P182" t="str">
            <v>Padrutt</v>
          </cell>
          <cell r="Q182" t="str">
            <v/>
          </cell>
          <cell r="R182" t="str">
            <v>VA</v>
          </cell>
          <cell r="S182">
            <v>50000</v>
          </cell>
          <cell r="T182" t="str">
            <v>PPO/HMO/OA</v>
          </cell>
          <cell r="U182" t="str">
            <v>BFF5/CFF5</v>
          </cell>
          <cell r="V182" t="str">
            <v/>
          </cell>
          <cell r="W182" t="str">
            <v/>
          </cell>
          <cell r="X182">
            <v>1</v>
          </cell>
        </row>
        <row r="183">
          <cell r="A183" t="str">
            <v>XM70</v>
          </cell>
          <cell r="B183" t="str">
            <v>Crestline Hotels &amp; Resorts</v>
          </cell>
          <cell r="C183" t="str">
            <v/>
          </cell>
          <cell r="D183" t="str">
            <v>Keefer</v>
          </cell>
          <cell r="E183" t="str">
            <v>Anderson</v>
          </cell>
          <cell r="F183" t="str">
            <v>01</v>
          </cell>
          <cell r="G183" t="str">
            <v>N</v>
          </cell>
          <cell r="H183" t="str">
            <v/>
          </cell>
          <cell r="I183" t="str">
            <v>N</v>
          </cell>
          <cell r="J183" t="str">
            <v>CPC Mo</v>
          </cell>
          <cell r="K183" t="str">
            <v>WW</v>
          </cell>
          <cell r="L183" t="str">
            <v>125%</v>
          </cell>
          <cell r="M183" t="str">
            <v>Allen Maier</v>
          </cell>
          <cell r="N183" t="str">
            <v>3</v>
          </cell>
          <cell r="O183" t="str">
            <v>07</v>
          </cell>
          <cell r="P183" t="str">
            <v>Ryan</v>
          </cell>
          <cell r="Q183" t="str">
            <v>Alves</v>
          </cell>
          <cell r="R183" t="str">
            <v>VA</v>
          </cell>
          <cell r="S183">
            <v>150000</v>
          </cell>
          <cell r="T183" t="str">
            <v>PPO, CAT</v>
          </cell>
          <cell r="U183" t="str">
            <v>BAB8</v>
          </cell>
          <cell r="V183" t="str">
            <v/>
          </cell>
          <cell r="W183" t="str">
            <v/>
          </cell>
          <cell r="X183">
            <v>1</v>
          </cell>
        </row>
        <row r="184">
          <cell r="A184" t="str">
            <v>7L34</v>
          </cell>
          <cell r="B184" t="str">
            <v>Crystal Ford Isuzu Ltd.</v>
          </cell>
          <cell r="C184" t="str">
            <v/>
          </cell>
          <cell r="D184" t="str">
            <v>Keefer</v>
          </cell>
          <cell r="E184" t="str">
            <v>Anderson</v>
          </cell>
          <cell r="F184" t="str">
            <v>01</v>
          </cell>
          <cell r="G184" t="str">
            <v/>
          </cell>
          <cell r="H184" t="str">
            <v/>
          </cell>
          <cell r="I184" t="str">
            <v/>
          </cell>
          <cell r="J184" t="str">
            <v>Rates</v>
          </cell>
          <cell r="K184" t="str">
            <v/>
          </cell>
          <cell r="L184" t="str">
            <v>Fully</v>
          </cell>
          <cell r="M184" t="str">
            <v>Warren</v>
          </cell>
          <cell r="N184" t="str">
            <v/>
          </cell>
          <cell r="O184" t="str">
            <v>09</v>
          </cell>
          <cell r="P184" t="str">
            <v/>
          </cell>
          <cell r="Q184" t="str">
            <v/>
          </cell>
          <cell r="R184" t="str">
            <v>MD</v>
          </cell>
          <cell r="S184">
            <v>50000</v>
          </cell>
          <cell r="T184" t="str">
            <v>HMO OA PPO RX D</v>
          </cell>
          <cell r="U184" t="str">
            <v>BFF5 CFF5</v>
          </cell>
          <cell r="V184" t="str">
            <v>Y</v>
          </cell>
          <cell r="W184" t="str">
            <v>1/1/2005</v>
          </cell>
          <cell r="X184">
            <v>1</v>
          </cell>
        </row>
        <row r="185">
          <cell r="A185" t="str">
            <v>7H99</v>
          </cell>
          <cell r="B185" t="str">
            <v>CSAAC Com. Services for Autistic Adults &amp; Children</v>
          </cell>
          <cell r="C185" t="str">
            <v/>
          </cell>
          <cell r="D185" t="str">
            <v>Keefer</v>
          </cell>
          <cell r="E185" t="str">
            <v>Anderson</v>
          </cell>
          <cell r="F185" t="str">
            <v>11</v>
          </cell>
          <cell r="G185" t="str">
            <v/>
          </cell>
          <cell r="H185" t="str">
            <v/>
          </cell>
          <cell r="I185" t="str">
            <v/>
          </cell>
          <cell r="J185" t="str">
            <v>Rates</v>
          </cell>
          <cell r="K185" t="str">
            <v/>
          </cell>
          <cell r="L185" t="str">
            <v>Fully</v>
          </cell>
          <cell r="M185" t="str">
            <v>Housman</v>
          </cell>
          <cell r="N185" t="str">
            <v/>
          </cell>
          <cell r="O185" t="str">
            <v>08</v>
          </cell>
          <cell r="P185" t="str">
            <v/>
          </cell>
          <cell r="Q185" t="str">
            <v/>
          </cell>
          <cell r="R185" t="str">
            <v>MD</v>
          </cell>
          <cell r="S185">
            <v>75000</v>
          </cell>
          <cell r="T185" t="str">
            <v>HMO OA Rx</v>
          </cell>
          <cell r="U185" t="str">
            <v>CFF7</v>
          </cell>
          <cell r="V185" t="str">
            <v>Y</v>
          </cell>
          <cell r="W185" t="str">
            <v>11/1/2004</v>
          </cell>
          <cell r="X185">
            <v>1</v>
          </cell>
        </row>
        <row r="186">
          <cell r="A186" t="str">
            <v>1A72</v>
          </cell>
          <cell r="B186" t="str">
            <v>C-Span (National Satellite Cable Corporation)</v>
          </cell>
          <cell r="C186" t="str">
            <v/>
          </cell>
          <cell r="D186" t="str">
            <v>Keefer</v>
          </cell>
          <cell r="E186" t="str">
            <v>Padrutt</v>
          </cell>
          <cell r="F186" t="str">
            <v>02</v>
          </cell>
          <cell r="G186" t="str">
            <v>N</v>
          </cell>
          <cell r="H186" t="str">
            <v>N</v>
          </cell>
          <cell r="I186" t="str">
            <v>N</v>
          </cell>
          <cell r="J186" t="str">
            <v>Rates</v>
          </cell>
          <cell r="K186" t="str">
            <v/>
          </cell>
          <cell r="L186" t="str">
            <v>Fully</v>
          </cell>
          <cell r="M186" t="str">
            <v>Bradshaw</v>
          </cell>
          <cell r="N186" t="str">
            <v>0</v>
          </cell>
          <cell r="O186" t="str">
            <v>10</v>
          </cell>
          <cell r="P186" t="str">
            <v>Padrutt</v>
          </cell>
          <cell r="Q186" t="str">
            <v/>
          </cell>
          <cell r="R186" t="str">
            <v>DC</v>
          </cell>
          <cell r="S186">
            <v>50000</v>
          </cell>
          <cell r="T186" t="str">
            <v>POS</v>
          </cell>
          <cell r="U186" t="str">
            <v>BFF5/CFF5</v>
          </cell>
          <cell r="V186" t="str">
            <v/>
          </cell>
          <cell r="W186" t="str">
            <v/>
          </cell>
          <cell r="X186">
            <v>1</v>
          </cell>
        </row>
        <row r="187">
          <cell r="A187" t="str">
            <v>TG18</v>
          </cell>
          <cell r="B187" t="str">
            <v>Ctg, Inc.</v>
          </cell>
          <cell r="C187" t="str">
            <v/>
          </cell>
          <cell r="D187" t="str">
            <v>Keefer</v>
          </cell>
          <cell r="E187" t="str">
            <v>Johnson</v>
          </cell>
          <cell r="F187" t="str">
            <v>04</v>
          </cell>
          <cell r="G187" t="str">
            <v>N</v>
          </cell>
          <cell r="H187" t="str">
            <v/>
          </cell>
          <cell r="I187" t="str">
            <v>N</v>
          </cell>
          <cell r="J187" t="str">
            <v>Rates</v>
          </cell>
          <cell r="K187" t="str">
            <v/>
          </cell>
          <cell r="L187" t="str">
            <v>Fully</v>
          </cell>
          <cell r="M187" t="str">
            <v>Swears</v>
          </cell>
          <cell r="N187" t="str">
            <v>0</v>
          </cell>
          <cell r="O187" t="str">
            <v>12</v>
          </cell>
          <cell r="P187" t="str">
            <v/>
          </cell>
          <cell r="Q187" t="str">
            <v/>
          </cell>
          <cell r="R187" t="str">
            <v>VA</v>
          </cell>
          <cell r="S187">
            <v>50000</v>
          </cell>
          <cell r="T187" t="str">
            <v>HMO</v>
          </cell>
          <cell r="U187" t="str">
            <v>BFF6/CFF6</v>
          </cell>
          <cell r="V187" t="str">
            <v/>
          </cell>
          <cell r="W187" t="str">
            <v/>
          </cell>
          <cell r="X187">
            <v>1</v>
          </cell>
        </row>
        <row r="188">
          <cell r="A188" t="str">
            <v>7H55</v>
          </cell>
          <cell r="B188" t="str">
            <v>D &amp; R International</v>
          </cell>
          <cell r="C188" t="str">
            <v/>
          </cell>
          <cell r="D188" t="str">
            <v>Keefer</v>
          </cell>
          <cell r="E188" t="str">
            <v>Newman</v>
          </cell>
          <cell r="F188" t="str">
            <v>06</v>
          </cell>
          <cell r="G188" t="str">
            <v>N</v>
          </cell>
          <cell r="H188" t="str">
            <v/>
          </cell>
          <cell r="I188" t="str">
            <v>N</v>
          </cell>
          <cell r="J188" t="str">
            <v>Rates</v>
          </cell>
          <cell r="K188" t="str">
            <v/>
          </cell>
          <cell r="L188" t="str">
            <v>Fully</v>
          </cell>
          <cell r="M188" t="str">
            <v>Grabarek</v>
          </cell>
          <cell r="N188" t="str">
            <v/>
          </cell>
          <cell r="O188" t="str">
            <v>02</v>
          </cell>
          <cell r="P188" t="str">
            <v/>
          </cell>
          <cell r="Q188" t="str">
            <v/>
          </cell>
          <cell r="R188" t="str">
            <v>MD</v>
          </cell>
          <cell r="S188">
            <v>50000</v>
          </cell>
          <cell r="T188" t="str">
            <v>HMO OA PPO</v>
          </cell>
          <cell r="U188" t="str">
            <v>BFF5/CFF5</v>
          </cell>
          <cell r="V188" t="str">
            <v>Y</v>
          </cell>
          <cell r="W188" t="str">
            <v>6/1/2004</v>
          </cell>
          <cell r="X188">
            <v>1</v>
          </cell>
        </row>
        <row r="189">
          <cell r="A189" t="str">
            <v>PT14</v>
          </cell>
          <cell r="B189" t="str">
            <v xml:space="preserve">D. P. Associates, Inc.                            </v>
          </cell>
          <cell r="C189" t="str">
            <v/>
          </cell>
          <cell r="D189" t="str">
            <v>Keefer</v>
          </cell>
          <cell r="E189" t="str">
            <v>Newman</v>
          </cell>
          <cell r="F189" t="str">
            <v>06</v>
          </cell>
          <cell r="G189" t="str">
            <v>N</v>
          </cell>
          <cell r="H189" t="str">
            <v/>
          </cell>
          <cell r="I189" t="str">
            <v>N</v>
          </cell>
          <cell r="J189" t="str">
            <v>Rates</v>
          </cell>
          <cell r="K189" t="str">
            <v/>
          </cell>
          <cell r="L189" t="str">
            <v>Fully</v>
          </cell>
          <cell r="M189" t="str">
            <v>Wise</v>
          </cell>
          <cell r="N189" t="str">
            <v/>
          </cell>
          <cell r="O189" t="str">
            <v>02</v>
          </cell>
          <cell r="P189" t="str">
            <v>Padrutt</v>
          </cell>
          <cell r="Q189" t="str">
            <v/>
          </cell>
          <cell r="R189" t="str">
            <v>VA</v>
          </cell>
          <cell r="S189">
            <v>50000</v>
          </cell>
          <cell r="T189" t="str">
            <v>PPO</v>
          </cell>
          <cell r="U189" t="str">
            <v>BFF2</v>
          </cell>
          <cell r="V189" t="str">
            <v/>
          </cell>
          <cell r="W189" t="str">
            <v/>
          </cell>
          <cell r="X189">
            <v>1</v>
          </cell>
        </row>
        <row r="190">
          <cell r="A190" t="str">
            <v>PH29</v>
          </cell>
          <cell r="B190" t="str">
            <v xml:space="preserve">Daily Grill                                       </v>
          </cell>
          <cell r="C190" t="str">
            <v/>
          </cell>
          <cell r="D190" t="str">
            <v>Keefer</v>
          </cell>
          <cell r="E190" t="str">
            <v>Anderson</v>
          </cell>
          <cell r="F190" t="str">
            <v>02</v>
          </cell>
          <cell r="G190" t="str">
            <v>N</v>
          </cell>
          <cell r="H190" t="str">
            <v>N</v>
          </cell>
          <cell r="I190" t="str">
            <v>N</v>
          </cell>
          <cell r="J190" t="str">
            <v>Rates</v>
          </cell>
          <cell r="K190" t="str">
            <v/>
          </cell>
          <cell r="L190" t="str">
            <v>Fully</v>
          </cell>
          <cell r="M190" t="str">
            <v>Swears</v>
          </cell>
          <cell r="N190" t="str">
            <v/>
          </cell>
          <cell r="O190" t="str">
            <v>05</v>
          </cell>
          <cell r="P190" t="str">
            <v/>
          </cell>
          <cell r="Q190" t="str">
            <v/>
          </cell>
          <cell r="R190" t="str">
            <v>DC</v>
          </cell>
          <cell r="S190">
            <v>50000</v>
          </cell>
          <cell r="T190" t="str">
            <v>HMO Rx</v>
          </cell>
          <cell r="U190" t="str">
            <v>CFF5</v>
          </cell>
          <cell r="V190" t="str">
            <v/>
          </cell>
          <cell r="W190" t="str">
            <v/>
          </cell>
          <cell r="X190">
            <v>1</v>
          </cell>
        </row>
        <row r="191">
          <cell r="A191" t="str">
            <v>3V80</v>
          </cell>
          <cell r="B191" t="str">
            <v xml:space="preserve">Daly Computers, Inc.                              </v>
          </cell>
          <cell r="C191" t="str">
            <v/>
          </cell>
          <cell r="D191" t="str">
            <v>McCourt</v>
          </cell>
          <cell r="E191" t="str">
            <v>Slack</v>
          </cell>
          <cell r="F191" t="str">
            <v>03</v>
          </cell>
          <cell r="G191" t="str">
            <v>N</v>
          </cell>
          <cell r="H191" t="str">
            <v/>
          </cell>
          <cell r="I191" t="str">
            <v>N</v>
          </cell>
          <cell r="J191" t="str">
            <v>Rates</v>
          </cell>
          <cell r="K191" t="str">
            <v/>
          </cell>
          <cell r="L191" t="str">
            <v>Fully</v>
          </cell>
          <cell r="M191" t="str">
            <v>Dodds</v>
          </cell>
          <cell r="N191" t="str">
            <v/>
          </cell>
          <cell r="O191" t="str">
            <v>11</v>
          </cell>
          <cell r="P191" t="str">
            <v>Slack</v>
          </cell>
          <cell r="Q191" t="str">
            <v/>
          </cell>
          <cell r="R191" t="str">
            <v>MD</v>
          </cell>
          <cell r="S191">
            <v>50000</v>
          </cell>
          <cell r="T191" t="str">
            <v>PPO/POS/HMO</v>
          </cell>
          <cell r="U191" t="str">
            <v>CFF5</v>
          </cell>
          <cell r="V191" t="str">
            <v/>
          </cell>
          <cell r="W191" t="str">
            <v/>
          </cell>
          <cell r="X191">
            <v>1</v>
          </cell>
        </row>
        <row r="192">
          <cell r="A192" t="str">
            <v>3N93</v>
          </cell>
          <cell r="B192" t="str">
            <v xml:space="preserve">Dante Consulting                                  </v>
          </cell>
          <cell r="C192" t="str">
            <v/>
          </cell>
          <cell r="D192" t="str">
            <v>Keefer</v>
          </cell>
          <cell r="E192" t="str">
            <v>LaTouche</v>
          </cell>
          <cell r="F192" t="str">
            <v>03</v>
          </cell>
          <cell r="G192" t="str">
            <v>N</v>
          </cell>
          <cell r="H192" t="str">
            <v/>
          </cell>
          <cell r="I192" t="str">
            <v>N</v>
          </cell>
          <cell r="J192" t="str">
            <v>Rates</v>
          </cell>
          <cell r="K192" t="str">
            <v/>
          </cell>
          <cell r="L192" t="str">
            <v>Fully</v>
          </cell>
          <cell r="M192" t="str">
            <v>Savoca</v>
          </cell>
          <cell r="N192" t="str">
            <v/>
          </cell>
          <cell r="O192" t="str">
            <v>11</v>
          </cell>
          <cell r="P192" t="str">
            <v>LaTouche</v>
          </cell>
          <cell r="Q192" t="str">
            <v/>
          </cell>
          <cell r="R192" t="str">
            <v>VA</v>
          </cell>
          <cell r="S192">
            <v>50000</v>
          </cell>
          <cell r="T192" t="str">
            <v>PPO</v>
          </cell>
          <cell r="U192" t="str">
            <v>BFF5</v>
          </cell>
          <cell r="V192" t="str">
            <v/>
          </cell>
          <cell r="W192" t="str">
            <v/>
          </cell>
          <cell r="X192">
            <v>1</v>
          </cell>
        </row>
        <row r="193">
          <cell r="A193" t="str">
            <v>UX67</v>
          </cell>
          <cell r="B193" t="str">
            <v xml:space="preserve">Darlington Incorporated                           </v>
          </cell>
          <cell r="C193" t="str">
            <v/>
          </cell>
          <cell r="D193" t="str">
            <v>McCourt</v>
          </cell>
          <cell r="E193" t="str">
            <v>Quade</v>
          </cell>
          <cell r="F193" t="str">
            <v>01</v>
          </cell>
          <cell r="G193" t="str">
            <v>N</v>
          </cell>
          <cell r="H193" t="str">
            <v>N</v>
          </cell>
          <cell r="I193" t="str">
            <v>N</v>
          </cell>
          <cell r="J193" t="str">
            <v>Rates</v>
          </cell>
          <cell r="K193" t="str">
            <v/>
          </cell>
          <cell r="L193" t="str">
            <v>Fully</v>
          </cell>
          <cell r="M193" t="str">
            <v>Guessford-Kline</v>
          </cell>
          <cell r="N193" t="str">
            <v/>
          </cell>
          <cell r="O193" t="str">
            <v>09</v>
          </cell>
          <cell r="P193" t="str">
            <v/>
          </cell>
          <cell r="Q193" t="str">
            <v/>
          </cell>
          <cell r="R193" t="str">
            <v>VA</v>
          </cell>
          <cell r="S193">
            <v>50000</v>
          </cell>
          <cell r="T193" t="str">
            <v>PPO</v>
          </cell>
          <cell r="U193" t="str">
            <v>BFF6</v>
          </cell>
          <cell r="V193" t="str">
            <v/>
          </cell>
          <cell r="W193" t="str">
            <v/>
          </cell>
          <cell r="X193">
            <v>1</v>
          </cell>
        </row>
        <row r="194">
          <cell r="A194" t="str">
            <v>QR17</v>
          </cell>
          <cell r="B194" t="str">
            <v>Daston Corporation</v>
          </cell>
          <cell r="C194" t="str">
            <v/>
          </cell>
          <cell r="D194" t="str">
            <v>Keefer</v>
          </cell>
          <cell r="E194" t="str">
            <v>Newman</v>
          </cell>
          <cell r="F194" t="str">
            <v>01</v>
          </cell>
          <cell r="G194" t="str">
            <v>N</v>
          </cell>
          <cell r="H194" t="str">
            <v/>
          </cell>
          <cell r="I194" t="str">
            <v>N</v>
          </cell>
          <cell r="J194" t="str">
            <v>Rates</v>
          </cell>
          <cell r="K194" t="str">
            <v/>
          </cell>
          <cell r="L194" t="str">
            <v>Fully</v>
          </cell>
          <cell r="M194" t="str">
            <v>Wise</v>
          </cell>
          <cell r="N194" t="str">
            <v/>
          </cell>
          <cell r="O194" t="str">
            <v>09</v>
          </cell>
          <cell r="P194" t="str">
            <v/>
          </cell>
          <cell r="Q194" t="str">
            <v/>
          </cell>
          <cell r="R194" t="str">
            <v>VA</v>
          </cell>
          <cell r="S194">
            <v>50000</v>
          </cell>
          <cell r="T194" t="str">
            <v>OA POS PPO PPO</v>
          </cell>
          <cell r="U194" t="str">
            <v>BFF5/CFF5</v>
          </cell>
          <cell r="V194" t="str">
            <v>Y</v>
          </cell>
          <cell r="W194" t="str">
            <v>4/1/2004</v>
          </cell>
          <cell r="X194">
            <v>1</v>
          </cell>
        </row>
        <row r="195">
          <cell r="A195" t="str">
            <v>7G39</v>
          </cell>
          <cell r="B195" t="str">
            <v>Data Solutions &amp; Technology</v>
          </cell>
          <cell r="C195" t="str">
            <v/>
          </cell>
          <cell r="D195" t="str">
            <v>Keefer</v>
          </cell>
          <cell r="E195" t="str">
            <v>Johnson</v>
          </cell>
          <cell r="F195" t="str">
            <v>04</v>
          </cell>
          <cell r="G195" t="str">
            <v>N</v>
          </cell>
          <cell r="H195" t="str">
            <v/>
          </cell>
          <cell r="I195" t="str">
            <v>N</v>
          </cell>
          <cell r="J195" t="str">
            <v>Rates</v>
          </cell>
          <cell r="K195" t="str">
            <v/>
          </cell>
          <cell r="L195" t="str">
            <v>Fully</v>
          </cell>
          <cell r="M195" t="str">
            <v>Henton-Davis</v>
          </cell>
          <cell r="N195" t="str">
            <v>0</v>
          </cell>
          <cell r="O195" t="str">
            <v>12</v>
          </cell>
          <cell r="P195" t="str">
            <v/>
          </cell>
          <cell r="Q195" t="str">
            <v/>
          </cell>
          <cell r="R195" t="str">
            <v>MD</v>
          </cell>
          <cell r="S195">
            <v>50000</v>
          </cell>
          <cell r="T195" t="str">
            <v>HMO/PPO/POS</v>
          </cell>
          <cell r="U195" t="str">
            <v>BFF5/CFF5</v>
          </cell>
          <cell r="V195" t="str">
            <v>Y</v>
          </cell>
          <cell r="W195" t="str">
            <v>4/1/2002</v>
          </cell>
          <cell r="X195">
            <v>1</v>
          </cell>
        </row>
        <row r="196">
          <cell r="A196" t="str">
            <v>XN02</v>
          </cell>
          <cell r="B196" t="str">
            <v>DC Science and Technology Fellows (AAAS Fellows)</v>
          </cell>
          <cell r="C196" t="str">
            <v/>
          </cell>
          <cell r="D196" t="str">
            <v>McCourt</v>
          </cell>
          <cell r="E196" t="str">
            <v>Quade</v>
          </cell>
          <cell r="F196" t="str">
            <v>06</v>
          </cell>
          <cell r="G196" t="str">
            <v>N</v>
          </cell>
          <cell r="H196" t="str">
            <v>N</v>
          </cell>
          <cell r="I196" t="str">
            <v>N</v>
          </cell>
          <cell r="J196" t="str">
            <v>Rates</v>
          </cell>
          <cell r="K196" t="str">
            <v/>
          </cell>
          <cell r="L196" t="str">
            <v>Fully</v>
          </cell>
          <cell r="M196" t="str">
            <v>Swears</v>
          </cell>
          <cell r="N196" t="str">
            <v>0</v>
          </cell>
          <cell r="O196" t="str">
            <v>02</v>
          </cell>
          <cell r="P196" t="str">
            <v/>
          </cell>
          <cell r="Q196" t="str">
            <v/>
          </cell>
          <cell r="R196" t="str">
            <v>DC</v>
          </cell>
          <cell r="S196">
            <v>50000</v>
          </cell>
          <cell r="T196" t="str">
            <v>PPO/HMO/POS Rx D</v>
          </cell>
          <cell r="U196" t="str">
            <v>BFF5/CFF5</v>
          </cell>
          <cell r="V196" t="str">
            <v/>
          </cell>
          <cell r="W196" t="str">
            <v/>
          </cell>
          <cell r="X196">
            <v>1</v>
          </cell>
        </row>
        <row r="197">
          <cell r="A197" t="str">
            <v>PZ41</v>
          </cell>
          <cell r="B197" t="str">
            <v xml:space="preserve">Decisive Analytics Corporation                    </v>
          </cell>
          <cell r="C197" t="str">
            <v/>
          </cell>
          <cell r="D197" t="str">
            <v>Keefer</v>
          </cell>
          <cell r="E197" t="str">
            <v>Taylor</v>
          </cell>
          <cell r="F197" t="str">
            <v>06</v>
          </cell>
          <cell r="G197" t="str">
            <v>N</v>
          </cell>
          <cell r="H197" t="str">
            <v/>
          </cell>
          <cell r="I197" t="str">
            <v>N</v>
          </cell>
          <cell r="J197" t="str">
            <v>Rates</v>
          </cell>
          <cell r="K197" t="str">
            <v/>
          </cell>
          <cell r="L197" t="str">
            <v>Fully</v>
          </cell>
          <cell r="M197" t="str">
            <v>Savoca</v>
          </cell>
          <cell r="N197" t="str">
            <v/>
          </cell>
          <cell r="O197" t="str">
            <v>02</v>
          </cell>
          <cell r="P197" t="str">
            <v/>
          </cell>
          <cell r="Q197" t="str">
            <v/>
          </cell>
          <cell r="R197" t="str">
            <v>VA</v>
          </cell>
          <cell r="S197">
            <v>50000</v>
          </cell>
          <cell r="T197" t="str">
            <v>PPO/OA/POS</v>
          </cell>
          <cell r="U197" t="str">
            <v>BFF5/CFF5</v>
          </cell>
          <cell r="V197" t="str">
            <v/>
          </cell>
          <cell r="W197" t="str">
            <v/>
          </cell>
          <cell r="X197">
            <v>1</v>
          </cell>
        </row>
        <row r="198">
          <cell r="A198" t="str">
            <v>XC93</v>
          </cell>
          <cell r="B198" t="str">
            <v xml:space="preserve">Defense Group, Inc.                               </v>
          </cell>
          <cell r="C198" t="str">
            <v/>
          </cell>
          <cell r="D198" t="str">
            <v>Keefer</v>
          </cell>
          <cell r="E198" t="str">
            <v>Anderson</v>
          </cell>
          <cell r="F198" t="str">
            <v>06</v>
          </cell>
          <cell r="G198" t="str">
            <v>N</v>
          </cell>
          <cell r="H198" t="str">
            <v/>
          </cell>
          <cell r="I198" t="str">
            <v>N</v>
          </cell>
          <cell r="J198" t="str">
            <v>Rates</v>
          </cell>
          <cell r="K198" t="str">
            <v/>
          </cell>
          <cell r="L198" t="str">
            <v>Fully</v>
          </cell>
          <cell r="M198" t="str">
            <v>Savoca</v>
          </cell>
          <cell r="N198" t="str">
            <v/>
          </cell>
          <cell r="O198" t="str">
            <v>02</v>
          </cell>
          <cell r="P198" t="str">
            <v/>
          </cell>
          <cell r="Q198" t="str">
            <v/>
          </cell>
          <cell r="R198" t="str">
            <v>VA</v>
          </cell>
          <cell r="S198">
            <v>50000</v>
          </cell>
          <cell r="T198" t="str">
            <v>PPO/HMO/POS</v>
          </cell>
          <cell r="U198" t="str">
            <v>BFF5 CFF5</v>
          </cell>
          <cell r="V198" t="str">
            <v/>
          </cell>
          <cell r="W198" t="str">
            <v/>
          </cell>
          <cell r="X198">
            <v>1</v>
          </cell>
        </row>
        <row r="199">
          <cell r="A199" t="str">
            <v>QR11</v>
          </cell>
          <cell r="B199" t="str">
            <v>Democratic Congressional Campaign Committee</v>
          </cell>
          <cell r="C199" t="str">
            <v/>
          </cell>
          <cell r="D199" t="str">
            <v>Keefer</v>
          </cell>
          <cell r="E199" t="str">
            <v>Taylor</v>
          </cell>
          <cell r="F199" t="str">
            <v>01</v>
          </cell>
          <cell r="G199" t="str">
            <v/>
          </cell>
          <cell r="H199" t="str">
            <v/>
          </cell>
          <cell r="I199" t="str">
            <v/>
          </cell>
          <cell r="J199" t="str">
            <v>Rates</v>
          </cell>
          <cell r="K199" t="str">
            <v/>
          </cell>
          <cell r="L199" t="str">
            <v>Fully</v>
          </cell>
          <cell r="M199" t="str">
            <v>Wise</v>
          </cell>
          <cell r="N199" t="str">
            <v/>
          </cell>
          <cell r="O199" t="str">
            <v>09</v>
          </cell>
          <cell r="P199" t="str">
            <v/>
          </cell>
          <cell r="Q199" t="str">
            <v/>
          </cell>
          <cell r="R199" t="str">
            <v>DC</v>
          </cell>
          <cell r="S199">
            <v>50000</v>
          </cell>
          <cell r="T199" t="str">
            <v>PPO Rx</v>
          </cell>
          <cell r="U199" t="str">
            <v>BFF5</v>
          </cell>
          <cell r="V199" t="str">
            <v>Y</v>
          </cell>
          <cell r="W199" t="str">
            <v>1/1/2004</v>
          </cell>
          <cell r="X199">
            <v>1</v>
          </cell>
        </row>
        <row r="200">
          <cell r="A200" t="str">
            <v>4H35</v>
          </cell>
          <cell r="B200" t="str">
            <v>Demoratic National Committee</v>
          </cell>
          <cell r="C200" t="str">
            <v/>
          </cell>
          <cell r="D200" t="str">
            <v>Keefer</v>
          </cell>
          <cell r="E200" t="str">
            <v>Johnson</v>
          </cell>
          <cell r="F200" t="str">
            <v>08</v>
          </cell>
          <cell r="G200" t="str">
            <v>N</v>
          </cell>
          <cell r="H200" t="str">
            <v/>
          </cell>
          <cell r="I200" t="str">
            <v>N</v>
          </cell>
          <cell r="J200" t="str">
            <v>Rates</v>
          </cell>
          <cell r="K200" t="str">
            <v/>
          </cell>
          <cell r="L200" t="str">
            <v>Fully</v>
          </cell>
          <cell r="M200" t="str">
            <v>Savoca</v>
          </cell>
          <cell r="N200" t="str">
            <v>0</v>
          </cell>
          <cell r="O200" t="str">
            <v>04</v>
          </cell>
          <cell r="P200" t="str">
            <v/>
          </cell>
          <cell r="Q200" t="str">
            <v/>
          </cell>
          <cell r="R200" t="str">
            <v>DC</v>
          </cell>
          <cell r="S200">
            <v>50000</v>
          </cell>
          <cell r="T200" t="str">
            <v>HMO/PPO</v>
          </cell>
          <cell r="U200" t="str">
            <v>CFF6</v>
          </cell>
          <cell r="V200" t="str">
            <v/>
          </cell>
          <cell r="W200" t="str">
            <v/>
          </cell>
          <cell r="X200">
            <v>1</v>
          </cell>
        </row>
        <row r="201">
          <cell r="A201" t="str">
            <v>4S28</v>
          </cell>
          <cell r="B201" t="str">
            <v>Digital Receiver Technologies, Inc.</v>
          </cell>
          <cell r="C201" t="str">
            <v/>
          </cell>
          <cell r="D201" t="str">
            <v>Keefer</v>
          </cell>
          <cell r="E201" t="str">
            <v>Padrutt</v>
          </cell>
          <cell r="F201" t="str">
            <v>12</v>
          </cell>
          <cell r="G201" t="str">
            <v>N</v>
          </cell>
          <cell r="H201" t="str">
            <v/>
          </cell>
          <cell r="I201" t="str">
            <v>N</v>
          </cell>
          <cell r="J201" t="str">
            <v>Rates</v>
          </cell>
          <cell r="K201" t="str">
            <v/>
          </cell>
          <cell r="L201" t="str">
            <v>Fully</v>
          </cell>
          <cell r="M201" t="str">
            <v>Dodds</v>
          </cell>
          <cell r="N201" t="str">
            <v>0</v>
          </cell>
          <cell r="O201" t="str">
            <v>08</v>
          </cell>
          <cell r="P201" t="str">
            <v>Padrutt</v>
          </cell>
          <cell r="Q201" t="str">
            <v/>
          </cell>
          <cell r="R201" t="str">
            <v>MD</v>
          </cell>
          <cell r="S201">
            <v>50000</v>
          </cell>
          <cell r="T201" t="str">
            <v>OA/PPO</v>
          </cell>
          <cell r="U201" t="str">
            <v>BFF6/CFF6</v>
          </cell>
          <cell r="V201" t="str">
            <v/>
          </cell>
          <cell r="W201" t="str">
            <v/>
          </cell>
          <cell r="X201">
            <v>1</v>
          </cell>
        </row>
        <row r="202">
          <cell r="A202" t="str">
            <v>PL36</v>
          </cell>
          <cell r="B202" t="str">
            <v xml:space="preserve">Digi-Tel Communications, Llc                      </v>
          </cell>
          <cell r="C202" t="str">
            <v/>
          </cell>
          <cell r="D202" t="str">
            <v>Keefer</v>
          </cell>
          <cell r="E202" t="str">
            <v>Johnson</v>
          </cell>
          <cell r="F202" t="str">
            <v>12</v>
          </cell>
          <cell r="G202" t="str">
            <v>N</v>
          </cell>
          <cell r="H202" t="str">
            <v/>
          </cell>
          <cell r="I202" t="str">
            <v>N</v>
          </cell>
          <cell r="J202" t="str">
            <v>Rates</v>
          </cell>
          <cell r="K202" t="str">
            <v/>
          </cell>
          <cell r="L202" t="str">
            <v>Fully</v>
          </cell>
          <cell r="M202" t="str">
            <v>Swears</v>
          </cell>
          <cell r="N202" t="str">
            <v/>
          </cell>
          <cell r="O202" t="str">
            <v>08</v>
          </cell>
          <cell r="P202" t="str">
            <v/>
          </cell>
          <cell r="Q202" t="str">
            <v/>
          </cell>
          <cell r="R202" t="str">
            <v>VA</v>
          </cell>
          <cell r="S202">
            <v>50000</v>
          </cell>
          <cell r="T202" t="str">
            <v>PPO/POS/OA</v>
          </cell>
          <cell r="U202" t="str">
            <v>BFF5/CFF5</v>
          </cell>
          <cell r="V202" t="str">
            <v/>
          </cell>
          <cell r="W202" t="str">
            <v/>
          </cell>
          <cell r="X202">
            <v>1</v>
          </cell>
        </row>
        <row r="203">
          <cell r="A203" t="str">
            <v>UH51</v>
          </cell>
          <cell r="B203" t="str">
            <v>Dimensions</v>
          </cell>
          <cell r="C203" t="str">
            <v/>
          </cell>
          <cell r="D203" t="str">
            <v>McCourt</v>
          </cell>
          <cell r="E203" t="str">
            <v>Mugo</v>
          </cell>
          <cell r="F203" t="str">
            <v>01</v>
          </cell>
          <cell r="G203" t="str">
            <v>N</v>
          </cell>
          <cell r="H203" t="str">
            <v/>
          </cell>
          <cell r="I203" t="str">
            <v>N</v>
          </cell>
          <cell r="J203" t="str">
            <v>Rates</v>
          </cell>
          <cell r="K203" t="str">
            <v/>
          </cell>
          <cell r="L203" t="str">
            <v>Fully</v>
          </cell>
          <cell r="M203" t="str">
            <v>Dunn</v>
          </cell>
          <cell r="N203" t="str">
            <v>0</v>
          </cell>
          <cell r="O203" t="str">
            <v>08</v>
          </cell>
          <cell r="P203" t="str">
            <v>Rutkowski</v>
          </cell>
          <cell r="Q203" t="str">
            <v/>
          </cell>
          <cell r="R203" t="str">
            <v>MD</v>
          </cell>
          <cell r="S203">
            <v>50000</v>
          </cell>
          <cell r="T203" t="str">
            <v>HMO</v>
          </cell>
          <cell r="U203" t="str">
            <v>CFF7</v>
          </cell>
          <cell r="V203" t="str">
            <v/>
          </cell>
          <cell r="W203" t="str">
            <v/>
          </cell>
          <cell r="X203">
            <v>1</v>
          </cell>
        </row>
        <row r="204">
          <cell r="A204" t="str">
            <v>UH52</v>
          </cell>
          <cell r="B204" t="str">
            <v>Dimensions</v>
          </cell>
          <cell r="C204" t="str">
            <v/>
          </cell>
          <cell r="D204" t="str">
            <v>McCourt</v>
          </cell>
          <cell r="E204" t="str">
            <v>Mugo</v>
          </cell>
          <cell r="F204" t="str">
            <v>01</v>
          </cell>
          <cell r="G204" t="str">
            <v>N</v>
          </cell>
          <cell r="H204" t="str">
            <v/>
          </cell>
          <cell r="I204" t="str">
            <v>N</v>
          </cell>
          <cell r="J204" t="str">
            <v>Rates</v>
          </cell>
          <cell r="K204" t="str">
            <v/>
          </cell>
          <cell r="L204" t="str">
            <v>Fully</v>
          </cell>
          <cell r="M204" t="str">
            <v>Dunn</v>
          </cell>
          <cell r="N204" t="str">
            <v>0</v>
          </cell>
          <cell r="O204" t="str">
            <v>08</v>
          </cell>
          <cell r="P204" t="str">
            <v>Rutkowski</v>
          </cell>
          <cell r="Q204" t="str">
            <v/>
          </cell>
          <cell r="R204" t="str">
            <v>MD</v>
          </cell>
          <cell r="S204">
            <v>50000</v>
          </cell>
          <cell r="T204" t="str">
            <v>HMO</v>
          </cell>
          <cell r="U204" t="str">
            <v>CFF7</v>
          </cell>
          <cell r="V204" t="str">
            <v/>
          </cell>
          <cell r="W204" t="str">
            <v/>
          </cell>
          <cell r="X204">
            <v>1</v>
          </cell>
        </row>
        <row r="205">
          <cell r="A205" t="str">
            <v>R802</v>
          </cell>
          <cell r="B205" t="str">
            <v>Dimensions</v>
          </cell>
          <cell r="C205" t="str">
            <v/>
          </cell>
          <cell r="D205" t="str">
            <v>McCourt</v>
          </cell>
          <cell r="E205" t="str">
            <v>Mugo</v>
          </cell>
          <cell r="F205" t="str">
            <v>01</v>
          </cell>
          <cell r="G205" t="str">
            <v>Y</v>
          </cell>
          <cell r="H205" t="str">
            <v>N</v>
          </cell>
          <cell r="I205" t="str">
            <v>N</v>
          </cell>
          <cell r="J205" t="str">
            <v>CPC Mo</v>
          </cell>
          <cell r="K205" t="str">
            <v>SW</v>
          </cell>
          <cell r="L205" t="str">
            <v>125%</v>
          </cell>
          <cell r="M205" t="str">
            <v>Dunn</v>
          </cell>
          <cell r="N205" t="str">
            <v>3</v>
          </cell>
          <cell r="O205" t="str">
            <v>08</v>
          </cell>
          <cell r="P205" t="str">
            <v>Henton</v>
          </cell>
          <cell r="Q205" t="str">
            <v>Henton</v>
          </cell>
          <cell r="R205" t="str">
            <v>MD</v>
          </cell>
          <cell r="S205">
            <v>100000</v>
          </cell>
          <cell r="T205" t="str">
            <v>Indem</v>
          </cell>
          <cell r="U205" t="str">
            <v>BAB7</v>
          </cell>
          <cell r="V205" t="str">
            <v/>
          </cell>
          <cell r="W205" t="str">
            <v/>
          </cell>
          <cell r="X205">
            <v>1</v>
          </cell>
        </row>
        <row r="206">
          <cell r="A206" t="str">
            <v>3L91</v>
          </cell>
          <cell r="B206" t="str">
            <v xml:space="preserve">Diversified International Sciences Corporation    </v>
          </cell>
          <cell r="C206" t="str">
            <v/>
          </cell>
          <cell r="D206" t="str">
            <v>Keefer</v>
          </cell>
          <cell r="E206" t="str">
            <v>Johnson</v>
          </cell>
          <cell r="F206" t="str">
            <v>01</v>
          </cell>
          <cell r="G206" t="str">
            <v>N</v>
          </cell>
          <cell r="H206" t="str">
            <v/>
          </cell>
          <cell r="I206" t="str">
            <v>N</v>
          </cell>
          <cell r="J206" t="str">
            <v>Rates</v>
          </cell>
          <cell r="K206" t="str">
            <v/>
          </cell>
          <cell r="L206" t="str">
            <v>Fully</v>
          </cell>
          <cell r="M206" t="str">
            <v>Dodds</v>
          </cell>
          <cell r="N206" t="str">
            <v>0</v>
          </cell>
          <cell r="O206" t="str">
            <v>09</v>
          </cell>
          <cell r="P206" t="str">
            <v/>
          </cell>
          <cell r="Q206" t="str">
            <v/>
          </cell>
          <cell r="R206" t="str">
            <v>MD</v>
          </cell>
          <cell r="S206">
            <v>50000</v>
          </cell>
          <cell r="T206" t="str">
            <v>PPO/Blue Pref</v>
          </cell>
          <cell r="U206" t="str">
            <v>BFF5</v>
          </cell>
          <cell r="V206" t="str">
            <v/>
          </cell>
          <cell r="W206" t="str">
            <v/>
          </cell>
          <cell r="X206">
            <v>1</v>
          </cell>
        </row>
        <row r="207">
          <cell r="A207" t="str">
            <v>4R91</v>
          </cell>
          <cell r="B207" t="str">
            <v>Donaldson Group (The)</v>
          </cell>
          <cell r="C207" t="str">
            <v/>
          </cell>
          <cell r="D207" t="str">
            <v>Keefer</v>
          </cell>
          <cell r="E207" t="str">
            <v>Anderson</v>
          </cell>
          <cell r="F207" t="str">
            <v>09</v>
          </cell>
          <cell r="G207" t="str">
            <v>N</v>
          </cell>
          <cell r="H207" t="str">
            <v/>
          </cell>
          <cell r="I207" t="str">
            <v>N</v>
          </cell>
          <cell r="J207" t="str">
            <v>Rates</v>
          </cell>
          <cell r="K207" t="str">
            <v/>
          </cell>
          <cell r="L207" t="str">
            <v>Fully</v>
          </cell>
          <cell r="M207" t="str">
            <v>Savoca</v>
          </cell>
          <cell r="N207" t="str">
            <v/>
          </cell>
          <cell r="O207" t="str">
            <v>05</v>
          </cell>
          <cell r="P207" t="str">
            <v/>
          </cell>
          <cell r="Q207" t="str">
            <v/>
          </cell>
          <cell r="R207" t="str">
            <v>MD</v>
          </cell>
          <cell r="S207">
            <v>50000</v>
          </cell>
          <cell r="T207" t="str">
            <v>HMO POS PPO Rx</v>
          </cell>
          <cell r="U207" t="str">
            <v>BFF5/CFF5</v>
          </cell>
          <cell r="V207" t="str">
            <v>Y</v>
          </cell>
          <cell r="W207" t="str">
            <v>9/1/2002</v>
          </cell>
          <cell r="X207">
            <v>1</v>
          </cell>
        </row>
        <row r="208">
          <cell r="A208" t="str">
            <v>4H39</v>
          </cell>
          <cell r="B208" t="str">
            <v>Downey Communications, Inc.</v>
          </cell>
          <cell r="C208" t="str">
            <v/>
          </cell>
          <cell r="D208" t="str">
            <v>Keefer</v>
          </cell>
          <cell r="E208" t="str">
            <v>Newman</v>
          </cell>
          <cell r="F208" t="str">
            <v>09</v>
          </cell>
          <cell r="G208" t="str">
            <v>N</v>
          </cell>
          <cell r="H208" t="str">
            <v/>
          </cell>
          <cell r="I208" t="str">
            <v>N</v>
          </cell>
          <cell r="J208" t="str">
            <v>Rates</v>
          </cell>
          <cell r="K208" t="str">
            <v/>
          </cell>
          <cell r="L208" t="str">
            <v>Fully</v>
          </cell>
          <cell r="M208" t="str">
            <v>Henton-Davis</v>
          </cell>
          <cell r="N208" t="str">
            <v>0</v>
          </cell>
          <cell r="O208" t="str">
            <v>05</v>
          </cell>
          <cell r="P208" t="str">
            <v>Padrutt</v>
          </cell>
          <cell r="Q208" t="str">
            <v/>
          </cell>
          <cell r="R208" t="str">
            <v>MD</v>
          </cell>
          <cell r="S208">
            <v>50000</v>
          </cell>
          <cell r="T208" t="str">
            <v>PPO</v>
          </cell>
          <cell r="U208" t="str">
            <v>CFF5</v>
          </cell>
          <cell r="V208" t="str">
            <v/>
          </cell>
          <cell r="W208" t="str">
            <v/>
          </cell>
          <cell r="X208">
            <v>1</v>
          </cell>
        </row>
        <row r="209">
          <cell r="A209" t="str">
            <v>NC94</v>
          </cell>
          <cell r="B209" t="str">
            <v>Drinker, Biddle, &amp; Reath, LLP</v>
          </cell>
          <cell r="C209" t="str">
            <v/>
          </cell>
          <cell r="D209" t="str">
            <v>Keefer</v>
          </cell>
          <cell r="E209" t="str">
            <v>Burba</v>
          </cell>
          <cell r="F209" t="str">
            <v>07</v>
          </cell>
          <cell r="G209" t="str">
            <v>N</v>
          </cell>
          <cell r="H209" t="str">
            <v/>
          </cell>
          <cell r="I209" t="str">
            <v>N</v>
          </cell>
          <cell r="J209" t="str">
            <v>Rates</v>
          </cell>
          <cell r="K209" t="str">
            <v/>
          </cell>
          <cell r="L209" t="str">
            <v>Fully</v>
          </cell>
          <cell r="M209" t="str">
            <v>Swears</v>
          </cell>
          <cell r="N209" t="str">
            <v>0</v>
          </cell>
          <cell r="O209" t="str">
            <v>03</v>
          </cell>
          <cell r="P209" t="str">
            <v>Barkley</v>
          </cell>
          <cell r="Q209" t="str">
            <v/>
          </cell>
          <cell r="R209" t="str">
            <v>DC</v>
          </cell>
          <cell r="S209">
            <v>50000</v>
          </cell>
          <cell r="T209" t="str">
            <v>PPO/HMO</v>
          </cell>
          <cell r="U209" t="str">
            <v>BFF5/CFF5</v>
          </cell>
          <cell r="V209" t="str">
            <v/>
          </cell>
          <cell r="W209" t="str">
            <v/>
          </cell>
          <cell r="X209">
            <v>1</v>
          </cell>
        </row>
        <row r="210">
          <cell r="A210" t="str">
            <v>6C45</v>
          </cell>
          <cell r="B210" t="str">
            <v xml:space="preserve">Drs. Groover, Christie &amp; Merritt, PC              </v>
          </cell>
          <cell r="C210" t="str">
            <v/>
          </cell>
          <cell r="D210" t="str">
            <v>Keefer</v>
          </cell>
          <cell r="E210" t="str">
            <v>Johnson</v>
          </cell>
          <cell r="F210" t="str">
            <v>12</v>
          </cell>
          <cell r="G210" t="str">
            <v>N</v>
          </cell>
          <cell r="H210" t="str">
            <v/>
          </cell>
          <cell r="I210" t="str">
            <v>N</v>
          </cell>
          <cell r="J210" t="str">
            <v>Rates</v>
          </cell>
          <cell r="K210" t="str">
            <v/>
          </cell>
          <cell r="L210" t="str">
            <v>Fully</v>
          </cell>
          <cell r="M210" t="str">
            <v>Guessford-Kline</v>
          </cell>
          <cell r="N210" t="str">
            <v/>
          </cell>
          <cell r="O210" t="str">
            <v>08</v>
          </cell>
          <cell r="P210" t="str">
            <v/>
          </cell>
          <cell r="Q210" t="str">
            <v/>
          </cell>
          <cell r="R210" t="str">
            <v>MD</v>
          </cell>
          <cell r="S210">
            <v>50000</v>
          </cell>
          <cell r="T210" t="str">
            <v>PPO/HMO</v>
          </cell>
          <cell r="U210" t="str">
            <v>BFF5/CFF5</v>
          </cell>
          <cell r="V210" t="str">
            <v/>
          </cell>
          <cell r="W210" t="str">
            <v/>
          </cell>
          <cell r="X210">
            <v>1</v>
          </cell>
        </row>
        <row r="211">
          <cell r="A211" t="str">
            <v>MR58</v>
          </cell>
          <cell r="B211" t="str">
            <v>Dumbarton Oaks</v>
          </cell>
          <cell r="C211" t="str">
            <v/>
          </cell>
          <cell r="D211" t="str">
            <v>McCourt</v>
          </cell>
          <cell r="E211" t="str">
            <v>Quade</v>
          </cell>
          <cell r="F211" t="str">
            <v>07</v>
          </cell>
          <cell r="G211" t="str">
            <v>N</v>
          </cell>
          <cell r="H211" t="str">
            <v/>
          </cell>
          <cell r="I211" t="str">
            <v>N</v>
          </cell>
          <cell r="J211" t="str">
            <v>Rates</v>
          </cell>
          <cell r="K211" t="str">
            <v/>
          </cell>
          <cell r="L211" t="str">
            <v>Fully</v>
          </cell>
          <cell r="M211" t="str">
            <v>Wise</v>
          </cell>
          <cell r="N211" t="str">
            <v/>
          </cell>
          <cell r="O211" t="str">
            <v>03</v>
          </cell>
          <cell r="P211" t="str">
            <v/>
          </cell>
          <cell r="Q211" t="str">
            <v/>
          </cell>
          <cell r="R211" t="str">
            <v>DC</v>
          </cell>
          <cell r="S211">
            <v>50000</v>
          </cell>
          <cell r="T211" t="str">
            <v>PPO POS HMO</v>
          </cell>
          <cell r="U211" t="str">
            <v>BFF5/CFF5</v>
          </cell>
          <cell r="V211" t="str">
            <v/>
          </cell>
          <cell r="W211" t="str">
            <v/>
          </cell>
          <cell r="X211">
            <v>1</v>
          </cell>
        </row>
        <row r="212">
          <cell r="A212" t="str">
            <v>0C9N</v>
          </cell>
          <cell r="B212" t="str">
            <v xml:space="preserve">Earth Satellite Corporation                       </v>
          </cell>
          <cell r="C212" t="str">
            <v/>
          </cell>
          <cell r="D212" t="str">
            <v>McCourt</v>
          </cell>
          <cell r="E212" t="str">
            <v>Quade</v>
          </cell>
          <cell r="F212" t="str">
            <v>01</v>
          </cell>
          <cell r="G212" t="str">
            <v>N</v>
          </cell>
          <cell r="H212" t="str">
            <v>N</v>
          </cell>
          <cell r="I212" t="str">
            <v>N</v>
          </cell>
          <cell r="J212" t="str">
            <v>Rates</v>
          </cell>
          <cell r="K212" t="str">
            <v/>
          </cell>
          <cell r="L212" t="str">
            <v>Fully</v>
          </cell>
          <cell r="M212" t="str">
            <v>Flora</v>
          </cell>
          <cell r="N212" t="str">
            <v/>
          </cell>
          <cell r="O212" t="str">
            <v>09</v>
          </cell>
          <cell r="P212" t="str">
            <v/>
          </cell>
          <cell r="Q212" t="str">
            <v/>
          </cell>
          <cell r="R212" t="str">
            <v>MD</v>
          </cell>
          <cell r="S212">
            <v>50000</v>
          </cell>
          <cell r="T212" t="str">
            <v>POE: Triple Option POE package</v>
          </cell>
          <cell r="U212" t="str">
            <v>CFF6</v>
          </cell>
          <cell r="V212" t="str">
            <v>Y</v>
          </cell>
          <cell r="W212" t="str">
            <v>1/1/2005</v>
          </cell>
          <cell r="X212">
            <v>1</v>
          </cell>
        </row>
        <row r="213">
          <cell r="A213" t="str">
            <v>SG27</v>
          </cell>
          <cell r="B213" t="str">
            <v xml:space="preserve">East Banc, Inc.                                   </v>
          </cell>
          <cell r="C213" t="str">
            <v/>
          </cell>
          <cell r="D213" t="str">
            <v>Keefer</v>
          </cell>
          <cell r="E213" t="str">
            <v>Burba</v>
          </cell>
          <cell r="F213" t="str">
            <v>02</v>
          </cell>
          <cell r="G213" t="str">
            <v>N</v>
          </cell>
          <cell r="H213" t="str">
            <v/>
          </cell>
          <cell r="I213" t="str">
            <v>N</v>
          </cell>
          <cell r="J213" t="str">
            <v>Rates</v>
          </cell>
          <cell r="K213" t="str">
            <v/>
          </cell>
          <cell r="L213" t="str">
            <v>Fully</v>
          </cell>
          <cell r="M213" t="str">
            <v>Henton-Davis</v>
          </cell>
          <cell r="N213" t="str">
            <v/>
          </cell>
          <cell r="O213" t="str">
            <v>10</v>
          </cell>
          <cell r="P213" t="str">
            <v/>
          </cell>
          <cell r="Q213" t="str">
            <v/>
          </cell>
          <cell r="R213" t="str">
            <v>DC</v>
          </cell>
          <cell r="S213">
            <v>50000</v>
          </cell>
          <cell r="T213" t="str">
            <v>PPO/HMO/OA</v>
          </cell>
          <cell r="U213" t="str">
            <v>BFF5/CFF5</v>
          </cell>
          <cell r="V213" t="str">
            <v/>
          </cell>
          <cell r="W213" t="str">
            <v/>
          </cell>
          <cell r="X213">
            <v>1</v>
          </cell>
        </row>
        <row r="214">
          <cell r="A214" t="str">
            <v>7G75</v>
          </cell>
          <cell r="B214" t="str">
            <v>Edgemeade School</v>
          </cell>
          <cell r="C214" t="str">
            <v/>
          </cell>
          <cell r="D214" t="str">
            <v>McCourt</v>
          </cell>
          <cell r="E214" t="str">
            <v>Slack</v>
          </cell>
          <cell r="F214" t="str">
            <v>12</v>
          </cell>
          <cell r="G214" t="str">
            <v>N</v>
          </cell>
          <cell r="H214" t="str">
            <v>Y</v>
          </cell>
          <cell r="I214" t="str">
            <v/>
          </cell>
          <cell r="J214" t="str">
            <v>Rates</v>
          </cell>
          <cell r="K214" t="str">
            <v/>
          </cell>
          <cell r="L214" t="str">
            <v>Fully</v>
          </cell>
          <cell r="M214" t="str">
            <v>Guessford-Kline</v>
          </cell>
          <cell r="N214" t="str">
            <v>04</v>
          </cell>
          <cell r="O214" t="str">
            <v>08</v>
          </cell>
          <cell r="P214" t="str">
            <v>Slack</v>
          </cell>
          <cell r="Q214" t="str">
            <v/>
          </cell>
          <cell r="R214" t="str">
            <v>MD</v>
          </cell>
          <cell r="S214">
            <v>50000</v>
          </cell>
          <cell r="T214" t="str">
            <v>POE # 8</v>
          </cell>
          <cell r="U214" t="str">
            <v>CFF6</v>
          </cell>
          <cell r="V214" t="str">
            <v>Y</v>
          </cell>
          <cell r="W214" t="str">
            <v>12/1/2002</v>
          </cell>
          <cell r="X214">
            <v>1</v>
          </cell>
        </row>
        <row r="215">
          <cell r="A215" t="str">
            <v>PF66</v>
          </cell>
          <cell r="B215" t="str">
            <v xml:space="preserve">Educational Services Inc.                         </v>
          </cell>
          <cell r="C215" t="str">
            <v/>
          </cell>
          <cell r="D215" t="str">
            <v>Keefer</v>
          </cell>
          <cell r="E215" t="str">
            <v>Burba</v>
          </cell>
          <cell r="F215" t="str">
            <v>08</v>
          </cell>
          <cell r="G215" t="str">
            <v>N</v>
          </cell>
          <cell r="H215" t="str">
            <v/>
          </cell>
          <cell r="I215" t="str">
            <v>N</v>
          </cell>
          <cell r="J215" t="str">
            <v>Rates</v>
          </cell>
          <cell r="K215" t="str">
            <v/>
          </cell>
          <cell r="L215" t="str">
            <v>Fully</v>
          </cell>
          <cell r="M215" t="str">
            <v>Swears</v>
          </cell>
          <cell r="N215" t="str">
            <v/>
          </cell>
          <cell r="O215" t="str">
            <v>04</v>
          </cell>
          <cell r="P215" t="str">
            <v/>
          </cell>
          <cell r="Q215" t="str">
            <v/>
          </cell>
          <cell r="R215" t="str">
            <v>DC</v>
          </cell>
          <cell r="S215">
            <v>50000</v>
          </cell>
          <cell r="T215" t="str">
            <v>PPO/HMO</v>
          </cell>
          <cell r="U215" t="str">
            <v>BFF5/CFF5</v>
          </cell>
          <cell r="V215" t="str">
            <v/>
          </cell>
          <cell r="W215" t="str">
            <v/>
          </cell>
          <cell r="X215">
            <v>1</v>
          </cell>
        </row>
        <row r="216">
          <cell r="A216" t="str">
            <v>NF61</v>
          </cell>
          <cell r="B216" t="str">
            <v>Educational Systems Employees Federal Credit Union</v>
          </cell>
          <cell r="C216" t="str">
            <v/>
          </cell>
          <cell r="D216" t="str">
            <v>Keefer</v>
          </cell>
          <cell r="E216" t="str">
            <v>Taylor</v>
          </cell>
          <cell r="F216" t="str">
            <v>09</v>
          </cell>
          <cell r="G216" t="str">
            <v>N</v>
          </cell>
          <cell r="H216" t="str">
            <v/>
          </cell>
          <cell r="I216" t="str">
            <v>N</v>
          </cell>
          <cell r="J216" t="str">
            <v>Rates</v>
          </cell>
          <cell r="K216" t="str">
            <v/>
          </cell>
          <cell r="L216" t="str">
            <v>Fully</v>
          </cell>
          <cell r="M216" t="str">
            <v/>
          </cell>
          <cell r="N216" t="str">
            <v/>
          </cell>
          <cell r="O216" t="str">
            <v>05</v>
          </cell>
          <cell r="P216" t="str">
            <v/>
          </cell>
          <cell r="Q216" t="str">
            <v/>
          </cell>
          <cell r="R216" t="str">
            <v>MD</v>
          </cell>
          <cell r="S216">
            <v>50000</v>
          </cell>
          <cell r="T216" t="str">
            <v>HMO/POS/PPO</v>
          </cell>
          <cell r="U216" t="str">
            <v>BFF5/CFF5</v>
          </cell>
          <cell r="V216" t="str">
            <v/>
          </cell>
          <cell r="W216" t="str">
            <v/>
          </cell>
          <cell r="X216">
            <v>1</v>
          </cell>
        </row>
        <row r="217">
          <cell r="A217" t="str">
            <v>06R3</v>
          </cell>
          <cell r="B217" t="str">
            <v xml:space="preserve">Electronic Consulting Services, Inc.              </v>
          </cell>
          <cell r="C217" t="str">
            <v/>
          </cell>
          <cell r="D217" t="str">
            <v>McCourt</v>
          </cell>
          <cell r="E217" t="str">
            <v>Slack</v>
          </cell>
          <cell r="F217" t="str">
            <v>12</v>
          </cell>
          <cell r="G217" t="str">
            <v/>
          </cell>
          <cell r="H217" t="str">
            <v/>
          </cell>
          <cell r="I217" t="str">
            <v/>
          </cell>
          <cell r="J217" t="str">
            <v>Rates</v>
          </cell>
          <cell r="K217" t="str">
            <v/>
          </cell>
          <cell r="L217" t="str">
            <v>Fully</v>
          </cell>
          <cell r="M217" t="str">
            <v>Rand</v>
          </cell>
          <cell r="N217" t="str">
            <v/>
          </cell>
          <cell r="O217" t="str">
            <v/>
          </cell>
          <cell r="P217" t="str">
            <v>Slack</v>
          </cell>
          <cell r="Q217" t="str">
            <v/>
          </cell>
          <cell r="R217" t="str">
            <v>VA</v>
          </cell>
          <cell r="S217">
            <v>0</v>
          </cell>
          <cell r="T217" t="str">
            <v>POE: Dual Option POE package</v>
          </cell>
          <cell r="U217" t="str">
            <v>CFF5</v>
          </cell>
          <cell r="V217" t="str">
            <v>Y</v>
          </cell>
          <cell r="W217" t="str">
            <v>12/1/2004</v>
          </cell>
          <cell r="X217">
            <v>1</v>
          </cell>
        </row>
        <row r="218">
          <cell r="A218" t="str">
            <v>6T09</v>
          </cell>
          <cell r="B218" t="str">
            <v xml:space="preserve">Electronic Systems Services                       </v>
          </cell>
          <cell r="C218" t="str">
            <v/>
          </cell>
          <cell r="D218" t="str">
            <v>McCourt</v>
          </cell>
          <cell r="E218" t="str">
            <v>Mugo</v>
          </cell>
          <cell r="F218" t="str">
            <v>10</v>
          </cell>
          <cell r="G218" t="str">
            <v>N</v>
          </cell>
          <cell r="H218" t="str">
            <v/>
          </cell>
          <cell r="I218" t="str">
            <v>N</v>
          </cell>
          <cell r="J218" t="str">
            <v>Rates</v>
          </cell>
          <cell r="K218" t="str">
            <v/>
          </cell>
          <cell r="L218" t="str">
            <v>Fully</v>
          </cell>
          <cell r="M218" t="str">
            <v>Guessford-Kline</v>
          </cell>
          <cell r="N218" t="str">
            <v/>
          </cell>
          <cell r="O218" t="str">
            <v>06</v>
          </cell>
          <cell r="P218" t="str">
            <v/>
          </cell>
          <cell r="Q218" t="str">
            <v/>
          </cell>
          <cell r="R218" t="str">
            <v>MD</v>
          </cell>
          <cell r="S218">
            <v>50000</v>
          </cell>
          <cell r="T218" t="str">
            <v>POS/HMO/PPO</v>
          </cell>
          <cell r="U218" t="str">
            <v>BFF5/CFF5</v>
          </cell>
          <cell r="V218" t="str">
            <v/>
          </cell>
          <cell r="W218" t="str">
            <v/>
          </cell>
          <cell r="X218">
            <v>1</v>
          </cell>
        </row>
        <row r="219">
          <cell r="A219" t="str">
            <v>4H66</v>
          </cell>
          <cell r="B219" t="str">
            <v xml:space="preserve">Elite Funding Group                               </v>
          </cell>
          <cell r="C219" t="str">
            <v/>
          </cell>
          <cell r="D219" t="str">
            <v>Keefer</v>
          </cell>
          <cell r="E219" t="str">
            <v>Johnson</v>
          </cell>
          <cell r="F219" t="str">
            <v>06</v>
          </cell>
          <cell r="G219" t="str">
            <v>N</v>
          </cell>
          <cell r="H219" t="str">
            <v/>
          </cell>
          <cell r="I219" t="str">
            <v>N</v>
          </cell>
          <cell r="J219" t="str">
            <v>Rates</v>
          </cell>
          <cell r="K219" t="str">
            <v/>
          </cell>
          <cell r="L219" t="str">
            <v>Fully</v>
          </cell>
          <cell r="M219" t="str">
            <v>Wise</v>
          </cell>
          <cell r="N219" t="str">
            <v/>
          </cell>
          <cell r="O219" t="str">
            <v>02</v>
          </cell>
          <cell r="P219" t="str">
            <v/>
          </cell>
          <cell r="Q219" t="str">
            <v/>
          </cell>
          <cell r="R219" t="str">
            <v>MD</v>
          </cell>
          <cell r="S219">
            <v>50000</v>
          </cell>
          <cell r="T219" t="str">
            <v>POE: Adv/Blue Preferred</v>
          </cell>
          <cell r="U219" t="str">
            <v>CFF5</v>
          </cell>
          <cell r="V219" t="str">
            <v/>
          </cell>
          <cell r="W219" t="str">
            <v/>
          </cell>
          <cell r="X219">
            <v>1</v>
          </cell>
        </row>
        <row r="220">
          <cell r="A220" t="str">
            <v>7H78</v>
          </cell>
          <cell r="B220" t="str">
            <v>Elliott Wilson Capitol Trucks</v>
          </cell>
          <cell r="C220" t="str">
            <v/>
          </cell>
          <cell r="D220" t="str">
            <v>Keefer</v>
          </cell>
          <cell r="E220" t="str">
            <v>Anderson</v>
          </cell>
          <cell r="F220" t="str">
            <v>09</v>
          </cell>
          <cell r="G220" t="str">
            <v>N</v>
          </cell>
          <cell r="H220" t="str">
            <v/>
          </cell>
          <cell r="I220" t="str">
            <v/>
          </cell>
          <cell r="J220" t="str">
            <v>Rates</v>
          </cell>
          <cell r="K220" t="str">
            <v/>
          </cell>
          <cell r="L220" t="str">
            <v>Fully</v>
          </cell>
          <cell r="M220" t="str">
            <v>Wise</v>
          </cell>
          <cell r="N220" t="str">
            <v/>
          </cell>
          <cell r="O220" t="str">
            <v>05</v>
          </cell>
          <cell r="P220" t="str">
            <v/>
          </cell>
          <cell r="Q220" t="str">
            <v/>
          </cell>
          <cell r="R220" t="str">
            <v>MD</v>
          </cell>
          <cell r="S220">
            <v>50000</v>
          </cell>
          <cell r="T220" t="str">
            <v>HMO OA Rx</v>
          </cell>
          <cell r="U220" t="str">
            <v>CFF5</v>
          </cell>
          <cell r="V220" t="str">
            <v>Y</v>
          </cell>
          <cell r="W220" t="str">
            <v>9/1/2004</v>
          </cell>
          <cell r="X220">
            <v>1</v>
          </cell>
        </row>
        <row r="221">
          <cell r="A221" t="str">
            <v>CF02</v>
          </cell>
          <cell r="B221" t="str">
            <v>Emergency Medicine Association</v>
          </cell>
          <cell r="C221" t="str">
            <v/>
          </cell>
          <cell r="D221" t="str">
            <v>McCourt</v>
          </cell>
          <cell r="E221" t="str">
            <v>Slack</v>
          </cell>
          <cell r="F221" t="str">
            <v>06</v>
          </cell>
          <cell r="G221" t="str">
            <v>N</v>
          </cell>
          <cell r="H221" t="str">
            <v>N</v>
          </cell>
          <cell r="I221" t="str">
            <v>N</v>
          </cell>
          <cell r="J221" t="str">
            <v>Rates</v>
          </cell>
          <cell r="K221" t="str">
            <v/>
          </cell>
          <cell r="L221" t="str">
            <v>Fully</v>
          </cell>
          <cell r="M221" t="str">
            <v>Guessford-Kline</v>
          </cell>
          <cell r="N221" t="str">
            <v>0</v>
          </cell>
          <cell r="O221" t="str">
            <v>02</v>
          </cell>
          <cell r="P221" t="str">
            <v>Slack</v>
          </cell>
          <cell r="Q221" t="str">
            <v/>
          </cell>
          <cell r="R221" t="str">
            <v>MD</v>
          </cell>
          <cell r="S221">
            <v>50000</v>
          </cell>
          <cell r="T221" t="str">
            <v>POS</v>
          </cell>
          <cell r="U221" t="str">
            <v>BFF5/CFF5</v>
          </cell>
          <cell r="V221" t="str">
            <v/>
          </cell>
          <cell r="W221" t="str">
            <v/>
          </cell>
          <cell r="X221">
            <v>1</v>
          </cell>
        </row>
        <row r="222">
          <cell r="A222" t="str">
            <v>UN26</v>
          </cell>
          <cell r="B222" t="str">
            <v>EMS</v>
          </cell>
          <cell r="C222" t="str">
            <v/>
          </cell>
          <cell r="D222" t="str">
            <v>Keefer</v>
          </cell>
          <cell r="E222" t="str">
            <v>Johnson</v>
          </cell>
          <cell r="F222" t="str">
            <v>07</v>
          </cell>
          <cell r="G222" t="str">
            <v>N</v>
          </cell>
          <cell r="H222" t="str">
            <v/>
          </cell>
          <cell r="I222" t="str">
            <v>N</v>
          </cell>
          <cell r="J222" t="str">
            <v>Rates</v>
          </cell>
          <cell r="K222" t="str">
            <v/>
          </cell>
          <cell r="L222" t="str">
            <v>Fully</v>
          </cell>
          <cell r="M222" t="str">
            <v>Henton-Davis</v>
          </cell>
          <cell r="N222" t="str">
            <v>0</v>
          </cell>
          <cell r="O222" t="str">
            <v>03</v>
          </cell>
          <cell r="P222" t="str">
            <v>Barkley</v>
          </cell>
          <cell r="Q222" t="str">
            <v/>
          </cell>
          <cell r="R222" t="str">
            <v>MD</v>
          </cell>
          <cell r="S222">
            <v>50000</v>
          </cell>
          <cell r="T222" t="str">
            <v>HMO/POS</v>
          </cell>
          <cell r="U222" t="str">
            <v>BFF5/CFF5</v>
          </cell>
          <cell r="V222" t="str">
            <v/>
          </cell>
          <cell r="W222" t="str">
            <v/>
          </cell>
          <cell r="X222">
            <v>1</v>
          </cell>
        </row>
        <row r="223">
          <cell r="A223" t="str">
            <v>7H40</v>
          </cell>
          <cell r="B223" t="str">
            <v xml:space="preserve">EnviroSolutions, Inc.                             </v>
          </cell>
          <cell r="C223" t="str">
            <v/>
          </cell>
          <cell r="D223" t="str">
            <v>Keefer</v>
          </cell>
          <cell r="E223" t="str">
            <v>Burba</v>
          </cell>
          <cell r="F223" t="str">
            <v>04</v>
          </cell>
          <cell r="G223" t="str">
            <v>N</v>
          </cell>
          <cell r="H223" t="str">
            <v/>
          </cell>
          <cell r="I223" t="str">
            <v>N</v>
          </cell>
          <cell r="J223" t="str">
            <v>Rates</v>
          </cell>
          <cell r="K223" t="str">
            <v/>
          </cell>
          <cell r="L223" t="str">
            <v>Fully</v>
          </cell>
          <cell r="M223" t="str">
            <v>Henton-Davis</v>
          </cell>
          <cell r="N223" t="str">
            <v/>
          </cell>
          <cell r="O223" t="str">
            <v>01</v>
          </cell>
          <cell r="P223" t="str">
            <v/>
          </cell>
          <cell r="Q223" t="str">
            <v/>
          </cell>
          <cell r="R223" t="str">
            <v>VA</v>
          </cell>
          <cell r="S223">
            <v>50000</v>
          </cell>
          <cell r="T223" t="str">
            <v>HMO/OA/PPO</v>
          </cell>
          <cell r="U223" t="str">
            <v>BFF5/CFF5</v>
          </cell>
          <cell r="V223" t="str">
            <v>Y</v>
          </cell>
          <cell r="W223" t="str">
            <v>5/1/2004</v>
          </cell>
          <cell r="X223">
            <v>1</v>
          </cell>
        </row>
        <row r="224">
          <cell r="A224" t="str">
            <v>4S70</v>
          </cell>
          <cell r="B224" t="str">
            <v>Envision EMI, Inc.</v>
          </cell>
          <cell r="C224" t="str">
            <v/>
          </cell>
          <cell r="D224" t="str">
            <v>McCourt</v>
          </cell>
          <cell r="E224" t="str">
            <v>Quade</v>
          </cell>
          <cell r="F224" t="str">
            <v>10</v>
          </cell>
          <cell r="G224" t="str">
            <v>N</v>
          </cell>
          <cell r="H224" t="str">
            <v/>
          </cell>
          <cell r="I224" t="str">
            <v>N</v>
          </cell>
          <cell r="J224" t="str">
            <v>Rates</v>
          </cell>
          <cell r="K224" t="str">
            <v/>
          </cell>
          <cell r="L224" t="str">
            <v>Fully</v>
          </cell>
          <cell r="M224" t="str">
            <v>Wise</v>
          </cell>
          <cell r="N224" t="str">
            <v>0</v>
          </cell>
          <cell r="O224" t="str">
            <v>06</v>
          </cell>
          <cell r="P224" t="str">
            <v>Addy</v>
          </cell>
          <cell r="Q224" t="str">
            <v/>
          </cell>
          <cell r="R224" t="str">
            <v>DC</v>
          </cell>
          <cell r="S224">
            <v>50000</v>
          </cell>
          <cell r="T224" t="str">
            <v>PPO</v>
          </cell>
          <cell r="U224" t="str">
            <v>BFF6</v>
          </cell>
          <cell r="V224" t="str">
            <v/>
          </cell>
          <cell r="W224" t="str">
            <v/>
          </cell>
          <cell r="X224">
            <v>1</v>
          </cell>
        </row>
        <row r="225">
          <cell r="A225" t="str">
            <v>R446</v>
          </cell>
          <cell r="B225" t="str">
            <v>Episcopal Diocese of Washington</v>
          </cell>
          <cell r="C225" t="str">
            <v/>
          </cell>
          <cell r="D225" t="str">
            <v>Keefer</v>
          </cell>
          <cell r="E225" t="str">
            <v>Johnson</v>
          </cell>
          <cell r="F225" t="str">
            <v>01</v>
          </cell>
          <cell r="G225" t="str">
            <v>N</v>
          </cell>
          <cell r="H225" t="str">
            <v>N</v>
          </cell>
          <cell r="I225" t="str">
            <v>N</v>
          </cell>
          <cell r="J225" t="str">
            <v>CPC Mo</v>
          </cell>
          <cell r="K225" t="str">
            <v>338000</v>
          </cell>
          <cell r="L225" t="str">
            <v>ASO</v>
          </cell>
          <cell r="M225" t="str">
            <v>Bradshaw</v>
          </cell>
          <cell r="N225" t="str">
            <v>3</v>
          </cell>
          <cell r="O225" t="str">
            <v>09</v>
          </cell>
          <cell r="P225" t="str">
            <v>King, R.</v>
          </cell>
          <cell r="Q225" t="str">
            <v>Alves</v>
          </cell>
          <cell r="R225" t="str">
            <v>DC</v>
          </cell>
          <cell r="S225">
            <v>150000</v>
          </cell>
          <cell r="T225" t="str">
            <v>POS, Indemnity</v>
          </cell>
          <cell r="U225" t="str">
            <v>BAS7</v>
          </cell>
          <cell r="V225" t="str">
            <v/>
          </cell>
          <cell r="W225" t="str">
            <v/>
          </cell>
          <cell r="X225">
            <v>1</v>
          </cell>
        </row>
        <row r="226">
          <cell r="A226" t="str">
            <v>QS76</v>
          </cell>
          <cell r="B226" t="str">
            <v xml:space="preserve">Erkiletian Construction Corp.                     </v>
          </cell>
          <cell r="C226" t="str">
            <v/>
          </cell>
          <cell r="D226" t="str">
            <v>Keefer</v>
          </cell>
          <cell r="E226" t="str">
            <v>LaTouche</v>
          </cell>
          <cell r="F226" t="str">
            <v>01</v>
          </cell>
          <cell r="G226" t="str">
            <v>N</v>
          </cell>
          <cell r="H226" t="str">
            <v/>
          </cell>
          <cell r="I226" t="str">
            <v>N</v>
          </cell>
          <cell r="J226" t="str">
            <v>Rates</v>
          </cell>
          <cell r="K226" t="str">
            <v/>
          </cell>
          <cell r="L226" t="str">
            <v>Fully</v>
          </cell>
          <cell r="M226" t="str">
            <v>Henton-Davis</v>
          </cell>
          <cell r="N226" t="str">
            <v/>
          </cell>
          <cell r="O226" t="str">
            <v>09</v>
          </cell>
          <cell r="P226" t="str">
            <v>LaTouche</v>
          </cell>
          <cell r="Q226" t="str">
            <v/>
          </cell>
          <cell r="R226" t="str">
            <v>VA</v>
          </cell>
          <cell r="S226">
            <v>50000</v>
          </cell>
          <cell r="T226" t="str">
            <v>HMO/OA</v>
          </cell>
          <cell r="U226" t="str">
            <v>CFF5</v>
          </cell>
          <cell r="V226" t="str">
            <v/>
          </cell>
          <cell r="W226" t="str">
            <v/>
          </cell>
          <cell r="X226">
            <v>1</v>
          </cell>
        </row>
        <row r="227">
          <cell r="A227" t="str">
            <v>QJ59</v>
          </cell>
          <cell r="B227" t="str">
            <v xml:space="preserve">eSecurity, Inc.                                   </v>
          </cell>
          <cell r="C227" t="str">
            <v/>
          </cell>
          <cell r="D227" t="str">
            <v>McCourt</v>
          </cell>
          <cell r="E227" t="str">
            <v>Quade</v>
          </cell>
          <cell r="F227" t="str">
            <v>11</v>
          </cell>
          <cell r="G227" t="str">
            <v>N</v>
          </cell>
          <cell r="H227" t="str">
            <v/>
          </cell>
          <cell r="I227" t="str">
            <v>N</v>
          </cell>
          <cell r="J227" t="str">
            <v>Rates</v>
          </cell>
          <cell r="K227" t="str">
            <v/>
          </cell>
          <cell r="L227" t="str">
            <v>Fully</v>
          </cell>
          <cell r="M227" t="str">
            <v>Savoca</v>
          </cell>
          <cell r="N227" t="str">
            <v/>
          </cell>
          <cell r="O227" t="str">
            <v>07</v>
          </cell>
          <cell r="P227" t="str">
            <v>Mugo</v>
          </cell>
          <cell r="Q227" t="str">
            <v/>
          </cell>
          <cell r="R227" t="str">
            <v>VA</v>
          </cell>
          <cell r="S227">
            <v>50000</v>
          </cell>
          <cell r="T227" t="str">
            <v>HMO/PPO</v>
          </cell>
          <cell r="U227" t="str">
            <v>BFF5/CFF5</v>
          </cell>
          <cell r="V227" t="str">
            <v>Y</v>
          </cell>
          <cell r="W227" t="str">
            <v>11/1/2003</v>
          </cell>
          <cell r="X227">
            <v>1</v>
          </cell>
        </row>
        <row r="228">
          <cell r="A228" t="str">
            <v>BWY1</v>
          </cell>
          <cell r="B228" t="str">
            <v>EuroMotorcars</v>
          </cell>
          <cell r="C228" t="str">
            <v/>
          </cell>
          <cell r="D228" t="str">
            <v>McCourt</v>
          </cell>
          <cell r="E228" t="str">
            <v>Quade</v>
          </cell>
          <cell r="F228" t="str">
            <v>01</v>
          </cell>
          <cell r="G228" t="str">
            <v>N</v>
          </cell>
          <cell r="H228" t="str">
            <v>N</v>
          </cell>
          <cell r="I228" t="str">
            <v>N</v>
          </cell>
          <cell r="J228" t="str">
            <v>Rates</v>
          </cell>
          <cell r="K228" t="str">
            <v/>
          </cell>
          <cell r="L228" t="str">
            <v>Fully</v>
          </cell>
          <cell r="M228" t="str">
            <v>Henton-Davis</v>
          </cell>
          <cell r="N228" t="str">
            <v/>
          </cell>
          <cell r="O228" t="str">
            <v>09</v>
          </cell>
          <cell r="P228" t="str">
            <v/>
          </cell>
          <cell r="Q228" t="str">
            <v/>
          </cell>
          <cell r="R228" t="str">
            <v>MD</v>
          </cell>
          <cell r="S228">
            <v>75000</v>
          </cell>
          <cell r="T228" t="str">
            <v>PPO HMO POS Rx</v>
          </cell>
          <cell r="U228" t="str">
            <v>BFF7/CFF7</v>
          </cell>
          <cell r="V228" t="str">
            <v>Y</v>
          </cell>
          <cell r="W228" t="str">
            <v>1/1/2004</v>
          </cell>
          <cell r="X228">
            <v>1</v>
          </cell>
        </row>
        <row r="229">
          <cell r="A229" t="str">
            <v>BGL9</v>
          </cell>
          <cell r="B229" t="str">
            <v xml:space="preserve">Exceed Corporation                                </v>
          </cell>
          <cell r="C229" t="str">
            <v/>
          </cell>
          <cell r="D229" t="str">
            <v>Keefer</v>
          </cell>
          <cell r="E229" t="str">
            <v>Anderson</v>
          </cell>
          <cell r="F229" t="str">
            <v>03</v>
          </cell>
          <cell r="G229" t="str">
            <v>N</v>
          </cell>
          <cell r="H229" t="str">
            <v/>
          </cell>
          <cell r="I229" t="str">
            <v/>
          </cell>
          <cell r="J229" t="str">
            <v>Rates</v>
          </cell>
          <cell r="K229" t="str">
            <v/>
          </cell>
          <cell r="L229" t="str">
            <v>Fully</v>
          </cell>
          <cell r="M229" t="str">
            <v>Bowman</v>
          </cell>
          <cell r="N229" t="str">
            <v/>
          </cell>
          <cell r="O229" t="str">
            <v>11</v>
          </cell>
          <cell r="P229" t="str">
            <v/>
          </cell>
          <cell r="Q229" t="str">
            <v/>
          </cell>
          <cell r="R229" t="str">
            <v>MD</v>
          </cell>
          <cell r="S229">
            <v>50000</v>
          </cell>
          <cell r="T229" t="str">
            <v>HMO POS PPO Rx</v>
          </cell>
          <cell r="U229" t="str">
            <v>BFF6 CFF6</v>
          </cell>
          <cell r="V229" t="str">
            <v>N</v>
          </cell>
          <cell r="W229" t="str">
            <v/>
          </cell>
          <cell r="X229">
            <v>1</v>
          </cell>
        </row>
        <row r="230">
          <cell r="A230" t="str">
            <v>R304</v>
          </cell>
          <cell r="B230" t="str">
            <v>FAES</v>
          </cell>
          <cell r="C230" t="str">
            <v/>
          </cell>
          <cell r="D230" t="str">
            <v>McCourt</v>
          </cell>
          <cell r="E230" t="str">
            <v>Rutkowski</v>
          </cell>
          <cell r="F230" t="str">
            <v>01</v>
          </cell>
          <cell r="G230" t="str">
            <v>N</v>
          </cell>
          <cell r="H230" t="str">
            <v>N</v>
          </cell>
          <cell r="I230" t="str">
            <v>N</v>
          </cell>
          <cell r="J230" t="str">
            <v>CPC Ra</v>
          </cell>
          <cell r="K230" t="str">
            <v/>
          </cell>
          <cell r="L230" t="str">
            <v>115%INS</v>
          </cell>
          <cell r="M230" t="str">
            <v>Lewis</v>
          </cell>
          <cell r="N230" t="str">
            <v>06</v>
          </cell>
          <cell r="O230" t="str">
            <v>08</v>
          </cell>
          <cell r="P230" t="str">
            <v>Rutkowski</v>
          </cell>
          <cell r="Q230" t="str">
            <v/>
          </cell>
          <cell r="R230" t="str">
            <v>MD</v>
          </cell>
          <cell r="S230">
            <v>250000</v>
          </cell>
          <cell r="T230" t="str">
            <v>PPO</v>
          </cell>
          <cell r="U230" t="str">
            <v>BDB8</v>
          </cell>
          <cell r="V230" t="str">
            <v/>
          </cell>
          <cell r="W230" t="str">
            <v/>
          </cell>
          <cell r="X230">
            <v>1</v>
          </cell>
        </row>
        <row r="231">
          <cell r="A231" t="str">
            <v>BWQ6</v>
          </cell>
          <cell r="B231" t="str">
            <v>Fairfax Anesthesiology Associates, Inc.</v>
          </cell>
          <cell r="C231" t="str">
            <v/>
          </cell>
          <cell r="D231" t="str">
            <v>McCourt</v>
          </cell>
          <cell r="E231" t="str">
            <v>Rutkowski</v>
          </cell>
          <cell r="F231" t="str">
            <v>08</v>
          </cell>
          <cell r="G231" t="str">
            <v>N</v>
          </cell>
          <cell r="H231" t="str">
            <v/>
          </cell>
          <cell r="I231" t="str">
            <v>N</v>
          </cell>
          <cell r="J231" t="str">
            <v>Rates</v>
          </cell>
          <cell r="K231" t="str">
            <v/>
          </cell>
          <cell r="L231" t="str">
            <v>Fully</v>
          </cell>
          <cell r="M231" t="str">
            <v>Henton-Davis</v>
          </cell>
          <cell r="N231" t="str">
            <v/>
          </cell>
          <cell r="O231" t="str">
            <v>04</v>
          </cell>
          <cell r="P231" t="str">
            <v>Rutkowski</v>
          </cell>
          <cell r="Q231" t="str">
            <v/>
          </cell>
          <cell r="R231" t="str">
            <v>VA</v>
          </cell>
          <cell r="S231">
            <v>50000</v>
          </cell>
          <cell r="T231" t="str">
            <v>PPO</v>
          </cell>
          <cell r="U231" t="str">
            <v>BFF6</v>
          </cell>
          <cell r="V231" t="str">
            <v>Y</v>
          </cell>
          <cell r="W231" t="str">
            <v>8/1/2004</v>
          </cell>
          <cell r="X231">
            <v>1</v>
          </cell>
        </row>
        <row r="232">
          <cell r="A232" t="str">
            <v>4149</v>
          </cell>
          <cell r="B232" t="str">
            <v>Fairfax County Government</v>
          </cell>
          <cell r="C232" t="str">
            <v/>
          </cell>
          <cell r="D232" t="str">
            <v>McCourt</v>
          </cell>
          <cell r="E232" t="str">
            <v>Rutkowski</v>
          </cell>
          <cell r="F232" t="str">
            <v>01</v>
          </cell>
          <cell r="G232" t="str">
            <v>Y</v>
          </cell>
          <cell r="H232" t="str">
            <v>N</v>
          </cell>
          <cell r="I232" t="str">
            <v>N</v>
          </cell>
          <cell r="J232" t="str">
            <v>CPC Mo</v>
          </cell>
          <cell r="K232" t="str">
            <v>WW</v>
          </cell>
          <cell r="L232" t="str">
            <v>ASO</v>
          </cell>
          <cell r="M232" t="str">
            <v>Jordan</v>
          </cell>
          <cell r="N232" t="str">
            <v>3</v>
          </cell>
          <cell r="O232" t="str">
            <v>06</v>
          </cell>
          <cell r="P232" t="str">
            <v>Rutkowski</v>
          </cell>
          <cell r="Q232" t="str">
            <v>Rutkowski</v>
          </cell>
          <cell r="R232" t="str">
            <v>VA</v>
          </cell>
          <cell r="S232" t="str">
            <v/>
          </cell>
          <cell r="T232" t="str">
            <v>POS, PPO</v>
          </cell>
          <cell r="U232" t="str">
            <v>BAD8</v>
          </cell>
          <cell r="V232" t="str">
            <v/>
          </cell>
          <cell r="W232" t="str">
            <v/>
          </cell>
          <cell r="X232">
            <v>1</v>
          </cell>
        </row>
        <row r="233">
          <cell r="A233" t="str">
            <v>4170</v>
          </cell>
          <cell r="B233" t="str">
            <v>Fairfax County Public Schools</v>
          </cell>
          <cell r="C233" t="str">
            <v/>
          </cell>
          <cell r="D233" t="str">
            <v>McCourt</v>
          </cell>
          <cell r="E233" t="str">
            <v>Rutkowski</v>
          </cell>
          <cell r="F233" t="str">
            <v>01</v>
          </cell>
          <cell r="G233" t="str">
            <v>Y</v>
          </cell>
          <cell r="H233" t="str">
            <v>N</v>
          </cell>
          <cell r="I233" t="str">
            <v>N</v>
          </cell>
          <cell r="J233" t="str">
            <v>CPC Mo</v>
          </cell>
          <cell r="K233" t="str">
            <v>WW</v>
          </cell>
          <cell r="L233" t="str">
            <v>ASO</v>
          </cell>
          <cell r="M233" t="str">
            <v>Bradshaw</v>
          </cell>
          <cell r="N233" t="str">
            <v>3</v>
          </cell>
          <cell r="O233" t="str">
            <v>06</v>
          </cell>
          <cell r="P233" t="str">
            <v>Rutkowski</v>
          </cell>
          <cell r="Q233" t="str">
            <v>Rutkowski</v>
          </cell>
          <cell r="R233" t="str">
            <v>VA</v>
          </cell>
          <cell r="S233" t="str">
            <v/>
          </cell>
          <cell r="T233" t="str">
            <v>POS</v>
          </cell>
          <cell r="U233" t="str">
            <v>BAD8</v>
          </cell>
          <cell r="V233" t="str">
            <v/>
          </cell>
          <cell r="W233" t="str">
            <v/>
          </cell>
          <cell r="X233">
            <v>1</v>
          </cell>
        </row>
        <row r="234">
          <cell r="A234" t="str">
            <v>0J06</v>
          </cell>
          <cell r="B234" t="str">
            <v>Fairfax Radiological Consultants, P.C.</v>
          </cell>
          <cell r="C234" t="str">
            <v/>
          </cell>
          <cell r="D234" t="str">
            <v>Keefer</v>
          </cell>
          <cell r="E234" t="str">
            <v>LaTouche</v>
          </cell>
          <cell r="F234" t="str">
            <v>01</v>
          </cell>
          <cell r="G234" t="str">
            <v>N</v>
          </cell>
          <cell r="H234" t="str">
            <v/>
          </cell>
          <cell r="I234" t="str">
            <v>N</v>
          </cell>
          <cell r="J234" t="str">
            <v>Rates</v>
          </cell>
          <cell r="K234" t="str">
            <v/>
          </cell>
          <cell r="L234" t="str">
            <v>Fully</v>
          </cell>
          <cell r="M234" t="str">
            <v>Thomas</v>
          </cell>
          <cell r="N234" t="str">
            <v/>
          </cell>
          <cell r="O234" t="str">
            <v>09</v>
          </cell>
          <cell r="P234" t="str">
            <v>LaTouche</v>
          </cell>
          <cell r="Q234" t="str">
            <v/>
          </cell>
          <cell r="R234" t="str">
            <v>VA</v>
          </cell>
          <cell r="S234">
            <v>50000</v>
          </cell>
          <cell r="T234" t="str">
            <v>Dental</v>
          </cell>
          <cell r="U234" t="str">
            <v>BAD8</v>
          </cell>
          <cell r="V234" t="str">
            <v/>
          </cell>
          <cell r="W234" t="str">
            <v/>
          </cell>
          <cell r="X234">
            <v>1</v>
          </cell>
        </row>
        <row r="235">
          <cell r="A235" t="str">
            <v>SA70</v>
          </cell>
          <cell r="B235" t="str">
            <v xml:space="preserve">Family &amp; Medical Counseling Service, Inc.         </v>
          </cell>
          <cell r="C235" t="str">
            <v/>
          </cell>
          <cell r="D235" t="str">
            <v>Keefer</v>
          </cell>
          <cell r="E235" t="str">
            <v>Newman</v>
          </cell>
          <cell r="F235" t="str">
            <v>12</v>
          </cell>
          <cell r="G235" t="str">
            <v>N</v>
          </cell>
          <cell r="H235" t="str">
            <v/>
          </cell>
          <cell r="I235" t="str">
            <v>N</v>
          </cell>
          <cell r="J235" t="str">
            <v>Rates</v>
          </cell>
          <cell r="K235" t="str">
            <v/>
          </cell>
          <cell r="L235" t="str">
            <v>Fully</v>
          </cell>
          <cell r="M235" t="str">
            <v>Savoca</v>
          </cell>
          <cell r="N235" t="str">
            <v/>
          </cell>
          <cell r="O235" t="str">
            <v>08</v>
          </cell>
          <cell r="P235" t="str">
            <v>King, R.</v>
          </cell>
          <cell r="Q235" t="str">
            <v/>
          </cell>
          <cell r="R235" t="str">
            <v>DC</v>
          </cell>
          <cell r="S235">
            <v>50000</v>
          </cell>
          <cell r="T235" t="str">
            <v>PPO/HMO</v>
          </cell>
          <cell r="U235" t="str">
            <v>BFF5/CFF5</v>
          </cell>
          <cell r="V235" t="str">
            <v/>
          </cell>
          <cell r="W235" t="str">
            <v/>
          </cell>
          <cell r="X235">
            <v>1</v>
          </cell>
        </row>
        <row r="236">
          <cell r="A236" t="str">
            <v>4789</v>
          </cell>
          <cell r="B236" t="str">
            <v xml:space="preserve">Federal Home Loan Banks Office of Finance         </v>
          </cell>
          <cell r="C236" t="str">
            <v/>
          </cell>
          <cell r="D236" t="str">
            <v>Keefer</v>
          </cell>
          <cell r="E236" t="str">
            <v>Burba</v>
          </cell>
          <cell r="F236" t="str">
            <v>12</v>
          </cell>
          <cell r="G236" t="str">
            <v>N</v>
          </cell>
          <cell r="H236" t="str">
            <v/>
          </cell>
          <cell r="I236" t="str">
            <v>N</v>
          </cell>
          <cell r="J236" t="str">
            <v>Rates</v>
          </cell>
          <cell r="K236" t="str">
            <v/>
          </cell>
          <cell r="L236" t="str">
            <v>Fully</v>
          </cell>
          <cell r="M236" t="str">
            <v>Savoca</v>
          </cell>
          <cell r="N236" t="str">
            <v/>
          </cell>
          <cell r="O236" t="str">
            <v>08</v>
          </cell>
          <cell r="P236" t="str">
            <v>Mugo</v>
          </cell>
          <cell r="Q236" t="str">
            <v/>
          </cell>
          <cell r="R236" t="str">
            <v>VA</v>
          </cell>
          <cell r="S236">
            <v>50000</v>
          </cell>
          <cell r="T236" t="str">
            <v>PPO/HMO/POS</v>
          </cell>
          <cell r="U236" t="str">
            <v>BFF5/CFF5</v>
          </cell>
          <cell r="V236" t="str">
            <v/>
          </cell>
          <cell r="W236" t="str">
            <v/>
          </cell>
          <cell r="X236">
            <v>1</v>
          </cell>
        </row>
        <row r="237">
          <cell r="A237" t="str">
            <v>3L97</v>
          </cell>
          <cell r="B237" t="str">
            <v>Federation of Amer Societies for Experimental Biol</v>
          </cell>
          <cell r="C237" t="str">
            <v/>
          </cell>
          <cell r="D237" t="str">
            <v>Keefer</v>
          </cell>
          <cell r="E237" t="str">
            <v>Padrutt</v>
          </cell>
          <cell r="F237" t="str">
            <v>01</v>
          </cell>
          <cell r="G237" t="str">
            <v>N</v>
          </cell>
          <cell r="H237" t="str">
            <v/>
          </cell>
          <cell r="I237" t="str">
            <v>N</v>
          </cell>
          <cell r="J237" t="str">
            <v>Rates</v>
          </cell>
          <cell r="K237" t="str">
            <v/>
          </cell>
          <cell r="L237" t="str">
            <v>Fully</v>
          </cell>
          <cell r="M237" t="str">
            <v>Guessford-Kline</v>
          </cell>
          <cell r="N237" t="str">
            <v/>
          </cell>
          <cell r="O237" t="str">
            <v>09</v>
          </cell>
          <cell r="P237" t="str">
            <v>Padrutt</v>
          </cell>
          <cell r="Q237" t="str">
            <v/>
          </cell>
          <cell r="R237" t="str">
            <v>MD</v>
          </cell>
          <cell r="S237">
            <v>50000</v>
          </cell>
          <cell r="T237" t="str">
            <v>HMO/PPO/POS</v>
          </cell>
          <cell r="U237" t="str">
            <v>BFF6/CFF6</v>
          </cell>
          <cell r="V237" t="str">
            <v/>
          </cell>
          <cell r="W237" t="str">
            <v/>
          </cell>
          <cell r="X237">
            <v>1</v>
          </cell>
        </row>
        <row r="238">
          <cell r="A238" t="str">
            <v>3F76</v>
          </cell>
          <cell r="B238" t="str">
            <v>Fidelity &amp; Trust Mortgage</v>
          </cell>
          <cell r="C238" t="str">
            <v/>
          </cell>
          <cell r="D238" t="str">
            <v>McCourt</v>
          </cell>
          <cell r="E238" t="str">
            <v>Mugo</v>
          </cell>
          <cell r="F238" t="str">
            <v>08</v>
          </cell>
          <cell r="G238" t="str">
            <v>N</v>
          </cell>
          <cell r="H238" t="str">
            <v/>
          </cell>
          <cell r="I238" t="str">
            <v>N</v>
          </cell>
          <cell r="J238" t="str">
            <v>Rates</v>
          </cell>
          <cell r="K238" t="str">
            <v/>
          </cell>
          <cell r="L238" t="str">
            <v>Fully</v>
          </cell>
          <cell r="M238" t="str">
            <v>Henton-Davis</v>
          </cell>
          <cell r="N238" t="str">
            <v>0</v>
          </cell>
          <cell r="O238" t="str">
            <v>04</v>
          </cell>
          <cell r="P238" t="str">
            <v>Barkley</v>
          </cell>
          <cell r="Q238" t="str">
            <v/>
          </cell>
          <cell r="R238" t="str">
            <v>MD</v>
          </cell>
          <cell r="S238">
            <v>50000</v>
          </cell>
          <cell r="T238" t="str">
            <v>POS/PPO/HMO</v>
          </cell>
          <cell r="U238" t="str">
            <v>BFF6/CFF6</v>
          </cell>
          <cell r="V238" t="str">
            <v/>
          </cell>
          <cell r="W238" t="str">
            <v/>
          </cell>
          <cell r="X238">
            <v>1</v>
          </cell>
        </row>
        <row r="239">
          <cell r="A239" t="str">
            <v>T942</v>
          </cell>
          <cell r="B239" t="str">
            <v>Fire Fighters</v>
          </cell>
          <cell r="C239" t="str">
            <v/>
          </cell>
          <cell r="D239" t="str">
            <v>Keefer</v>
          </cell>
          <cell r="E239" t="str">
            <v>Taylor</v>
          </cell>
          <cell r="F239" t="str">
            <v>10</v>
          </cell>
          <cell r="G239" t="str">
            <v>N</v>
          </cell>
          <cell r="H239" t="str">
            <v>N</v>
          </cell>
          <cell r="I239" t="str">
            <v>N</v>
          </cell>
          <cell r="J239" t="str">
            <v>Rates</v>
          </cell>
          <cell r="K239" t="str">
            <v/>
          </cell>
          <cell r="L239" t="str">
            <v>Fully</v>
          </cell>
          <cell r="M239" t="str">
            <v>Carey</v>
          </cell>
          <cell r="N239" t="str">
            <v>0</v>
          </cell>
          <cell r="O239" t="str">
            <v>06</v>
          </cell>
          <cell r="P239" t="str">
            <v>Taylor</v>
          </cell>
          <cell r="Q239" t="str">
            <v/>
          </cell>
          <cell r="R239" t="str">
            <v>DC</v>
          </cell>
          <cell r="S239">
            <v>0</v>
          </cell>
          <cell r="T239" t="str">
            <v>Dental Only</v>
          </cell>
          <cell r="U239" t="str">
            <v>BFF8</v>
          </cell>
          <cell r="V239" t="str">
            <v/>
          </cell>
          <cell r="W239" t="str">
            <v/>
          </cell>
          <cell r="X239">
            <v>1</v>
          </cell>
        </row>
        <row r="240">
          <cell r="A240" t="str">
            <v>PG21</v>
          </cell>
          <cell r="B240" t="str">
            <v xml:space="preserve">First Baptist Church of Glenarden                 </v>
          </cell>
          <cell r="C240" t="str">
            <v/>
          </cell>
          <cell r="D240" t="str">
            <v>Keefer</v>
          </cell>
          <cell r="E240" t="str">
            <v>Anderson</v>
          </cell>
          <cell r="F240" t="str">
            <v>10</v>
          </cell>
          <cell r="G240" t="str">
            <v>N</v>
          </cell>
          <cell r="H240" t="str">
            <v/>
          </cell>
          <cell r="I240" t="str">
            <v>N</v>
          </cell>
          <cell r="J240" t="str">
            <v>Rates</v>
          </cell>
          <cell r="K240" t="str">
            <v/>
          </cell>
          <cell r="L240" t="str">
            <v>Fully</v>
          </cell>
          <cell r="M240" t="str">
            <v>Savoca</v>
          </cell>
          <cell r="N240" t="str">
            <v/>
          </cell>
          <cell r="O240" t="str">
            <v>06</v>
          </cell>
          <cell r="P240" t="str">
            <v/>
          </cell>
          <cell r="Q240" t="str">
            <v/>
          </cell>
          <cell r="R240" t="str">
            <v>MD</v>
          </cell>
          <cell r="S240">
            <v>50000</v>
          </cell>
          <cell r="T240" t="str">
            <v>PPO Rx D</v>
          </cell>
          <cell r="U240" t="str">
            <v>BFF5</v>
          </cell>
          <cell r="V240" t="str">
            <v>Y</v>
          </cell>
          <cell r="W240" t="str">
            <v>10/1/2002</v>
          </cell>
          <cell r="X240">
            <v>1</v>
          </cell>
        </row>
        <row r="241">
          <cell r="A241" t="str">
            <v>4S20</v>
          </cell>
          <cell r="B241" t="str">
            <v>First Savings Mortgage</v>
          </cell>
          <cell r="C241" t="str">
            <v/>
          </cell>
          <cell r="D241" t="str">
            <v>Keefer</v>
          </cell>
          <cell r="E241" t="str">
            <v>LaTouche</v>
          </cell>
          <cell r="F241" t="str">
            <v>09</v>
          </cell>
          <cell r="G241" t="str">
            <v>N</v>
          </cell>
          <cell r="H241" t="str">
            <v>N</v>
          </cell>
          <cell r="I241" t="str">
            <v>N</v>
          </cell>
          <cell r="J241" t="str">
            <v>Rates</v>
          </cell>
          <cell r="K241" t="str">
            <v/>
          </cell>
          <cell r="L241" t="str">
            <v>Fully</v>
          </cell>
          <cell r="M241" t="str">
            <v>Guessford-Kline</v>
          </cell>
          <cell r="N241" t="str">
            <v>0</v>
          </cell>
          <cell r="O241" t="str">
            <v>05</v>
          </cell>
          <cell r="P241" t="str">
            <v>LaTouche</v>
          </cell>
          <cell r="Q241" t="str">
            <v/>
          </cell>
          <cell r="R241" t="str">
            <v>VA</v>
          </cell>
          <cell r="S241">
            <v>50000</v>
          </cell>
          <cell r="T241" t="str">
            <v>POS</v>
          </cell>
          <cell r="U241" t="str">
            <v>BFF5</v>
          </cell>
          <cell r="V241" t="str">
            <v/>
          </cell>
          <cell r="W241" t="str">
            <v/>
          </cell>
          <cell r="X241">
            <v>1</v>
          </cell>
        </row>
        <row r="242">
          <cell r="A242" t="str">
            <v>0C9P</v>
          </cell>
          <cell r="B242" t="str">
            <v xml:space="preserve">Fiserv Inc.                                       </v>
          </cell>
          <cell r="C242" t="str">
            <v/>
          </cell>
          <cell r="D242" t="str">
            <v>Keefer</v>
          </cell>
          <cell r="E242" t="str">
            <v>Burba</v>
          </cell>
          <cell r="F242" t="str">
            <v>01</v>
          </cell>
          <cell r="G242" t="str">
            <v>N</v>
          </cell>
          <cell r="H242" t="str">
            <v/>
          </cell>
          <cell r="I242" t="str">
            <v>N</v>
          </cell>
          <cell r="J242" t="str">
            <v>Rates</v>
          </cell>
          <cell r="K242" t="str">
            <v/>
          </cell>
          <cell r="L242" t="str">
            <v>Fully</v>
          </cell>
          <cell r="M242" t="str">
            <v>Cosby</v>
          </cell>
          <cell r="N242" t="str">
            <v/>
          </cell>
          <cell r="O242" t="str">
            <v>09</v>
          </cell>
          <cell r="P242" t="str">
            <v/>
          </cell>
          <cell r="Q242" t="str">
            <v/>
          </cell>
          <cell r="R242" t="str">
            <v>MD</v>
          </cell>
          <cell r="S242">
            <v>50000</v>
          </cell>
          <cell r="T242" t="str">
            <v>HMO</v>
          </cell>
          <cell r="U242" t="str">
            <v>CFF5</v>
          </cell>
          <cell r="V242" t="str">
            <v>Y</v>
          </cell>
          <cell r="W242" t="str">
            <v>1/1/2005</v>
          </cell>
          <cell r="X242">
            <v>1</v>
          </cell>
        </row>
        <row r="243">
          <cell r="A243" t="str">
            <v>TM24</v>
          </cell>
          <cell r="B243" t="str">
            <v xml:space="preserve">Forensic Technology                               </v>
          </cell>
          <cell r="C243" t="str">
            <v/>
          </cell>
          <cell r="D243" t="str">
            <v>Keefer</v>
          </cell>
          <cell r="E243" t="str">
            <v>LaTouche</v>
          </cell>
          <cell r="F243" t="str">
            <v>01</v>
          </cell>
          <cell r="G243" t="str">
            <v>N</v>
          </cell>
          <cell r="H243" t="str">
            <v/>
          </cell>
          <cell r="I243" t="str">
            <v>N</v>
          </cell>
          <cell r="J243" t="str">
            <v>Rates</v>
          </cell>
          <cell r="K243" t="str">
            <v/>
          </cell>
          <cell r="L243" t="str">
            <v>Fully</v>
          </cell>
          <cell r="M243" t="str">
            <v>Henton-Davis</v>
          </cell>
          <cell r="N243" t="str">
            <v/>
          </cell>
          <cell r="O243" t="str">
            <v>09</v>
          </cell>
          <cell r="P243" t="str">
            <v>LaTouche</v>
          </cell>
          <cell r="Q243" t="str">
            <v/>
          </cell>
          <cell r="R243" t="str">
            <v>DC</v>
          </cell>
          <cell r="S243">
            <v>50000</v>
          </cell>
          <cell r="T243" t="str">
            <v>PPO</v>
          </cell>
          <cell r="U243" t="str">
            <v>BFF5</v>
          </cell>
          <cell r="V243" t="str">
            <v/>
          </cell>
          <cell r="W243" t="str">
            <v/>
          </cell>
          <cell r="X243">
            <v>1</v>
          </cell>
        </row>
        <row r="244">
          <cell r="A244" t="str">
            <v>NJ54</v>
          </cell>
          <cell r="B244" t="str">
            <v>Forest City Enterprizes, Inc.</v>
          </cell>
          <cell r="C244" t="str">
            <v/>
          </cell>
          <cell r="D244" t="str">
            <v>Keefer</v>
          </cell>
          <cell r="E244" t="str">
            <v>Johnson</v>
          </cell>
          <cell r="F244" t="str">
            <v>01</v>
          </cell>
          <cell r="G244" t="str">
            <v>N</v>
          </cell>
          <cell r="H244" t="str">
            <v>N</v>
          </cell>
          <cell r="I244" t="str">
            <v>N</v>
          </cell>
          <cell r="J244" t="str">
            <v>CPC Mo</v>
          </cell>
          <cell r="K244" t="str">
            <v>WW</v>
          </cell>
          <cell r="L244" t="str">
            <v>ASO</v>
          </cell>
          <cell r="M244" t="str">
            <v>Lewis</v>
          </cell>
          <cell r="N244" t="str">
            <v>3</v>
          </cell>
          <cell r="O244" t="str">
            <v>09</v>
          </cell>
          <cell r="P244" t="str">
            <v>Keefer</v>
          </cell>
          <cell r="Q244" t="str">
            <v>Smith</v>
          </cell>
          <cell r="R244" t="str">
            <v>MD</v>
          </cell>
          <cell r="S244">
            <v>100000</v>
          </cell>
          <cell r="T244" t="str">
            <v>PPO</v>
          </cell>
          <cell r="U244" t="str">
            <v>BAS8</v>
          </cell>
          <cell r="V244" t="str">
            <v/>
          </cell>
          <cell r="W244" t="str">
            <v/>
          </cell>
          <cell r="X244">
            <v>1</v>
          </cell>
        </row>
        <row r="245">
          <cell r="A245" t="str">
            <v>TX29</v>
          </cell>
          <cell r="B245" t="str">
            <v>Foundation Schools</v>
          </cell>
          <cell r="C245" t="str">
            <v/>
          </cell>
          <cell r="D245" t="str">
            <v>McCourt</v>
          </cell>
          <cell r="E245" t="str">
            <v>Slack</v>
          </cell>
          <cell r="F245" t="str">
            <v>10</v>
          </cell>
          <cell r="G245" t="str">
            <v>N</v>
          </cell>
          <cell r="H245" t="str">
            <v>N</v>
          </cell>
          <cell r="I245" t="str">
            <v>N</v>
          </cell>
          <cell r="J245" t="str">
            <v>Rates</v>
          </cell>
          <cell r="K245" t="str">
            <v/>
          </cell>
          <cell r="L245" t="str">
            <v>Fully</v>
          </cell>
          <cell r="M245" t="str">
            <v>Savoca</v>
          </cell>
          <cell r="N245" t="str">
            <v>0</v>
          </cell>
          <cell r="O245" t="str">
            <v>05</v>
          </cell>
          <cell r="P245" t="str">
            <v>Slack</v>
          </cell>
          <cell r="Q245" t="str">
            <v/>
          </cell>
          <cell r="R245" t="str">
            <v>MD</v>
          </cell>
          <cell r="S245">
            <v>50000</v>
          </cell>
          <cell r="T245" t="str">
            <v>PPO/HMO/POS</v>
          </cell>
          <cell r="U245" t="str">
            <v>CFF6</v>
          </cell>
          <cell r="V245" t="str">
            <v/>
          </cell>
          <cell r="W245" t="str">
            <v/>
          </cell>
          <cell r="X245">
            <v>1</v>
          </cell>
        </row>
        <row r="246">
          <cell r="A246" t="str">
            <v>3F14</v>
          </cell>
          <cell r="B246" t="str">
            <v xml:space="preserve">FoxFire Printing And Packing Inc                  </v>
          </cell>
          <cell r="C246" t="str">
            <v/>
          </cell>
          <cell r="D246" t="str">
            <v>McCourt</v>
          </cell>
          <cell r="E246" t="str">
            <v>Rutkowski</v>
          </cell>
          <cell r="F246" t="str">
            <v>12</v>
          </cell>
          <cell r="G246" t="str">
            <v>N</v>
          </cell>
          <cell r="H246" t="str">
            <v/>
          </cell>
          <cell r="I246" t="str">
            <v>N</v>
          </cell>
          <cell r="J246" t="str">
            <v>Rates</v>
          </cell>
          <cell r="K246" t="str">
            <v/>
          </cell>
          <cell r="L246" t="str">
            <v>Fully</v>
          </cell>
          <cell r="M246" t="str">
            <v>Henton-Davis</v>
          </cell>
          <cell r="N246" t="str">
            <v/>
          </cell>
          <cell r="O246" t="str">
            <v>08</v>
          </cell>
          <cell r="P246" t="str">
            <v>Rutkowski</v>
          </cell>
          <cell r="Q246" t="str">
            <v/>
          </cell>
          <cell r="R246" t="str">
            <v>MD</v>
          </cell>
          <cell r="S246">
            <v>50000</v>
          </cell>
          <cell r="T246" t="str">
            <v>POS/HMO/PPO</v>
          </cell>
          <cell r="U246" t="str">
            <v>BFF5/CFF5</v>
          </cell>
          <cell r="V246" t="str">
            <v/>
          </cell>
          <cell r="W246" t="str">
            <v/>
          </cell>
          <cell r="X246">
            <v>1</v>
          </cell>
        </row>
        <row r="247">
          <cell r="A247" t="str">
            <v>7H14</v>
          </cell>
          <cell r="B247" t="str">
            <v xml:space="preserve">Francis O'Day Company, Inc.                       </v>
          </cell>
          <cell r="C247" t="str">
            <v/>
          </cell>
          <cell r="D247" t="str">
            <v>McCourt</v>
          </cell>
          <cell r="E247" t="str">
            <v>Mugo</v>
          </cell>
          <cell r="F247" t="str">
            <v>11</v>
          </cell>
          <cell r="G247" t="str">
            <v>N</v>
          </cell>
          <cell r="H247" t="str">
            <v/>
          </cell>
          <cell r="I247" t="str">
            <v>N</v>
          </cell>
          <cell r="J247" t="str">
            <v>Rates</v>
          </cell>
          <cell r="K247" t="str">
            <v/>
          </cell>
          <cell r="L247" t="str">
            <v>Fully</v>
          </cell>
          <cell r="M247" t="str">
            <v>Grabarek</v>
          </cell>
          <cell r="N247" t="str">
            <v/>
          </cell>
          <cell r="O247" t="str">
            <v>07</v>
          </cell>
          <cell r="P247" t="str">
            <v/>
          </cell>
          <cell r="Q247" t="str">
            <v/>
          </cell>
          <cell r="R247" t="str">
            <v>MD</v>
          </cell>
          <cell r="S247">
            <v>0</v>
          </cell>
          <cell r="T247" t="str">
            <v>HMO/OA</v>
          </cell>
          <cell r="U247" t="str">
            <v>CFF7</v>
          </cell>
          <cell r="V247" t="str">
            <v>Y</v>
          </cell>
          <cell r="W247" t="str">
            <v>11/1/2003</v>
          </cell>
          <cell r="X247">
            <v>1</v>
          </cell>
        </row>
        <row r="248">
          <cell r="A248" t="str">
            <v>PN08</v>
          </cell>
          <cell r="B248" t="str">
            <v>From the Heart Church Ministries</v>
          </cell>
          <cell r="C248" t="str">
            <v/>
          </cell>
          <cell r="D248" t="str">
            <v>McCourt</v>
          </cell>
          <cell r="E248" t="str">
            <v>Quade</v>
          </cell>
          <cell r="F248" t="str">
            <v>11</v>
          </cell>
          <cell r="G248" t="str">
            <v>N</v>
          </cell>
          <cell r="H248" t="str">
            <v>N</v>
          </cell>
          <cell r="I248" t="str">
            <v>N</v>
          </cell>
          <cell r="J248" t="str">
            <v>Rates</v>
          </cell>
          <cell r="K248" t="str">
            <v/>
          </cell>
          <cell r="L248" t="str">
            <v>Fully</v>
          </cell>
          <cell r="M248" t="str">
            <v>Savoca</v>
          </cell>
          <cell r="N248" t="str">
            <v>0</v>
          </cell>
          <cell r="O248" t="str">
            <v>07</v>
          </cell>
          <cell r="P248" t="str">
            <v>Addy</v>
          </cell>
          <cell r="Q248" t="str">
            <v/>
          </cell>
          <cell r="R248" t="str">
            <v>MD</v>
          </cell>
          <cell r="S248">
            <v>50000</v>
          </cell>
          <cell r="T248" t="str">
            <v>PPO</v>
          </cell>
          <cell r="U248" t="str">
            <v>BFF6</v>
          </cell>
          <cell r="V248" t="str">
            <v/>
          </cell>
          <cell r="W248" t="str">
            <v/>
          </cell>
          <cell r="X248">
            <v>1</v>
          </cell>
        </row>
        <row r="249">
          <cell r="A249" t="str">
            <v>UN20</v>
          </cell>
          <cell r="B249" t="str">
            <v>Futron Corporation</v>
          </cell>
          <cell r="C249" t="str">
            <v/>
          </cell>
          <cell r="D249" t="str">
            <v>McCourt</v>
          </cell>
          <cell r="E249" t="str">
            <v>Quade</v>
          </cell>
          <cell r="F249" t="str">
            <v>07</v>
          </cell>
          <cell r="G249" t="str">
            <v>N</v>
          </cell>
          <cell r="H249" t="str">
            <v>N</v>
          </cell>
          <cell r="I249" t="str">
            <v>N</v>
          </cell>
          <cell r="J249" t="str">
            <v>Rates</v>
          </cell>
          <cell r="K249" t="str">
            <v/>
          </cell>
          <cell r="L249" t="str">
            <v>Fully</v>
          </cell>
          <cell r="M249" t="str">
            <v>Henton-Davis</v>
          </cell>
          <cell r="N249" t="str">
            <v>0</v>
          </cell>
          <cell r="O249" t="str">
            <v>03</v>
          </cell>
          <cell r="P249" t="str">
            <v>Thacker</v>
          </cell>
          <cell r="Q249" t="str">
            <v/>
          </cell>
          <cell r="R249" t="str">
            <v>MD</v>
          </cell>
          <cell r="S249">
            <v>50000</v>
          </cell>
          <cell r="T249" t="str">
            <v>PPO</v>
          </cell>
          <cell r="U249" t="str">
            <v>BFF5</v>
          </cell>
          <cell r="V249" t="str">
            <v/>
          </cell>
          <cell r="W249" t="str">
            <v/>
          </cell>
          <cell r="X249">
            <v>1</v>
          </cell>
        </row>
        <row r="250">
          <cell r="A250" t="str">
            <v>7G90</v>
          </cell>
          <cell r="B250" t="str">
            <v xml:space="preserve">FYI - For Your Information, Inc.                  </v>
          </cell>
          <cell r="C250" t="str">
            <v/>
          </cell>
          <cell r="D250" t="str">
            <v>McCourt</v>
          </cell>
          <cell r="E250" t="str">
            <v>Mugo</v>
          </cell>
          <cell r="F250" t="str">
            <v>04</v>
          </cell>
          <cell r="G250" t="str">
            <v>N</v>
          </cell>
          <cell r="H250" t="str">
            <v/>
          </cell>
          <cell r="I250" t="str">
            <v>N</v>
          </cell>
          <cell r="J250" t="str">
            <v>Rates</v>
          </cell>
          <cell r="K250" t="str">
            <v/>
          </cell>
          <cell r="L250" t="str">
            <v>Fully</v>
          </cell>
          <cell r="M250" t="str">
            <v>Henton-Davis</v>
          </cell>
          <cell r="N250" t="str">
            <v/>
          </cell>
          <cell r="O250" t="str">
            <v>12</v>
          </cell>
          <cell r="P250" t="str">
            <v/>
          </cell>
          <cell r="Q250" t="str">
            <v/>
          </cell>
          <cell r="R250" t="str">
            <v>MD</v>
          </cell>
          <cell r="S250">
            <v>0</v>
          </cell>
          <cell r="T250" t="str">
            <v>HMO/OA/POS</v>
          </cell>
          <cell r="U250" t="str">
            <v>BFF5/CFF5</v>
          </cell>
          <cell r="V250" t="str">
            <v>Y</v>
          </cell>
          <cell r="W250" t="str">
            <v>4/1/2003</v>
          </cell>
          <cell r="X250">
            <v>1</v>
          </cell>
        </row>
        <row r="251">
          <cell r="A251" t="str">
            <v>6T06</v>
          </cell>
          <cell r="B251" t="str">
            <v>G &amp; G Outfitters, Inc.</v>
          </cell>
          <cell r="C251" t="str">
            <v/>
          </cell>
          <cell r="D251" t="str">
            <v>McCourt</v>
          </cell>
          <cell r="E251" t="str">
            <v>Slack</v>
          </cell>
          <cell r="F251" t="str">
            <v>10</v>
          </cell>
          <cell r="G251" t="str">
            <v>N</v>
          </cell>
          <cell r="H251" t="str">
            <v>N</v>
          </cell>
          <cell r="I251" t="str">
            <v>N</v>
          </cell>
          <cell r="J251" t="str">
            <v>Rates</v>
          </cell>
          <cell r="K251" t="str">
            <v/>
          </cell>
          <cell r="L251" t="str">
            <v>Fully</v>
          </cell>
          <cell r="M251" t="str">
            <v>Wise</v>
          </cell>
          <cell r="N251" t="str">
            <v>0</v>
          </cell>
          <cell r="O251" t="str">
            <v>06</v>
          </cell>
          <cell r="P251" t="str">
            <v>Slack</v>
          </cell>
          <cell r="Q251" t="str">
            <v/>
          </cell>
          <cell r="R251" t="str">
            <v>MD</v>
          </cell>
          <cell r="S251">
            <v>50000</v>
          </cell>
          <cell r="T251" t="str">
            <v>HMO/PPO</v>
          </cell>
          <cell r="U251" t="str">
            <v>BFF5/CFF5</v>
          </cell>
          <cell r="V251" t="str">
            <v/>
          </cell>
          <cell r="W251" t="str">
            <v/>
          </cell>
          <cell r="X251">
            <v>1</v>
          </cell>
        </row>
        <row r="252">
          <cell r="A252" t="str">
            <v>4F21</v>
          </cell>
          <cell r="B252" t="str">
            <v xml:space="preserve">G&amp;B Solutions, Inc.                               </v>
          </cell>
          <cell r="C252" t="str">
            <v/>
          </cell>
          <cell r="D252" t="str">
            <v>Keefer</v>
          </cell>
          <cell r="E252" t="str">
            <v>Burba</v>
          </cell>
          <cell r="F252" t="str">
            <v>05</v>
          </cell>
          <cell r="G252" t="str">
            <v>N</v>
          </cell>
          <cell r="H252" t="str">
            <v/>
          </cell>
          <cell r="I252" t="str">
            <v>N</v>
          </cell>
          <cell r="J252" t="str">
            <v>Rates</v>
          </cell>
          <cell r="K252" t="str">
            <v/>
          </cell>
          <cell r="L252" t="str">
            <v>Fully</v>
          </cell>
          <cell r="M252" t="str">
            <v>Henton-Davis</v>
          </cell>
          <cell r="N252" t="str">
            <v/>
          </cell>
          <cell r="O252" t="str">
            <v>01</v>
          </cell>
          <cell r="P252" t="str">
            <v/>
          </cell>
          <cell r="Q252" t="str">
            <v/>
          </cell>
          <cell r="R252" t="str">
            <v>VA</v>
          </cell>
          <cell r="S252">
            <v>50000</v>
          </cell>
          <cell r="T252" t="str">
            <v>HMO/PPO</v>
          </cell>
          <cell r="U252" t="str">
            <v>BFF6/CFF6</v>
          </cell>
          <cell r="V252" t="str">
            <v/>
          </cell>
          <cell r="W252" t="str">
            <v/>
          </cell>
          <cell r="X252">
            <v>1</v>
          </cell>
        </row>
        <row r="253">
          <cell r="A253" t="str">
            <v>UV60</v>
          </cell>
          <cell r="B253" t="str">
            <v>Geico Direct</v>
          </cell>
          <cell r="C253" t="str">
            <v/>
          </cell>
          <cell r="D253" t="str">
            <v>McCourt</v>
          </cell>
          <cell r="E253" t="str">
            <v>Slack</v>
          </cell>
          <cell r="F253" t="str">
            <v>01</v>
          </cell>
          <cell r="G253" t="str">
            <v>N</v>
          </cell>
          <cell r="H253" t="str">
            <v>N</v>
          </cell>
          <cell r="I253" t="str">
            <v>N</v>
          </cell>
          <cell r="J253" t="str">
            <v>CPC Mo</v>
          </cell>
          <cell r="K253" t="str">
            <v>WW</v>
          </cell>
          <cell r="L253" t="str">
            <v>ASO</v>
          </cell>
          <cell r="M253" t="str">
            <v>Lewis</v>
          </cell>
          <cell r="N253" t="str">
            <v>3</v>
          </cell>
          <cell r="O253" t="str">
            <v>07</v>
          </cell>
          <cell r="P253" t="str">
            <v>Slack</v>
          </cell>
          <cell r="Q253" t="str">
            <v>Slack</v>
          </cell>
          <cell r="R253" t="str">
            <v>DC</v>
          </cell>
          <cell r="S253">
            <v>0</v>
          </cell>
          <cell r="T253" t="str">
            <v>PPO</v>
          </cell>
          <cell r="U253" t="str">
            <v>BAD8</v>
          </cell>
          <cell r="V253" t="str">
            <v/>
          </cell>
          <cell r="W253" t="str">
            <v/>
          </cell>
          <cell r="X253">
            <v>1</v>
          </cell>
        </row>
        <row r="254">
          <cell r="A254" t="str">
            <v>WU51</v>
          </cell>
          <cell r="B254" t="str">
            <v>Gelman, Rosenbert &amp; Feldman</v>
          </cell>
          <cell r="C254" t="str">
            <v/>
          </cell>
          <cell r="D254" t="str">
            <v>Keefer</v>
          </cell>
          <cell r="E254" t="str">
            <v>Taylor</v>
          </cell>
          <cell r="F254" t="str">
            <v>02</v>
          </cell>
          <cell r="G254" t="str">
            <v>N</v>
          </cell>
          <cell r="H254" t="str">
            <v>N</v>
          </cell>
          <cell r="I254" t="str">
            <v>N</v>
          </cell>
          <cell r="J254" t="str">
            <v>Rates</v>
          </cell>
          <cell r="K254" t="str">
            <v/>
          </cell>
          <cell r="L254" t="str">
            <v>Fully</v>
          </cell>
          <cell r="M254" t="str">
            <v>Henton-Davis</v>
          </cell>
          <cell r="N254" t="str">
            <v>0</v>
          </cell>
          <cell r="O254" t="str">
            <v>10</v>
          </cell>
          <cell r="P254" t="str">
            <v/>
          </cell>
          <cell r="Q254" t="str">
            <v/>
          </cell>
          <cell r="R254" t="str">
            <v>MD</v>
          </cell>
          <cell r="S254">
            <v>50000</v>
          </cell>
          <cell r="T254" t="str">
            <v>PPO Rx</v>
          </cell>
          <cell r="U254" t="str">
            <v>BFF5</v>
          </cell>
          <cell r="V254" t="str">
            <v/>
          </cell>
          <cell r="W254" t="str">
            <v/>
          </cell>
          <cell r="X254">
            <v>1</v>
          </cell>
        </row>
        <row r="255">
          <cell r="A255" t="str">
            <v>R182</v>
          </cell>
          <cell r="B255" t="str">
            <v>George Washington University</v>
          </cell>
          <cell r="C255" t="str">
            <v/>
          </cell>
          <cell r="D255" t="str">
            <v>McCourt</v>
          </cell>
          <cell r="E255" t="str">
            <v>Rutkowski</v>
          </cell>
          <cell r="F255" t="str">
            <v>01</v>
          </cell>
          <cell r="G255" t="str">
            <v>Y</v>
          </cell>
          <cell r="H255" t="str">
            <v>N</v>
          </cell>
          <cell r="I255" t="str">
            <v>Y</v>
          </cell>
          <cell r="J255" t="str">
            <v>CPC Mo</v>
          </cell>
          <cell r="K255" t="str">
            <v>SW</v>
          </cell>
          <cell r="L255" t="str">
            <v>125%</v>
          </cell>
          <cell r="M255" t="str">
            <v>Greenwell</v>
          </cell>
          <cell r="N255" t="str">
            <v>3</v>
          </cell>
          <cell r="O255" t="str">
            <v>07</v>
          </cell>
          <cell r="P255" t="str">
            <v>Rutkowski</v>
          </cell>
          <cell r="Q255" t="str">
            <v>Rutkowski</v>
          </cell>
          <cell r="R255" t="str">
            <v>DC</v>
          </cell>
          <cell r="S255">
            <v>150000</v>
          </cell>
          <cell r="T255" t="str">
            <v>POS</v>
          </cell>
          <cell r="U255" t="str">
            <v>BAB8</v>
          </cell>
          <cell r="V255" t="str">
            <v/>
          </cell>
          <cell r="W255" t="str">
            <v/>
          </cell>
          <cell r="X255">
            <v>1</v>
          </cell>
        </row>
        <row r="256">
          <cell r="A256" t="str">
            <v>J944</v>
          </cell>
          <cell r="B256" t="str">
            <v>Georgetown  Dental</v>
          </cell>
          <cell r="C256" t="str">
            <v/>
          </cell>
          <cell r="D256" t="str">
            <v>Keefer</v>
          </cell>
          <cell r="E256" t="str">
            <v>Padrutt</v>
          </cell>
          <cell r="F256" t="str">
            <v>01</v>
          </cell>
          <cell r="G256" t="str">
            <v>N</v>
          </cell>
          <cell r="H256" t="str">
            <v>N</v>
          </cell>
          <cell r="I256" t="str">
            <v>N</v>
          </cell>
          <cell r="J256" t="str">
            <v>Rates</v>
          </cell>
          <cell r="K256" t="str">
            <v/>
          </cell>
          <cell r="L256" t="str">
            <v>Fully</v>
          </cell>
          <cell r="M256" t="str">
            <v>Greenwell</v>
          </cell>
          <cell r="N256" t="str">
            <v>0</v>
          </cell>
          <cell r="O256" t="str">
            <v>09</v>
          </cell>
          <cell r="P256" t="str">
            <v>Padrutt</v>
          </cell>
          <cell r="Q256" t="str">
            <v/>
          </cell>
          <cell r="R256" t="str">
            <v>DC</v>
          </cell>
          <cell r="S256" t="str">
            <v/>
          </cell>
          <cell r="T256" t="str">
            <v>Dental Only</v>
          </cell>
          <cell r="U256" t="str">
            <v>BFF8</v>
          </cell>
          <cell r="V256" t="str">
            <v/>
          </cell>
          <cell r="W256" t="str">
            <v/>
          </cell>
          <cell r="X256">
            <v>1</v>
          </cell>
        </row>
        <row r="257">
          <cell r="A257" t="str">
            <v>3D00</v>
          </cell>
          <cell r="B257" t="str">
            <v>Georgetown University Hospital</v>
          </cell>
          <cell r="C257" t="str">
            <v/>
          </cell>
          <cell r="D257" t="str">
            <v>McCourt</v>
          </cell>
          <cell r="E257" t="str">
            <v>Wolf</v>
          </cell>
          <cell r="F257" t="str">
            <v>01</v>
          </cell>
          <cell r="G257" t="str">
            <v>Y</v>
          </cell>
          <cell r="H257" t="str">
            <v>N</v>
          </cell>
          <cell r="I257" t="str">
            <v>N</v>
          </cell>
          <cell r="J257" t="str">
            <v>CPC Mo</v>
          </cell>
          <cell r="K257" t="str">
            <v>WW</v>
          </cell>
          <cell r="L257" t="str">
            <v>125%</v>
          </cell>
          <cell r="M257" t="str">
            <v>Greenwell</v>
          </cell>
          <cell r="N257" t="str">
            <v>3</v>
          </cell>
          <cell r="O257" t="str">
            <v>05</v>
          </cell>
          <cell r="P257" t="str">
            <v>Rothrauff</v>
          </cell>
          <cell r="Q257" t="str">
            <v>Alves</v>
          </cell>
          <cell r="R257" t="str">
            <v>DC</v>
          </cell>
          <cell r="S257">
            <v>200000</v>
          </cell>
          <cell r="T257" t="str">
            <v>POS</v>
          </cell>
          <cell r="U257" t="str">
            <v>BAB8</v>
          </cell>
          <cell r="V257" t="str">
            <v/>
          </cell>
          <cell r="W257" t="str">
            <v/>
          </cell>
          <cell r="X257">
            <v>1</v>
          </cell>
        </row>
        <row r="258">
          <cell r="A258" t="str">
            <v>NE78</v>
          </cell>
          <cell r="B258" t="str">
            <v>Georgetown Visitation Preparatory School</v>
          </cell>
          <cell r="C258" t="str">
            <v/>
          </cell>
          <cell r="D258" t="str">
            <v>McCourt</v>
          </cell>
          <cell r="E258" t="str">
            <v>Rutkowski</v>
          </cell>
          <cell r="F258" t="str">
            <v>10</v>
          </cell>
          <cell r="G258" t="str">
            <v>N</v>
          </cell>
          <cell r="H258" t="str">
            <v>N</v>
          </cell>
          <cell r="I258" t="str">
            <v>N</v>
          </cell>
          <cell r="J258" t="str">
            <v>Rates</v>
          </cell>
          <cell r="K258" t="str">
            <v/>
          </cell>
          <cell r="L258" t="str">
            <v>Fully</v>
          </cell>
          <cell r="M258" t="str">
            <v>Savoca</v>
          </cell>
          <cell r="N258" t="str">
            <v>0</v>
          </cell>
          <cell r="O258" t="str">
            <v>06</v>
          </cell>
          <cell r="P258" t="str">
            <v>Rutkowski</v>
          </cell>
          <cell r="Q258" t="str">
            <v/>
          </cell>
          <cell r="R258" t="str">
            <v>DC</v>
          </cell>
          <cell r="S258">
            <v>50000</v>
          </cell>
          <cell r="T258" t="str">
            <v>POS</v>
          </cell>
          <cell r="U258" t="str">
            <v>BFF5/CFF5</v>
          </cell>
          <cell r="V258" t="str">
            <v/>
          </cell>
          <cell r="W258" t="str">
            <v/>
          </cell>
          <cell r="X258">
            <v>1</v>
          </cell>
        </row>
        <row r="259">
          <cell r="A259" t="str">
            <v>4P08</v>
          </cell>
          <cell r="B259" t="str">
            <v xml:space="preserve">Gerald B Boyd, Jr. DBA T/A D.B. Consulting Group  </v>
          </cell>
          <cell r="C259" t="str">
            <v/>
          </cell>
          <cell r="D259" t="str">
            <v>McCourt</v>
          </cell>
          <cell r="E259" t="str">
            <v>Slack</v>
          </cell>
          <cell r="F259" t="str">
            <v>07</v>
          </cell>
          <cell r="G259" t="str">
            <v>N</v>
          </cell>
          <cell r="H259" t="str">
            <v/>
          </cell>
          <cell r="I259" t="str">
            <v>N</v>
          </cell>
          <cell r="J259" t="str">
            <v>Rates</v>
          </cell>
          <cell r="K259" t="str">
            <v/>
          </cell>
          <cell r="L259" t="str">
            <v>Fully</v>
          </cell>
          <cell r="M259" t="str">
            <v>Wise</v>
          </cell>
          <cell r="N259" t="str">
            <v/>
          </cell>
          <cell r="O259" t="str">
            <v>03</v>
          </cell>
          <cell r="P259" t="str">
            <v>Slack</v>
          </cell>
          <cell r="Q259" t="str">
            <v/>
          </cell>
          <cell r="R259" t="str">
            <v>MD</v>
          </cell>
          <cell r="S259">
            <v>50000</v>
          </cell>
          <cell r="T259" t="str">
            <v>POS/HMO</v>
          </cell>
          <cell r="U259" t="str">
            <v>CFF5</v>
          </cell>
          <cell r="V259" t="str">
            <v/>
          </cell>
          <cell r="W259" t="str">
            <v/>
          </cell>
          <cell r="X259">
            <v>1</v>
          </cell>
        </row>
        <row r="260">
          <cell r="A260" t="str">
            <v>WE59</v>
          </cell>
          <cell r="B260" t="str">
            <v>GHT Limited</v>
          </cell>
          <cell r="C260" t="str">
            <v/>
          </cell>
          <cell r="D260" t="str">
            <v>Keefer</v>
          </cell>
          <cell r="E260" t="str">
            <v>Burba</v>
          </cell>
          <cell r="F260" t="str">
            <v>06</v>
          </cell>
          <cell r="G260" t="str">
            <v>N</v>
          </cell>
          <cell r="H260" t="str">
            <v/>
          </cell>
          <cell r="I260" t="str">
            <v>N</v>
          </cell>
          <cell r="J260" t="str">
            <v>Rates</v>
          </cell>
          <cell r="K260" t="str">
            <v/>
          </cell>
          <cell r="L260" t="str">
            <v>Fully</v>
          </cell>
          <cell r="M260" t="str">
            <v>Guessford-Kline</v>
          </cell>
          <cell r="N260" t="str">
            <v/>
          </cell>
          <cell r="O260" t="str">
            <v>02</v>
          </cell>
          <cell r="P260" t="str">
            <v>Taylor</v>
          </cell>
          <cell r="Q260" t="str">
            <v/>
          </cell>
          <cell r="R260" t="str">
            <v>VA</v>
          </cell>
          <cell r="S260">
            <v>50000</v>
          </cell>
          <cell r="T260" t="str">
            <v>HMO/POS/PPO</v>
          </cell>
          <cell r="U260" t="str">
            <v>BFF6/CFF6</v>
          </cell>
          <cell r="V260" t="str">
            <v/>
          </cell>
          <cell r="W260" t="str">
            <v/>
          </cell>
          <cell r="X260">
            <v>1</v>
          </cell>
        </row>
        <row r="261">
          <cell r="A261" t="str">
            <v>7L07</v>
          </cell>
          <cell r="B261" t="str">
            <v xml:space="preserve">Gibbs &amp; Cox, Inc.                                 </v>
          </cell>
          <cell r="C261" t="str">
            <v/>
          </cell>
          <cell r="D261" t="str">
            <v>Keefer</v>
          </cell>
          <cell r="E261" t="str">
            <v>Anderson</v>
          </cell>
          <cell r="F261" t="str">
            <v>01</v>
          </cell>
          <cell r="G261" t="str">
            <v/>
          </cell>
          <cell r="H261" t="str">
            <v/>
          </cell>
          <cell r="I261" t="str">
            <v/>
          </cell>
          <cell r="J261" t="str">
            <v/>
          </cell>
          <cell r="K261" t="str">
            <v/>
          </cell>
          <cell r="L261" t="str">
            <v>Fully</v>
          </cell>
          <cell r="M261" t="str">
            <v>Warren</v>
          </cell>
          <cell r="N261" t="str">
            <v/>
          </cell>
          <cell r="O261" t="str">
            <v>09</v>
          </cell>
          <cell r="P261" t="str">
            <v/>
          </cell>
          <cell r="Q261" t="str">
            <v/>
          </cell>
          <cell r="R261" t="str">
            <v>VA</v>
          </cell>
          <cell r="S261">
            <v>50000</v>
          </cell>
          <cell r="T261" t="str">
            <v>PPO PPO Rx</v>
          </cell>
          <cell r="U261" t="str">
            <v>BFF6</v>
          </cell>
          <cell r="V261" t="str">
            <v>Y</v>
          </cell>
          <cell r="W261" t="str">
            <v>1/1/2005</v>
          </cell>
          <cell r="X261">
            <v>1</v>
          </cell>
        </row>
        <row r="262">
          <cell r="A262" t="str">
            <v>3L06</v>
          </cell>
          <cell r="B262" t="str">
            <v xml:space="preserve">Gilbert Heintz &amp; Randolph LLP                     </v>
          </cell>
          <cell r="C262" t="str">
            <v/>
          </cell>
          <cell r="D262" t="str">
            <v>McCourt</v>
          </cell>
          <cell r="E262" t="str">
            <v>Slack</v>
          </cell>
          <cell r="F262" t="str">
            <v>01</v>
          </cell>
          <cell r="G262" t="str">
            <v>N</v>
          </cell>
          <cell r="H262" t="str">
            <v/>
          </cell>
          <cell r="I262" t="str">
            <v>N</v>
          </cell>
          <cell r="J262" t="str">
            <v>Rates</v>
          </cell>
          <cell r="K262" t="str">
            <v/>
          </cell>
          <cell r="L262" t="str">
            <v>Fully</v>
          </cell>
          <cell r="M262" t="str">
            <v>Dodds</v>
          </cell>
          <cell r="N262" t="str">
            <v/>
          </cell>
          <cell r="O262" t="str">
            <v>09</v>
          </cell>
          <cell r="P262" t="str">
            <v>Slack</v>
          </cell>
          <cell r="Q262" t="str">
            <v/>
          </cell>
          <cell r="R262" t="str">
            <v>DC</v>
          </cell>
          <cell r="S262">
            <v>50000</v>
          </cell>
          <cell r="T262" t="str">
            <v>PPO</v>
          </cell>
          <cell r="U262" t="str">
            <v>BFF5</v>
          </cell>
          <cell r="V262" t="str">
            <v/>
          </cell>
          <cell r="W262" t="str">
            <v/>
          </cell>
          <cell r="X262">
            <v>1</v>
          </cell>
        </row>
        <row r="263">
          <cell r="A263" t="str">
            <v>3M24</v>
          </cell>
          <cell r="B263" t="str">
            <v>Gilford Corporation</v>
          </cell>
          <cell r="C263" t="str">
            <v/>
          </cell>
          <cell r="D263" t="str">
            <v>McCourt</v>
          </cell>
          <cell r="E263" t="str">
            <v>Quade</v>
          </cell>
          <cell r="F263" t="str">
            <v>07</v>
          </cell>
          <cell r="G263" t="str">
            <v>N</v>
          </cell>
          <cell r="H263" t="str">
            <v/>
          </cell>
          <cell r="I263" t="str">
            <v>N</v>
          </cell>
          <cell r="J263" t="str">
            <v>Rates</v>
          </cell>
          <cell r="K263" t="str">
            <v/>
          </cell>
          <cell r="L263" t="str">
            <v>Fully</v>
          </cell>
          <cell r="M263" t="str">
            <v>Dodds</v>
          </cell>
          <cell r="N263" t="str">
            <v>0</v>
          </cell>
          <cell r="O263" t="str">
            <v>03</v>
          </cell>
          <cell r="P263" t="str">
            <v>Addy</v>
          </cell>
          <cell r="Q263" t="str">
            <v/>
          </cell>
          <cell r="R263" t="str">
            <v>MD</v>
          </cell>
          <cell r="S263">
            <v>50000</v>
          </cell>
          <cell r="T263" t="str">
            <v>HMO/POS/PPO</v>
          </cell>
          <cell r="U263" t="str">
            <v>BFF5/CFF5</v>
          </cell>
          <cell r="V263" t="str">
            <v/>
          </cell>
          <cell r="W263" t="str">
            <v/>
          </cell>
          <cell r="X263">
            <v>1</v>
          </cell>
        </row>
        <row r="264">
          <cell r="A264" t="str">
            <v>0C9R</v>
          </cell>
          <cell r="B264" t="str">
            <v xml:space="preserve">Girl Scout Council of the Nation's Capital        </v>
          </cell>
          <cell r="C264" t="str">
            <v/>
          </cell>
          <cell r="D264" t="str">
            <v>Keefer</v>
          </cell>
          <cell r="E264" t="str">
            <v>Burba</v>
          </cell>
          <cell r="F264" t="str">
            <v>01</v>
          </cell>
          <cell r="G264" t="str">
            <v>N</v>
          </cell>
          <cell r="H264" t="str">
            <v/>
          </cell>
          <cell r="I264" t="str">
            <v>N</v>
          </cell>
          <cell r="J264" t="str">
            <v>Rates</v>
          </cell>
          <cell r="K264" t="str">
            <v/>
          </cell>
          <cell r="L264" t="str">
            <v>Fully</v>
          </cell>
          <cell r="M264" t="str">
            <v>Cosby</v>
          </cell>
          <cell r="N264" t="str">
            <v/>
          </cell>
          <cell r="O264" t="str">
            <v>09</v>
          </cell>
          <cell r="P264" t="str">
            <v/>
          </cell>
          <cell r="Q264" t="str">
            <v/>
          </cell>
          <cell r="R264" t="str">
            <v>DC</v>
          </cell>
          <cell r="S264">
            <v>50000</v>
          </cell>
          <cell r="T264" t="str">
            <v>POS/HMO</v>
          </cell>
          <cell r="U264" t="str">
            <v>CFF5</v>
          </cell>
          <cell r="V264" t="str">
            <v>Y</v>
          </cell>
          <cell r="W264" t="str">
            <v>1/1/2005</v>
          </cell>
          <cell r="X264">
            <v>1</v>
          </cell>
        </row>
        <row r="265">
          <cell r="A265" t="str">
            <v>BHC1</v>
          </cell>
          <cell r="B265" t="str">
            <v xml:space="preserve">Global Analytic Information Technologies Services </v>
          </cell>
          <cell r="C265" t="str">
            <v/>
          </cell>
          <cell r="D265" t="str">
            <v>Keefer</v>
          </cell>
          <cell r="E265" t="str">
            <v>Burba</v>
          </cell>
          <cell r="F265" t="str">
            <v>01</v>
          </cell>
          <cell r="G265" t="str">
            <v>N</v>
          </cell>
          <cell r="H265" t="str">
            <v/>
          </cell>
          <cell r="I265" t="str">
            <v>N</v>
          </cell>
          <cell r="J265" t="str">
            <v>Rates</v>
          </cell>
          <cell r="K265" t="str">
            <v/>
          </cell>
          <cell r="L265" t="str">
            <v>Fully</v>
          </cell>
          <cell r="M265" t="str">
            <v>Guessford-Kline</v>
          </cell>
          <cell r="N265" t="str">
            <v/>
          </cell>
          <cell r="O265" t="str">
            <v>09</v>
          </cell>
          <cell r="P265" t="str">
            <v/>
          </cell>
          <cell r="Q265" t="str">
            <v/>
          </cell>
          <cell r="R265" t="str">
            <v>VA</v>
          </cell>
          <cell r="S265">
            <v>50000</v>
          </cell>
          <cell r="T265" t="str">
            <v>PPO/HMO</v>
          </cell>
          <cell r="U265" t="str">
            <v>BFF5/CFF5</v>
          </cell>
          <cell r="V265" t="str">
            <v/>
          </cell>
          <cell r="W265" t="str">
            <v/>
          </cell>
          <cell r="X265">
            <v>1</v>
          </cell>
        </row>
        <row r="266">
          <cell r="A266" t="str">
            <v>0EG4</v>
          </cell>
          <cell r="B266" t="str">
            <v xml:space="preserve">Global Express Money Orders, Inc.                 </v>
          </cell>
          <cell r="C266" t="str">
            <v/>
          </cell>
          <cell r="D266" t="str">
            <v>Keefer</v>
          </cell>
          <cell r="E266" t="str">
            <v>Burba</v>
          </cell>
          <cell r="F266" t="str">
            <v>06</v>
          </cell>
          <cell r="G266" t="str">
            <v>N</v>
          </cell>
          <cell r="H266" t="str">
            <v/>
          </cell>
          <cell r="I266" t="str">
            <v>N</v>
          </cell>
          <cell r="J266" t="str">
            <v>Rates</v>
          </cell>
          <cell r="K266" t="str">
            <v/>
          </cell>
          <cell r="L266" t="str">
            <v>Fully</v>
          </cell>
          <cell r="M266" t="str">
            <v>Thomas</v>
          </cell>
          <cell r="N266" t="str">
            <v/>
          </cell>
          <cell r="O266" t="str">
            <v>02</v>
          </cell>
          <cell r="P266" t="str">
            <v/>
          </cell>
          <cell r="Q266" t="str">
            <v/>
          </cell>
          <cell r="R266" t="str">
            <v>MD</v>
          </cell>
          <cell r="S266">
            <v>50000</v>
          </cell>
          <cell r="T266" t="str">
            <v>HMO/OA/PPO</v>
          </cell>
          <cell r="U266" t="str">
            <v>BFF5/CFF5</v>
          </cell>
          <cell r="V266" t="str">
            <v>Y</v>
          </cell>
          <cell r="W266" t="str">
            <v>6/1/2005</v>
          </cell>
          <cell r="X266">
            <v>1</v>
          </cell>
        </row>
        <row r="267">
          <cell r="A267" t="str">
            <v>PM53</v>
          </cell>
          <cell r="B267" t="str">
            <v>Global Securities Information</v>
          </cell>
          <cell r="C267" t="str">
            <v/>
          </cell>
          <cell r="D267" t="str">
            <v>McCourt</v>
          </cell>
          <cell r="E267" t="str">
            <v>Slack</v>
          </cell>
          <cell r="F267" t="str">
            <v>01</v>
          </cell>
          <cell r="G267" t="str">
            <v>N</v>
          </cell>
          <cell r="H267" t="str">
            <v/>
          </cell>
          <cell r="I267" t="str">
            <v>N</v>
          </cell>
          <cell r="J267" t="str">
            <v>Rates</v>
          </cell>
          <cell r="K267" t="str">
            <v/>
          </cell>
          <cell r="L267" t="str">
            <v>Fully</v>
          </cell>
          <cell r="M267" t="str">
            <v>Dodds</v>
          </cell>
          <cell r="N267" t="str">
            <v>0</v>
          </cell>
          <cell r="O267" t="str">
            <v>09</v>
          </cell>
          <cell r="P267" t="str">
            <v>Slack</v>
          </cell>
          <cell r="Q267" t="str">
            <v/>
          </cell>
          <cell r="R267" t="str">
            <v>DC</v>
          </cell>
          <cell r="S267">
            <v>50000</v>
          </cell>
          <cell r="T267" t="str">
            <v>PPO/POS</v>
          </cell>
          <cell r="U267" t="str">
            <v>BFF6</v>
          </cell>
          <cell r="V267" t="str">
            <v/>
          </cell>
          <cell r="W267" t="str">
            <v/>
          </cell>
          <cell r="X267">
            <v>1</v>
          </cell>
        </row>
        <row r="268">
          <cell r="A268" t="str">
            <v>UN85</v>
          </cell>
          <cell r="B268" t="str">
            <v xml:space="preserve">Godwin Corporation                                </v>
          </cell>
          <cell r="C268" t="str">
            <v/>
          </cell>
          <cell r="D268" t="str">
            <v>Keefer</v>
          </cell>
          <cell r="E268" t="str">
            <v>Burba</v>
          </cell>
          <cell r="F268" t="str">
            <v>08</v>
          </cell>
          <cell r="G268" t="str">
            <v>N</v>
          </cell>
          <cell r="H268" t="str">
            <v/>
          </cell>
          <cell r="I268" t="str">
            <v>N</v>
          </cell>
          <cell r="J268" t="str">
            <v>Rates</v>
          </cell>
          <cell r="K268" t="str">
            <v/>
          </cell>
          <cell r="L268" t="str">
            <v>Fully</v>
          </cell>
          <cell r="M268" t="str">
            <v>Swears</v>
          </cell>
          <cell r="N268" t="str">
            <v/>
          </cell>
          <cell r="O268" t="str">
            <v>04</v>
          </cell>
          <cell r="P268" t="str">
            <v/>
          </cell>
          <cell r="Q268" t="str">
            <v/>
          </cell>
          <cell r="R268" t="str">
            <v>MD</v>
          </cell>
          <cell r="S268">
            <v>50000</v>
          </cell>
          <cell r="T268" t="str">
            <v>PPO/HMO/OA</v>
          </cell>
          <cell r="U268" t="str">
            <v>BFF5/CFF5</v>
          </cell>
          <cell r="V268" t="str">
            <v/>
          </cell>
          <cell r="W268" t="str">
            <v/>
          </cell>
          <cell r="X268">
            <v>1</v>
          </cell>
        </row>
        <row r="269">
          <cell r="A269" t="str">
            <v>6T76</v>
          </cell>
          <cell r="B269" t="str">
            <v xml:space="preserve">Goode Trash Removal,Inc                           </v>
          </cell>
          <cell r="C269" t="str">
            <v/>
          </cell>
          <cell r="D269" t="str">
            <v>Keefer</v>
          </cell>
          <cell r="E269" t="str">
            <v>Johnson</v>
          </cell>
          <cell r="F269" t="str">
            <v>12</v>
          </cell>
          <cell r="G269" t="str">
            <v>N</v>
          </cell>
          <cell r="H269" t="str">
            <v/>
          </cell>
          <cell r="I269" t="str">
            <v>N</v>
          </cell>
          <cell r="J269" t="str">
            <v>Rates</v>
          </cell>
          <cell r="K269" t="str">
            <v/>
          </cell>
          <cell r="L269" t="str">
            <v>Fully</v>
          </cell>
          <cell r="M269" t="str">
            <v>Dodds</v>
          </cell>
          <cell r="N269" t="str">
            <v/>
          </cell>
          <cell r="O269" t="str">
            <v>08</v>
          </cell>
          <cell r="P269" t="str">
            <v/>
          </cell>
          <cell r="Q269" t="str">
            <v/>
          </cell>
          <cell r="R269" t="str">
            <v>MD</v>
          </cell>
          <cell r="S269">
            <v>50000</v>
          </cell>
          <cell r="T269" t="str">
            <v>PPO/OA/HMO</v>
          </cell>
          <cell r="U269" t="str">
            <v>BFF5/CFF5</v>
          </cell>
          <cell r="V269" t="str">
            <v/>
          </cell>
          <cell r="W269" t="str">
            <v/>
          </cell>
          <cell r="X269">
            <v>1</v>
          </cell>
        </row>
        <row r="270">
          <cell r="A270" t="str">
            <v>7G03</v>
          </cell>
          <cell r="B270" t="str">
            <v>Goodwin House, Inc.</v>
          </cell>
          <cell r="C270" t="str">
            <v/>
          </cell>
          <cell r="D270" t="str">
            <v>Keefer</v>
          </cell>
          <cell r="E270" t="str">
            <v>Taylor</v>
          </cell>
          <cell r="F270" t="str">
            <v>10</v>
          </cell>
          <cell r="G270" t="str">
            <v/>
          </cell>
          <cell r="H270" t="str">
            <v>N</v>
          </cell>
          <cell r="I270" t="str">
            <v/>
          </cell>
          <cell r="J270" t="str">
            <v>Rates</v>
          </cell>
          <cell r="K270" t="str">
            <v/>
          </cell>
          <cell r="L270" t="str">
            <v>Fully</v>
          </cell>
          <cell r="M270" t="str">
            <v>Bradshaw</v>
          </cell>
          <cell r="N270" t="str">
            <v/>
          </cell>
          <cell r="O270" t="str">
            <v>06</v>
          </cell>
          <cell r="P270" t="str">
            <v/>
          </cell>
          <cell r="Q270" t="str">
            <v/>
          </cell>
          <cell r="R270" t="str">
            <v>VA</v>
          </cell>
          <cell r="S270">
            <v>0</v>
          </cell>
          <cell r="T270" t="str">
            <v>Dental Only</v>
          </cell>
          <cell r="U270" t="str">
            <v>BFF7</v>
          </cell>
          <cell r="V270" t="str">
            <v/>
          </cell>
          <cell r="W270" t="str">
            <v/>
          </cell>
          <cell r="X270">
            <v>1</v>
          </cell>
        </row>
        <row r="271">
          <cell r="A271" t="str">
            <v>QJ02</v>
          </cell>
          <cell r="B271" t="str">
            <v>Gordon Contractors, Inc</v>
          </cell>
          <cell r="C271" t="str">
            <v/>
          </cell>
          <cell r="D271" t="str">
            <v>McCourt</v>
          </cell>
          <cell r="E271" t="str">
            <v>Quade</v>
          </cell>
          <cell r="F271" t="str">
            <v>08</v>
          </cell>
          <cell r="G271" t="str">
            <v>N</v>
          </cell>
          <cell r="H271" t="str">
            <v>N</v>
          </cell>
          <cell r="I271" t="str">
            <v>N</v>
          </cell>
          <cell r="J271" t="str">
            <v>Rates</v>
          </cell>
          <cell r="K271" t="str">
            <v/>
          </cell>
          <cell r="L271" t="str">
            <v>Fully</v>
          </cell>
          <cell r="M271" t="str">
            <v>Swears</v>
          </cell>
          <cell r="N271" t="str">
            <v/>
          </cell>
          <cell r="O271" t="str">
            <v>04</v>
          </cell>
          <cell r="P271" t="str">
            <v/>
          </cell>
          <cell r="Q271" t="str">
            <v/>
          </cell>
          <cell r="R271" t="str">
            <v>MD</v>
          </cell>
          <cell r="S271">
            <v>50000</v>
          </cell>
          <cell r="T271" t="str">
            <v>HMO PPO POS Rx</v>
          </cell>
          <cell r="U271" t="str">
            <v>BFF5/CFF5</v>
          </cell>
          <cell r="V271" t="str">
            <v>Y</v>
          </cell>
          <cell r="W271" t="str">
            <v>8/1/2002</v>
          </cell>
          <cell r="X271">
            <v>1</v>
          </cell>
        </row>
        <row r="272">
          <cell r="A272" t="str">
            <v>WE57</v>
          </cell>
          <cell r="B272" t="str">
            <v>Graduate School, USDA</v>
          </cell>
          <cell r="C272" t="str">
            <v/>
          </cell>
          <cell r="D272" t="str">
            <v>Keefer</v>
          </cell>
          <cell r="E272" t="str">
            <v>Taylor</v>
          </cell>
          <cell r="F272" t="str">
            <v>05</v>
          </cell>
          <cell r="G272" t="str">
            <v>N</v>
          </cell>
          <cell r="H272" t="str">
            <v/>
          </cell>
          <cell r="I272" t="str">
            <v>N</v>
          </cell>
          <cell r="J272" t="str">
            <v>Rates</v>
          </cell>
          <cell r="K272" t="str">
            <v/>
          </cell>
          <cell r="L272" t="str">
            <v>Fully</v>
          </cell>
          <cell r="M272" t="str">
            <v>Bradshaw</v>
          </cell>
          <cell r="N272" t="str">
            <v>0</v>
          </cell>
          <cell r="O272" t="str">
            <v>01</v>
          </cell>
          <cell r="P272" t="str">
            <v/>
          </cell>
          <cell r="Q272" t="str">
            <v/>
          </cell>
          <cell r="R272" t="str">
            <v>DC</v>
          </cell>
          <cell r="S272">
            <v>75000</v>
          </cell>
          <cell r="T272" t="str">
            <v>PPO/HMO/POS</v>
          </cell>
          <cell r="U272" t="str">
            <v>BFF7/CFF76</v>
          </cell>
          <cell r="V272" t="str">
            <v/>
          </cell>
          <cell r="W272" t="str">
            <v/>
          </cell>
          <cell r="X272">
            <v>1</v>
          </cell>
        </row>
        <row r="273">
          <cell r="A273" t="str">
            <v>7L10</v>
          </cell>
          <cell r="B273" t="str">
            <v>Grady Management</v>
          </cell>
          <cell r="C273" t="str">
            <v/>
          </cell>
          <cell r="D273" t="str">
            <v>Keefer</v>
          </cell>
          <cell r="E273" t="str">
            <v>Johnson</v>
          </cell>
          <cell r="F273" t="str">
            <v>12</v>
          </cell>
          <cell r="G273" t="str">
            <v>N</v>
          </cell>
          <cell r="H273" t="str">
            <v>N</v>
          </cell>
          <cell r="I273" t="str">
            <v>N</v>
          </cell>
          <cell r="J273" t="str">
            <v>Rates</v>
          </cell>
          <cell r="K273" t="str">
            <v/>
          </cell>
          <cell r="L273" t="str">
            <v>Fully</v>
          </cell>
          <cell r="M273" t="str">
            <v>Medicus</v>
          </cell>
          <cell r="N273" t="str">
            <v/>
          </cell>
          <cell r="O273" t="str">
            <v>08</v>
          </cell>
          <cell r="P273" t="str">
            <v/>
          </cell>
          <cell r="Q273" t="str">
            <v/>
          </cell>
          <cell r="R273" t="str">
            <v>MD</v>
          </cell>
          <cell r="S273">
            <v>75000</v>
          </cell>
          <cell r="T273" t="str">
            <v>HMO, OA, RX, D</v>
          </cell>
          <cell r="U273" t="str">
            <v>CFF7</v>
          </cell>
          <cell r="V273" t="str">
            <v>Y</v>
          </cell>
          <cell r="W273" t="str">
            <v>12/1/2004</v>
          </cell>
          <cell r="X273">
            <v>1</v>
          </cell>
        </row>
        <row r="274">
          <cell r="A274" t="str">
            <v>07TB</v>
          </cell>
          <cell r="B274" t="str">
            <v>Graphic Communications International Union</v>
          </cell>
          <cell r="C274" t="str">
            <v/>
          </cell>
          <cell r="D274" t="str">
            <v>McCourt</v>
          </cell>
          <cell r="E274" t="str">
            <v>Rutkowski</v>
          </cell>
          <cell r="F274" t="str">
            <v>01</v>
          </cell>
          <cell r="G274" t="str">
            <v>N</v>
          </cell>
          <cell r="H274" t="str">
            <v>N</v>
          </cell>
          <cell r="I274" t="str">
            <v>N</v>
          </cell>
          <cell r="J274" t="str">
            <v>CPC Mo</v>
          </cell>
          <cell r="K274" t="str">
            <v>WW</v>
          </cell>
          <cell r="L274" t="str">
            <v>ASO</v>
          </cell>
          <cell r="M274" t="str">
            <v>Phillips</v>
          </cell>
          <cell r="N274" t="str">
            <v>03</v>
          </cell>
          <cell r="O274" t="str">
            <v>09</v>
          </cell>
          <cell r="P274" t="str">
            <v>Rutkowski</v>
          </cell>
          <cell r="Q274" t="str">
            <v>Alves</v>
          </cell>
          <cell r="R274" t="str">
            <v>DC</v>
          </cell>
          <cell r="S274">
            <v>0</v>
          </cell>
          <cell r="T274" t="str">
            <v>PPO</v>
          </cell>
          <cell r="U274" t="str">
            <v>BAD8</v>
          </cell>
          <cell r="V274" t="str">
            <v/>
          </cell>
          <cell r="W274" t="str">
            <v/>
          </cell>
          <cell r="X274">
            <v>1</v>
          </cell>
        </row>
        <row r="275">
          <cell r="A275" t="str">
            <v>4H36</v>
          </cell>
          <cell r="B275" t="str">
            <v>Gray Hawk Systems, Inc</v>
          </cell>
          <cell r="C275" t="str">
            <v/>
          </cell>
          <cell r="D275" t="str">
            <v>McCourt</v>
          </cell>
          <cell r="E275" t="str">
            <v>Rutkowski</v>
          </cell>
          <cell r="F275" t="str">
            <v>09</v>
          </cell>
          <cell r="G275" t="str">
            <v>N</v>
          </cell>
          <cell r="H275" t="str">
            <v/>
          </cell>
          <cell r="I275" t="str">
            <v>N</v>
          </cell>
          <cell r="J275" t="str">
            <v>Rates</v>
          </cell>
          <cell r="K275" t="str">
            <v/>
          </cell>
          <cell r="L275" t="str">
            <v>Fully</v>
          </cell>
          <cell r="M275" t="str">
            <v>Engel</v>
          </cell>
          <cell r="N275" t="str">
            <v>0</v>
          </cell>
          <cell r="O275" t="str">
            <v>05</v>
          </cell>
          <cell r="P275" t="str">
            <v>Rutkowski</v>
          </cell>
          <cell r="Q275" t="str">
            <v/>
          </cell>
          <cell r="R275" t="str">
            <v>VA</v>
          </cell>
          <cell r="S275">
            <v>75000</v>
          </cell>
          <cell r="T275" t="str">
            <v>PPO</v>
          </cell>
          <cell r="U275" t="str">
            <v>BFF7</v>
          </cell>
          <cell r="V275" t="str">
            <v/>
          </cell>
          <cell r="W275" t="str">
            <v/>
          </cell>
          <cell r="X275">
            <v>1</v>
          </cell>
        </row>
        <row r="276">
          <cell r="A276" t="str">
            <v>TV52</v>
          </cell>
          <cell r="B276" t="str">
            <v>Great American Restaurants</v>
          </cell>
          <cell r="C276" t="str">
            <v/>
          </cell>
          <cell r="D276" t="str">
            <v>McCourt</v>
          </cell>
          <cell r="E276" t="str">
            <v>Quade</v>
          </cell>
          <cell r="F276" t="str">
            <v>12</v>
          </cell>
          <cell r="G276" t="str">
            <v>N</v>
          </cell>
          <cell r="H276" t="str">
            <v>N</v>
          </cell>
          <cell r="I276" t="str">
            <v>N</v>
          </cell>
          <cell r="J276" t="str">
            <v>Rates</v>
          </cell>
          <cell r="K276" t="str">
            <v/>
          </cell>
          <cell r="L276" t="str">
            <v>Fully</v>
          </cell>
          <cell r="M276" t="str">
            <v>Jordan</v>
          </cell>
          <cell r="N276" t="str">
            <v>0</v>
          </cell>
          <cell r="O276" t="str">
            <v>08</v>
          </cell>
          <cell r="P276" t="str">
            <v>King, K.</v>
          </cell>
          <cell r="Q276" t="str">
            <v/>
          </cell>
          <cell r="R276" t="str">
            <v>VA</v>
          </cell>
          <cell r="S276">
            <v>50000</v>
          </cell>
          <cell r="T276" t="str">
            <v>HMO/PPO</v>
          </cell>
          <cell r="U276" t="str">
            <v>BFF7/CFF7</v>
          </cell>
          <cell r="V276" t="str">
            <v/>
          </cell>
          <cell r="W276" t="str">
            <v/>
          </cell>
          <cell r="X276">
            <v>1</v>
          </cell>
        </row>
        <row r="277">
          <cell r="A277" t="str">
            <v>TV40</v>
          </cell>
          <cell r="B277" t="str">
            <v xml:space="preserve">Greater Metropolitan Orthopaedics                 </v>
          </cell>
          <cell r="C277" t="str">
            <v/>
          </cell>
          <cell r="D277" t="str">
            <v>Keefer</v>
          </cell>
          <cell r="E277" t="str">
            <v>Anderson</v>
          </cell>
          <cell r="F277" t="str">
            <v>09</v>
          </cell>
          <cell r="G277" t="str">
            <v>N</v>
          </cell>
          <cell r="H277" t="str">
            <v/>
          </cell>
          <cell r="I277" t="str">
            <v>N</v>
          </cell>
          <cell r="J277" t="str">
            <v>Rates</v>
          </cell>
          <cell r="K277" t="str">
            <v/>
          </cell>
          <cell r="L277" t="str">
            <v>Fully</v>
          </cell>
          <cell r="M277" t="str">
            <v>Savoca</v>
          </cell>
          <cell r="N277" t="str">
            <v/>
          </cell>
          <cell r="O277" t="str">
            <v>05</v>
          </cell>
          <cell r="P277" t="str">
            <v/>
          </cell>
          <cell r="Q277" t="str">
            <v/>
          </cell>
          <cell r="R277" t="str">
            <v>MD</v>
          </cell>
          <cell r="S277">
            <v>50000</v>
          </cell>
          <cell r="T277" t="str">
            <v>PPO HMO POS Rx</v>
          </cell>
          <cell r="U277" t="str">
            <v>BFF5/CFF5</v>
          </cell>
          <cell r="V277" t="str">
            <v>Y</v>
          </cell>
          <cell r="W277" t="str">
            <v>9/1/2002</v>
          </cell>
          <cell r="X277">
            <v>1</v>
          </cell>
        </row>
        <row r="278">
          <cell r="A278" t="str">
            <v>PE15</v>
          </cell>
          <cell r="B278" t="str">
            <v xml:space="preserve">Greenvest, L.C.                                   </v>
          </cell>
          <cell r="C278" t="str">
            <v/>
          </cell>
          <cell r="D278" t="str">
            <v>McCourt</v>
          </cell>
          <cell r="E278" t="str">
            <v>Mugo</v>
          </cell>
          <cell r="F278" t="str">
            <v>06</v>
          </cell>
          <cell r="G278" t="str">
            <v>N</v>
          </cell>
          <cell r="H278" t="str">
            <v/>
          </cell>
          <cell r="I278" t="str">
            <v>N</v>
          </cell>
          <cell r="J278" t="str">
            <v>Rates</v>
          </cell>
          <cell r="K278" t="str">
            <v/>
          </cell>
          <cell r="L278" t="str">
            <v>Fully</v>
          </cell>
          <cell r="M278" t="str">
            <v>Guessford-Kline</v>
          </cell>
          <cell r="N278" t="str">
            <v/>
          </cell>
          <cell r="O278" t="str">
            <v>02</v>
          </cell>
          <cell r="P278" t="str">
            <v/>
          </cell>
          <cell r="Q278" t="str">
            <v/>
          </cell>
          <cell r="R278" t="str">
            <v>VA</v>
          </cell>
          <cell r="S278">
            <v>50000</v>
          </cell>
          <cell r="T278" t="str">
            <v>POS/HMO/PPO</v>
          </cell>
          <cell r="U278" t="str">
            <v>BFF5/CFF5</v>
          </cell>
          <cell r="V278" t="str">
            <v/>
          </cell>
          <cell r="W278" t="str">
            <v/>
          </cell>
          <cell r="X278">
            <v>1</v>
          </cell>
        </row>
        <row r="279">
          <cell r="A279" t="str">
            <v>UR72</v>
          </cell>
          <cell r="B279" t="str">
            <v>Greer,Margolis, Mitchell, Burns &amp; Associates</v>
          </cell>
          <cell r="C279" t="str">
            <v/>
          </cell>
          <cell r="D279" t="str">
            <v>McCourt</v>
          </cell>
          <cell r="E279" t="str">
            <v>Mugo</v>
          </cell>
          <cell r="F279" t="str">
            <v>08</v>
          </cell>
          <cell r="G279" t="str">
            <v>N</v>
          </cell>
          <cell r="H279" t="str">
            <v/>
          </cell>
          <cell r="I279" t="str">
            <v>N</v>
          </cell>
          <cell r="J279" t="str">
            <v>Rates</v>
          </cell>
          <cell r="K279" t="str">
            <v/>
          </cell>
          <cell r="L279" t="str">
            <v>Fully</v>
          </cell>
          <cell r="M279" t="str">
            <v>Guessford-Kline</v>
          </cell>
          <cell r="N279" t="str">
            <v>0</v>
          </cell>
          <cell r="O279" t="str">
            <v>04</v>
          </cell>
          <cell r="P279" t="str">
            <v>Batist</v>
          </cell>
          <cell r="Q279" t="str">
            <v/>
          </cell>
          <cell r="R279" t="str">
            <v>DC</v>
          </cell>
          <cell r="S279">
            <v>50000</v>
          </cell>
          <cell r="T279" t="str">
            <v>HMO/POS/PPO</v>
          </cell>
          <cell r="U279" t="str">
            <v>BFF5/CFF5</v>
          </cell>
          <cell r="V279" t="str">
            <v/>
          </cell>
          <cell r="W279" t="str">
            <v/>
          </cell>
          <cell r="X279">
            <v>1</v>
          </cell>
        </row>
        <row r="280">
          <cell r="A280" t="str">
            <v>TX40</v>
          </cell>
          <cell r="B280" t="str">
            <v xml:space="preserve">Groom Law Group, Chartered                        </v>
          </cell>
          <cell r="C280" t="str">
            <v/>
          </cell>
          <cell r="D280" t="str">
            <v>Keefer</v>
          </cell>
          <cell r="E280" t="str">
            <v>Padrutt</v>
          </cell>
          <cell r="F280" t="str">
            <v>01</v>
          </cell>
          <cell r="G280" t="str">
            <v>N</v>
          </cell>
          <cell r="H280" t="str">
            <v/>
          </cell>
          <cell r="I280" t="str">
            <v>N</v>
          </cell>
          <cell r="J280" t="str">
            <v>Rates</v>
          </cell>
          <cell r="K280" t="str">
            <v/>
          </cell>
          <cell r="L280" t="str">
            <v>Fully</v>
          </cell>
          <cell r="M280" t="str">
            <v>Henton-Davis</v>
          </cell>
          <cell r="N280" t="str">
            <v/>
          </cell>
          <cell r="O280" t="str">
            <v>09</v>
          </cell>
          <cell r="P280" t="str">
            <v>Padrutt</v>
          </cell>
          <cell r="Q280" t="str">
            <v/>
          </cell>
          <cell r="R280" t="str">
            <v>DC</v>
          </cell>
          <cell r="S280">
            <v>50000</v>
          </cell>
          <cell r="T280" t="str">
            <v>HMO/PPO</v>
          </cell>
          <cell r="U280" t="str">
            <v>BFF5/CFF5</v>
          </cell>
          <cell r="V280" t="str">
            <v/>
          </cell>
          <cell r="W280" t="str">
            <v/>
          </cell>
          <cell r="X280">
            <v>1</v>
          </cell>
        </row>
        <row r="281">
          <cell r="A281" t="str">
            <v>UX66</v>
          </cell>
          <cell r="B281" t="str">
            <v>Group 1 Software</v>
          </cell>
          <cell r="C281" t="str">
            <v/>
          </cell>
          <cell r="D281" t="str">
            <v>McCourt</v>
          </cell>
          <cell r="E281" t="str">
            <v>Slack</v>
          </cell>
          <cell r="F281" t="str">
            <v>11</v>
          </cell>
          <cell r="G281" t="str">
            <v>N</v>
          </cell>
          <cell r="H281" t="str">
            <v>N</v>
          </cell>
          <cell r="I281" t="str">
            <v>N</v>
          </cell>
          <cell r="J281" t="str">
            <v>Rates</v>
          </cell>
          <cell r="K281" t="str">
            <v/>
          </cell>
          <cell r="L281" t="str">
            <v>Fully</v>
          </cell>
          <cell r="M281" t="str">
            <v>Engel</v>
          </cell>
          <cell r="N281" t="str">
            <v>0</v>
          </cell>
          <cell r="O281" t="str">
            <v>07</v>
          </cell>
          <cell r="P281" t="str">
            <v>Slack</v>
          </cell>
          <cell r="Q281" t="str">
            <v/>
          </cell>
          <cell r="R281" t="str">
            <v>MD</v>
          </cell>
          <cell r="S281">
            <v>50000</v>
          </cell>
          <cell r="T281" t="str">
            <v>PPO/POS/HMO</v>
          </cell>
          <cell r="U281" t="str">
            <v>CFF7</v>
          </cell>
          <cell r="V281" t="str">
            <v/>
          </cell>
          <cell r="W281" t="str">
            <v/>
          </cell>
          <cell r="X281">
            <v>1</v>
          </cell>
        </row>
        <row r="282">
          <cell r="A282" t="str">
            <v>UC37</v>
          </cell>
          <cell r="B282" t="str">
            <v xml:space="preserve">Group Decision Support Systems, Inc.              </v>
          </cell>
          <cell r="C282" t="str">
            <v/>
          </cell>
          <cell r="D282" t="str">
            <v>McCourt</v>
          </cell>
          <cell r="E282" t="str">
            <v>Quade</v>
          </cell>
          <cell r="F282" t="str">
            <v>02</v>
          </cell>
          <cell r="G282" t="str">
            <v>N</v>
          </cell>
          <cell r="H282" t="str">
            <v/>
          </cell>
          <cell r="I282" t="str">
            <v>N</v>
          </cell>
          <cell r="J282" t="str">
            <v>Rates</v>
          </cell>
          <cell r="K282" t="str">
            <v/>
          </cell>
          <cell r="L282" t="str">
            <v>Fully</v>
          </cell>
          <cell r="M282" t="str">
            <v>Swears</v>
          </cell>
          <cell r="N282" t="str">
            <v/>
          </cell>
          <cell r="O282" t="str">
            <v>10</v>
          </cell>
          <cell r="P282" t="str">
            <v/>
          </cell>
          <cell r="Q282" t="str">
            <v/>
          </cell>
          <cell r="R282" t="str">
            <v>DC</v>
          </cell>
          <cell r="S282">
            <v>50000</v>
          </cell>
          <cell r="T282" t="str">
            <v>PPO/HMO</v>
          </cell>
          <cell r="U282" t="str">
            <v>BFF5/CFF5</v>
          </cell>
          <cell r="V282" t="str">
            <v/>
          </cell>
          <cell r="W282" t="str">
            <v/>
          </cell>
          <cell r="X282">
            <v>1</v>
          </cell>
        </row>
        <row r="283">
          <cell r="A283" t="str">
            <v>7L36</v>
          </cell>
          <cell r="B283" t="str">
            <v>Gryphon Technologies</v>
          </cell>
          <cell r="C283" t="str">
            <v/>
          </cell>
          <cell r="D283" t="str">
            <v>Keefer</v>
          </cell>
          <cell r="E283" t="str">
            <v>Johnson</v>
          </cell>
          <cell r="F283" t="str">
            <v>01</v>
          </cell>
          <cell r="G283" t="str">
            <v>N</v>
          </cell>
          <cell r="H283" t="str">
            <v>N</v>
          </cell>
          <cell r="I283" t="str">
            <v>N</v>
          </cell>
          <cell r="J283" t="str">
            <v>Rates</v>
          </cell>
          <cell r="K283" t="str">
            <v/>
          </cell>
          <cell r="L283" t="str">
            <v>Fully</v>
          </cell>
          <cell r="M283" t="str">
            <v>Wise</v>
          </cell>
          <cell r="N283" t="str">
            <v/>
          </cell>
          <cell r="O283" t="str">
            <v>09</v>
          </cell>
          <cell r="P283" t="str">
            <v/>
          </cell>
          <cell r="Q283" t="str">
            <v/>
          </cell>
          <cell r="R283" t="str">
            <v>MD</v>
          </cell>
          <cell r="S283">
            <v>50000</v>
          </cell>
          <cell r="T283" t="str">
            <v>PPO</v>
          </cell>
          <cell r="U283" t="str">
            <v>BFF6</v>
          </cell>
          <cell r="V283" t="str">
            <v>Y</v>
          </cell>
          <cell r="W283" t="str">
            <v>1/1/2005</v>
          </cell>
          <cell r="X283">
            <v>1</v>
          </cell>
        </row>
        <row r="284">
          <cell r="A284" t="str">
            <v>6J07</v>
          </cell>
          <cell r="B284" t="str">
            <v xml:space="preserve">Guidance Residential, LLC                         </v>
          </cell>
          <cell r="C284" t="str">
            <v/>
          </cell>
          <cell r="D284" t="str">
            <v>Keefer</v>
          </cell>
          <cell r="E284" t="str">
            <v>LaTouche</v>
          </cell>
          <cell r="F284" t="str">
            <v>01</v>
          </cell>
          <cell r="G284" t="str">
            <v>N</v>
          </cell>
          <cell r="H284" t="str">
            <v/>
          </cell>
          <cell r="I284" t="str">
            <v>N</v>
          </cell>
          <cell r="J284" t="str">
            <v>Rates</v>
          </cell>
          <cell r="K284" t="str">
            <v/>
          </cell>
          <cell r="L284" t="str">
            <v>Fully</v>
          </cell>
          <cell r="M284" t="str">
            <v>Dodds</v>
          </cell>
          <cell r="N284" t="str">
            <v/>
          </cell>
          <cell r="O284" t="str">
            <v>09</v>
          </cell>
          <cell r="P284" t="str">
            <v>LaTouche</v>
          </cell>
          <cell r="Q284" t="str">
            <v/>
          </cell>
          <cell r="R284" t="str">
            <v>VA</v>
          </cell>
          <cell r="S284">
            <v>50000</v>
          </cell>
          <cell r="T284" t="str">
            <v>PPO/HMO/OA</v>
          </cell>
          <cell r="U284" t="str">
            <v>BFF5/CFF5</v>
          </cell>
          <cell r="V284" t="str">
            <v/>
          </cell>
          <cell r="W284" t="str">
            <v/>
          </cell>
          <cell r="X284">
            <v>1</v>
          </cell>
        </row>
        <row r="285">
          <cell r="A285" t="str">
            <v>4L37</v>
          </cell>
          <cell r="B285" t="str">
            <v>Halle Enterprises/Comar Mgmt, Inc.</v>
          </cell>
          <cell r="C285" t="str">
            <v/>
          </cell>
          <cell r="D285" t="str">
            <v>McCourt</v>
          </cell>
          <cell r="E285" t="str">
            <v>Rutkowski</v>
          </cell>
          <cell r="F285" t="str">
            <v>07</v>
          </cell>
          <cell r="G285" t="str">
            <v>N</v>
          </cell>
          <cell r="H285" t="str">
            <v/>
          </cell>
          <cell r="I285" t="str">
            <v>N</v>
          </cell>
          <cell r="J285" t="str">
            <v>Rates</v>
          </cell>
          <cell r="K285" t="str">
            <v/>
          </cell>
          <cell r="L285" t="str">
            <v>Fully</v>
          </cell>
          <cell r="M285" t="str">
            <v>Dodds</v>
          </cell>
          <cell r="N285" t="str">
            <v>0</v>
          </cell>
          <cell r="O285" t="str">
            <v>03</v>
          </cell>
          <cell r="P285" t="str">
            <v>Rutkowski</v>
          </cell>
          <cell r="Q285" t="str">
            <v/>
          </cell>
          <cell r="R285" t="str">
            <v>MD</v>
          </cell>
          <cell r="S285">
            <v>50000</v>
          </cell>
          <cell r="T285" t="str">
            <v>PPO</v>
          </cell>
          <cell r="U285" t="str">
            <v>BFF5</v>
          </cell>
          <cell r="V285" t="str">
            <v/>
          </cell>
          <cell r="W285" t="str">
            <v/>
          </cell>
          <cell r="X285">
            <v>1</v>
          </cell>
        </row>
        <row r="286">
          <cell r="A286" t="str">
            <v>TR56</v>
          </cell>
          <cell r="B286" t="str">
            <v xml:space="preserve">Handysoft Corp.                                   </v>
          </cell>
          <cell r="C286" t="str">
            <v/>
          </cell>
          <cell r="D286" t="str">
            <v>Keefer</v>
          </cell>
          <cell r="E286" t="str">
            <v>Anderson</v>
          </cell>
          <cell r="F286" t="str">
            <v>01</v>
          </cell>
          <cell r="G286" t="str">
            <v>N</v>
          </cell>
          <cell r="H286" t="str">
            <v/>
          </cell>
          <cell r="I286" t="str">
            <v>N</v>
          </cell>
          <cell r="J286" t="str">
            <v>Rates</v>
          </cell>
          <cell r="K286" t="str">
            <v/>
          </cell>
          <cell r="L286" t="str">
            <v>Fully</v>
          </cell>
          <cell r="M286" t="str">
            <v>Swears</v>
          </cell>
          <cell r="N286" t="str">
            <v/>
          </cell>
          <cell r="O286" t="str">
            <v>09</v>
          </cell>
          <cell r="P286" t="str">
            <v/>
          </cell>
          <cell r="Q286" t="str">
            <v/>
          </cell>
          <cell r="R286" t="str">
            <v>VA</v>
          </cell>
          <cell r="S286">
            <v>50000</v>
          </cell>
          <cell r="T286" t="str">
            <v>PPO HMO</v>
          </cell>
          <cell r="U286" t="str">
            <v>BFF5/CFF5</v>
          </cell>
          <cell r="V286" t="str">
            <v/>
          </cell>
          <cell r="W286" t="str">
            <v/>
          </cell>
          <cell r="X286">
            <v>1</v>
          </cell>
        </row>
        <row r="287">
          <cell r="A287" t="str">
            <v>MR31</v>
          </cell>
          <cell r="B287" t="str">
            <v>Harris Corporation</v>
          </cell>
          <cell r="C287" t="str">
            <v/>
          </cell>
          <cell r="D287" t="str">
            <v>Keefer</v>
          </cell>
          <cell r="E287" t="str">
            <v>Anderson</v>
          </cell>
          <cell r="F287" t="str">
            <v>01</v>
          </cell>
          <cell r="G287" t="str">
            <v>N</v>
          </cell>
          <cell r="H287" t="str">
            <v/>
          </cell>
          <cell r="I287" t="str">
            <v>N</v>
          </cell>
          <cell r="J287" t="str">
            <v>Rates</v>
          </cell>
          <cell r="K287" t="str">
            <v/>
          </cell>
          <cell r="L287" t="str">
            <v>Fully</v>
          </cell>
          <cell r="M287" t="str">
            <v>Wise</v>
          </cell>
          <cell r="N287" t="str">
            <v>0</v>
          </cell>
          <cell r="O287" t="str">
            <v>08</v>
          </cell>
          <cell r="P287" t="str">
            <v>Ryan</v>
          </cell>
          <cell r="Q287" t="str">
            <v/>
          </cell>
          <cell r="R287" t="str">
            <v>VA</v>
          </cell>
          <cell r="S287">
            <v>50000</v>
          </cell>
          <cell r="T287" t="str">
            <v>HMO Rx</v>
          </cell>
          <cell r="U287" t="str">
            <v>CFF5</v>
          </cell>
          <cell r="V287" t="str">
            <v/>
          </cell>
          <cell r="W287" t="str">
            <v/>
          </cell>
          <cell r="X287">
            <v>1</v>
          </cell>
        </row>
        <row r="288">
          <cell r="A288" t="str">
            <v>MR42</v>
          </cell>
          <cell r="B288" t="str">
            <v>Hartwood Foundation, Inc.</v>
          </cell>
          <cell r="C288" t="str">
            <v/>
          </cell>
          <cell r="D288" t="str">
            <v>Keefer</v>
          </cell>
          <cell r="E288" t="str">
            <v>Newman</v>
          </cell>
          <cell r="F288" t="str">
            <v>01</v>
          </cell>
          <cell r="G288" t="str">
            <v>N</v>
          </cell>
          <cell r="H288" t="str">
            <v>N</v>
          </cell>
          <cell r="I288" t="str">
            <v>N</v>
          </cell>
          <cell r="J288" t="str">
            <v>Rates</v>
          </cell>
          <cell r="K288" t="str">
            <v/>
          </cell>
          <cell r="L288" t="str">
            <v>Fully</v>
          </cell>
          <cell r="M288" t="str">
            <v>Dodds</v>
          </cell>
          <cell r="N288" t="str">
            <v>0</v>
          </cell>
          <cell r="O288" t="str">
            <v>09</v>
          </cell>
          <cell r="P288" t="str">
            <v>King, R.</v>
          </cell>
          <cell r="Q288" t="str">
            <v/>
          </cell>
          <cell r="R288" t="str">
            <v>VA</v>
          </cell>
          <cell r="S288">
            <v>50000</v>
          </cell>
          <cell r="T288" t="str">
            <v>HMO</v>
          </cell>
          <cell r="U288" t="str">
            <v>CFF5</v>
          </cell>
          <cell r="V288" t="str">
            <v/>
          </cell>
          <cell r="W288" t="str">
            <v/>
          </cell>
          <cell r="X288">
            <v>1</v>
          </cell>
        </row>
        <row r="289">
          <cell r="A289" t="str">
            <v>0EFT</v>
          </cell>
          <cell r="B289" t="str">
            <v xml:space="preserve">Hawk One Secuirty, Inc.                           </v>
          </cell>
          <cell r="C289" t="str">
            <v/>
          </cell>
          <cell r="D289" t="str">
            <v>Keefer</v>
          </cell>
          <cell r="E289" t="str">
            <v>Burba</v>
          </cell>
          <cell r="F289" t="str">
            <v>03</v>
          </cell>
          <cell r="G289" t="str">
            <v>N</v>
          </cell>
          <cell r="H289" t="str">
            <v/>
          </cell>
          <cell r="I289" t="str">
            <v>N</v>
          </cell>
          <cell r="J289" t="str">
            <v>Rates</v>
          </cell>
          <cell r="K289" t="str">
            <v/>
          </cell>
          <cell r="L289" t="str">
            <v>Fully</v>
          </cell>
          <cell r="M289" t="str">
            <v>Thomas</v>
          </cell>
          <cell r="N289" t="str">
            <v/>
          </cell>
          <cell r="O289" t="str">
            <v>11</v>
          </cell>
          <cell r="P289" t="str">
            <v/>
          </cell>
          <cell r="Q289" t="str">
            <v/>
          </cell>
          <cell r="R289" t="str">
            <v>DC</v>
          </cell>
          <cell r="S289">
            <v>50000</v>
          </cell>
          <cell r="T289" t="str">
            <v>PPO/POS/HMO</v>
          </cell>
          <cell r="U289" t="str">
            <v>BFF5/CFF5</v>
          </cell>
          <cell r="V289" t="str">
            <v>Y</v>
          </cell>
          <cell r="W289" t="str">
            <v>3/1/2005</v>
          </cell>
          <cell r="X289">
            <v>1</v>
          </cell>
        </row>
        <row r="290">
          <cell r="A290" t="str">
            <v>PK05</v>
          </cell>
          <cell r="B290" t="str">
            <v>Health Care Management Group, LLC (The)</v>
          </cell>
          <cell r="C290" t="str">
            <v/>
          </cell>
          <cell r="D290" t="str">
            <v>McCourt</v>
          </cell>
          <cell r="E290" t="str">
            <v>Quade</v>
          </cell>
          <cell r="F290" t="str">
            <v>10</v>
          </cell>
          <cell r="G290" t="str">
            <v>N</v>
          </cell>
          <cell r="H290" t="str">
            <v>N</v>
          </cell>
          <cell r="I290" t="str">
            <v>N</v>
          </cell>
          <cell r="J290" t="str">
            <v>Rates</v>
          </cell>
          <cell r="K290" t="str">
            <v/>
          </cell>
          <cell r="L290" t="str">
            <v>Fully</v>
          </cell>
          <cell r="M290" t="str">
            <v>Wise</v>
          </cell>
          <cell r="N290" t="str">
            <v>0</v>
          </cell>
          <cell r="O290" t="str">
            <v>06</v>
          </cell>
          <cell r="P290" t="str">
            <v>King, K.</v>
          </cell>
          <cell r="Q290" t="str">
            <v/>
          </cell>
          <cell r="R290" t="str">
            <v>MD</v>
          </cell>
          <cell r="S290">
            <v>50000</v>
          </cell>
          <cell r="T290" t="str">
            <v>HMO/PPO</v>
          </cell>
          <cell r="U290" t="str">
            <v>BFF5/CFF5</v>
          </cell>
          <cell r="V290" t="str">
            <v/>
          </cell>
          <cell r="W290" t="str">
            <v/>
          </cell>
          <cell r="X290">
            <v>1</v>
          </cell>
        </row>
        <row r="291">
          <cell r="A291" t="str">
            <v>QR27</v>
          </cell>
          <cell r="B291" t="str">
            <v xml:space="preserve">Hearts and Homes for Youth, Inc.                  </v>
          </cell>
          <cell r="C291" t="str">
            <v/>
          </cell>
          <cell r="D291" t="str">
            <v>Keefer</v>
          </cell>
          <cell r="E291" t="str">
            <v>Burba</v>
          </cell>
          <cell r="F291" t="str">
            <v>08</v>
          </cell>
          <cell r="G291" t="str">
            <v>N</v>
          </cell>
          <cell r="H291" t="str">
            <v/>
          </cell>
          <cell r="I291" t="str">
            <v>N</v>
          </cell>
          <cell r="J291" t="str">
            <v>Rates</v>
          </cell>
          <cell r="K291" t="str">
            <v/>
          </cell>
          <cell r="L291" t="str">
            <v>Fully</v>
          </cell>
          <cell r="M291" t="str">
            <v>Wise</v>
          </cell>
          <cell r="N291" t="str">
            <v/>
          </cell>
          <cell r="O291" t="str">
            <v>04</v>
          </cell>
          <cell r="P291" t="str">
            <v/>
          </cell>
          <cell r="Q291" t="str">
            <v/>
          </cell>
          <cell r="R291" t="str">
            <v>MD</v>
          </cell>
          <cell r="S291">
            <v>50000</v>
          </cell>
          <cell r="T291" t="str">
            <v>POS/OA/HMO</v>
          </cell>
          <cell r="U291" t="str">
            <v>CFF5</v>
          </cell>
          <cell r="V291" t="str">
            <v>Y</v>
          </cell>
          <cell r="W291" t="str">
            <v>8/1/2004</v>
          </cell>
          <cell r="X291">
            <v>1</v>
          </cell>
        </row>
        <row r="292">
          <cell r="A292" t="str">
            <v>4S92</v>
          </cell>
          <cell r="B292" t="str">
            <v>Heights (The)</v>
          </cell>
          <cell r="C292" t="str">
            <v/>
          </cell>
          <cell r="D292" t="str">
            <v>Keefer</v>
          </cell>
          <cell r="E292" t="str">
            <v>LaTouche</v>
          </cell>
          <cell r="F292" t="str">
            <v>10</v>
          </cell>
          <cell r="G292" t="str">
            <v>N</v>
          </cell>
          <cell r="H292" t="str">
            <v>N</v>
          </cell>
          <cell r="I292" t="str">
            <v>N</v>
          </cell>
          <cell r="J292" t="str">
            <v>Rates</v>
          </cell>
          <cell r="K292" t="str">
            <v/>
          </cell>
          <cell r="L292" t="str">
            <v>Fully</v>
          </cell>
          <cell r="M292" t="str">
            <v>Henton-Davis</v>
          </cell>
          <cell r="N292" t="str">
            <v>0</v>
          </cell>
          <cell r="O292" t="str">
            <v>06</v>
          </cell>
          <cell r="P292" t="str">
            <v>LaTouche</v>
          </cell>
          <cell r="Q292" t="str">
            <v/>
          </cell>
          <cell r="R292" t="str">
            <v>MD</v>
          </cell>
          <cell r="S292">
            <v>50000</v>
          </cell>
          <cell r="T292" t="str">
            <v>HMO/PPO/POS</v>
          </cell>
          <cell r="U292" t="str">
            <v>BFF5/CFF5</v>
          </cell>
          <cell r="V292" t="str">
            <v/>
          </cell>
          <cell r="W292" t="str">
            <v/>
          </cell>
          <cell r="X292">
            <v>1</v>
          </cell>
        </row>
        <row r="293">
          <cell r="A293" t="str">
            <v>C414</v>
          </cell>
          <cell r="B293" t="str">
            <v>Henry M. Jackson</v>
          </cell>
          <cell r="C293" t="str">
            <v/>
          </cell>
          <cell r="D293" t="str">
            <v>Keefer</v>
          </cell>
          <cell r="E293" t="str">
            <v>Taylor</v>
          </cell>
          <cell r="F293" t="str">
            <v>01</v>
          </cell>
          <cell r="G293" t="str">
            <v>Y</v>
          </cell>
          <cell r="H293" t="str">
            <v>N</v>
          </cell>
          <cell r="I293" t="str">
            <v>N</v>
          </cell>
          <cell r="J293" t="str">
            <v>CPC Mo</v>
          </cell>
          <cell r="K293" t="str">
            <v>SW</v>
          </cell>
          <cell r="L293" t="str">
            <v>115%</v>
          </cell>
          <cell r="M293" t="str">
            <v>Patton</v>
          </cell>
          <cell r="N293" t="str">
            <v>3</v>
          </cell>
          <cell r="O293" t="str">
            <v>06</v>
          </cell>
          <cell r="P293" t="str">
            <v>Taylor</v>
          </cell>
          <cell r="Q293" t="str">
            <v>Smith</v>
          </cell>
          <cell r="R293" t="str">
            <v>MD</v>
          </cell>
          <cell r="S293">
            <v>75000</v>
          </cell>
          <cell r="T293" t="str">
            <v>POS</v>
          </cell>
          <cell r="U293" t="str">
            <v>BAB8</v>
          </cell>
          <cell r="V293" t="str">
            <v/>
          </cell>
          <cell r="W293" t="str">
            <v/>
          </cell>
          <cell r="X293">
            <v>1</v>
          </cell>
        </row>
        <row r="294">
          <cell r="A294" t="str">
            <v>0C9Z</v>
          </cell>
          <cell r="B294" t="str">
            <v>Henry's Wrecker Service</v>
          </cell>
          <cell r="C294" t="str">
            <v/>
          </cell>
          <cell r="D294" t="str">
            <v>Keefer</v>
          </cell>
          <cell r="E294" t="str">
            <v>Taylor</v>
          </cell>
          <cell r="F294" t="str">
            <v>05</v>
          </cell>
          <cell r="G294" t="str">
            <v/>
          </cell>
          <cell r="H294" t="str">
            <v/>
          </cell>
          <cell r="I294" t="str">
            <v/>
          </cell>
          <cell r="J294" t="str">
            <v>Rates</v>
          </cell>
          <cell r="K294" t="str">
            <v/>
          </cell>
          <cell r="L294" t="str">
            <v>Fully</v>
          </cell>
          <cell r="M294" t="str">
            <v>Flora</v>
          </cell>
          <cell r="N294" t="str">
            <v/>
          </cell>
          <cell r="O294" t="str">
            <v>01</v>
          </cell>
          <cell r="P294" t="str">
            <v/>
          </cell>
          <cell r="Q294" t="str">
            <v/>
          </cell>
          <cell r="R294" t="str">
            <v>VA</v>
          </cell>
          <cell r="S294">
            <v>50000</v>
          </cell>
          <cell r="T294" t="str">
            <v>HMO PPO OA Rx</v>
          </cell>
          <cell r="U294" t="str">
            <v>BFF5/CFF5</v>
          </cell>
          <cell r="V294" t="str">
            <v>Y</v>
          </cell>
          <cell r="W294" t="str">
            <v>5/1/2005</v>
          </cell>
          <cell r="X294">
            <v>1</v>
          </cell>
        </row>
        <row r="295">
          <cell r="A295" t="str">
            <v>7L43</v>
          </cell>
          <cell r="B295" t="str">
            <v>Hill &amp; Sanders Ford</v>
          </cell>
          <cell r="C295" t="str">
            <v/>
          </cell>
          <cell r="D295" t="str">
            <v>Keefer</v>
          </cell>
          <cell r="E295" t="str">
            <v>Burba</v>
          </cell>
          <cell r="F295" t="str">
            <v>01</v>
          </cell>
          <cell r="G295" t="str">
            <v>N</v>
          </cell>
          <cell r="H295" t="str">
            <v/>
          </cell>
          <cell r="I295" t="str">
            <v>N</v>
          </cell>
          <cell r="J295" t="str">
            <v>Rates</v>
          </cell>
          <cell r="K295" t="str">
            <v/>
          </cell>
          <cell r="L295" t="str">
            <v>Fully</v>
          </cell>
          <cell r="M295" t="str">
            <v>Grabarek</v>
          </cell>
          <cell r="N295" t="str">
            <v/>
          </cell>
          <cell r="O295" t="str">
            <v>09</v>
          </cell>
          <cell r="P295" t="str">
            <v/>
          </cell>
          <cell r="Q295" t="str">
            <v/>
          </cell>
          <cell r="R295" t="str">
            <v>MD</v>
          </cell>
          <cell r="S295">
            <v>0</v>
          </cell>
          <cell r="T295" t="str">
            <v>HMO OA Rx</v>
          </cell>
          <cell r="U295" t="str">
            <v>CFF5</v>
          </cell>
          <cell r="V295" t="str">
            <v>Y</v>
          </cell>
          <cell r="W295" t="str">
            <v>1/1/2005</v>
          </cell>
          <cell r="X295">
            <v>1</v>
          </cell>
        </row>
        <row r="296">
          <cell r="A296" t="str">
            <v>XR47</v>
          </cell>
          <cell r="B296" t="str">
            <v>Hillhaven Assisted Living Nursing &amp; Rehabilitation</v>
          </cell>
          <cell r="C296" t="str">
            <v/>
          </cell>
          <cell r="D296" t="str">
            <v>Keefer</v>
          </cell>
          <cell r="E296" t="str">
            <v>LaTouche</v>
          </cell>
          <cell r="F296" t="str">
            <v>01</v>
          </cell>
          <cell r="G296" t="str">
            <v>N</v>
          </cell>
          <cell r="H296" t="str">
            <v/>
          </cell>
          <cell r="I296" t="str">
            <v>N</v>
          </cell>
          <cell r="J296" t="str">
            <v>Rates</v>
          </cell>
          <cell r="K296" t="str">
            <v/>
          </cell>
          <cell r="L296" t="str">
            <v>Fully</v>
          </cell>
          <cell r="M296" t="str">
            <v>Savoca</v>
          </cell>
          <cell r="N296" t="str">
            <v/>
          </cell>
          <cell r="O296" t="str">
            <v>09</v>
          </cell>
          <cell r="P296" t="str">
            <v>LaTouche</v>
          </cell>
          <cell r="Q296" t="str">
            <v/>
          </cell>
          <cell r="R296" t="str">
            <v>MD</v>
          </cell>
          <cell r="S296">
            <v>50000</v>
          </cell>
          <cell r="T296" t="str">
            <v>HMO</v>
          </cell>
          <cell r="U296" t="str">
            <v>CFF5</v>
          </cell>
          <cell r="V296" t="str">
            <v/>
          </cell>
          <cell r="W296" t="str">
            <v/>
          </cell>
          <cell r="X296">
            <v>1</v>
          </cell>
        </row>
        <row r="297">
          <cell r="A297" t="str">
            <v>CD52</v>
          </cell>
          <cell r="B297" t="str">
            <v>Hillwood Museum</v>
          </cell>
          <cell r="C297" t="str">
            <v/>
          </cell>
          <cell r="D297" t="str">
            <v>Keefer</v>
          </cell>
          <cell r="E297" t="str">
            <v>Newman</v>
          </cell>
          <cell r="F297" t="str">
            <v>02</v>
          </cell>
          <cell r="G297" t="str">
            <v>N</v>
          </cell>
          <cell r="H297" t="str">
            <v/>
          </cell>
          <cell r="I297" t="str">
            <v>N</v>
          </cell>
          <cell r="J297" t="str">
            <v>Rates</v>
          </cell>
          <cell r="K297" t="str">
            <v/>
          </cell>
          <cell r="L297" t="str">
            <v>Fully</v>
          </cell>
          <cell r="M297" t="str">
            <v>Guessford-Kline</v>
          </cell>
          <cell r="N297" t="str">
            <v>0</v>
          </cell>
          <cell r="O297" t="str">
            <v>10</v>
          </cell>
          <cell r="P297" t="str">
            <v>King, R.</v>
          </cell>
          <cell r="Q297" t="str">
            <v/>
          </cell>
          <cell r="R297" t="str">
            <v>DC</v>
          </cell>
          <cell r="S297">
            <v>50000</v>
          </cell>
          <cell r="T297" t="str">
            <v>POS</v>
          </cell>
          <cell r="U297" t="str">
            <v>BFF5</v>
          </cell>
          <cell r="V297" t="str">
            <v/>
          </cell>
          <cell r="W297" t="str">
            <v/>
          </cell>
          <cell r="X297">
            <v>1</v>
          </cell>
        </row>
        <row r="298">
          <cell r="A298" t="str">
            <v>XM83</v>
          </cell>
          <cell r="B298" t="str">
            <v>Hilton Alexandria Old Town</v>
          </cell>
          <cell r="C298" t="str">
            <v/>
          </cell>
          <cell r="D298" t="str">
            <v>McCourt</v>
          </cell>
          <cell r="E298" t="str">
            <v>Quade</v>
          </cell>
          <cell r="F298" t="str">
            <v>12</v>
          </cell>
          <cell r="G298" t="str">
            <v>N</v>
          </cell>
          <cell r="H298" t="str">
            <v/>
          </cell>
          <cell r="I298" t="str">
            <v>N</v>
          </cell>
          <cell r="J298" t="str">
            <v>Rates</v>
          </cell>
          <cell r="K298" t="str">
            <v/>
          </cell>
          <cell r="L298" t="str">
            <v>Fully</v>
          </cell>
          <cell r="M298" t="str">
            <v>Dodds</v>
          </cell>
          <cell r="N298" t="str">
            <v>0</v>
          </cell>
          <cell r="O298" t="str">
            <v>08</v>
          </cell>
          <cell r="P298" t="str">
            <v>King, K.</v>
          </cell>
          <cell r="Q298" t="str">
            <v/>
          </cell>
          <cell r="R298" t="str">
            <v>VA</v>
          </cell>
          <cell r="S298">
            <v>50000</v>
          </cell>
          <cell r="T298" t="str">
            <v>HMO/PPO/POS/Dental</v>
          </cell>
          <cell r="U298" t="str">
            <v>BFF5/CFF5</v>
          </cell>
          <cell r="V298" t="str">
            <v/>
          </cell>
          <cell r="W298" t="str">
            <v/>
          </cell>
          <cell r="X298">
            <v>1</v>
          </cell>
        </row>
        <row r="299">
          <cell r="A299" t="str">
            <v>QR23</v>
          </cell>
          <cell r="B299" t="str">
            <v>Hirschmann Electronics, Inc.</v>
          </cell>
          <cell r="C299" t="str">
            <v/>
          </cell>
          <cell r="D299" t="str">
            <v>McCourt</v>
          </cell>
          <cell r="E299" t="str">
            <v>Slack</v>
          </cell>
          <cell r="F299" t="str">
            <v>08</v>
          </cell>
          <cell r="G299" t="str">
            <v>N</v>
          </cell>
          <cell r="H299" t="str">
            <v>Y</v>
          </cell>
          <cell r="I299" t="str">
            <v>N</v>
          </cell>
          <cell r="J299" t="str">
            <v>Rates</v>
          </cell>
          <cell r="K299" t="str">
            <v/>
          </cell>
          <cell r="L299" t="str">
            <v>Fully</v>
          </cell>
          <cell r="M299" t="str">
            <v>Wise</v>
          </cell>
          <cell r="N299" t="str">
            <v/>
          </cell>
          <cell r="O299" t="str">
            <v>04</v>
          </cell>
          <cell r="P299" t="str">
            <v>Slack</v>
          </cell>
          <cell r="Q299" t="str">
            <v/>
          </cell>
          <cell r="R299" t="str">
            <v>MD</v>
          </cell>
          <cell r="S299">
            <v>0</v>
          </cell>
          <cell r="T299" t="str">
            <v>PPO Dental</v>
          </cell>
          <cell r="U299" t="str">
            <v/>
          </cell>
          <cell r="V299" t="str">
            <v>Y</v>
          </cell>
          <cell r="W299" t="str">
            <v>8/1/2004</v>
          </cell>
          <cell r="X299">
            <v>1</v>
          </cell>
        </row>
        <row r="300">
          <cell r="A300" t="str">
            <v>4Y28</v>
          </cell>
          <cell r="B300" t="str">
            <v>Holton-Arms School</v>
          </cell>
          <cell r="C300" t="str">
            <v/>
          </cell>
          <cell r="D300" t="str">
            <v>McCourt</v>
          </cell>
          <cell r="E300" t="str">
            <v>Quade</v>
          </cell>
          <cell r="F300" t="str">
            <v>11</v>
          </cell>
          <cell r="G300" t="str">
            <v>N</v>
          </cell>
          <cell r="H300" t="str">
            <v/>
          </cell>
          <cell r="I300" t="str">
            <v>N</v>
          </cell>
          <cell r="J300" t="str">
            <v>Rates</v>
          </cell>
          <cell r="K300" t="str">
            <v/>
          </cell>
          <cell r="L300" t="str">
            <v>Fully</v>
          </cell>
          <cell r="M300" t="str">
            <v>Guessford-Kline</v>
          </cell>
          <cell r="N300" t="str">
            <v>0</v>
          </cell>
          <cell r="O300" t="str">
            <v>07</v>
          </cell>
          <cell r="P300" t="str">
            <v>King, K.</v>
          </cell>
          <cell r="Q300" t="str">
            <v/>
          </cell>
          <cell r="R300" t="str">
            <v>MD</v>
          </cell>
          <cell r="S300">
            <v>50000</v>
          </cell>
          <cell r="T300" t="str">
            <v>HMO/POS/PPO</v>
          </cell>
          <cell r="U300" t="str">
            <v>BFF6/CFF6</v>
          </cell>
          <cell r="V300" t="str">
            <v/>
          </cell>
          <cell r="W300" t="str">
            <v/>
          </cell>
          <cell r="X300">
            <v>1</v>
          </cell>
        </row>
        <row r="301">
          <cell r="A301" t="str">
            <v>0EFJ</v>
          </cell>
          <cell r="B301" t="str">
            <v>Horne Engineering Services, Inc.</v>
          </cell>
          <cell r="C301" t="str">
            <v/>
          </cell>
          <cell r="D301" t="str">
            <v>Keefer</v>
          </cell>
          <cell r="E301" t="str">
            <v>Newman</v>
          </cell>
          <cell r="F301" t="str">
            <v>01</v>
          </cell>
          <cell r="G301" t="str">
            <v>N</v>
          </cell>
          <cell r="H301" t="str">
            <v/>
          </cell>
          <cell r="I301" t="str">
            <v>N</v>
          </cell>
          <cell r="J301" t="str">
            <v>Rates</v>
          </cell>
          <cell r="K301" t="str">
            <v/>
          </cell>
          <cell r="L301" t="str">
            <v>Fully</v>
          </cell>
          <cell r="M301" t="str">
            <v>Thomas</v>
          </cell>
          <cell r="N301" t="str">
            <v/>
          </cell>
          <cell r="O301" t="str">
            <v>09</v>
          </cell>
          <cell r="P301" t="str">
            <v/>
          </cell>
          <cell r="Q301" t="str">
            <v/>
          </cell>
          <cell r="R301" t="str">
            <v>VA</v>
          </cell>
          <cell r="S301">
            <v>50000</v>
          </cell>
          <cell r="T301" t="str">
            <v>HMO, PPO, Rx</v>
          </cell>
          <cell r="U301" t="str">
            <v>BFF5/CFF5</v>
          </cell>
          <cell r="V301" t="str">
            <v>Y</v>
          </cell>
          <cell r="W301" t="str">
            <v>1/1/2005</v>
          </cell>
          <cell r="X301">
            <v>1</v>
          </cell>
        </row>
        <row r="302">
          <cell r="A302" t="str">
            <v>7L68</v>
          </cell>
          <cell r="B302" t="str">
            <v xml:space="preserve">Horning Brothers Corporation                      </v>
          </cell>
          <cell r="C302" t="str">
            <v/>
          </cell>
          <cell r="D302" t="str">
            <v>Keefer</v>
          </cell>
          <cell r="E302" t="str">
            <v>Burba</v>
          </cell>
          <cell r="F302" t="str">
            <v>02</v>
          </cell>
          <cell r="G302" t="str">
            <v>N</v>
          </cell>
          <cell r="H302" t="str">
            <v/>
          </cell>
          <cell r="I302" t="str">
            <v>N</v>
          </cell>
          <cell r="J302" t="str">
            <v>Rates</v>
          </cell>
          <cell r="K302" t="str">
            <v/>
          </cell>
          <cell r="L302" t="str">
            <v>Fully</v>
          </cell>
          <cell r="M302" t="str">
            <v>Grabarek</v>
          </cell>
          <cell r="N302" t="str">
            <v/>
          </cell>
          <cell r="O302" t="str">
            <v>11</v>
          </cell>
          <cell r="P302" t="str">
            <v/>
          </cell>
          <cell r="Q302" t="str">
            <v/>
          </cell>
          <cell r="R302" t="str">
            <v>DC</v>
          </cell>
          <cell r="S302">
            <v>50000</v>
          </cell>
          <cell r="T302" t="str">
            <v>PPO/HMO</v>
          </cell>
          <cell r="U302" t="str">
            <v>BFF5/CFF5</v>
          </cell>
          <cell r="V302" t="str">
            <v>Y</v>
          </cell>
          <cell r="W302" t="str">
            <v>2/1/2005</v>
          </cell>
          <cell r="X302">
            <v>1</v>
          </cell>
        </row>
        <row r="303">
          <cell r="A303" t="str">
            <v>6H00</v>
          </cell>
          <cell r="B303" t="str">
            <v xml:space="preserve">House on "F" Street, LLC                          </v>
          </cell>
          <cell r="C303" t="str">
            <v/>
          </cell>
          <cell r="D303" t="str">
            <v>McCourt</v>
          </cell>
          <cell r="E303" t="str">
            <v>Rutkowski</v>
          </cell>
          <cell r="F303" t="str">
            <v>06</v>
          </cell>
          <cell r="G303" t="str">
            <v>N</v>
          </cell>
          <cell r="H303" t="str">
            <v/>
          </cell>
          <cell r="I303" t="str">
            <v>N</v>
          </cell>
          <cell r="J303" t="str">
            <v>Rates</v>
          </cell>
          <cell r="K303" t="str">
            <v/>
          </cell>
          <cell r="L303" t="str">
            <v>Fully</v>
          </cell>
          <cell r="M303" t="str">
            <v>Henton-Davis</v>
          </cell>
          <cell r="N303" t="str">
            <v/>
          </cell>
          <cell r="O303" t="str">
            <v>02</v>
          </cell>
          <cell r="P303" t="str">
            <v>Rutkowski</v>
          </cell>
          <cell r="Q303" t="str">
            <v/>
          </cell>
          <cell r="R303" t="str">
            <v>DC</v>
          </cell>
          <cell r="S303">
            <v>50000</v>
          </cell>
          <cell r="T303" t="str">
            <v>PPO/HMO</v>
          </cell>
          <cell r="U303" t="str">
            <v>BFF5/CFF5</v>
          </cell>
          <cell r="V303" t="str">
            <v/>
          </cell>
          <cell r="W303" t="str">
            <v/>
          </cell>
          <cell r="X303">
            <v>1</v>
          </cell>
        </row>
        <row r="304">
          <cell r="A304" t="str">
            <v>UH77</v>
          </cell>
          <cell r="B304" t="str">
            <v>Howard University (includes 2255 &amp; UH55)</v>
          </cell>
          <cell r="C304" t="str">
            <v/>
          </cell>
          <cell r="D304" t="str">
            <v>Keefer</v>
          </cell>
          <cell r="E304" t="str">
            <v>Johnson</v>
          </cell>
          <cell r="F304" t="str">
            <v>07</v>
          </cell>
          <cell r="G304" t="str">
            <v>N</v>
          </cell>
          <cell r="H304" t="str">
            <v>N</v>
          </cell>
          <cell r="I304" t="str">
            <v>N</v>
          </cell>
          <cell r="J304" t="str">
            <v>CPC Mo</v>
          </cell>
          <cell r="K304" t="str">
            <v>SW</v>
          </cell>
          <cell r="L304" t="str">
            <v>120%</v>
          </cell>
          <cell r="M304" t="str">
            <v>Greenwell</v>
          </cell>
          <cell r="N304" t="str">
            <v>9</v>
          </cell>
          <cell r="O304" t="str">
            <v>03</v>
          </cell>
          <cell r="P304" t="str">
            <v>Keefer</v>
          </cell>
          <cell r="Q304" t="str">
            <v>Alves</v>
          </cell>
          <cell r="R304" t="str">
            <v>DC</v>
          </cell>
          <cell r="S304">
            <v>200000</v>
          </cell>
          <cell r="T304" t="str">
            <v>PPO/HMO/POS</v>
          </cell>
          <cell r="U304" t="str">
            <v>BAB8</v>
          </cell>
          <cell r="V304" t="str">
            <v/>
          </cell>
          <cell r="W304" t="str">
            <v/>
          </cell>
          <cell r="X304">
            <v>1</v>
          </cell>
        </row>
        <row r="305">
          <cell r="A305" t="str">
            <v>7H85</v>
          </cell>
          <cell r="B305" t="str">
            <v>Hughes Software Systems</v>
          </cell>
          <cell r="C305" t="str">
            <v/>
          </cell>
          <cell r="D305" t="str">
            <v>Keefer</v>
          </cell>
          <cell r="E305" t="str">
            <v>Anderson</v>
          </cell>
          <cell r="F305" t="str">
            <v>11</v>
          </cell>
          <cell r="G305" t="str">
            <v/>
          </cell>
          <cell r="H305" t="str">
            <v/>
          </cell>
          <cell r="I305" t="str">
            <v/>
          </cell>
          <cell r="J305" t="str">
            <v>Rates</v>
          </cell>
          <cell r="K305" t="str">
            <v/>
          </cell>
          <cell r="L305" t="str">
            <v>Fully</v>
          </cell>
          <cell r="M305" t="str">
            <v>Housman</v>
          </cell>
          <cell r="N305" t="str">
            <v/>
          </cell>
          <cell r="O305" t="str">
            <v>07</v>
          </cell>
          <cell r="P305" t="str">
            <v/>
          </cell>
          <cell r="Q305" t="str">
            <v/>
          </cell>
          <cell r="R305" t="str">
            <v>MD</v>
          </cell>
          <cell r="S305">
            <v>50000</v>
          </cell>
          <cell r="T305" t="str">
            <v>PPO BVP Rx</v>
          </cell>
          <cell r="U305" t="str">
            <v>BFF5</v>
          </cell>
          <cell r="V305" t="str">
            <v>Y</v>
          </cell>
          <cell r="W305" t="str">
            <v>11/1/2004</v>
          </cell>
          <cell r="X305">
            <v>1</v>
          </cell>
        </row>
        <row r="306">
          <cell r="A306" t="str">
            <v>6T02</v>
          </cell>
          <cell r="B306" t="str">
            <v>Human Rights Campaign</v>
          </cell>
          <cell r="C306" t="str">
            <v/>
          </cell>
          <cell r="D306" t="str">
            <v>Keefer</v>
          </cell>
          <cell r="E306" t="str">
            <v>LaTouche</v>
          </cell>
          <cell r="F306" t="str">
            <v>04</v>
          </cell>
          <cell r="G306" t="str">
            <v>N</v>
          </cell>
          <cell r="H306" t="str">
            <v>N</v>
          </cell>
          <cell r="I306" t="str">
            <v>N</v>
          </cell>
          <cell r="J306" t="str">
            <v>Rates</v>
          </cell>
          <cell r="K306" t="str">
            <v/>
          </cell>
          <cell r="L306" t="str">
            <v>Fully</v>
          </cell>
          <cell r="M306" t="str">
            <v>Dodds</v>
          </cell>
          <cell r="N306" t="str">
            <v>0</v>
          </cell>
          <cell r="O306" t="str">
            <v>12</v>
          </cell>
          <cell r="P306" t="str">
            <v>LaTouche</v>
          </cell>
          <cell r="Q306" t="str">
            <v/>
          </cell>
          <cell r="R306" t="str">
            <v>DC</v>
          </cell>
          <cell r="S306">
            <v>20000</v>
          </cell>
          <cell r="T306" t="str">
            <v>HMO/POS/PPO</v>
          </cell>
          <cell r="U306" t="str">
            <v>BFF5/CFF5</v>
          </cell>
          <cell r="V306" t="str">
            <v>Y</v>
          </cell>
          <cell r="W306" t="str">
            <v>4/1/2002</v>
          </cell>
          <cell r="X306">
            <v>1</v>
          </cell>
        </row>
        <row r="307">
          <cell r="A307" t="str">
            <v>QR14</v>
          </cell>
          <cell r="B307" t="str">
            <v>Humane Society of the United States (The)</v>
          </cell>
          <cell r="C307" t="str">
            <v/>
          </cell>
          <cell r="D307" t="str">
            <v>McCourt</v>
          </cell>
          <cell r="E307" t="str">
            <v>Mugo</v>
          </cell>
          <cell r="F307" t="str">
            <v>01</v>
          </cell>
          <cell r="G307" t="str">
            <v>N</v>
          </cell>
          <cell r="H307" t="str">
            <v/>
          </cell>
          <cell r="I307" t="str">
            <v>N</v>
          </cell>
          <cell r="J307" t="str">
            <v>Rates</v>
          </cell>
          <cell r="K307" t="str">
            <v/>
          </cell>
          <cell r="L307" t="str">
            <v>Fully</v>
          </cell>
          <cell r="M307" t="str">
            <v>Rand</v>
          </cell>
          <cell r="N307" t="str">
            <v/>
          </cell>
          <cell r="O307" t="str">
            <v>09</v>
          </cell>
          <cell r="P307" t="str">
            <v/>
          </cell>
          <cell r="Q307" t="str">
            <v/>
          </cell>
          <cell r="R307" t="str">
            <v>DC</v>
          </cell>
          <cell r="S307">
            <v>0</v>
          </cell>
          <cell r="T307" t="str">
            <v>PPO</v>
          </cell>
          <cell r="U307" t="str">
            <v>BFF7</v>
          </cell>
          <cell r="V307" t="str">
            <v>Y</v>
          </cell>
          <cell r="W307" t="str">
            <v>1/1/2004</v>
          </cell>
          <cell r="X307">
            <v>1</v>
          </cell>
        </row>
        <row r="308">
          <cell r="A308" t="str">
            <v>WE96</v>
          </cell>
          <cell r="B308" t="str">
            <v>HumRRO</v>
          </cell>
          <cell r="C308" t="str">
            <v/>
          </cell>
          <cell r="D308" t="str">
            <v>Keefer</v>
          </cell>
          <cell r="E308" t="str">
            <v>LaTouche</v>
          </cell>
          <cell r="F308" t="str">
            <v>01</v>
          </cell>
          <cell r="G308" t="str">
            <v>N</v>
          </cell>
          <cell r="H308" t="str">
            <v>N</v>
          </cell>
          <cell r="I308" t="str">
            <v>N</v>
          </cell>
          <cell r="J308" t="str">
            <v>Rates</v>
          </cell>
          <cell r="K308" t="str">
            <v/>
          </cell>
          <cell r="L308" t="str">
            <v>Fully</v>
          </cell>
          <cell r="M308" t="str">
            <v>Henton-Davis</v>
          </cell>
          <cell r="N308" t="str">
            <v>0</v>
          </cell>
          <cell r="O308" t="str">
            <v>09</v>
          </cell>
          <cell r="P308" t="str">
            <v>Padrutt</v>
          </cell>
          <cell r="Q308" t="str">
            <v/>
          </cell>
          <cell r="R308" t="str">
            <v>VA</v>
          </cell>
          <cell r="S308">
            <v>50000</v>
          </cell>
          <cell r="T308" t="str">
            <v>PPO/HMO/POS</v>
          </cell>
          <cell r="U308" t="str">
            <v>BFF5/CFF5</v>
          </cell>
          <cell r="V308" t="str">
            <v/>
          </cell>
          <cell r="W308" t="str">
            <v/>
          </cell>
          <cell r="X308">
            <v>1</v>
          </cell>
        </row>
        <row r="309">
          <cell r="A309" t="str">
            <v>QJ58</v>
          </cell>
          <cell r="B309" t="str">
            <v xml:space="preserve">Hyde Leadership Public Charter School             </v>
          </cell>
          <cell r="C309" t="str">
            <v/>
          </cell>
          <cell r="D309" t="str">
            <v>Keefer</v>
          </cell>
          <cell r="E309" t="str">
            <v>Anderson</v>
          </cell>
          <cell r="F309" t="str">
            <v>08</v>
          </cell>
          <cell r="G309" t="str">
            <v>N</v>
          </cell>
          <cell r="H309" t="str">
            <v/>
          </cell>
          <cell r="I309" t="str">
            <v>N</v>
          </cell>
          <cell r="J309" t="str">
            <v>Rates</v>
          </cell>
          <cell r="K309" t="str">
            <v/>
          </cell>
          <cell r="L309" t="str">
            <v>Fully</v>
          </cell>
          <cell r="M309" t="str">
            <v>Henton-Davis</v>
          </cell>
          <cell r="N309" t="str">
            <v/>
          </cell>
          <cell r="O309" t="str">
            <v>03</v>
          </cell>
          <cell r="P309" t="str">
            <v>LaTouche</v>
          </cell>
          <cell r="Q309" t="str">
            <v/>
          </cell>
          <cell r="R309" t="str">
            <v>DC</v>
          </cell>
          <cell r="S309">
            <v>50000</v>
          </cell>
          <cell r="T309" t="str">
            <v>OA Rx</v>
          </cell>
          <cell r="U309" t="str">
            <v>CFF5</v>
          </cell>
          <cell r="V309" t="str">
            <v>Y</v>
          </cell>
          <cell r="W309" t="str">
            <v>7/1/2003</v>
          </cell>
          <cell r="X309">
            <v>1</v>
          </cell>
        </row>
        <row r="310">
          <cell r="A310" t="str">
            <v>BAE9</v>
          </cell>
          <cell r="B310" t="str">
            <v xml:space="preserve">I M Systems Group, Inc.                           </v>
          </cell>
          <cell r="C310" t="str">
            <v/>
          </cell>
          <cell r="D310" t="str">
            <v>McCourt</v>
          </cell>
          <cell r="E310" t="str">
            <v>Quade</v>
          </cell>
          <cell r="F310" t="str">
            <v>07</v>
          </cell>
          <cell r="G310" t="str">
            <v>N</v>
          </cell>
          <cell r="H310" t="str">
            <v/>
          </cell>
          <cell r="I310" t="str">
            <v>N</v>
          </cell>
          <cell r="J310" t="str">
            <v>Rates</v>
          </cell>
          <cell r="K310" t="str">
            <v/>
          </cell>
          <cell r="L310" t="str">
            <v>Fully</v>
          </cell>
          <cell r="M310" t="str">
            <v>Wise</v>
          </cell>
          <cell r="N310" t="str">
            <v/>
          </cell>
          <cell r="O310" t="str">
            <v>03</v>
          </cell>
          <cell r="P310" t="str">
            <v/>
          </cell>
          <cell r="Q310" t="str">
            <v/>
          </cell>
          <cell r="R310" t="str">
            <v>MD</v>
          </cell>
          <cell r="S310">
            <v>50000</v>
          </cell>
          <cell r="T310" t="str">
            <v>PPO HMO Rx</v>
          </cell>
          <cell r="U310" t="str">
            <v>BFF5/CFF5</v>
          </cell>
          <cell r="V310" t="str">
            <v/>
          </cell>
          <cell r="W310" t="str">
            <v/>
          </cell>
          <cell r="X310">
            <v>1</v>
          </cell>
        </row>
        <row r="311">
          <cell r="A311" t="str">
            <v>6776</v>
          </cell>
          <cell r="B311" t="str">
            <v>IBEW</v>
          </cell>
          <cell r="C311" t="str">
            <v/>
          </cell>
          <cell r="D311" t="str">
            <v>McCourt</v>
          </cell>
          <cell r="E311" t="str">
            <v>Mugo</v>
          </cell>
          <cell r="F311" t="str">
            <v>08</v>
          </cell>
          <cell r="G311" t="str">
            <v>Y</v>
          </cell>
          <cell r="H311" t="str">
            <v>N</v>
          </cell>
          <cell r="I311" t="str">
            <v>Y</v>
          </cell>
          <cell r="J311" t="str">
            <v>CPC Mo</v>
          </cell>
          <cell r="K311" t="str">
            <v>SW</v>
          </cell>
          <cell r="L311" t="str">
            <v>ASO</v>
          </cell>
          <cell r="M311" t="str">
            <v>Thompson, Alex</v>
          </cell>
          <cell r="N311" t="str">
            <v>10</v>
          </cell>
          <cell r="O311" t="str">
            <v>04</v>
          </cell>
          <cell r="P311" t="str">
            <v>Mugo</v>
          </cell>
          <cell r="Q311" t="str">
            <v>Mugo</v>
          </cell>
          <cell r="R311" t="str">
            <v>DC</v>
          </cell>
          <cell r="S311">
            <v>300000</v>
          </cell>
          <cell r="T311" t="str">
            <v>Indem</v>
          </cell>
          <cell r="U311" t="str">
            <v>BAS8</v>
          </cell>
          <cell r="V311" t="str">
            <v/>
          </cell>
          <cell r="W311" t="str">
            <v/>
          </cell>
          <cell r="X311">
            <v>1</v>
          </cell>
        </row>
        <row r="312">
          <cell r="A312" t="str">
            <v>PK60</v>
          </cell>
          <cell r="B312" t="str">
            <v>ICF Consultants</v>
          </cell>
          <cell r="C312" t="str">
            <v/>
          </cell>
          <cell r="D312" t="str">
            <v>McCourt</v>
          </cell>
          <cell r="E312" t="str">
            <v>Mugo</v>
          </cell>
          <cell r="F312" t="str">
            <v>01</v>
          </cell>
          <cell r="G312" t="str">
            <v>Y</v>
          </cell>
          <cell r="H312" t="str">
            <v/>
          </cell>
          <cell r="I312" t="str">
            <v>N</v>
          </cell>
          <cell r="J312" t="str">
            <v>CPC Mo</v>
          </cell>
          <cell r="K312" t="str">
            <v>SW</v>
          </cell>
          <cell r="L312" t="str">
            <v>120%</v>
          </cell>
          <cell r="M312" t="str">
            <v>Dunn</v>
          </cell>
          <cell r="N312" t="str">
            <v>3</v>
          </cell>
          <cell r="O312" t="str">
            <v>08</v>
          </cell>
          <cell r="P312" t="str">
            <v>King, K</v>
          </cell>
          <cell r="Q312" t="str">
            <v>King, K</v>
          </cell>
          <cell r="R312" t="str">
            <v>DC</v>
          </cell>
          <cell r="S312">
            <v>100000</v>
          </cell>
          <cell r="T312" t="str">
            <v>HMO/PPO/IND</v>
          </cell>
          <cell r="U312" t="str">
            <v>BAB8/CAB8</v>
          </cell>
          <cell r="V312" t="str">
            <v/>
          </cell>
          <cell r="W312" t="str">
            <v/>
          </cell>
          <cell r="X312">
            <v>1</v>
          </cell>
        </row>
        <row r="313">
          <cell r="A313" t="str">
            <v>4M09</v>
          </cell>
          <cell r="B313" t="str">
            <v xml:space="preserve">ICI, LLC                                          </v>
          </cell>
          <cell r="C313" t="str">
            <v/>
          </cell>
          <cell r="D313" t="str">
            <v>Keefer</v>
          </cell>
          <cell r="E313" t="str">
            <v>Newman</v>
          </cell>
          <cell r="F313" t="str">
            <v>07</v>
          </cell>
          <cell r="G313" t="str">
            <v>N</v>
          </cell>
          <cell r="H313" t="str">
            <v/>
          </cell>
          <cell r="I313" t="str">
            <v>N</v>
          </cell>
          <cell r="J313" t="str">
            <v>Rates</v>
          </cell>
          <cell r="K313" t="str">
            <v/>
          </cell>
          <cell r="L313" t="str">
            <v>Fully</v>
          </cell>
          <cell r="M313" t="str">
            <v>Guessford-Kline</v>
          </cell>
          <cell r="N313" t="str">
            <v/>
          </cell>
          <cell r="O313" t="str">
            <v>03</v>
          </cell>
          <cell r="P313" t="str">
            <v/>
          </cell>
          <cell r="Q313" t="str">
            <v/>
          </cell>
          <cell r="R313" t="str">
            <v>VA</v>
          </cell>
          <cell r="S313">
            <v>50000</v>
          </cell>
          <cell r="T313" t="str">
            <v>PPO</v>
          </cell>
          <cell r="U313" t="str">
            <v>BFF5</v>
          </cell>
          <cell r="V313" t="str">
            <v/>
          </cell>
          <cell r="W313" t="str">
            <v/>
          </cell>
          <cell r="X313">
            <v>1</v>
          </cell>
        </row>
        <row r="314">
          <cell r="A314" t="str">
            <v>XJ95</v>
          </cell>
          <cell r="B314" t="str">
            <v>IK Enterprises</v>
          </cell>
          <cell r="C314" t="str">
            <v/>
          </cell>
          <cell r="D314" t="str">
            <v>McCourt</v>
          </cell>
          <cell r="E314" t="str">
            <v>Rutkowski</v>
          </cell>
          <cell r="F314" t="str">
            <v>06</v>
          </cell>
          <cell r="G314" t="str">
            <v>N</v>
          </cell>
          <cell r="H314" t="str">
            <v/>
          </cell>
          <cell r="I314" t="str">
            <v>N</v>
          </cell>
          <cell r="J314" t="str">
            <v>Rates</v>
          </cell>
          <cell r="K314" t="str">
            <v/>
          </cell>
          <cell r="L314" t="str">
            <v>Fully</v>
          </cell>
          <cell r="M314" t="str">
            <v>Dodds</v>
          </cell>
          <cell r="N314" t="str">
            <v>0</v>
          </cell>
          <cell r="O314" t="str">
            <v>02</v>
          </cell>
          <cell r="P314" t="str">
            <v>Rutkowski</v>
          </cell>
          <cell r="Q314" t="str">
            <v/>
          </cell>
          <cell r="R314" t="str">
            <v>DC</v>
          </cell>
          <cell r="S314">
            <v>50000</v>
          </cell>
          <cell r="T314" t="str">
            <v>PPO</v>
          </cell>
          <cell r="U314" t="str">
            <v>BFF6</v>
          </cell>
          <cell r="V314" t="str">
            <v/>
          </cell>
          <cell r="W314" t="str">
            <v/>
          </cell>
          <cell r="X314">
            <v>1</v>
          </cell>
        </row>
        <row r="315">
          <cell r="A315" t="str">
            <v>1A62</v>
          </cell>
          <cell r="B315" t="str">
            <v>Independence Federal Savings Bank</v>
          </cell>
          <cell r="C315" t="str">
            <v/>
          </cell>
          <cell r="D315" t="str">
            <v>McCourt</v>
          </cell>
          <cell r="E315" t="str">
            <v>Slack</v>
          </cell>
          <cell r="F315" t="str">
            <v>11</v>
          </cell>
          <cell r="G315" t="str">
            <v>N</v>
          </cell>
          <cell r="H315" t="str">
            <v>N</v>
          </cell>
          <cell r="I315" t="str">
            <v>N</v>
          </cell>
          <cell r="J315" t="str">
            <v>Rates</v>
          </cell>
          <cell r="K315" t="str">
            <v/>
          </cell>
          <cell r="L315" t="str">
            <v>Fully</v>
          </cell>
          <cell r="M315" t="str">
            <v>Dodds</v>
          </cell>
          <cell r="N315" t="str">
            <v>0</v>
          </cell>
          <cell r="O315" t="str">
            <v>07</v>
          </cell>
          <cell r="P315" t="str">
            <v>Slack</v>
          </cell>
          <cell r="Q315" t="str">
            <v/>
          </cell>
          <cell r="R315" t="str">
            <v>DC</v>
          </cell>
          <cell r="S315">
            <v>50000</v>
          </cell>
          <cell r="T315" t="str">
            <v>POS</v>
          </cell>
          <cell r="U315" t="str">
            <v>BFF5</v>
          </cell>
          <cell r="V315" t="str">
            <v/>
          </cell>
          <cell r="W315" t="str">
            <v/>
          </cell>
          <cell r="X315">
            <v>1</v>
          </cell>
        </row>
        <row r="316">
          <cell r="A316" t="str">
            <v>3F73</v>
          </cell>
          <cell r="B316" t="str">
            <v>Independent Insurance Agents of America</v>
          </cell>
          <cell r="C316" t="str">
            <v/>
          </cell>
          <cell r="D316" t="str">
            <v>McCourt</v>
          </cell>
          <cell r="E316" t="str">
            <v>Slack</v>
          </cell>
          <cell r="F316" t="str">
            <v>01</v>
          </cell>
          <cell r="G316" t="str">
            <v>N</v>
          </cell>
          <cell r="H316" t="str">
            <v/>
          </cell>
          <cell r="I316" t="str">
            <v>N</v>
          </cell>
          <cell r="J316" t="str">
            <v>Rates</v>
          </cell>
          <cell r="K316" t="str">
            <v/>
          </cell>
          <cell r="L316" t="str">
            <v>Fully</v>
          </cell>
          <cell r="M316" t="str">
            <v>Guessford-Kline</v>
          </cell>
          <cell r="N316" t="str">
            <v>0</v>
          </cell>
          <cell r="O316" t="str">
            <v>09</v>
          </cell>
          <cell r="P316" t="str">
            <v>Slack</v>
          </cell>
          <cell r="Q316" t="str">
            <v/>
          </cell>
          <cell r="R316" t="str">
            <v>VA</v>
          </cell>
          <cell r="S316">
            <v>50000</v>
          </cell>
          <cell r="T316" t="str">
            <v>POS</v>
          </cell>
          <cell r="U316" t="str">
            <v>BFF5</v>
          </cell>
          <cell r="V316" t="str">
            <v/>
          </cell>
          <cell r="W316" t="str">
            <v/>
          </cell>
          <cell r="X316">
            <v>1</v>
          </cell>
        </row>
        <row r="317">
          <cell r="A317" t="str">
            <v>MH29</v>
          </cell>
          <cell r="B317" t="str">
            <v>Individual Development</v>
          </cell>
          <cell r="C317" t="str">
            <v/>
          </cell>
          <cell r="D317" t="str">
            <v>Keefer</v>
          </cell>
          <cell r="E317" t="str">
            <v>Burba</v>
          </cell>
          <cell r="F317" t="str">
            <v>04</v>
          </cell>
          <cell r="G317" t="str">
            <v>N</v>
          </cell>
          <cell r="H317" t="str">
            <v>N</v>
          </cell>
          <cell r="I317" t="str">
            <v>N</v>
          </cell>
          <cell r="J317" t="str">
            <v>Rates</v>
          </cell>
          <cell r="K317" t="str">
            <v/>
          </cell>
          <cell r="L317" t="str">
            <v>Fully</v>
          </cell>
          <cell r="M317" t="str">
            <v>Dodds</v>
          </cell>
          <cell r="N317" t="str">
            <v>0</v>
          </cell>
          <cell r="O317" t="str">
            <v>12</v>
          </cell>
          <cell r="P317" t="str">
            <v>Padrutt</v>
          </cell>
          <cell r="Q317" t="str">
            <v/>
          </cell>
          <cell r="R317" t="str">
            <v>DC</v>
          </cell>
          <cell r="S317">
            <v>50000</v>
          </cell>
          <cell r="T317" t="str">
            <v>HMO OA</v>
          </cell>
          <cell r="U317" t="str">
            <v>CFF5</v>
          </cell>
          <cell r="V317" t="str">
            <v/>
          </cell>
          <cell r="W317" t="str">
            <v/>
          </cell>
          <cell r="X317">
            <v>1</v>
          </cell>
        </row>
        <row r="318">
          <cell r="A318" t="str">
            <v>BJL8</v>
          </cell>
          <cell r="B318" t="str">
            <v xml:space="preserve">InfoReliance Corporation                          </v>
          </cell>
          <cell r="C318" t="str">
            <v/>
          </cell>
          <cell r="D318" t="str">
            <v>Keefer</v>
          </cell>
          <cell r="E318" t="str">
            <v>LaTouche</v>
          </cell>
          <cell r="F318" t="str">
            <v>08</v>
          </cell>
          <cell r="G318" t="str">
            <v>N</v>
          </cell>
          <cell r="H318" t="str">
            <v/>
          </cell>
          <cell r="I318" t="str">
            <v>N</v>
          </cell>
          <cell r="J318" t="str">
            <v>Rates</v>
          </cell>
          <cell r="K318" t="str">
            <v/>
          </cell>
          <cell r="L318" t="str">
            <v>Fully</v>
          </cell>
          <cell r="M318" t="str">
            <v>Henton-Davis</v>
          </cell>
          <cell r="N318" t="str">
            <v/>
          </cell>
          <cell r="O318" t="str">
            <v>04</v>
          </cell>
          <cell r="P318" t="str">
            <v>LaTouche</v>
          </cell>
          <cell r="Q318" t="str">
            <v/>
          </cell>
          <cell r="R318" t="str">
            <v>VA</v>
          </cell>
          <cell r="S318">
            <v>50000</v>
          </cell>
          <cell r="T318" t="str">
            <v>HMO/OA/PPO</v>
          </cell>
          <cell r="U318" t="str">
            <v>BFF2/CFF2</v>
          </cell>
          <cell r="V318" t="str">
            <v/>
          </cell>
          <cell r="W318" t="str">
            <v/>
          </cell>
          <cell r="X318">
            <v>1</v>
          </cell>
        </row>
        <row r="319">
          <cell r="A319" t="str">
            <v>TM85</v>
          </cell>
          <cell r="B319" t="str">
            <v xml:space="preserve">Information Systems Laboratories, Inc             </v>
          </cell>
          <cell r="C319" t="str">
            <v/>
          </cell>
          <cell r="D319" t="str">
            <v>Keefer</v>
          </cell>
          <cell r="E319" t="str">
            <v>Anderson</v>
          </cell>
          <cell r="F319" t="str">
            <v>10</v>
          </cell>
          <cell r="G319" t="str">
            <v>N</v>
          </cell>
          <cell r="H319" t="str">
            <v/>
          </cell>
          <cell r="I319" t="str">
            <v>N</v>
          </cell>
          <cell r="J319" t="str">
            <v>Rates</v>
          </cell>
          <cell r="K319" t="str">
            <v/>
          </cell>
          <cell r="L319" t="str">
            <v>Fully</v>
          </cell>
          <cell r="M319" t="str">
            <v>Swears</v>
          </cell>
          <cell r="N319" t="str">
            <v/>
          </cell>
          <cell r="O319" t="str">
            <v>06</v>
          </cell>
          <cell r="P319" t="str">
            <v/>
          </cell>
          <cell r="Q319" t="str">
            <v/>
          </cell>
          <cell r="R319" t="str">
            <v>VA</v>
          </cell>
          <cell r="S319">
            <v>50000</v>
          </cell>
          <cell r="T319" t="str">
            <v>PPO Rx</v>
          </cell>
          <cell r="U319" t="str">
            <v>BFF5</v>
          </cell>
          <cell r="V319" t="str">
            <v>Y</v>
          </cell>
          <cell r="W319" t="str">
            <v>10/1/2002</v>
          </cell>
          <cell r="X319">
            <v>1</v>
          </cell>
        </row>
        <row r="320">
          <cell r="A320" t="str">
            <v>QK68</v>
          </cell>
          <cell r="B320" t="str">
            <v xml:space="preserve">Innovative Technology Application, Inc.           </v>
          </cell>
          <cell r="C320" t="str">
            <v/>
          </cell>
          <cell r="D320" t="str">
            <v>McCourt</v>
          </cell>
          <cell r="E320" t="str">
            <v>Slack</v>
          </cell>
          <cell r="F320" t="str">
            <v>12</v>
          </cell>
          <cell r="G320" t="str">
            <v>N</v>
          </cell>
          <cell r="H320" t="str">
            <v/>
          </cell>
          <cell r="I320" t="str">
            <v>N</v>
          </cell>
          <cell r="J320" t="str">
            <v>Rates</v>
          </cell>
          <cell r="K320" t="str">
            <v/>
          </cell>
          <cell r="L320" t="str">
            <v>Fully</v>
          </cell>
          <cell r="M320" t="str">
            <v>Savoca</v>
          </cell>
          <cell r="N320" t="str">
            <v/>
          </cell>
          <cell r="O320" t="str">
            <v>08</v>
          </cell>
          <cell r="P320" t="str">
            <v>Slack</v>
          </cell>
          <cell r="Q320" t="str">
            <v/>
          </cell>
          <cell r="R320" t="str">
            <v>VA</v>
          </cell>
          <cell r="S320">
            <v>50000</v>
          </cell>
          <cell r="T320" t="str">
            <v>POS/HMO/PPO</v>
          </cell>
          <cell r="U320" t="str">
            <v>BFF5/CFF5</v>
          </cell>
          <cell r="V320" t="str">
            <v/>
          </cell>
          <cell r="W320" t="str">
            <v/>
          </cell>
          <cell r="X320">
            <v>1</v>
          </cell>
        </row>
        <row r="321">
          <cell r="A321" t="str">
            <v>UE86</v>
          </cell>
          <cell r="B321" t="str">
            <v xml:space="preserve">In-Q-Tel, Inc.                                    </v>
          </cell>
          <cell r="C321" t="str">
            <v/>
          </cell>
          <cell r="D321" t="str">
            <v>Keefer</v>
          </cell>
          <cell r="E321" t="str">
            <v>Burba</v>
          </cell>
          <cell r="F321" t="str">
            <v>09</v>
          </cell>
          <cell r="G321" t="str">
            <v>N</v>
          </cell>
          <cell r="H321" t="str">
            <v/>
          </cell>
          <cell r="I321" t="str">
            <v>N</v>
          </cell>
          <cell r="J321" t="str">
            <v>Rates</v>
          </cell>
          <cell r="K321" t="str">
            <v/>
          </cell>
          <cell r="L321" t="str">
            <v>Fully</v>
          </cell>
          <cell r="M321" t="str">
            <v>Swears</v>
          </cell>
          <cell r="N321" t="str">
            <v/>
          </cell>
          <cell r="O321" t="str">
            <v>05</v>
          </cell>
          <cell r="P321" t="str">
            <v/>
          </cell>
          <cell r="Q321" t="str">
            <v/>
          </cell>
          <cell r="R321" t="str">
            <v>VA</v>
          </cell>
          <cell r="S321">
            <v>50000</v>
          </cell>
          <cell r="T321" t="str">
            <v>PPO</v>
          </cell>
          <cell r="U321" t="str">
            <v>BFF5</v>
          </cell>
          <cell r="V321" t="str">
            <v/>
          </cell>
          <cell r="W321" t="str">
            <v/>
          </cell>
          <cell r="X321">
            <v>1</v>
          </cell>
        </row>
        <row r="322">
          <cell r="A322" t="str">
            <v>QF04</v>
          </cell>
          <cell r="B322" t="str">
            <v xml:space="preserve">Insurance Institute for Highway Safety            </v>
          </cell>
          <cell r="C322" t="str">
            <v/>
          </cell>
          <cell r="D322" t="str">
            <v>McCourt</v>
          </cell>
          <cell r="E322" t="str">
            <v>Rutkowski</v>
          </cell>
          <cell r="F322" t="str">
            <v>07</v>
          </cell>
          <cell r="G322" t="str">
            <v>N</v>
          </cell>
          <cell r="H322" t="str">
            <v/>
          </cell>
          <cell r="I322" t="str">
            <v>N</v>
          </cell>
          <cell r="J322" t="str">
            <v>Rates</v>
          </cell>
          <cell r="K322" t="str">
            <v/>
          </cell>
          <cell r="L322" t="str">
            <v>Fully</v>
          </cell>
          <cell r="M322" t="str">
            <v>Henton-Davis</v>
          </cell>
          <cell r="N322" t="str">
            <v/>
          </cell>
          <cell r="O322" t="str">
            <v>03</v>
          </cell>
          <cell r="P322" t="str">
            <v>Rutkowski</v>
          </cell>
          <cell r="Q322" t="str">
            <v/>
          </cell>
          <cell r="R322" t="str">
            <v>VA</v>
          </cell>
          <cell r="S322">
            <v>50000</v>
          </cell>
          <cell r="T322" t="str">
            <v>PPO</v>
          </cell>
          <cell r="U322" t="str">
            <v>BFF5</v>
          </cell>
          <cell r="V322" t="str">
            <v/>
          </cell>
          <cell r="W322" t="str">
            <v/>
          </cell>
          <cell r="X322">
            <v>1</v>
          </cell>
        </row>
        <row r="323">
          <cell r="A323" t="str">
            <v>QS92</v>
          </cell>
          <cell r="B323" t="str">
            <v xml:space="preserve">Integrated Resource Technologies                  </v>
          </cell>
          <cell r="C323" t="str">
            <v/>
          </cell>
          <cell r="D323" t="str">
            <v>Keefer</v>
          </cell>
          <cell r="E323" t="str">
            <v>Burba</v>
          </cell>
          <cell r="F323" t="str">
            <v>03</v>
          </cell>
          <cell r="G323" t="str">
            <v>N</v>
          </cell>
          <cell r="H323" t="str">
            <v/>
          </cell>
          <cell r="I323" t="str">
            <v>N</v>
          </cell>
          <cell r="J323" t="str">
            <v>Rates</v>
          </cell>
          <cell r="K323" t="str">
            <v/>
          </cell>
          <cell r="L323" t="str">
            <v>Fully</v>
          </cell>
          <cell r="M323" t="str">
            <v>Savoca</v>
          </cell>
          <cell r="N323" t="str">
            <v/>
          </cell>
          <cell r="O323" t="str">
            <v>11</v>
          </cell>
          <cell r="P323" t="str">
            <v/>
          </cell>
          <cell r="Q323" t="str">
            <v/>
          </cell>
          <cell r="R323" t="str">
            <v>VA</v>
          </cell>
          <cell r="S323">
            <v>50000</v>
          </cell>
          <cell r="T323" t="str">
            <v>PPO/OA</v>
          </cell>
          <cell r="U323" t="str">
            <v>BFF5/CFF5</v>
          </cell>
          <cell r="V323" t="str">
            <v/>
          </cell>
          <cell r="W323" t="str">
            <v/>
          </cell>
          <cell r="X323">
            <v>1</v>
          </cell>
        </row>
        <row r="324">
          <cell r="A324" t="str">
            <v>XU57</v>
          </cell>
          <cell r="B324" t="str">
            <v xml:space="preserve">Intellidyne, LLC                                  </v>
          </cell>
          <cell r="C324" t="str">
            <v/>
          </cell>
          <cell r="D324" t="str">
            <v>Keefer</v>
          </cell>
          <cell r="E324" t="str">
            <v>Burba</v>
          </cell>
          <cell r="F324" t="str">
            <v>08</v>
          </cell>
          <cell r="G324" t="str">
            <v>N</v>
          </cell>
          <cell r="H324" t="str">
            <v/>
          </cell>
          <cell r="I324" t="str">
            <v>N</v>
          </cell>
          <cell r="J324" t="str">
            <v>Rates</v>
          </cell>
          <cell r="K324" t="str">
            <v/>
          </cell>
          <cell r="L324" t="str">
            <v>Fully</v>
          </cell>
          <cell r="M324" t="str">
            <v>Henton-Davis</v>
          </cell>
          <cell r="N324" t="str">
            <v/>
          </cell>
          <cell r="O324" t="str">
            <v>04</v>
          </cell>
          <cell r="P324" t="str">
            <v/>
          </cell>
          <cell r="Q324" t="str">
            <v/>
          </cell>
          <cell r="R324" t="str">
            <v>VA</v>
          </cell>
          <cell r="S324">
            <v>50000</v>
          </cell>
          <cell r="T324" t="str">
            <v>PPO</v>
          </cell>
          <cell r="U324" t="str">
            <v>BFF5</v>
          </cell>
          <cell r="V324" t="str">
            <v/>
          </cell>
          <cell r="W324" t="str">
            <v/>
          </cell>
          <cell r="X324">
            <v>1</v>
          </cell>
        </row>
        <row r="325">
          <cell r="A325" t="str">
            <v>ND05</v>
          </cell>
          <cell r="B325" t="str">
            <v xml:space="preserve">Intelligent Decision Systems, Inc.                </v>
          </cell>
          <cell r="C325" t="str">
            <v/>
          </cell>
          <cell r="D325" t="str">
            <v>McCourt</v>
          </cell>
          <cell r="E325" t="str">
            <v>Mugo</v>
          </cell>
          <cell r="F325" t="str">
            <v>07</v>
          </cell>
          <cell r="G325" t="str">
            <v>N</v>
          </cell>
          <cell r="H325" t="str">
            <v/>
          </cell>
          <cell r="I325" t="str">
            <v>N</v>
          </cell>
          <cell r="J325" t="str">
            <v>Rates</v>
          </cell>
          <cell r="K325" t="str">
            <v/>
          </cell>
          <cell r="L325" t="str">
            <v>Fully</v>
          </cell>
          <cell r="M325" t="str">
            <v>Henton-Davis</v>
          </cell>
          <cell r="N325" t="str">
            <v/>
          </cell>
          <cell r="O325" t="str">
            <v>03</v>
          </cell>
          <cell r="P325" t="str">
            <v/>
          </cell>
          <cell r="Q325" t="str">
            <v/>
          </cell>
          <cell r="R325" t="str">
            <v>VA</v>
          </cell>
          <cell r="S325">
            <v>50000</v>
          </cell>
          <cell r="T325" t="str">
            <v>PPO</v>
          </cell>
          <cell r="U325" t="str">
            <v>BFF5</v>
          </cell>
          <cell r="V325" t="str">
            <v/>
          </cell>
          <cell r="W325" t="str">
            <v/>
          </cell>
          <cell r="X325">
            <v>1</v>
          </cell>
        </row>
        <row r="326">
          <cell r="A326" t="str">
            <v>R348</v>
          </cell>
          <cell r="B326" t="str">
            <v>Intelsat Global Service Corp. (Amt Pd eff. 1/98)</v>
          </cell>
          <cell r="C326" t="str">
            <v/>
          </cell>
          <cell r="D326" t="str">
            <v>McCourt</v>
          </cell>
          <cell r="E326" t="str">
            <v>Rutkowski</v>
          </cell>
          <cell r="F326" t="str">
            <v>01</v>
          </cell>
          <cell r="G326" t="str">
            <v>N</v>
          </cell>
          <cell r="H326" t="str">
            <v>N</v>
          </cell>
          <cell r="I326" t="str">
            <v>Y</v>
          </cell>
          <cell r="J326" t="str">
            <v>CPC Mo</v>
          </cell>
          <cell r="K326" t="str">
            <v>WW</v>
          </cell>
          <cell r="L326" t="str">
            <v>125%</v>
          </cell>
          <cell r="M326" t="str">
            <v>Lewis</v>
          </cell>
          <cell r="N326" t="str">
            <v>6</v>
          </cell>
          <cell r="O326" t="str">
            <v>07</v>
          </cell>
          <cell r="P326" t="str">
            <v>Rutkowski</v>
          </cell>
          <cell r="Q326" t="str">
            <v>Rutkowski</v>
          </cell>
          <cell r="R326" t="str">
            <v>DC</v>
          </cell>
          <cell r="S326">
            <v>150000</v>
          </cell>
          <cell r="T326" t="str">
            <v>POS</v>
          </cell>
          <cell r="U326" t="str">
            <v>BAB7</v>
          </cell>
          <cell r="V326" t="str">
            <v/>
          </cell>
          <cell r="W326" t="str">
            <v/>
          </cell>
          <cell r="X326">
            <v>1</v>
          </cell>
        </row>
        <row r="327">
          <cell r="A327" t="str">
            <v>6Y13</v>
          </cell>
          <cell r="B327" t="str">
            <v>Interactive Technology Solutions</v>
          </cell>
          <cell r="C327" t="str">
            <v/>
          </cell>
          <cell r="D327" t="str">
            <v>Keefer</v>
          </cell>
          <cell r="E327" t="str">
            <v>Taylor</v>
          </cell>
          <cell r="F327" t="str">
            <v>12</v>
          </cell>
          <cell r="G327" t="str">
            <v>N</v>
          </cell>
          <cell r="H327" t="str">
            <v/>
          </cell>
          <cell r="I327" t="str">
            <v/>
          </cell>
          <cell r="J327" t="str">
            <v/>
          </cell>
          <cell r="K327" t="str">
            <v/>
          </cell>
          <cell r="L327" t="str">
            <v>Fully</v>
          </cell>
          <cell r="M327" t="str">
            <v>Savoca</v>
          </cell>
          <cell r="N327" t="str">
            <v/>
          </cell>
          <cell r="O327" t="str">
            <v>08</v>
          </cell>
          <cell r="P327" t="str">
            <v/>
          </cell>
          <cell r="Q327" t="str">
            <v/>
          </cell>
          <cell r="R327" t="str">
            <v>MD</v>
          </cell>
          <cell r="S327">
            <v>50000</v>
          </cell>
          <cell r="T327" t="str">
            <v>PPO OA HMO</v>
          </cell>
          <cell r="U327" t="str">
            <v>BFF5 CFF5</v>
          </cell>
          <cell r="V327" t="str">
            <v>Y</v>
          </cell>
          <cell r="W327" t="str">
            <v>12/1/2004</v>
          </cell>
          <cell r="X327">
            <v>1</v>
          </cell>
        </row>
        <row r="328">
          <cell r="A328" t="str">
            <v>MZ39</v>
          </cell>
          <cell r="B328" t="str">
            <v>Interior Systems, Inc.</v>
          </cell>
          <cell r="C328" t="str">
            <v/>
          </cell>
          <cell r="D328" t="str">
            <v>McCourt</v>
          </cell>
          <cell r="E328" t="str">
            <v>Rutkowski</v>
          </cell>
          <cell r="F328" t="str">
            <v>04</v>
          </cell>
          <cell r="G328" t="str">
            <v>N</v>
          </cell>
          <cell r="H328" t="str">
            <v/>
          </cell>
          <cell r="I328" t="str">
            <v>N</v>
          </cell>
          <cell r="J328" t="str">
            <v>Rates</v>
          </cell>
          <cell r="K328" t="str">
            <v/>
          </cell>
          <cell r="L328" t="str">
            <v>Fully</v>
          </cell>
          <cell r="M328" t="str">
            <v>Wise</v>
          </cell>
          <cell r="N328" t="str">
            <v>0</v>
          </cell>
          <cell r="O328" t="str">
            <v>12</v>
          </cell>
          <cell r="P328" t="str">
            <v>Rutkowski</v>
          </cell>
          <cell r="Q328" t="str">
            <v/>
          </cell>
          <cell r="R328" t="str">
            <v>DC</v>
          </cell>
          <cell r="S328">
            <v>50000</v>
          </cell>
          <cell r="T328" t="str">
            <v>POS</v>
          </cell>
          <cell r="U328" t="str">
            <v>CFF5</v>
          </cell>
          <cell r="V328" t="str">
            <v/>
          </cell>
          <cell r="W328" t="str">
            <v/>
          </cell>
          <cell r="X328">
            <v>1</v>
          </cell>
        </row>
        <row r="329">
          <cell r="A329" t="str">
            <v>TU34</v>
          </cell>
          <cell r="B329" t="str">
            <v>International Association Of Chiefs Of Police, I</v>
          </cell>
          <cell r="C329" t="str">
            <v/>
          </cell>
          <cell r="D329" t="str">
            <v>McCourt</v>
          </cell>
          <cell r="E329" t="str">
            <v>Rutkowski</v>
          </cell>
          <cell r="F329" t="str">
            <v>10</v>
          </cell>
          <cell r="G329" t="str">
            <v>N</v>
          </cell>
          <cell r="H329" t="str">
            <v>N</v>
          </cell>
          <cell r="I329" t="str">
            <v>N</v>
          </cell>
          <cell r="J329" t="str">
            <v>Rates</v>
          </cell>
          <cell r="K329" t="str">
            <v/>
          </cell>
          <cell r="L329" t="str">
            <v>Fully</v>
          </cell>
          <cell r="M329" t="str">
            <v>Guessford-Kline</v>
          </cell>
          <cell r="N329" t="str">
            <v>0</v>
          </cell>
          <cell r="O329" t="str">
            <v>06</v>
          </cell>
          <cell r="P329" t="str">
            <v>Rutkowski</v>
          </cell>
          <cell r="Q329" t="str">
            <v/>
          </cell>
          <cell r="R329" t="str">
            <v>VA</v>
          </cell>
          <cell r="S329" t="str">
            <v/>
          </cell>
          <cell r="T329" t="str">
            <v>POS</v>
          </cell>
          <cell r="U329" t="str">
            <v>BFF5/CFF5</v>
          </cell>
          <cell r="V329" t="str">
            <v/>
          </cell>
          <cell r="W329" t="str">
            <v/>
          </cell>
          <cell r="X329">
            <v>1</v>
          </cell>
        </row>
        <row r="330">
          <cell r="A330" t="str">
            <v>NJ50</v>
          </cell>
          <cell r="B330" t="str">
            <v>International Bro'hood of Painters &amp; Allied Trad</v>
          </cell>
          <cell r="C330" t="str">
            <v/>
          </cell>
          <cell r="D330" t="str">
            <v>McCourt</v>
          </cell>
          <cell r="E330" t="str">
            <v>Quade</v>
          </cell>
          <cell r="F330" t="str">
            <v>01</v>
          </cell>
          <cell r="G330" t="str">
            <v>N</v>
          </cell>
          <cell r="H330" t="str">
            <v>N</v>
          </cell>
          <cell r="I330" t="str">
            <v>N</v>
          </cell>
          <cell r="J330" t="str">
            <v>Rates</v>
          </cell>
          <cell r="K330" t="str">
            <v/>
          </cell>
          <cell r="L330" t="str">
            <v>Fully</v>
          </cell>
          <cell r="M330" t="str">
            <v>Phillips</v>
          </cell>
          <cell r="N330" t="str">
            <v>0</v>
          </cell>
          <cell r="O330" t="str">
            <v>09</v>
          </cell>
          <cell r="P330" t="str">
            <v>Buyak</v>
          </cell>
          <cell r="Q330" t="str">
            <v/>
          </cell>
          <cell r="R330" t="str">
            <v>DC</v>
          </cell>
          <cell r="S330">
            <v>75000</v>
          </cell>
          <cell r="T330" t="str">
            <v>PPO/Indemnity</v>
          </cell>
          <cell r="U330" t="str">
            <v>BFF7</v>
          </cell>
          <cell r="V330" t="str">
            <v/>
          </cell>
          <cell r="W330" t="str">
            <v/>
          </cell>
          <cell r="X330">
            <v>1</v>
          </cell>
        </row>
        <row r="331">
          <cell r="A331" t="str">
            <v>1900</v>
          </cell>
          <cell r="B331" t="str">
            <v>International Code Council</v>
          </cell>
          <cell r="C331" t="str">
            <v/>
          </cell>
          <cell r="D331" t="str">
            <v>Keefer</v>
          </cell>
          <cell r="E331" t="str">
            <v>Taylor</v>
          </cell>
          <cell r="F331" t="str">
            <v>07</v>
          </cell>
          <cell r="G331" t="str">
            <v>N</v>
          </cell>
          <cell r="H331" t="str">
            <v>N</v>
          </cell>
          <cell r="I331" t="str">
            <v>N</v>
          </cell>
          <cell r="J331" t="str">
            <v>CPC Mo</v>
          </cell>
          <cell r="K331" t="str">
            <v>WW</v>
          </cell>
          <cell r="L331" t="str">
            <v>125%</v>
          </cell>
          <cell r="M331" t="str">
            <v>Dunn</v>
          </cell>
          <cell r="N331" t="str">
            <v>9</v>
          </cell>
          <cell r="O331" t="str">
            <v>03</v>
          </cell>
          <cell r="P331" t="str">
            <v>Padrutt</v>
          </cell>
          <cell r="Q331" t="str">
            <v>Briscoe</v>
          </cell>
          <cell r="R331" t="str">
            <v>VA</v>
          </cell>
          <cell r="S331">
            <v>50000</v>
          </cell>
          <cell r="T331" t="str">
            <v>PPO, EPO, Dental</v>
          </cell>
          <cell r="U331" t="str">
            <v>BFF6 CFF6</v>
          </cell>
          <cell r="V331" t="str">
            <v>Y</v>
          </cell>
          <cell r="W331" t="str">
            <v>7/1/2003</v>
          </cell>
          <cell r="X331">
            <v>1</v>
          </cell>
        </row>
        <row r="332">
          <cell r="A332" t="str">
            <v>BVZ8</v>
          </cell>
          <cell r="B332" t="str">
            <v xml:space="preserve">International Life Sciences Institute             </v>
          </cell>
          <cell r="C332" t="str">
            <v/>
          </cell>
          <cell r="D332" t="str">
            <v>McCourt</v>
          </cell>
          <cell r="E332" t="str">
            <v>Mugo</v>
          </cell>
          <cell r="F332" t="str">
            <v>01</v>
          </cell>
          <cell r="G332" t="str">
            <v>N</v>
          </cell>
          <cell r="H332" t="str">
            <v/>
          </cell>
          <cell r="I332" t="str">
            <v>N</v>
          </cell>
          <cell r="J332" t="str">
            <v>Rates</v>
          </cell>
          <cell r="K332" t="str">
            <v/>
          </cell>
          <cell r="L332" t="str">
            <v>Fully</v>
          </cell>
          <cell r="M332" t="str">
            <v>Rand</v>
          </cell>
          <cell r="N332" t="str">
            <v/>
          </cell>
          <cell r="O332" t="str">
            <v>09</v>
          </cell>
          <cell r="P332" t="str">
            <v/>
          </cell>
          <cell r="Q332" t="str">
            <v/>
          </cell>
          <cell r="R332" t="str">
            <v>DC</v>
          </cell>
          <cell r="S332">
            <v>0</v>
          </cell>
          <cell r="T332" t="str">
            <v>POE: Triple Option POE package</v>
          </cell>
          <cell r="U332" t="str">
            <v>CFF5</v>
          </cell>
          <cell r="V332" t="str">
            <v>Y</v>
          </cell>
          <cell r="W332" t="str">
            <v>1/1/2005</v>
          </cell>
          <cell r="X332">
            <v>1</v>
          </cell>
        </row>
        <row r="333">
          <cell r="A333" t="str">
            <v>5W05</v>
          </cell>
          <cell r="B333" t="str">
            <v xml:space="preserve">International Motors, LTD                         </v>
          </cell>
          <cell r="C333" t="str">
            <v/>
          </cell>
          <cell r="D333" t="str">
            <v>Keefer</v>
          </cell>
          <cell r="E333" t="str">
            <v>Burba</v>
          </cell>
          <cell r="F333" t="str">
            <v>03</v>
          </cell>
          <cell r="G333" t="str">
            <v>N</v>
          </cell>
          <cell r="H333" t="str">
            <v/>
          </cell>
          <cell r="I333" t="str">
            <v>N</v>
          </cell>
          <cell r="J333" t="str">
            <v>Rates</v>
          </cell>
          <cell r="K333" t="str">
            <v/>
          </cell>
          <cell r="L333" t="str">
            <v>Fully</v>
          </cell>
          <cell r="M333" t="str">
            <v>Wise</v>
          </cell>
          <cell r="N333" t="str">
            <v/>
          </cell>
          <cell r="O333" t="str">
            <v>11</v>
          </cell>
          <cell r="P333" t="str">
            <v/>
          </cell>
          <cell r="Q333" t="str">
            <v/>
          </cell>
          <cell r="R333" t="str">
            <v>VA</v>
          </cell>
          <cell r="S333">
            <v>50000</v>
          </cell>
          <cell r="T333" t="str">
            <v>POS/PPO/HMO</v>
          </cell>
          <cell r="U333" t="str">
            <v>BFF5/CFF5</v>
          </cell>
          <cell r="V333" t="str">
            <v/>
          </cell>
          <cell r="W333" t="str">
            <v/>
          </cell>
          <cell r="X333">
            <v>1</v>
          </cell>
        </row>
        <row r="334">
          <cell r="A334" t="str">
            <v>UF10</v>
          </cell>
          <cell r="B334" t="str">
            <v xml:space="preserve">International Republican Institute                </v>
          </cell>
          <cell r="C334" t="str">
            <v/>
          </cell>
          <cell r="D334" t="str">
            <v>McCourt</v>
          </cell>
          <cell r="E334" t="str">
            <v>Mugo</v>
          </cell>
          <cell r="F334" t="str">
            <v>01</v>
          </cell>
          <cell r="G334" t="str">
            <v>N</v>
          </cell>
          <cell r="H334" t="str">
            <v/>
          </cell>
          <cell r="I334" t="str">
            <v>N</v>
          </cell>
          <cell r="J334" t="str">
            <v/>
          </cell>
          <cell r="K334" t="str">
            <v/>
          </cell>
          <cell r="L334" t="str">
            <v>Fully</v>
          </cell>
          <cell r="M334" t="str">
            <v>Guessford-Kline</v>
          </cell>
          <cell r="N334" t="str">
            <v/>
          </cell>
          <cell r="O334" t="str">
            <v>10</v>
          </cell>
          <cell r="P334" t="str">
            <v/>
          </cell>
          <cell r="Q334" t="str">
            <v/>
          </cell>
          <cell r="R334" t="str">
            <v>DC</v>
          </cell>
          <cell r="S334">
            <v>50000</v>
          </cell>
          <cell r="T334" t="str">
            <v>POS/PPO</v>
          </cell>
          <cell r="U334" t="str">
            <v>BFF5</v>
          </cell>
          <cell r="V334" t="str">
            <v/>
          </cell>
          <cell r="W334" t="str">
            <v/>
          </cell>
          <cell r="X334">
            <v>1</v>
          </cell>
        </row>
        <row r="335">
          <cell r="A335" t="str">
            <v>SH87</v>
          </cell>
          <cell r="B335" t="str">
            <v>International Research &amp; Exchanges Board</v>
          </cell>
          <cell r="C335" t="str">
            <v/>
          </cell>
          <cell r="D335" t="str">
            <v>McCourt</v>
          </cell>
          <cell r="E335" t="str">
            <v>Slack</v>
          </cell>
          <cell r="F335" t="str">
            <v>01</v>
          </cell>
          <cell r="G335" t="str">
            <v>N</v>
          </cell>
          <cell r="H335" t="str">
            <v>N</v>
          </cell>
          <cell r="I335" t="str">
            <v>N</v>
          </cell>
          <cell r="J335" t="str">
            <v>Rates</v>
          </cell>
          <cell r="K335" t="str">
            <v/>
          </cell>
          <cell r="L335" t="str">
            <v>Fully</v>
          </cell>
          <cell r="M335" t="str">
            <v>Dodds</v>
          </cell>
          <cell r="N335" t="str">
            <v>0</v>
          </cell>
          <cell r="O335" t="str">
            <v>09</v>
          </cell>
          <cell r="P335" t="str">
            <v>Slack</v>
          </cell>
          <cell r="Q335" t="str">
            <v/>
          </cell>
          <cell r="R335" t="str">
            <v>DC</v>
          </cell>
          <cell r="S335">
            <v>50000</v>
          </cell>
          <cell r="T335" t="str">
            <v>HMO/POS/PPO</v>
          </cell>
          <cell r="U335" t="str">
            <v>CFF6</v>
          </cell>
          <cell r="V335" t="str">
            <v/>
          </cell>
          <cell r="W335" t="str">
            <v/>
          </cell>
          <cell r="X335">
            <v>1</v>
          </cell>
        </row>
        <row r="336">
          <cell r="A336" t="str">
            <v>CH99</v>
          </cell>
          <cell r="B336" t="str">
            <v xml:space="preserve">International Resources Group, Ltd.               </v>
          </cell>
          <cell r="C336" t="str">
            <v/>
          </cell>
          <cell r="D336" t="str">
            <v>McCourt</v>
          </cell>
          <cell r="E336" t="str">
            <v>Rutkowski</v>
          </cell>
          <cell r="F336" t="str">
            <v>10</v>
          </cell>
          <cell r="G336" t="str">
            <v>N</v>
          </cell>
          <cell r="H336" t="str">
            <v/>
          </cell>
          <cell r="I336" t="str">
            <v>N</v>
          </cell>
          <cell r="J336" t="str">
            <v>Rates</v>
          </cell>
          <cell r="K336" t="str">
            <v/>
          </cell>
          <cell r="L336" t="str">
            <v>Fully</v>
          </cell>
          <cell r="M336" t="str">
            <v>Savoca</v>
          </cell>
          <cell r="N336" t="str">
            <v/>
          </cell>
          <cell r="O336" t="str">
            <v>06</v>
          </cell>
          <cell r="P336" t="str">
            <v>Rutkowski</v>
          </cell>
          <cell r="Q336" t="str">
            <v/>
          </cell>
          <cell r="R336" t="str">
            <v>DC</v>
          </cell>
          <cell r="S336">
            <v>50000</v>
          </cell>
          <cell r="T336" t="str">
            <v>HMO/POS/PPO</v>
          </cell>
          <cell r="U336" t="str">
            <v>BFF5/CFF5</v>
          </cell>
          <cell r="V336" t="str">
            <v/>
          </cell>
          <cell r="W336" t="str">
            <v/>
          </cell>
          <cell r="X336">
            <v>1</v>
          </cell>
        </row>
        <row r="337">
          <cell r="A337" t="str">
            <v>07TA</v>
          </cell>
          <cell r="B337" t="str">
            <v>International Union Of Operating Engineers</v>
          </cell>
          <cell r="C337" t="str">
            <v/>
          </cell>
          <cell r="D337" t="str">
            <v>Keefer</v>
          </cell>
          <cell r="E337" t="str">
            <v>Johnson</v>
          </cell>
          <cell r="F337" t="str">
            <v>10</v>
          </cell>
          <cell r="G337" t="str">
            <v>N</v>
          </cell>
          <cell r="H337" t="str">
            <v>N</v>
          </cell>
          <cell r="I337" t="str">
            <v>N</v>
          </cell>
          <cell r="J337" t="str">
            <v>Rates</v>
          </cell>
          <cell r="K337" t="str">
            <v/>
          </cell>
          <cell r="L337" t="str">
            <v>Fully</v>
          </cell>
          <cell r="M337" t="str">
            <v>Yocum</v>
          </cell>
          <cell r="N337" t="str">
            <v/>
          </cell>
          <cell r="O337" t="str">
            <v>06</v>
          </cell>
          <cell r="P337" t="str">
            <v/>
          </cell>
          <cell r="Q337" t="str">
            <v/>
          </cell>
          <cell r="R337" t="str">
            <v>DC</v>
          </cell>
          <cell r="S337">
            <v>50000</v>
          </cell>
          <cell r="T337" t="str">
            <v>BLUEPREFERRED OPTION1</v>
          </cell>
          <cell r="U337" t="str">
            <v>BFF7</v>
          </cell>
          <cell r="V337" t="str">
            <v>Y</v>
          </cell>
          <cell r="W337" t="str">
            <v>10/1/2004</v>
          </cell>
          <cell r="X337">
            <v>1</v>
          </cell>
        </row>
        <row r="338">
          <cell r="A338" t="str">
            <v>0C9Q</v>
          </cell>
          <cell r="B338" t="str">
            <v xml:space="preserve">Interstate Resources, Inc.                        </v>
          </cell>
          <cell r="C338" t="str">
            <v/>
          </cell>
          <cell r="D338" t="str">
            <v>McCourt</v>
          </cell>
          <cell r="E338" t="str">
            <v>Mugo</v>
          </cell>
          <cell r="F338" t="str">
            <v>02</v>
          </cell>
          <cell r="G338" t="str">
            <v>N</v>
          </cell>
          <cell r="H338" t="str">
            <v/>
          </cell>
          <cell r="I338" t="str">
            <v>N</v>
          </cell>
          <cell r="J338" t="str">
            <v>Rates</v>
          </cell>
          <cell r="K338" t="str">
            <v/>
          </cell>
          <cell r="L338" t="str">
            <v>Fully</v>
          </cell>
          <cell r="M338" t="str">
            <v>Cosby</v>
          </cell>
          <cell r="N338" t="str">
            <v/>
          </cell>
          <cell r="O338" t="str">
            <v>10</v>
          </cell>
          <cell r="P338" t="str">
            <v/>
          </cell>
          <cell r="Q338" t="str">
            <v/>
          </cell>
          <cell r="R338" t="str">
            <v>VA</v>
          </cell>
          <cell r="S338">
            <v>0</v>
          </cell>
          <cell r="T338" t="str">
            <v>POE: Dual Option POE package</v>
          </cell>
          <cell r="U338" t="str">
            <v>CFF5</v>
          </cell>
          <cell r="V338" t="str">
            <v>Y</v>
          </cell>
          <cell r="W338" t="str">
            <v>2/1/2005</v>
          </cell>
          <cell r="X338">
            <v>1</v>
          </cell>
        </row>
        <row r="339">
          <cell r="A339" t="str">
            <v>2181</v>
          </cell>
          <cell r="B339" t="str">
            <v>Investment Company Institute</v>
          </cell>
          <cell r="C339" t="str">
            <v/>
          </cell>
          <cell r="D339" t="str">
            <v>Keefer</v>
          </cell>
          <cell r="E339" t="str">
            <v>LaTouche</v>
          </cell>
          <cell r="F339" t="str">
            <v>01</v>
          </cell>
          <cell r="G339" t="str">
            <v>Y</v>
          </cell>
          <cell r="H339" t="str">
            <v>N</v>
          </cell>
          <cell r="I339" t="str">
            <v>N</v>
          </cell>
          <cell r="J339" t="str">
            <v>Rates</v>
          </cell>
          <cell r="K339" t="str">
            <v/>
          </cell>
          <cell r="L339" t="str">
            <v>Fully</v>
          </cell>
          <cell r="M339" t="str">
            <v>Guessford-Kline</v>
          </cell>
          <cell r="N339" t="str">
            <v>0</v>
          </cell>
          <cell r="O339" t="str">
            <v>08</v>
          </cell>
          <cell r="P339" t="str">
            <v>LaTouche</v>
          </cell>
          <cell r="Q339" t="str">
            <v/>
          </cell>
          <cell r="R339" t="str">
            <v>DC</v>
          </cell>
          <cell r="S339">
            <v>50000</v>
          </cell>
          <cell r="T339" t="str">
            <v>POS</v>
          </cell>
          <cell r="U339" t="str">
            <v>BFF6</v>
          </cell>
          <cell r="V339" t="str">
            <v/>
          </cell>
          <cell r="W339" t="str">
            <v/>
          </cell>
          <cell r="X339">
            <v>1</v>
          </cell>
        </row>
        <row r="340">
          <cell r="A340" t="str">
            <v>0EFF</v>
          </cell>
          <cell r="B340" t="str">
            <v>Investor Resposibility Research</v>
          </cell>
          <cell r="C340" t="str">
            <v/>
          </cell>
          <cell r="D340" t="str">
            <v>Keefer</v>
          </cell>
          <cell r="E340" t="str">
            <v>Taylor</v>
          </cell>
          <cell r="F340" t="str">
            <v>12</v>
          </cell>
          <cell r="G340" t="str">
            <v/>
          </cell>
          <cell r="H340" t="str">
            <v/>
          </cell>
          <cell r="I340" t="str">
            <v/>
          </cell>
          <cell r="J340" t="str">
            <v>Rates</v>
          </cell>
          <cell r="K340" t="str">
            <v/>
          </cell>
          <cell r="L340" t="str">
            <v>Fully</v>
          </cell>
          <cell r="M340" t="str">
            <v/>
          </cell>
          <cell r="N340" t="str">
            <v/>
          </cell>
          <cell r="O340" t="str">
            <v>08</v>
          </cell>
          <cell r="P340" t="str">
            <v/>
          </cell>
          <cell r="Q340" t="str">
            <v/>
          </cell>
          <cell r="R340" t="str">
            <v>DC</v>
          </cell>
          <cell r="S340">
            <v>50000</v>
          </cell>
          <cell r="T340" t="str">
            <v>PPO HMO V</v>
          </cell>
          <cell r="U340" t="str">
            <v>BFF6/CFF6</v>
          </cell>
          <cell r="V340" t="str">
            <v>Y</v>
          </cell>
          <cell r="W340" t="str">
            <v>12/1/2004</v>
          </cell>
          <cell r="X340">
            <v>1</v>
          </cell>
        </row>
        <row r="341">
          <cell r="A341" t="str">
            <v>3F79</v>
          </cell>
          <cell r="B341" t="str">
            <v>IQ Solutions</v>
          </cell>
          <cell r="C341" t="str">
            <v/>
          </cell>
          <cell r="D341" t="str">
            <v>Keefer</v>
          </cell>
          <cell r="E341" t="str">
            <v>Johnson</v>
          </cell>
          <cell r="F341" t="str">
            <v>05</v>
          </cell>
          <cell r="G341" t="str">
            <v>N</v>
          </cell>
          <cell r="H341" t="str">
            <v/>
          </cell>
          <cell r="I341" t="str">
            <v>N</v>
          </cell>
          <cell r="J341" t="str">
            <v>Rates</v>
          </cell>
          <cell r="K341" t="str">
            <v/>
          </cell>
          <cell r="L341" t="str">
            <v>Fully</v>
          </cell>
          <cell r="M341" t="str">
            <v>Henton-Davis</v>
          </cell>
          <cell r="N341" t="str">
            <v>0</v>
          </cell>
          <cell r="O341" t="str">
            <v>01</v>
          </cell>
          <cell r="P341" t="str">
            <v>Padrutt</v>
          </cell>
          <cell r="Q341" t="str">
            <v/>
          </cell>
          <cell r="R341" t="str">
            <v>MD</v>
          </cell>
          <cell r="S341">
            <v>50000</v>
          </cell>
          <cell r="T341" t="str">
            <v>PPO/POS/HMO</v>
          </cell>
          <cell r="U341" t="str">
            <v>BFF6/CFF6</v>
          </cell>
          <cell r="V341" t="str">
            <v/>
          </cell>
          <cell r="W341" t="str">
            <v/>
          </cell>
          <cell r="X341">
            <v>1</v>
          </cell>
        </row>
        <row r="342">
          <cell r="A342" t="str">
            <v>R467</v>
          </cell>
          <cell r="B342" t="str">
            <v>Italian Government</v>
          </cell>
          <cell r="C342" t="str">
            <v/>
          </cell>
          <cell r="D342" t="str">
            <v>Keefer</v>
          </cell>
          <cell r="E342" t="str">
            <v>Burba</v>
          </cell>
          <cell r="F342" t="str">
            <v>01</v>
          </cell>
          <cell r="G342" t="str">
            <v>N</v>
          </cell>
          <cell r="H342" t="str">
            <v/>
          </cell>
          <cell r="I342" t="str">
            <v>N</v>
          </cell>
          <cell r="J342" t="str">
            <v>CPC Mo</v>
          </cell>
          <cell r="K342" t="str">
            <v>WW</v>
          </cell>
          <cell r="L342" t="str">
            <v>ASO</v>
          </cell>
          <cell r="M342" t="str">
            <v>Jordan</v>
          </cell>
          <cell r="N342" t="str">
            <v>3</v>
          </cell>
          <cell r="O342" t="str">
            <v>08</v>
          </cell>
          <cell r="P342" t="str">
            <v>Johnson</v>
          </cell>
          <cell r="Q342" t="str">
            <v>Smith</v>
          </cell>
          <cell r="R342" t="str">
            <v>DC</v>
          </cell>
          <cell r="S342" t="str">
            <v/>
          </cell>
          <cell r="T342" t="str">
            <v>Indem</v>
          </cell>
          <cell r="U342" t="str">
            <v>BAD8</v>
          </cell>
          <cell r="V342" t="str">
            <v/>
          </cell>
          <cell r="W342" t="str">
            <v/>
          </cell>
          <cell r="X342">
            <v>1</v>
          </cell>
        </row>
        <row r="343">
          <cell r="A343" t="str">
            <v>4S21</v>
          </cell>
          <cell r="B343" t="str">
            <v>Iteq- Integrated Technologies, Inc.</v>
          </cell>
          <cell r="C343" t="str">
            <v/>
          </cell>
          <cell r="D343" t="str">
            <v>McCourt</v>
          </cell>
          <cell r="E343" t="str">
            <v>Mugo</v>
          </cell>
          <cell r="F343" t="str">
            <v>09</v>
          </cell>
          <cell r="G343" t="str">
            <v>N</v>
          </cell>
          <cell r="H343" t="str">
            <v/>
          </cell>
          <cell r="I343" t="str">
            <v>N</v>
          </cell>
          <cell r="J343" t="str">
            <v>Rates</v>
          </cell>
          <cell r="K343" t="str">
            <v/>
          </cell>
          <cell r="L343" t="str">
            <v>Fully</v>
          </cell>
          <cell r="M343" t="str">
            <v>Savoca</v>
          </cell>
          <cell r="N343" t="str">
            <v>0</v>
          </cell>
          <cell r="O343" t="str">
            <v>05</v>
          </cell>
          <cell r="P343" t="str">
            <v>King, R.</v>
          </cell>
          <cell r="Q343" t="str">
            <v/>
          </cell>
          <cell r="R343" t="str">
            <v>MD</v>
          </cell>
          <cell r="S343">
            <v>50000</v>
          </cell>
          <cell r="T343" t="str">
            <v>POS/PPO/HMO</v>
          </cell>
          <cell r="U343" t="str">
            <v>CFF5</v>
          </cell>
          <cell r="V343" t="str">
            <v/>
          </cell>
          <cell r="W343" t="str">
            <v/>
          </cell>
          <cell r="X343">
            <v>1</v>
          </cell>
        </row>
        <row r="344">
          <cell r="A344" t="str">
            <v>1900</v>
          </cell>
          <cell r="B344" t="str">
            <v>IUOP &amp; Pipeline Employees</v>
          </cell>
          <cell r="C344" t="str">
            <v/>
          </cell>
          <cell r="D344" t="str">
            <v>Keefer</v>
          </cell>
          <cell r="E344" t="str">
            <v>Johnson</v>
          </cell>
          <cell r="F344" t="str">
            <v>04</v>
          </cell>
          <cell r="G344" t="str">
            <v>N</v>
          </cell>
          <cell r="H344" t="str">
            <v>N</v>
          </cell>
          <cell r="I344" t="str">
            <v>N</v>
          </cell>
          <cell r="J344" t="str">
            <v>CPC Mo</v>
          </cell>
          <cell r="K344" t="str">
            <v/>
          </cell>
          <cell r="L344" t="str">
            <v>ASO</v>
          </cell>
          <cell r="M344" t="str">
            <v>Carey</v>
          </cell>
          <cell r="N344" t="str">
            <v/>
          </cell>
          <cell r="O344" t="str">
            <v>12</v>
          </cell>
          <cell r="P344" t="str">
            <v>Padrutt</v>
          </cell>
          <cell r="Q344" t="str">
            <v>Smith</v>
          </cell>
          <cell r="R344" t="str">
            <v>DC</v>
          </cell>
          <cell r="S344">
            <v>50000</v>
          </cell>
          <cell r="T344" t="str">
            <v>PPO</v>
          </cell>
          <cell r="U344" t="str">
            <v/>
          </cell>
          <cell r="V344" t="str">
            <v/>
          </cell>
          <cell r="W344" t="str">
            <v>4/1/2005</v>
          </cell>
          <cell r="X344">
            <v>1</v>
          </cell>
        </row>
        <row r="345">
          <cell r="A345" t="str">
            <v>NW82</v>
          </cell>
          <cell r="B345" t="str">
            <v>Jackson &amp; Campbell, P.C.</v>
          </cell>
          <cell r="C345" t="str">
            <v/>
          </cell>
          <cell r="D345" t="str">
            <v>McCourt</v>
          </cell>
          <cell r="E345" t="str">
            <v>Mugo</v>
          </cell>
          <cell r="F345" t="str">
            <v>09</v>
          </cell>
          <cell r="G345" t="str">
            <v>N</v>
          </cell>
          <cell r="H345" t="str">
            <v>N</v>
          </cell>
          <cell r="I345" t="str">
            <v>N</v>
          </cell>
          <cell r="J345" t="str">
            <v>Rates</v>
          </cell>
          <cell r="K345" t="str">
            <v/>
          </cell>
          <cell r="L345" t="str">
            <v>Fully</v>
          </cell>
          <cell r="M345" t="str">
            <v>Guessford-Kline</v>
          </cell>
          <cell r="N345" t="str">
            <v>0</v>
          </cell>
          <cell r="O345" t="str">
            <v>05</v>
          </cell>
          <cell r="P345" t="str">
            <v>King, R.</v>
          </cell>
          <cell r="Q345" t="str">
            <v/>
          </cell>
          <cell r="R345" t="str">
            <v>DC</v>
          </cell>
          <cell r="S345">
            <v>50000</v>
          </cell>
          <cell r="T345" t="str">
            <v>POS</v>
          </cell>
          <cell r="U345" t="str">
            <v>BFF6</v>
          </cell>
          <cell r="V345" t="str">
            <v/>
          </cell>
          <cell r="W345" t="str">
            <v/>
          </cell>
          <cell r="X345">
            <v>1</v>
          </cell>
        </row>
        <row r="346">
          <cell r="A346" t="str">
            <v>6J25</v>
          </cell>
          <cell r="B346" t="str">
            <v>Jacobs Sverdrup Technology, Inc.</v>
          </cell>
          <cell r="C346" t="str">
            <v/>
          </cell>
          <cell r="D346" t="str">
            <v>Keefer</v>
          </cell>
          <cell r="E346" t="str">
            <v>LaTouche</v>
          </cell>
          <cell r="F346" t="str">
            <v>01</v>
          </cell>
          <cell r="G346" t="str">
            <v>N</v>
          </cell>
          <cell r="H346" t="str">
            <v>N</v>
          </cell>
          <cell r="I346" t="str">
            <v>N</v>
          </cell>
          <cell r="J346" t="str">
            <v>Rates</v>
          </cell>
          <cell r="K346" t="str">
            <v/>
          </cell>
          <cell r="L346" t="str">
            <v>Fully</v>
          </cell>
          <cell r="M346" t="str">
            <v>Guessford-Kline</v>
          </cell>
          <cell r="N346" t="str">
            <v>0</v>
          </cell>
          <cell r="O346" t="str">
            <v>09</v>
          </cell>
          <cell r="P346" t="str">
            <v>LaTouche</v>
          </cell>
          <cell r="Q346" t="str">
            <v/>
          </cell>
          <cell r="R346" t="str">
            <v>VA</v>
          </cell>
          <cell r="S346">
            <v>50000</v>
          </cell>
          <cell r="T346" t="str">
            <v>HMO</v>
          </cell>
          <cell r="U346" t="str">
            <v>CFF6</v>
          </cell>
          <cell r="V346" t="str">
            <v/>
          </cell>
          <cell r="W346" t="str">
            <v/>
          </cell>
          <cell r="X346">
            <v>1</v>
          </cell>
        </row>
        <row r="347">
          <cell r="A347" t="str">
            <v>XJ97</v>
          </cell>
          <cell r="B347" t="str">
            <v>Janjer Enterprises, Inc.</v>
          </cell>
          <cell r="C347" t="str">
            <v/>
          </cell>
          <cell r="D347" t="str">
            <v>Keefer</v>
          </cell>
          <cell r="E347" t="str">
            <v>Burba</v>
          </cell>
          <cell r="F347" t="str">
            <v>07</v>
          </cell>
          <cell r="G347" t="str">
            <v>N</v>
          </cell>
          <cell r="H347" t="str">
            <v>N</v>
          </cell>
          <cell r="I347" t="str">
            <v>N</v>
          </cell>
          <cell r="J347" t="str">
            <v>Rates</v>
          </cell>
          <cell r="K347" t="str">
            <v/>
          </cell>
          <cell r="L347" t="str">
            <v>Fully</v>
          </cell>
          <cell r="M347" t="str">
            <v>Dodds</v>
          </cell>
          <cell r="N347" t="str">
            <v>0</v>
          </cell>
          <cell r="O347" t="str">
            <v>03</v>
          </cell>
          <cell r="P347" t="str">
            <v>LaTouche</v>
          </cell>
          <cell r="Q347" t="str">
            <v/>
          </cell>
          <cell r="R347" t="str">
            <v>MD</v>
          </cell>
          <cell r="S347">
            <v>50000</v>
          </cell>
          <cell r="T347" t="str">
            <v>POS</v>
          </cell>
          <cell r="U347" t="str">
            <v>CFF6</v>
          </cell>
          <cell r="V347" t="str">
            <v/>
          </cell>
          <cell r="W347" t="str">
            <v/>
          </cell>
          <cell r="X347">
            <v>1</v>
          </cell>
        </row>
        <row r="348">
          <cell r="A348" t="str">
            <v>TF72</v>
          </cell>
          <cell r="B348" t="str">
            <v>JB Management &amp; Engineering Group, Inc.</v>
          </cell>
          <cell r="C348" t="str">
            <v/>
          </cell>
          <cell r="D348" t="str">
            <v>Keefer</v>
          </cell>
          <cell r="E348" t="str">
            <v>Johnson</v>
          </cell>
          <cell r="F348" t="str">
            <v>07</v>
          </cell>
          <cell r="G348" t="str">
            <v>N</v>
          </cell>
          <cell r="H348" t="str">
            <v/>
          </cell>
          <cell r="I348" t="str">
            <v>N</v>
          </cell>
          <cell r="J348" t="str">
            <v>Rates</v>
          </cell>
          <cell r="K348" t="str">
            <v/>
          </cell>
          <cell r="L348" t="str">
            <v>Fully</v>
          </cell>
          <cell r="M348" t="str">
            <v>Guessford-Kline</v>
          </cell>
          <cell r="N348" t="str">
            <v/>
          </cell>
          <cell r="O348" t="str">
            <v>03</v>
          </cell>
          <cell r="P348" t="str">
            <v/>
          </cell>
          <cell r="Q348" t="str">
            <v/>
          </cell>
          <cell r="R348" t="str">
            <v>VA</v>
          </cell>
          <cell r="S348">
            <v>50000</v>
          </cell>
          <cell r="T348" t="str">
            <v>PPO</v>
          </cell>
          <cell r="U348" t="str">
            <v>BFF5</v>
          </cell>
          <cell r="V348" t="str">
            <v/>
          </cell>
          <cell r="W348" t="str">
            <v/>
          </cell>
          <cell r="X348">
            <v>1</v>
          </cell>
        </row>
        <row r="349">
          <cell r="A349" t="str">
            <v>7L99</v>
          </cell>
          <cell r="B349" t="str">
            <v>JCM Associates</v>
          </cell>
          <cell r="C349" t="str">
            <v/>
          </cell>
          <cell r="D349" t="str">
            <v>McCourt</v>
          </cell>
          <cell r="E349" t="str">
            <v>Mugo</v>
          </cell>
          <cell r="F349" t="str">
            <v>06</v>
          </cell>
          <cell r="G349" t="str">
            <v>N</v>
          </cell>
          <cell r="H349" t="str">
            <v>N</v>
          </cell>
          <cell r="I349" t="str">
            <v>N</v>
          </cell>
          <cell r="J349" t="str">
            <v>Rates</v>
          </cell>
          <cell r="K349" t="str">
            <v/>
          </cell>
          <cell r="L349" t="str">
            <v>Fully</v>
          </cell>
          <cell r="M349" t="str">
            <v/>
          </cell>
          <cell r="N349" t="str">
            <v/>
          </cell>
          <cell r="O349" t="str">
            <v>02</v>
          </cell>
          <cell r="P349" t="str">
            <v/>
          </cell>
          <cell r="Q349" t="str">
            <v/>
          </cell>
          <cell r="R349" t="str">
            <v>MD</v>
          </cell>
          <cell r="S349">
            <v>50000</v>
          </cell>
          <cell r="T349" t="str">
            <v>HMO OA PPO Rx D</v>
          </cell>
          <cell r="U349" t="str">
            <v>BFF6 CFF6</v>
          </cell>
          <cell r="V349" t="str">
            <v>Y</v>
          </cell>
          <cell r="W349" t="str">
            <v>6/1/2005</v>
          </cell>
          <cell r="X349">
            <v>1</v>
          </cell>
        </row>
        <row r="350">
          <cell r="A350" t="str">
            <v>NK61</v>
          </cell>
          <cell r="B350" t="str">
            <v>Jenner &amp; Block</v>
          </cell>
          <cell r="C350" t="str">
            <v/>
          </cell>
          <cell r="D350" t="str">
            <v>Keefer</v>
          </cell>
          <cell r="E350" t="str">
            <v>Newman</v>
          </cell>
          <cell r="F350" t="str">
            <v>01</v>
          </cell>
          <cell r="G350" t="str">
            <v>N</v>
          </cell>
          <cell r="H350" t="str">
            <v>N</v>
          </cell>
          <cell r="I350" t="str">
            <v>N</v>
          </cell>
          <cell r="J350" t="str">
            <v>Rates</v>
          </cell>
          <cell r="K350" t="str">
            <v/>
          </cell>
          <cell r="L350" t="str">
            <v>Fully</v>
          </cell>
          <cell r="M350" t="str">
            <v>Savoca</v>
          </cell>
          <cell r="N350" t="str">
            <v>0</v>
          </cell>
          <cell r="O350" t="str">
            <v>09</v>
          </cell>
          <cell r="P350" t="str">
            <v>King, R.</v>
          </cell>
          <cell r="Q350" t="str">
            <v/>
          </cell>
          <cell r="R350" t="str">
            <v>DC</v>
          </cell>
          <cell r="S350">
            <v>50000</v>
          </cell>
          <cell r="T350" t="str">
            <v>PPO HMO Rx</v>
          </cell>
          <cell r="U350" t="str">
            <v>BFF5/CFF5</v>
          </cell>
          <cell r="V350" t="str">
            <v/>
          </cell>
          <cell r="W350" t="str">
            <v/>
          </cell>
          <cell r="X350">
            <v>1</v>
          </cell>
        </row>
        <row r="351">
          <cell r="A351" t="str">
            <v>4H34</v>
          </cell>
          <cell r="B351" t="str">
            <v>JMA Associates</v>
          </cell>
          <cell r="C351" t="str">
            <v/>
          </cell>
          <cell r="D351" t="str">
            <v>Keefer</v>
          </cell>
          <cell r="E351" t="str">
            <v>Anderson</v>
          </cell>
          <cell r="F351" t="str">
            <v>06</v>
          </cell>
          <cell r="G351" t="str">
            <v>N</v>
          </cell>
          <cell r="H351" t="str">
            <v/>
          </cell>
          <cell r="I351" t="str">
            <v>N</v>
          </cell>
          <cell r="J351" t="str">
            <v>Rates</v>
          </cell>
          <cell r="K351" t="str">
            <v/>
          </cell>
          <cell r="L351" t="str">
            <v>Fully</v>
          </cell>
          <cell r="M351" t="str">
            <v>Henton-Davis</v>
          </cell>
          <cell r="N351" t="str">
            <v>0</v>
          </cell>
          <cell r="O351" t="str">
            <v>02</v>
          </cell>
          <cell r="P351" t="str">
            <v>Taylor</v>
          </cell>
          <cell r="Q351" t="str">
            <v/>
          </cell>
          <cell r="R351" t="str">
            <v>VA</v>
          </cell>
          <cell r="S351">
            <v>50000</v>
          </cell>
          <cell r="T351" t="str">
            <v>PPO Rx D</v>
          </cell>
          <cell r="U351" t="str">
            <v>BFF6</v>
          </cell>
          <cell r="V351" t="str">
            <v/>
          </cell>
          <cell r="W351" t="str">
            <v/>
          </cell>
          <cell r="X351">
            <v>1</v>
          </cell>
        </row>
        <row r="352">
          <cell r="A352" t="str">
            <v>SD44</v>
          </cell>
          <cell r="B352" t="str">
            <v xml:space="preserve">Joe Ragan's Coffee, Ltd.                          </v>
          </cell>
          <cell r="C352" t="str">
            <v/>
          </cell>
          <cell r="D352" t="str">
            <v>Keefer</v>
          </cell>
          <cell r="E352" t="str">
            <v>Newman</v>
          </cell>
          <cell r="F352" t="str">
            <v>08</v>
          </cell>
          <cell r="G352" t="str">
            <v>N</v>
          </cell>
          <cell r="H352" t="str">
            <v/>
          </cell>
          <cell r="I352" t="str">
            <v>N</v>
          </cell>
          <cell r="J352" t="str">
            <v>Rates</v>
          </cell>
          <cell r="K352" t="str">
            <v/>
          </cell>
          <cell r="L352" t="str">
            <v>Fully</v>
          </cell>
          <cell r="M352" t="str">
            <v>Swears</v>
          </cell>
          <cell r="N352" t="str">
            <v/>
          </cell>
          <cell r="O352" t="str">
            <v>04</v>
          </cell>
          <cell r="P352" t="str">
            <v>Padrutt</v>
          </cell>
          <cell r="Q352" t="str">
            <v/>
          </cell>
          <cell r="R352" t="str">
            <v>VA</v>
          </cell>
          <cell r="S352">
            <v>50000</v>
          </cell>
          <cell r="T352" t="str">
            <v>PPO/HMO</v>
          </cell>
          <cell r="U352" t="str">
            <v>BFF5/CFF5</v>
          </cell>
          <cell r="V352" t="str">
            <v/>
          </cell>
          <cell r="W352" t="str">
            <v/>
          </cell>
          <cell r="X352">
            <v>1</v>
          </cell>
        </row>
        <row r="353">
          <cell r="A353" t="str">
            <v>3M35</v>
          </cell>
          <cell r="B353" t="str">
            <v>John Akridge Company</v>
          </cell>
          <cell r="C353" t="str">
            <v/>
          </cell>
          <cell r="D353" t="str">
            <v>Keefer</v>
          </cell>
          <cell r="E353" t="str">
            <v>Newman</v>
          </cell>
          <cell r="F353" t="str">
            <v>01</v>
          </cell>
          <cell r="G353" t="str">
            <v>N</v>
          </cell>
          <cell r="H353" t="str">
            <v/>
          </cell>
          <cell r="I353" t="str">
            <v>N</v>
          </cell>
          <cell r="J353" t="str">
            <v>Rates</v>
          </cell>
          <cell r="K353" t="str">
            <v/>
          </cell>
          <cell r="L353" t="str">
            <v>Fully</v>
          </cell>
          <cell r="M353" t="str">
            <v>Savoca</v>
          </cell>
          <cell r="N353" t="str">
            <v>0</v>
          </cell>
          <cell r="O353" t="str">
            <v>09</v>
          </cell>
          <cell r="P353" t="str">
            <v>King, R.</v>
          </cell>
          <cell r="Q353" t="str">
            <v/>
          </cell>
          <cell r="R353" t="str">
            <v>DC</v>
          </cell>
          <cell r="S353">
            <v>50000</v>
          </cell>
          <cell r="T353" t="str">
            <v>HMO/POS/PPO</v>
          </cell>
          <cell r="U353" t="str">
            <v>BFF6</v>
          </cell>
          <cell r="V353" t="str">
            <v/>
          </cell>
          <cell r="W353" t="str">
            <v/>
          </cell>
          <cell r="X353">
            <v>1</v>
          </cell>
        </row>
        <row r="354">
          <cell r="A354" t="str">
            <v>48K0</v>
          </cell>
          <cell r="B354" t="str">
            <v xml:space="preserve">John Kerry for President                          </v>
          </cell>
          <cell r="C354" t="str">
            <v/>
          </cell>
          <cell r="D354" t="str">
            <v>Keefer</v>
          </cell>
          <cell r="E354" t="str">
            <v>Taylor</v>
          </cell>
          <cell r="F354" t="str">
            <v>02</v>
          </cell>
          <cell r="G354" t="str">
            <v>N</v>
          </cell>
          <cell r="H354" t="str">
            <v/>
          </cell>
          <cell r="I354" t="str">
            <v>N</v>
          </cell>
          <cell r="J354" t="str">
            <v>Rates</v>
          </cell>
          <cell r="K354" t="str">
            <v/>
          </cell>
          <cell r="L354" t="str">
            <v>Fully</v>
          </cell>
          <cell r="M354" t="str">
            <v>Savoca</v>
          </cell>
          <cell r="N354" t="str">
            <v/>
          </cell>
          <cell r="O354" t="str">
            <v>10</v>
          </cell>
          <cell r="P354" t="str">
            <v/>
          </cell>
          <cell r="Q354" t="str">
            <v/>
          </cell>
          <cell r="R354" t="str">
            <v>DC</v>
          </cell>
          <cell r="S354">
            <v>50000</v>
          </cell>
          <cell r="T354" t="str">
            <v>PPO HMO POS Rx</v>
          </cell>
          <cell r="U354" t="str">
            <v>BFF6 CFF6</v>
          </cell>
          <cell r="V354" t="str">
            <v/>
          </cell>
          <cell r="W354" t="str">
            <v/>
          </cell>
          <cell r="X354">
            <v>1</v>
          </cell>
        </row>
        <row r="355">
          <cell r="A355" t="str">
            <v>3B40</v>
          </cell>
          <cell r="B355" t="str">
            <v>Johnson Bassin Shaw</v>
          </cell>
          <cell r="C355" t="str">
            <v/>
          </cell>
          <cell r="D355" t="str">
            <v>Keefer</v>
          </cell>
          <cell r="E355" t="str">
            <v>Newman</v>
          </cell>
          <cell r="F355" t="str">
            <v>10</v>
          </cell>
          <cell r="G355" t="str">
            <v>N</v>
          </cell>
          <cell r="H355" t="str">
            <v/>
          </cell>
          <cell r="I355" t="str">
            <v>N</v>
          </cell>
          <cell r="J355" t="str">
            <v>Rates</v>
          </cell>
          <cell r="K355" t="str">
            <v/>
          </cell>
          <cell r="L355" t="str">
            <v>Fully</v>
          </cell>
          <cell r="M355" t="str">
            <v>Savoca</v>
          </cell>
          <cell r="N355" t="str">
            <v>0</v>
          </cell>
          <cell r="O355" t="str">
            <v>06</v>
          </cell>
          <cell r="P355" t="str">
            <v>King, R.</v>
          </cell>
          <cell r="Q355" t="str">
            <v/>
          </cell>
          <cell r="R355" t="str">
            <v>MD</v>
          </cell>
          <cell r="S355">
            <v>50000</v>
          </cell>
          <cell r="T355" t="str">
            <v>PPO/HMO/OA</v>
          </cell>
          <cell r="U355" t="str">
            <v>BFF6/CFF6</v>
          </cell>
          <cell r="V355" t="str">
            <v/>
          </cell>
          <cell r="W355" t="str">
            <v/>
          </cell>
          <cell r="X355">
            <v>1</v>
          </cell>
        </row>
        <row r="356">
          <cell r="A356" t="str">
            <v>3G93</v>
          </cell>
          <cell r="B356" t="str">
            <v xml:space="preserve">Johnson Lambert &amp; Co.                             </v>
          </cell>
          <cell r="C356" t="str">
            <v/>
          </cell>
          <cell r="D356" t="str">
            <v>Keefer</v>
          </cell>
          <cell r="E356" t="str">
            <v>LaTouche</v>
          </cell>
          <cell r="F356" t="str">
            <v>01</v>
          </cell>
          <cell r="G356" t="str">
            <v>N</v>
          </cell>
          <cell r="H356" t="str">
            <v/>
          </cell>
          <cell r="I356" t="str">
            <v>N</v>
          </cell>
          <cell r="J356" t="str">
            <v>Rates</v>
          </cell>
          <cell r="K356" t="str">
            <v/>
          </cell>
          <cell r="L356" t="str">
            <v>Fully</v>
          </cell>
          <cell r="M356" t="str">
            <v/>
          </cell>
          <cell r="N356" t="str">
            <v/>
          </cell>
          <cell r="O356" t="str">
            <v>09</v>
          </cell>
          <cell r="P356" t="str">
            <v/>
          </cell>
          <cell r="Q356" t="str">
            <v/>
          </cell>
          <cell r="R356" t="str">
            <v>MD</v>
          </cell>
          <cell r="S356">
            <v>50000</v>
          </cell>
          <cell r="T356" t="str">
            <v>PPO</v>
          </cell>
          <cell r="U356" t="str">
            <v>BFF5</v>
          </cell>
          <cell r="V356" t="str">
            <v/>
          </cell>
          <cell r="W356" t="str">
            <v/>
          </cell>
          <cell r="X356">
            <v>1</v>
          </cell>
        </row>
        <row r="357">
          <cell r="A357" t="str">
            <v>4N06</v>
          </cell>
          <cell r="B357" t="str">
            <v>Jordan Kitts Music</v>
          </cell>
          <cell r="C357" t="str">
            <v/>
          </cell>
          <cell r="D357" t="str">
            <v>McCourt</v>
          </cell>
          <cell r="E357" t="str">
            <v>Quade</v>
          </cell>
          <cell r="F357" t="str">
            <v>08</v>
          </cell>
          <cell r="G357" t="str">
            <v>N</v>
          </cell>
          <cell r="H357" t="str">
            <v>N</v>
          </cell>
          <cell r="I357" t="str">
            <v>N</v>
          </cell>
          <cell r="J357" t="str">
            <v>Rates</v>
          </cell>
          <cell r="K357" t="str">
            <v/>
          </cell>
          <cell r="L357" t="str">
            <v>Fully</v>
          </cell>
          <cell r="M357" t="str">
            <v>Wise</v>
          </cell>
          <cell r="N357" t="str">
            <v>0</v>
          </cell>
          <cell r="O357" t="str">
            <v>04</v>
          </cell>
          <cell r="P357" t="str">
            <v/>
          </cell>
          <cell r="Q357" t="str">
            <v/>
          </cell>
          <cell r="R357" t="str">
            <v>MD</v>
          </cell>
          <cell r="S357">
            <v>50000</v>
          </cell>
          <cell r="T357" t="str">
            <v>HMO/PPO/POS Rx</v>
          </cell>
          <cell r="U357" t="str">
            <v>BFF5/CFF5</v>
          </cell>
          <cell r="V357" t="str">
            <v/>
          </cell>
          <cell r="W357" t="str">
            <v/>
          </cell>
          <cell r="X357">
            <v>1</v>
          </cell>
        </row>
        <row r="358">
          <cell r="A358" t="str">
            <v>1B09</v>
          </cell>
          <cell r="B358" t="str">
            <v>Jorden, Burt, Berenson &amp; Johnson</v>
          </cell>
          <cell r="C358" t="str">
            <v/>
          </cell>
          <cell r="D358" t="str">
            <v>McCourt</v>
          </cell>
          <cell r="E358" t="str">
            <v>Quade</v>
          </cell>
          <cell r="F358" t="str">
            <v>01</v>
          </cell>
          <cell r="G358" t="str">
            <v>N</v>
          </cell>
          <cell r="H358" t="str">
            <v/>
          </cell>
          <cell r="I358" t="str">
            <v>N</v>
          </cell>
          <cell r="J358" t="str">
            <v>Rates</v>
          </cell>
          <cell r="K358" t="str">
            <v/>
          </cell>
          <cell r="L358" t="str">
            <v>Fully</v>
          </cell>
          <cell r="M358" t="str">
            <v>Savoca</v>
          </cell>
          <cell r="N358" t="str">
            <v>0</v>
          </cell>
          <cell r="O358" t="str">
            <v>09</v>
          </cell>
          <cell r="P358" t="str">
            <v>Addy</v>
          </cell>
          <cell r="Q358" t="str">
            <v/>
          </cell>
          <cell r="R358" t="str">
            <v>DC</v>
          </cell>
          <cell r="S358" t="str">
            <v/>
          </cell>
          <cell r="T358" t="str">
            <v>PPO HMO POS Rx</v>
          </cell>
          <cell r="U358" t="str">
            <v>BFF6/CFF6</v>
          </cell>
          <cell r="V358" t="str">
            <v/>
          </cell>
          <cell r="W358" t="str">
            <v/>
          </cell>
          <cell r="X358">
            <v>1</v>
          </cell>
        </row>
        <row r="359">
          <cell r="A359" t="str">
            <v>7H94</v>
          </cell>
          <cell r="B359" t="str">
            <v xml:space="preserve">Journal Newspapers                                </v>
          </cell>
          <cell r="C359" t="str">
            <v/>
          </cell>
          <cell r="D359" t="str">
            <v>Keefer</v>
          </cell>
          <cell r="E359" t="str">
            <v>Burba</v>
          </cell>
          <cell r="F359" t="str">
            <v>10</v>
          </cell>
          <cell r="G359" t="str">
            <v>N</v>
          </cell>
          <cell r="H359" t="str">
            <v/>
          </cell>
          <cell r="I359" t="str">
            <v>N</v>
          </cell>
          <cell r="J359" t="str">
            <v>Rates</v>
          </cell>
          <cell r="K359" t="str">
            <v/>
          </cell>
          <cell r="L359" t="str">
            <v>Fully</v>
          </cell>
          <cell r="M359" t="str">
            <v>Swears</v>
          </cell>
          <cell r="N359" t="str">
            <v/>
          </cell>
          <cell r="O359" t="str">
            <v>06</v>
          </cell>
          <cell r="P359" t="str">
            <v/>
          </cell>
          <cell r="Q359" t="str">
            <v/>
          </cell>
          <cell r="R359" t="str">
            <v>VA</v>
          </cell>
          <cell r="S359">
            <v>50000</v>
          </cell>
          <cell r="T359" t="str">
            <v>OA</v>
          </cell>
          <cell r="U359" t="str">
            <v>CFF5</v>
          </cell>
          <cell r="V359" t="str">
            <v>Y</v>
          </cell>
          <cell r="W359" t="str">
            <v>10/1/2004</v>
          </cell>
          <cell r="X359">
            <v>1</v>
          </cell>
        </row>
        <row r="360">
          <cell r="A360" t="str">
            <v>TX88</v>
          </cell>
          <cell r="B360" t="str">
            <v xml:space="preserve">Kearney &amp; Company CPA'S                           </v>
          </cell>
          <cell r="C360" t="str">
            <v/>
          </cell>
          <cell r="D360" t="str">
            <v>Keefer</v>
          </cell>
          <cell r="E360" t="str">
            <v>Newman</v>
          </cell>
          <cell r="F360" t="str">
            <v>03</v>
          </cell>
          <cell r="G360" t="str">
            <v>N</v>
          </cell>
          <cell r="H360" t="str">
            <v/>
          </cell>
          <cell r="I360" t="str">
            <v>N</v>
          </cell>
          <cell r="J360" t="str">
            <v>Rates</v>
          </cell>
          <cell r="K360" t="str">
            <v/>
          </cell>
          <cell r="L360" t="str">
            <v>Fully</v>
          </cell>
          <cell r="M360" t="str">
            <v>Savoca</v>
          </cell>
          <cell r="N360" t="str">
            <v/>
          </cell>
          <cell r="O360" t="str">
            <v>11</v>
          </cell>
          <cell r="P360" t="str">
            <v/>
          </cell>
          <cell r="Q360" t="str">
            <v/>
          </cell>
          <cell r="R360" t="str">
            <v>VA</v>
          </cell>
          <cell r="S360">
            <v>50000</v>
          </cell>
          <cell r="T360" t="str">
            <v>PPO</v>
          </cell>
          <cell r="U360" t="str">
            <v>BFF5</v>
          </cell>
          <cell r="V360" t="str">
            <v/>
          </cell>
          <cell r="W360" t="str">
            <v/>
          </cell>
          <cell r="X360">
            <v>1</v>
          </cell>
        </row>
        <row r="361">
          <cell r="A361" t="str">
            <v>WF08</v>
          </cell>
          <cell r="B361" t="str">
            <v>Keller &amp; Heckman, LLP</v>
          </cell>
          <cell r="C361" t="str">
            <v/>
          </cell>
          <cell r="D361" t="str">
            <v>Keefer</v>
          </cell>
          <cell r="E361" t="str">
            <v>Burba</v>
          </cell>
          <cell r="F361" t="str">
            <v>01</v>
          </cell>
          <cell r="G361" t="str">
            <v>N</v>
          </cell>
          <cell r="H361" t="str">
            <v/>
          </cell>
          <cell r="I361" t="str">
            <v>N</v>
          </cell>
          <cell r="J361" t="str">
            <v>Rates</v>
          </cell>
          <cell r="K361" t="str">
            <v/>
          </cell>
          <cell r="L361" t="str">
            <v>Fully</v>
          </cell>
          <cell r="M361" t="str">
            <v>Swears</v>
          </cell>
          <cell r="N361" t="str">
            <v/>
          </cell>
          <cell r="O361" t="str">
            <v>09</v>
          </cell>
          <cell r="P361" t="str">
            <v/>
          </cell>
          <cell r="Q361" t="str">
            <v/>
          </cell>
          <cell r="R361" t="str">
            <v>DC</v>
          </cell>
          <cell r="S361">
            <v>50000</v>
          </cell>
          <cell r="T361" t="str">
            <v>PPO</v>
          </cell>
          <cell r="U361" t="str">
            <v>BFF6</v>
          </cell>
          <cell r="V361" t="str">
            <v/>
          </cell>
          <cell r="W361" t="str">
            <v/>
          </cell>
          <cell r="X361">
            <v>1</v>
          </cell>
        </row>
        <row r="362">
          <cell r="A362" t="str">
            <v>TW71</v>
          </cell>
          <cell r="B362" t="str">
            <v xml:space="preserve">Kelson of Capital Area, Inc.                      </v>
          </cell>
          <cell r="C362" t="str">
            <v/>
          </cell>
          <cell r="D362" t="str">
            <v>Keefer</v>
          </cell>
          <cell r="E362" t="str">
            <v>Taylor</v>
          </cell>
          <cell r="F362" t="str">
            <v>01</v>
          </cell>
          <cell r="G362" t="str">
            <v>N</v>
          </cell>
          <cell r="H362" t="str">
            <v/>
          </cell>
          <cell r="I362" t="str">
            <v>N</v>
          </cell>
          <cell r="J362" t="str">
            <v>Rates</v>
          </cell>
          <cell r="K362" t="str">
            <v/>
          </cell>
          <cell r="L362" t="str">
            <v>Fully</v>
          </cell>
          <cell r="M362" t="str">
            <v>Savoca</v>
          </cell>
          <cell r="N362" t="str">
            <v/>
          </cell>
          <cell r="O362" t="str">
            <v>09</v>
          </cell>
          <cell r="P362" t="str">
            <v/>
          </cell>
          <cell r="Q362" t="str">
            <v/>
          </cell>
          <cell r="R362" t="str">
            <v>VA</v>
          </cell>
          <cell r="S362">
            <v>50000</v>
          </cell>
          <cell r="T362" t="str">
            <v>PPO/HMO</v>
          </cell>
          <cell r="U362" t="str">
            <v>BFF5/CFF5</v>
          </cell>
          <cell r="V362" t="str">
            <v/>
          </cell>
          <cell r="W362" t="str">
            <v/>
          </cell>
          <cell r="X362">
            <v>1</v>
          </cell>
        </row>
        <row r="363">
          <cell r="A363" t="str">
            <v>TX71</v>
          </cell>
          <cell r="B363" t="str">
            <v>Kemron Enviromental Services, Inc.</v>
          </cell>
          <cell r="C363" t="str">
            <v/>
          </cell>
          <cell r="D363" t="str">
            <v>McCourt</v>
          </cell>
          <cell r="E363" t="str">
            <v>Quade</v>
          </cell>
          <cell r="F363" t="str">
            <v>01</v>
          </cell>
          <cell r="G363" t="str">
            <v>N</v>
          </cell>
          <cell r="H363" t="str">
            <v>N</v>
          </cell>
          <cell r="I363" t="str">
            <v>N</v>
          </cell>
          <cell r="J363" t="str">
            <v>Rates</v>
          </cell>
          <cell r="K363" t="str">
            <v/>
          </cell>
          <cell r="L363" t="str">
            <v>Fully</v>
          </cell>
          <cell r="M363" t="str">
            <v>Henton-Davis</v>
          </cell>
          <cell r="N363" t="str">
            <v>0</v>
          </cell>
          <cell r="O363" t="str">
            <v>09</v>
          </cell>
          <cell r="P363" t="str">
            <v>Taylor</v>
          </cell>
          <cell r="Q363" t="str">
            <v/>
          </cell>
          <cell r="R363" t="str">
            <v>VA</v>
          </cell>
          <cell r="S363">
            <v>50000</v>
          </cell>
          <cell r="T363" t="str">
            <v>PPO/HMO</v>
          </cell>
          <cell r="U363" t="str">
            <v>BFF6/CFF6</v>
          </cell>
          <cell r="V363" t="str">
            <v/>
          </cell>
          <cell r="W363" t="str">
            <v/>
          </cell>
          <cell r="X363">
            <v>1</v>
          </cell>
        </row>
        <row r="364">
          <cell r="A364" t="str">
            <v>WE53</v>
          </cell>
          <cell r="B364" t="str">
            <v>Kensington Park</v>
          </cell>
          <cell r="C364" t="str">
            <v/>
          </cell>
          <cell r="D364" t="str">
            <v>Keefer</v>
          </cell>
          <cell r="E364" t="str">
            <v>Anderson</v>
          </cell>
          <cell r="F364" t="str">
            <v>03</v>
          </cell>
          <cell r="G364" t="str">
            <v>N</v>
          </cell>
          <cell r="H364" t="str">
            <v/>
          </cell>
          <cell r="I364" t="str">
            <v>N</v>
          </cell>
          <cell r="J364" t="str">
            <v>Rates</v>
          </cell>
          <cell r="K364" t="str">
            <v/>
          </cell>
          <cell r="L364" t="str">
            <v>Fully</v>
          </cell>
          <cell r="M364" t="str">
            <v>Wise</v>
          </cell>
          <cell r="N364" t="str">
            <v>0</v>
          </cell>
          <cell r="O364" t="str">
            <v>11</v>
          </cell>
          <cell r="P364" t="str">
            <v>Ryan</v>
          </cell>
          <cell r="Q364" t="str">
            <v/>
          </cell>
          <cell r="R364" t="str">
            <v>MD</v>
          </cell>
          <cell r="S364">
            <v>50000</v>
          </cell>
          <cell r="T364" t="str">
            <v>HMO PPO POS Rx</v>
          </cell>
          <cell r="U364" t="str">
            <v>BFF5/CFF5</v>
          </cell>
          <cell r="V364" t="str">
            <v/>
          </cell>
          <cell r="W364" t="str">
            <v/>
          </cell>
          <cell r="X364">
            <v>1</v>
          </cell>
        </row>
        <row r="365">
          <cell r="A365" t="str">
            <v>PF87</v>
          </cell>
          <cell r="B365" t="str">
            <v>Kingsbury Center, Inc. (The)</v>
          </cell>
          <cell r="C365" t="str">
            <v/>
          </cell>
          <cell r="D365" t="str">
            <v>Keefer</v>
          </cell>
          <cell r="E365" t="str">
            <v>Anderson</v>
          </cell>
          <cell r="F365" t="str">
            <v>10</v>
          </cell>
          <cell r="G365" t="str">
            <v>N</v>
          </cell>
          <cell r="H365" t="str">
            <v/>
          </cell>
          <cell r="I365" t="str">
            <v>N</v>
          </cell>
          <cell r="J365" t="str">
            <v>Rates</v>
          </cell>
          <cell r="K365" t="str">
            <v/>
          </cell>
          <cell r="L365" t="str">
            <v>Fully</v>
          </cell>
          <cell r="M365" t="str">
            <v>Swears</v>
          </cell>
          <cell r="N365" t="str">
            <v/>
          </cell>
          <cell r="O365" t="str">
            <v>06</v>
          </cell>
          <cell r="P365" t="str">
            <v/>
          </cell>
          <cell r="Q365" t="str">
            <v/>
          </cell>
          <cell r="R365" t="str">
            <v>DC</v>
          </cell>
          <cell r="S365">
            <v>50000</v>
          </cell>
          <cell r="T365" t="str">
            <v>HMO PPO POS Rx</v>
          </cell>
          <cell r="U365" t="str">
            <v>BFF5/CFF5</v>
          </cell>
          <cell r="V365" t="str">
            <v/>
          </cell>
          <cell r="W365" t="str">
            <v/>
          </cell>
          <cell r="X365">
            <v>1</v>
          </cell>
        </row>
        <row r="366">
          <cell r="A366" t="str">
            <v>ML42</v>
          </cell>
          <cell r="B366" t="str">
            <v>Kirkland &amp; Ellis</v>
          </cell>
          <cell r="C366" t="str">
            <v/>
          </cell>
          <cell r="D366" t="str">
            <v>McCourt</v>
          </cell>
          <cell r="E366" t="str">
            <v>Rutkowski</v>
          </cell>
          <cell r="F366" t="str">
            <v>07</v>
          </cell>
          <cell r="G366" t="str">
            <v>N</v>
          </cell>
          <cell r="H366" t="str">
            <v>N</v>
          </cell>
          <cell r="I366" t="str">
            <v>N</v>
          </cell>
          <cell r="J366" t="str">
            <v>Rates</v>
          </cell>
          <cell r="K366" t="str">
            <v/>
          </cell>
          <cell r="L366" t="str">
            <v>Fully</v>
          </cell>
          <cell r="M366" t="str">
            <v>Swears</v>
          </cell>
          <cell r="N366" t="str">
            <v>0</v>
          </cell>
          <cell r="O366" t="str">
            <v>03</v>
          </cell>
          <cell r="P366" t="str">
            <v>Rutkowski</v>
          </cell>
          <cell r="Q366" t="str">
            <v/>
          </cell>
          <cell r="R366" t="str">
            <v>DC</v>
          </cell>
          <cell r="S366">
            <v>50000</v>
          </cell>
          <cell r="T366" t="str">
            <v>HMO</v>
          </cell>
          <cell r="U366" t="str">
            <v>CFF6</v>
          </cell>
          <cell r="V366" t="str">
            <v/>
          </cell>
          <cell r="W366" t="str">
            <v/>
          </cell>
          <cell r="X366">
            <v>1</v>
          </cell>
        </row>
        <row r="367">
          <cell r="A367" t="str">
            <v>NM94</v>
          </cell>
          <cell r="B367" t="str">
            <v>Kms Company T/A South Paws Veterinary Referral</v>
          </cell>
          <cell r="C367" t="str">
            <v/>
          </cell>
          <cell r="D367" t="str">
            <v>Keefer</v>
          </cell>
          <cell r="E367" t="str">
            <v>Burba</v>
          </cell>
          <cell r="F367" t="str">
            <v>02</v>
          </cell>
          <cell r="G367" t="str">
            <v>N</v>
          </cell>
          <cell r="H367" t="str">
            <v/>
          </cell>
          <cell r="I367" t="str">
            <v>N</v>
          </cell>
          <cell r="J367" t="str">
            <v>Rates</v>
          </cell>
          <cell r="K367" t="str">
            <v/>
          </cell>
          <cell r="L367" t="str">
            <v>Fully</v>
          </cell>
          <cell r="M367" t="str">
            <v>Swears</v>
          </cell>
          <cell r="N367" t="str">
            <v/>
          </cell>
          <cell r="O367" t="str">
            <v>10</v>
          </cell>
          <cell r="P367" t="str">
            <v/>
          </cell>
          <cell r="Q367" t="str">
            <v/>
          </cell>
          <cell r="R367" t="str">
            <v>VA</v>
          </cell>
          <cell r="S367">
            <v>50000</v>
          </cell>
          <cell r="T367" t="str">
            <v>PPO/HMO/OA</v>
          </cell>
          <cell r="U367" t="str">
            <v>BFF5/CFF5</v>
          </cell>
          <cell r="V367" t="str">
            <v/>
          </cell>
          <cell r="W367" t="str">
            <v/>
          </cell>
          <cell r="X367">
            <v>1</v>
          </cell>
        </row>
        <row r="368">
          <cell r="A368" t="str">
            <v>XM76</v>
          </cell>
          <cell r="B368" t="str">
            <v>Knowlogy Corporation</v>
          </cell>
          <cell r="C368" t="str">
            <v/>
          </cell>
          <cell r="D368" t="str">
            <v>McCourt</v>
          </cell>
          <cell r="E368" t="str">
            <v>Mugo</v>
          </cell>
          <cell r="F368" t="str">
            <v>09</v>
          </cell>
          <cell r="G368" t="str">
            <v>N</v>
          </cell>
          <cell r="H368" t="str">
            <v/>
          </cell>
          <cell r="I368" t="str">
            <v>N</v>
          </cell>
          <cell r="J368" t="str">
            <v>Rates</v>
          </cell>
          <cell r="K368" t="str">
            <v/>
          </cell>
          <cell r="L368" t="str">
            <v>Fully</v>
          </cell>
          <cell r="M368" t="str">
            <v>Guessford-Kline</v>
          </cell>
          <cell r="N368" t="str">
            <v>0</v>
          </cell>
          <cell r="O368" t="str">
            <v>05</v>
          </cell>
          <cell r="P368" t="str">
            <v>Ryan</v>
          </cell>
          <cell r="Q368" t="str">
            <v/>
          </cell>
          <cell r="R368" t="str">
            <v>VA</v>
          </cell>
          <cell r="S368">
            <v>50000</v>
          </cell>
          <cell r="T368" t="str">
            <v>HMO/PPO/POS</v>
          </cell>
          <cell r="U368" t="str">
            <v>CFF5</v>
          </cell>
          <cell r="V368" t="str">
            <v/>
          </cell>
          <cell r="W368" t="str">
            <v/>
          </cell>
          <cell r="X368">
            <v>1</v>
          </cell>
        </row>
        <row r="369">
          <cell r="A369" t="str">
            <v>06S1</v>
          </cell>
          <cell r="B369" t="str">
            <v xml:space="preserve">Koger Management Group                            </v>
          </cell>
          <cell r="C369" t="str">
            <v/>
          </cell>
          <cell r="D369" t="str">
            <v>Keefer</v>
          </cell>
          <cell r="E369" t="str">
            <v>Johnson</v>
          </cell>
          <cell r="F369" t="str">
            <v>08</v>
          </cell>
          <cell r="G369" t="str">
            <v>N</v>
          </cell>
          <cell r="H369" t="str">
            <v/>
          </cell>
          <cell r="I369" t="str">
            <v>N</v>
          </cell>
          <cell r="J369" t="str">
            <v>Rates</v>
          </cell>
          <cell r="K369" t="str">
            <v/>
          </cell>
          <cell r="L369" t="str">
            <v>Fully</v>
          </cell>
          <cell r="M369" t="str">
            <v>Savoca</v>
          </cell>
          <cell r="N369" t="str">
            <v/>
          </cell>
          <cell r="O369" t="str">
            <v>04</v>
          </cell>
          <cell r="P369" t="str">
            <v/>
          </cell>
          <cell r="Q369" t="str">
            <v/>
          </cell>
          <cell r="R369" t="str">
            <v>VA</v>
          </cell>
          <cell r="S369">
            <v>50000</v>
          </cell>
          <cell r="T369" t="str">
            <v>HMO/OA/PPO</v>
          </cell>
          <cell r="U369" t="str">
            <v>BFF2/CFF2</v>
          </cell>
          <cell r="V369" t="str">
            <v/>
          </cell>
          <cell r="W369" t="str">
            <v/>
          </cell>
          <cell r="X369">
            <v>1</v>
          </cell>
        </row>
        <row r="370">
          <cell r="A370" t="str">
            <v>TY07</v>
          </cell>
          <cell r="B370" t="str">
            <v>KRA Corporation</v>
          </cell>
          <cell r="C370" t="str">
            <v/>
          </cell>
          <cell r="D370" t="str">
            <v>Keefer</v>
          </cell>
          <cell r="E370" t="str">
            <v>Newman</v>
          </cell>
          <cell r="F370" t="str">
            <v>01</v>
          </cell>
          <cell r="G370" t="str">
            <v>N</v>
          </cell>
          <cell r="H370" t="str">
            <v>N</v>
          </cell>
          <cell r="I370" t="str">
            <v>N</v>
          </cell>
          <cell r="J370" t="str">
            <v>Rates</v>
          </cell>
          <cell r="K370" t="str">
            <v/>
          </cell>
          <cell r="L370" t="str">
            <v>Fully</v>
          </cell>
          <cell r="M370" t="str">
            <v>Savoca</v>
          </cell>
          <cell r="N370" t="str">
            <v>0</v>
          </cell>
          <cell r="O370" t="str">
            <v>09</v>
          </cell>
          <cell r="P370" t="str">
            <v>King, R.</v>
          </cell>
          <cell r="Q370" t="str">
            <v/>
          </cell>
          <cell r="R370" t="str">
            <v>MD</v>
          </cell>
          <cell r="S370">
            <v>50000</v>
          </cell>
          <cell r="T370" t="str">
            <v>HMO/POS/PPO</v>
          </cell>
          <cell r="U370" t="str">
            <v>BFF5/CFF5</v>
          </cell>
          <cell r="V370" t="str">
            <v/>
          </cell>
          <cell r="W370" t="str">
            <v/>
          </cell>
          <cell r="X370">
            <v>1</v>
          </cell>
        </row>
        <row r="371">
          <cell r="A371" t="str">
            <v>6T05</v>
          </cell>
          <cell r="B371" t="str">
            <v xml:space="preserve">Krick Plumbing and Heating Co., Inc.              </v>
          </cell>
          <cell r="C371" t="str">
            <v/>
          </cell>
          <cell r="D371" t="str">
            <v>McCourt</v>
          </cell>
          <cell r="E371" t="str">
            <v>Quade</v>
          </cell>
          <cell r="F371" t="str">
            <v>09</v>
          </cell>
          <cell r="G371" t="str">
            <v>N</v>
          </cell>
          <cell r="H371" t="str">
            <v/>
          </cell>
          <cell r="I371" t="str">
            <v>N</v>
          </cell>
          <cell r="J371" t="str">
            <v>Rates</v>
          </cell>
          <cell r="K371" t="str">
            <v/>
          </cell>
          <cell r="L371" t="str">
            <v>Fully</v>
          </cell>
          <cell r="M371" t="str">
            <v>Henton-Davis</v>
          </cell>
          <cell r="N371" t="str">
            <v>0</v>
          </cell>
          <cell r="O371" t="str">
            <v>05</v>
          </cell>
          <cell r="P371" t="str">
            <v>King, K.</v>
          </cell>
          <cell r="Q371" t="str">
            <v/>
          </cell>
          <cell r="R371" t="str">
            <v>MD</v>
          </cell>
          <cell r="S371">
            <v>50000</v>
          </cell>
          <cell r="T371" t="str">
            <v>HMO/PPO</v>
          </cell>
          <cell r="U371" t="str">
            <v>BFF6/CFF6</v>
          </cell>
          <cell r="V371" t="str">
            <v/>
          </cell>
          <cell r="W371" t="str">
            <v/>
          </cell>
          <cell r="X371">
            <v>1</v>
          </cell>
        </row>
        <row r="372">
          <cell r="A372" t="str">
            <v>7H32</v>
          </cell>
          <cell r="B372" t="str">
            <v xml:space="preserve">L. F.  Jennings,  Inc                             </v>
          </cell>
          <cell r="C372" t="str">
            <v/>
          </cell>
          <cell r="D372" t="str">
            <v>McCourt</v>
          </cell>
          <cell r="E372" t="str">
            <v>Slack</v>
          </cell>
          <cell r="F372" t="str">
            <v>01</v>
          </cell>
          <cell r="G372" t="str">
            <v>N</v>
          </cell>
          <cell r="H372" t="str">
            <v/>
          </cell>
          <cell r="I372" t="str">
            <v>N</v>
          </cell>
          <cell r="J372" t="str">
            <v>Rates</v>
          </cell>
          <cell r="K372" t="str">
            <v/>
          </cell>
          <cell r="L372" t="str">
            <v>Fully</v>
          </cell>
          <cell r="M372" t="str">
            <v>Tartaglia</v>
          </cell>
          <cell r="N372" t="str">
            <v/>
          </cell>
          <cell r="O372" t="str">
            <v>09</v>
          </cell>
          <cell r="P372" t="str">
            <v>Slack</v>
          </cell>
          <cell r="Q372" t="str">
            <v/>
          </cell>
          <cell r="R372" t="str">
            <v>VA</v>
          </cell>
          <cell r="S372">
            <v>50000</v>
          </cell>
          <cell r="T372" t="str">
            <v>HMO/OA/PPO</v>
          </cell>
          <cell r="U372" t="str">
            <v>BFF6/CFF6</v>
          </cell>
          <cell r="V372" t="str">
            <v>Y</v>
          </cell>
          <cell r="W372" t="str">
            <v>1/1/2004</v>
          </cell>
          <cell r="X372">
            <v>1</v>
          </cell>
        </row>
        <row r="373">
          <cell r="A373" t="str">
            <v>PE00</v>
          </cell>
          <cell r="B373" t="str">
            <v>Lab School of Washington (The)</v>
          </cell>
          <cell r="C373" t="str">
            <v/>
          </cell>
          <cell r="D373" t="str">
            <v>McCourt</v>
          </cell>
          <cell r="E373" t="str">
            <v>Slack</v>
          </cell>
          <cell r="F373" t="str">
            <v>07</v>
          </cell>
          <cell r="G373" t="str">
            <v>N</v>
          </cell>
          <cell r="H373" t="str">
            <v>N</v>
          </cell>
          <cell r="I373" t="str">
            <v>N</v>
          </cell>
          <cell r="J373" t="str">
            <v>Rates</v>
          </cell>
          <cell r="K373" t="str">
            <v/>
          </cell>
          <cell r="L373" t="str">
            <v>Fully</v>
          </cell>
          <cell r="M373" t="str">
            <v>Savoca</v>
          </cell>
          <cell r="N373" t="str">
            <v>0</v>
          </cell>
          <cell r="O373" t="str">
            <v>03</v>
          </cell>
          <cell r="P373" t="str">
            <v>Slack</v>
          </cell>
          <cell r="Q373" t="str">
            <v/>
          </cell>
          <cell r="R373" t="str">
            <v>DC</v>
          </cell>
          <cell r="S373">
            <v>50000</v>
          </cell>
          <cell r="T373" t="str">
            <v>POS</v>
          </cell>
          <cell r="U373" t="str">
            <v>CFF6</v>
          </cell>
          <cell r="V373" t="str">
            <v/>
          </cell>
          <cell r="W373" t="str">
            <v/>
          </cell>
          <cell r="X373">
            <v>1</v>
          </cell>
        </row>
        <row r="374">
          <cell r="A374" t="str">
            <v>WA22</v>
          </cell>
          <cell r="B374" t="str">
            <v>Lakewood Country Club</v>
          </cell>
          <cell r="C374" t="str">
            <v/>
          </cell>
          <cell r="D374" t="str">
            <v>Keefer</v>
          </cell>
          <cell r="E374" t="str">
            <v>LaTouche</v>
          </cell>
          <cell r="F374" t="str">
            <v>11</v>
          </cell>
          <cell r="G374" t="str">
            <v>N</v>
          </cell>
          <cell r="H374" t="str">
            <v>N</v>
          </cell>
          <cell r="I374" t="str">
            <v>N</v>
          </cell>
          <cell r="J374" t="str">
            <v>Rates</v>
          </cell>
          <cell r="K374" t="str">
            <v/>
          </cell>
          <cell r="L374" t="str">
            <v>Fully</v>
          </cell>
          <cell r="M374" t="str">
            <v>Dodds</v>
          </cell>
          <cell r="N374" t="str">
            <v>0</v>
          </cell>
          <cell r="O374" t="str">
            <v>07</v>
          </cell>
          <cell r="P374" t="str">
            <v>LaTouche</v>
          </cell>
          <cell r="Q374" t="str">
            <v/>
          </cell>
          <cell r="R374" t="str">
            <v>MD</v>
          </cell>
          <cell r="S374">
            <v>50000</v>
          </cell>
          <cell r="T374" t="str">
            <v>PPO/POS/HMO</v>
          </cell>
          <cell r="U374" t="str">
            <v>BFF5/CFF5</v>
          </cell>
          <cell r="V374" t="str">
            <v/>
          </cell>
          <cell r="W374" t="str">
            <v/>
          </cell>
          <cell r="X374">
            <v>1</v>
          </cell>
        </row>
        <row r="375">
          <cell r="A375" t="str">
            <v>PL04</v>
          </cell>
          <cell r="B375" t="str">
            <v xml:space="preserve">Lan Solutions, Inc.                               </v>
          </cell>
          <cell r="C375" t="str">
            <v/>
          </cell>
          <cell r="D375" t="str">
            <v>Keefer</v>
          </cell>
          <cell r="E375" t="str">
            <v>Johnson</v>
          </cell>
          <cell r="F375" t="str">
            <v>11</v>
          </cell>
          <cell r="G375" t="str">
            <v>N</v>
          </cell>
          <cell r="H375" t="str">
            <v/>
          </cell>
          <cell r="I375" t="str">
            <v>N</v>
          </cell>
          <cell r="J375" t="str">
            <v>Rates</v>
          </cell>
          <cell r="K375" t="str">
            <v/>
          </cell>
          <cell r="L375" t="str">
            <v>Fully</v>
          </cell>
          <cell r="M375" t="str">
            <v>Savoca</v>
          </cell>
          <cell r="N375" t="str">
            <v/>
          </cell>
          <cell r="O375" t="str">
            <v>07</v>
          </cell>
          <cell r="P375" t="str">
            <v/>
          </cell>
          <cell r="Q375" t="str">
            <v/>
          </cell>
          <cell r="R375" t="str">
            <v>VA</v>
          </cell>
          <cell r="S375">
            <v>50000</v>
          </cell>
          <cell r="T375" t="str">
            <v>PPO/HMO</v>
          </cell>
          <cell r="U375" t="str">
            <v>BFF5/CFF5</v>
          </cell>
          <cell r="V375" t="str">
            <v/>
          </cell>
          <cell r="W375" t="str">
            <v/>
          </cell>
          <cell r="X375">
            <v>1</v>
          </cell>
        </row>
        <row r="376">
          <cell r="A376" t="str">
            <v>TX24</v>
          </cell>
          <cell r="B376" t="str">
            <v>Landon School Corporation</v>
          </cell>
          <cell r="C376" t="str">
            <v/>
          </cell>
          <cell r="D376" t="str">
            <v>Keefer</v>
          </cell>
          <cell r="E376" t="str">
            <v>LaTouche</v>
          </cell>
          <cell r="F376" t="str">
            <v>07</v>
          </cell>
          <cell r="G376" t="str">
            <v>N</v>
          </cell>
          <cell r="H376" t="str">
            <v>N</v>
          </cell>
          <cell r="I376" t="str">
            <v>N</v>
          </cell>
          <cell r="J376" t="str">
            <v>Rates</v>
          </cell>
          <cell r="K376" t="str">
            <v/>
          </cell>
          <cell r="L376" t="str">
            <v>Fully</v>
          </cell>
          <cell r="M376" t="str">
            <v>Guessford-Kline</v>
          </cell>
          <cell r="N376" t="str">
            <v>0</v>
          </cell>
          <cell r="O376" t="str">
            <v>03</v>
          </cell>
          <cell r="P376" t="str">
            <v>LaTouche</v>
          </cell>
          <cell r="Q376" t="str">
            <v/>
          </cell>
          <cell r="R376" t="str">
            <v>MD</v>
          </cell>
          <cell r="S376">
            <v>50000</v>
          </cell>
          <cell r="T376" t="str">
            <v>PPO/POS/HMO</v>
          </cell>
          <cell r="U376" t="str">
            <v>BFF6/CFF6</v>
          </cell>
          <cell r="V376" t="str">
            <v/>
          </cell>
          <cell r="W376" t="str">
            <v/>
          </cell>
          <cell r="X376">
            <v>1</v>
          </cell>
        </row>
        <row r="377">
          <cell r="A377" t="str">
            <v>MJ23</v>
          </cell>
          <cell r="B377" t="str">
            <v xml:space="preserve">Latin American Youth Center                       </v>
          </cell>
          <cell r="C377" t="str">
            <v/>
          </cell>
          <cell r="D377" t="str">
            <v>Keefer</v>
          </cell>
          <cell r="E377" t="str">
            <v>Padrutt</v>
          </cell>
          <cell r="F377" t="str">
            <v>11</v>
          </cell>
          <cell r="G377" t="str">
            <v>N</v>
          </cell>
          <cell r="H377" t="str">
            <v/>
          </cell>
          <cell r="I377" t="str">
            <v>N</v>
          </cell>
          <cell r="J377" t="str">
            <v>Rates</v>
          </cell>
          <cell r="K377" t="str">
            <v/>
          </cell>
          <cell r="L377" t="str">
            <v>Fully</v>
          </cell>
          <cell r="M377" t="str">
            <v>Savoca</v>
          </cell>
          <cell r="N377" t="str">
            <v/>
          </cell>
          <cell r="O377" t="str">
            <v>07</v>
          </cell>
          <cell r="P377" t="str">
            <v>Padrutt</v>
          </cell>
          <cell r="Q377" t="str">
            <v/>
          </cell>
          <cell r="R377" t="str">
            <v>DC</v>
          </cell>
          <cell r="S377">
            <v>50000</v>
          </cell>
          <cell r="T377" t="str">
            <v>POE: HMO/Advantage</v>
          </cell>
          <cell r="U377" t="str">
            <v>CFF5</v>
          </cell>
          <cell r="V377" t="str">
            <v>N</v>
          </cell>
          <cell r="W377" t="str">
            <v/>
          </cell>
          <cell r="X377">
            <v>1</v>
          </cell>
        </row>
        <row r="378">
          <cell r="A378" t="str">
            <v>3L96</v>
          </cell>
          <cell r="B378" t="str">
            <v>Laurel Consulting Group, LLC</v>
          </cell>
          <cell r="C378" t="str">
            <v/>
          </cell>
          <cell r="D378" t="str">
            <v>Keefer</v>
          </cell>
          <cell r="E378" t="str">
            <v>Newman</v>
          </cell>
          <cell r="F378" t="str">
            <v>01</v>
          </cell>
          <cell r="G378" t="str">
            <v>N</v>
          </cell>
          <cell r="H378" t="str">
            <v/>
          </cell>
          <cell r="I378" t="str">
            <v>N</v>
          </cell>
          <cell r="J378" t="str">
            <v>Rates</v>
          </cell>
          <cell r="K378" t="str">
            <v/>
          </cell>
          <cell r="L378" t="str">
            <v>Fully</v>
          </cell>
          <cell r="M378" t="str">
            <v>Guessford-Kline</v>
          </cell>
          <cell r="N378" t="str">
            <v>0</v>
          </cell>
          <cell r="O378" t="str">
            <v>09</v>
          </cell>
          <cell r="P378" t="str">
            <v>King, R.</v>
          </cell>
          <cell r="Q378" t="str">
            <v/>
          </cell>
          <cell r="R378" t="str">
            <v>MD</v>
          </cell>
          <cell r="S378">
            <v>50000</v>
          </cell>
          <cell r="T378" t="str">
            <v>PPO/POS/HMO</v>
          </cell>
          <cell r="U378" t="str">
            <v>BFF5/CFF5</v>
          </cell>
          <cell r="V378" t="str">
            <v/>
          </cell>
          <cell r="W378" t="str">
            <v/>
          </cell>
          <cell r="X378">
            <v>1</v>
          </cell>
        </row>
        <row r="379">
          <cell r="A379" t="str">
            <v>0EFM</v>
          </cell>
          <cell r="B379" t="str">
            <v xml:space="preserve">LEADS Corporation                                 </v>
          </cell>
          <cell r="C379" t="str">
            <v/>
          </cell>
          <cell r="D379" t="str">
            <v>McCourt</v>
          </cell>
          <cell r="E379" t="str">
            <v>Mugo</v>
          </cell>
          <cell r="F379" t="str">
            <v>02</v>
          </cell>
          <cell r="G379" t="str">
            <v>N</v>
          </cell>
          <cell r="H379" t="str">
            <v/>
          </cell>
          <cell r="I379" t="str">
            <v>N</v>
          </cell>
          <cell r="J379" t="str">
            <v>Rates</v>
          </cell>
          <cell r="K379" t="str">
            <v/>
          </cell>
          <cell r="L379" t="str">
            <v>Fully</v>
          </cell>
          <cell r="M379" t="str">
            <v>Thomas</v>
          </cell>
          <cell r="N379" t="str">
            <v/>
          </cell>
          <cell r="O379" t="str">
            <v>10</v>
          </cell>
          <cell r="P379" t="str">
            <v/>
          </cell>
          <cell r="Q379" t="str">
            <v/>
          </cell>
          <cell r="R379" t="str">
            <v>VA</v>
          </cell>
          <cell r="S379">
            <v>0</v>
          </cell>
          <cell r="T379" t="str">
            <v>POE: Triple Option POE package</v>
          </cell>
          <cell r="U379" t="str">
            <v>CFF5</v>
          </cell>
          <cell r="V379" t="str">
            <v>Y</v>
          </cell>
          <cell r="W379" t="str">
            <v>2/1/2005</v>
          </cell>
          <cell r="X379">
            <v>1</v>
          </cell>
        </row>
        <row r="380">
          <cell r="A380" t="str">
            <v>TA34</v>
          </cell>
          <cell r="B380" t="str">
            <v xml:space="preserve">League of Conservation Voters                     </v>
          </cell>
          <cell r="C380" t="str">
            <v/>
          </cell>
          <cell r="D380" t="str">
            <v>McCourt</v>
          </cell>
          <cell r="E380" t="str">
            <v>Mugo</v>
          </cell>
          <cell r="F380" t="str">
            <v>04</v>
          </cell>
          <cell r="G380" t="str">
            <v>N</v>
          </cell>
          <cell r="H380" t="str">
            <v/>
          </cell>
          <cell r="I380" t="str">
            <v>N</v>
          </cell>
          <cell r="J380" t="str">
            <v>Rates</v>
          </cell>
          <cell r="K380" t="str">
            <v/>
          </cell>
          <cell r="L380" t="str">
            <v>Fully</v>
          </cell>
          <cell r="M380" t="str">
            <v>Guessford-Kline</v>
          </cell>
          <cell r="N380" t="str">
            <v/>
          </cell>
          <cell r="O380" t="str">
            <v>12</v>
          </cell>
          <cell r="P380" t="str">
            <v/>
          </cell>
          <cell r="Q380" t="str">
            <v/>
          </cell>
          <cell r="R380" t="str">
            <v>DC</v>
          </cell>
          <cell r="S380">
            <v>50000</v>
          </cell>
          <cell r="T380" t="str">
            <v>POS/PPO</v>
          </cell>
          <cell r="U380" t="str">
            <v>BFF5</v>
          </cell>
          <cell r="V380" t="str">
            <v/>
          </cell>
          <cell r="W380" t="str">
            <v/>
          </cell>
          <cell r="X380">
            <v>1</v>
          </cell>
        </row>
        <row r="381">
          <cell r="A381" t="str">
            <v>07H2</v>
          </cell>
          <cell r="B381" t="str">
            <v>Lebanese Taverna</v>
          </cell>
          <cell r="C381" t="str">
            <v/>
          </cell>
          <cell r="D381" t="str">
            <v>Keefer</v>
          </cell>
          <cell r="E381" t="str">
            <v>Burba</v>
          </cell>
          <cell r="F381" t="str">
            <v>11</v>
          </cell>
          <cell r="G381" t="str">
            <v>N</v>
          </cell>
          <cell r="H381" t="str">
            <v/>
          </cell>
          <cell r="I381" t="str">
            <v>N</v>
          </cell>
          <cell r="J381" t="str">
            <v>Rates</v>
          </cell>
          <cell r="K381" t="str">
            <v/>
          </cell>
          <cell r="L381" t="str">
            <v>Fully</v>
          </cell>
          <cell r="M381" t="str">
            <v>Cosby</v>
          </cell>
          <cell r="N381" t="str">
            <v/>
          </cell>
          <cell r="O381" t="str">
            <v>07</v>
          </cell>
          <cell r="P381" t="str">
            <v/>
          </cell>
          <cell r="Q381" t="str">
            <v/>
          </cell>
          <cell r="R381" t="str">
            <v>VA</v>
          </cell>
          <cell r="S381">
            <v>50000</v>
          </cell>
          <cell r="T381" t="str">
            <v>HMO/OA/PPO</v>
          </cell>
          <cell r="U381" t="str">
            <v>BFF5/CFF5</v>
          </cell>
          <cell r="V381" t="str">
            <v>Y</v>
          </cell>
          <cell r="W381" t="str">
            <v>11/1/2004</v>
          </cell>
          <cell r="X381">
            <v>1</v>
          </cell>
        </row>
        <row r="382">
          <cell r="A382" t="str">
            <v>C983</v>
          </cell>
          <cell r="B382" t="str">
            <v>Legal Services Corporation</v>
          </cell>
          <cell r="C382" t="str">
            <v/>
          </cell>
          <cell r="D382" t="str">
            <v>McCourt</v>
          </cell>
          <cell r="E382" t="str">
            <v>Rutkowski</v>
          </cell>
          <cell r="F382" t="str">
            <v>01</v>
          </cell>
          <cell r="G382" t="str">
            <v>N</v>
          </cell>
          <cell r="H382" t="str">
            <v>N</v>
          </cell>
          <cell r="I382" t="str">
            <v>N</v>
          </cell>
          <cell r="J382" t="str">
            <v>Rates</v>
          </cell>
          <cell r="K382" t="str">
            <v/>
          </cell>
          <cell r="L382" t="str">
            <v>Fully</v>
          </cell>
          <cell r="M382" t="str">
            <v>Guessford-Kline</v>
          </cell>
          <cell r="N382" t="str">
            <v>0</v>
          </cell>
          <cell r="O382" t="str">
            <v>09</v>
          </cell>
          <cell r="P382" t="str">
            <v>Rutkowski</v>
          </cell>
          <cell r="Q382" t="str">
            <v/>
          </cell>
          <cell r="R382" t="str">
            <v>DC</v>
          </cell>
          <cell r="S382">
            <v>50000</v>
          </cell>
          <cell r="T382" t="str">
            <v>POS</v>
          </cell>
          <cell r="U382" t="str">
            <v>BFF5/CFF5</v>
          </cell>
          <cell r="V382" t="str">
            <v/>
          </cell>
          <cell r="W382" t="str">
            <v/>
          </cell>
          <cell r="X382">
            <v>1</v>
          </cell>
        </row>
        <row r="383">
          <cell r="A383" t="str">
            <v>3M26</v>
          </cell>
          <cell r="B383" t="str">
            <v>Lemek Panera Bread</v>
          </cell>
          <cell r="C383" t="str">
            <v/>
          </cell>
          <cell r="D383" t="str">
            <v>McCourt</v>
          </cell>
          <cell r="E383" t="str">
            <v>Rutkowski</v>
          </cell>
          <cell r="F383" t="str">
            <v>08</v>
          </cell>
          <cell r="G383" t="str">
            <v>N</v>
          </cell>
          <cell r="H383" t="str">
            <v/>
          </cell>
          <cell r="I383" t="str">
            <v>N</v>
          </cell>
          <cell r="J383" t="str">
            <v>Rates</v>
          </cell>
          <cell r="K383" t="str">
            <v/>
          </cell>
          <cell r="L383" t="str">
            <v>Fully</v>
          </cell>
          <cell r="M383" t="str">
            <v>Lewis</v>
          </cell>
          <cell r="N383" t="str">
            <v>0</v>
          </cell>
          <cell r="O383" t="str">
            <v>04</v>
          </cell>
          <cell r="P383" t="str">
            <v>Rutkowski</v>
          </cell>
          <cell r="Q383" t="str">
            <v/>
          </cell>
          <cell r="R383" t="str">
            <v>MD</v>
          </cell>
          <cell r="S383">
            <v>50000</v>
          </cell>
          <cell r="T383" t="str">
            <v>POS/PPO/HMO</v>
          </cell>
          <cell r="U383" t="str">
            <v>BFF5/CFF5</v>
          </cell>
          <cell r="V383" t="str">
            <v/>
          </cell>
          <cell r="W383" t="str">
            <v/>
          </cell>
          <cell r="X383">
            <v>1</v>
          </cell>
        </row>
        <row r="384">
          <cell r="A384" t="str">
            <v>XU52</v>
          </cell>
          <cell r="B384" t="str">
            <v xml:space="preserve">Lerch, Early, &amp; Brewer, Chartered                 </v>
          </cell>
          <cell r="C384" t="str">
            <v/>
          </cell>
          <cell r="D384" t="str">
            <v>Keefer</v>
          </cell>
          <cell r="E384" t="str">
            <v>Newman</v>
          </cell>
          <cell r="F384" t="str">
            <v>08</v>
          </cell>
          <cell r="G384" t="str">
            <v>N</v>
          </cell>
          <cell r="H384" t="str">
            <v/>
          </cell>
          <cell r="I384" t="str">
            <v>N</v>
          </cell>
          <cell r="J384" t="str">
            <v>Rates</v>
          </cell>
          <cell r="K384" t="str">
            <v/>
          </cell>
          <cell r="L384" t="str">
            <v>Fully</v>
          </cell>
          <cell r="M384" t="str">
            <v>Savoca</v>
          </cell>
          <cell r="N384" t="str">
            <v/>
          </cell>
          <cell r="O384" t="str">
            <v>04</v>
          </cell>
          <cell r="P384" t="str">
            <v>Burba</v>
          </cell>
          <cell r="Q384" t="str">
            <v/>
          </cell>
          <cell r="R384" t="str">
            <v>MD</v>
          </cell>
          <cell r="S384">
            <v>50000</v>
          </cell>
          <cell r="T384" t="str">
            <v>PPO/HMO</v>
          </cell>
          <cell r="U384" t="str">
            <v>BFF5/CFF5</v>
          </cell>
          <cell r="V384" t="str">
            <v/>
          </cell>
          <cell r="W384" t="str">
            <v/>
          </cell>
          <cell r="X384">
            <v>1</v>
          </cell>
        </row>
        <row r="385">
          <cell r="A385" t="str">
            <v>UT80</v>
          </cell>
          <cell r="B385" t="str">
            <v xml:space="preserve">Levine School of Music                            </v>
          </cell>
          <cell r="C385" t="str">
            <v/>
          </cell>
          <cell r="D385" t="str">
            <v>Keefer</v>
          </cell>
          <cell r="E385" t="str">
            <v>Newman</v>
          </cell>
          <cell r="F385" t="str">
            <v>10</v>
          </cell>
          <cell r="G385" t="str">
            <v>N</v>
          </cell>
          <cell r="H385" t="str">
            <v/>
          </cell>
          <cell r="I385" t="str">
            <v>N</v>
          </cell>
          <cell r="J385" t="str">
            <v>Rates</v>
          </cell>
          <cell r="K385" t="str">
            <v/>
          </cell>
          <cell r="L385" t="str">
            <v>Fully</v>
          </cell>
          <cell r="M385" t="str">
            <v>Rutkowski</v>
          </cell>
          <cell r="N385" t="str">
            <v/>
          </cell>
          <cell r="O385" t="str">
            <v>06</v>
          </cell>
          <cell r="P385" t="str">
            <v/>
          </cell>
          <cell r="Q385" t="str">
            <v/>
          </cell>
          <cell r="R385" t="str">
            <v>DC</v>
          </cell>
          <cell r="S385">
            <v>50000</v>
          </cell>
          <cell r="T385" t="str">
            <v>PPO/OA/HMO</v>
          </cell>
          <cell r="U385" t="str">
            <v>BFF5/CFF5</v>
          </cell>
          <cell r="V385" t="str">
            <v/>
          </cell>
          <cell r="W385" t="str">
            <v/>
          </cell>
          <cell r="X385">
            <v>1</v>
          </cell>
        </row>
        <row r="386">
          <cell r="A386" t="str">
            <v>UW91</v>
          </cell>
          <cell r="B386" t="str">
            <v>Lincoln Hockey</v>
          </cell>
          <cell r="C386" t="str">
            <v/>
          </cell>
          <cell r="D386" t="str">
            <v>Keefer</v>
          </cell>
          <cell r="E386" t="str">
            <v>Johnson</v>
          </cell>
          <cell r="F386" t="str">
            <v>01</v>
          </cell>
          <cell r="G386" t="str">
            <v>N</v>
          </cell>
          <cell r="H386" t="str">
            <v>N</v>
          </cell>
          <cell r="I386" t="str">
            <v>N</v>
          </cell>
          <cell r="J386" t="str">
            <v>Rates</v>
          </cell>
          <cell r="K386" t="str">
            <v/>
          </cell>
          <cell r="L386" t="str">
            <v>Fully</v>
          </cell>
          <cell r="M386" t="str">
            <v>Dodds</v>
          </cell>
          <cell r="N386" t="str">
            <v>0</v>
          </cell>
          <cell r="O386" t="str">
            <v>09</v>
          </cell>
          <cell r="P386" t="str">
            <v>Taylor</v>
          </cell>
          <cell r="Q386" t="str">
            <v/>
          </cell>
          <cell r="R386" t="str">
            <v>DC</v>
          </cell>
          <cell r="S386">
            <v>50000</v>
          </cell>
          <cell r="T386" t="str">
            <v>HMO/POS/PPO</v>
          </cell>
          <cell r="U386" t="str">
            <v>BFF5/CFF5</v>
          </cell>
          <cell r="V386" t="str">
            <v/>
          </cell>
          <cell r="W386" t="str">
            <v/>
          </cell>
          <cell r="X386">
            <v>1</v>
          </cell>
        </row>
        <row r="387">
          <cell r="A387" t="str">
            <v>QJ52</v>
          </cell>
          <cell r="B387" t="str">
            <v>Lincolnia Educational Foundation, Inc.</v>
          </cell>
          <cell r="C387" t="str">
            <v/>
          </cell>
          <cell r="D387" t="str">
            <v>Keefer</v>
          </cell>
          <cell r="E387" t="str">
            <v>Anderson</v>
          </cell>
          <cell r="F387" t="str">
            <v>11</v>
          </cell>
          <cell r="G387" t="str">
            <v>N</v>
          </cell>
          <cell r="H387" t="str">
            <v/>
          </cell>
          <cell r="I387" t="str">
            <v>N</v>
          </cell>
          <cell r="J387" t="str">
            <v>Rates</v>
          </cell>
          <cell r="K387" t="str">
            <v/>
          </cell>
          <cell r="L387" t="str">
            <v>Fully</v>
          </cell>
          <cell r="M387" t="str">
            <v>Guessford-Kline</v>
          </cell>
          <cell r="N387" t="str">
            <v>0</v>
          </cell>
          <cell r="O387" t="str">
            <v>07</v>
          </cell>
          <cell r="P387" t="str">
            <v/>
          </cell>
          <cell r="Q387" t="str">
            <v/>
          </cell>
          <cell r="R387" t="str">
            <v>VA</v>
          </cell>
          <cell r="S387">
            <v>50000</v>
          </cell>
          <cell r="T387" t="str">
            <v>POS RX</v>
          </cell>
          <cell r="U387" t="str">
            <v>BFF5</v>
          </cell>
          <cell r="V387" t="str">
            <v>Y</v>
          </cell>
          <cell r="W387" t="str">
            <v>11/1/2002</v>
          </cell>
          <cell r="X387">
            <v>1</v>
          </cell>
        </row>
        <row r="388">
          <cell r="A388" t="str">
            <v>7L50</v>
          </cell>
          <cell r="B388" t="str">
            <v>Lindsay Cadillac</v>
          </cell>
          <cell r="C388" t="str">
            <v/>
          </cell>
          <cell r="D388" t="str">
            <v>Keefer</v>
          </cell>
          <cell r="E388" t="str">
            <v>Taylor</v>
          </cell>
          <cell r="F388" t="str">
            <v>01</v>
          </cell>
          <cell r="G388" t="str">
            <v/>
          </cell>
          <cell r="H388" t="str">
            <v/>
          </cell>
          <cell r="I388" t="str">
            <v/>
          </cell>
          <cell r="J388" t="str">
            <v>Rates</v>
          </cell>
          <cell r="K388" t="str">
            <v/>
          </cell>
          <cell r="L388" t="str">
            <v>Fully</v>
          </cell>
          <cell r="M388" t="str">
            <v>Housman</v>
          </cell>
          <cell r="N388" t="str">
            <v/>
          </cell>
          <cell r="O388" t="str">
            <v>09</v>
          </cell>
          <cell r="P388" t="str">
            <v/>
          </cell>
          <cell r="Q388" t="str">
            <v/>
          </cell>
          <cell r="R388" t="str">
            <v>VA</v>
          </cell>
          <cell r="S388">
            <v>50000</v>
          </cell>
          <cell r="T388" t="str">
            <v>HMO PPO Rx</v>
          </cell>
          <cell r="U388" t="str">
            <v>BFF6 CFF6</v>
          </cell>
          <cell r="V388" t="str">
            <v>Y</v>
          </cell>
          <cell r="W388" t="str">
            <v>1/1/2005</v>
          </cell>
          <cell r="X388">
            <v>1</v>
          </cell>
        </row>
        <row r="389">
          <cell r="A389" t="str">
            <v>TY08</v>
          </cell>
          <cell r="B389" t="str">
            <v xml:space="preserve">Lindsay Chevrolet, LLC                            </v>
          </cell>
          <cell r="C389" t="str">
            <v/>
          </cell>
          <cell r="D389" t="str">
            <v>McCourt</v>
          </cell>
          <cell r="E389" t="str">
            <v>Quade</v>
          </cell>
          <cell r="F389" t="str">
            <v>03</v>
          </cell>
          <cell r="G389" t="str">
            <v>N</v>
          </cell>
          <cell r="H389" t="str">
            <v/>
          </cell>
          <cell r="I389" t="str">
            <v>N</v>
          </cell>
          <cell r="J389" t="str">
            <v>Rates</v>
          </cell>
          <cell r="K389" t="str">
            <v/>
          </cell>
          <cell r="L389" t="str">
            <v>Fully</v>
          </cell>
          <cell r="M389" t="str">
            <v>Henton-Davis</v>
          </cell>
          <cell r="N389" t="str">
            <v/>
          </cell>
          <cell r="O389" t="str">
            <v>11</v>
          </cell>
          <cell r="P389" t="str">
            <v/>
          </cell>
          <cell r="Q389" t="str">
            <v/>
          </cell>
          <cell r="R389" t="str">
            <v>VA</v>
          </cell>
          <cell r="S389">
            <v>50000</v>
          </cell>
          <cell r="T389" t="str">
            <v>Opt-Out</v>
          </cell>
          <cell r="U389" t="str">
            <v>CFF5</v>
          </cell>
          <cell r="V389" t="str">
            <v/>
          </cell>
          <cell r="W389" t="str">
            <v/>
          </cell>
          <cell r="X389">
            <v>1</v>
          </cell>
        </row>
        <row r="390">
          <cell r="A390" t="str">
            <v>3F72</v>
          </cell>
          <cell r="B390" t="str">
            <v>Linowes &amp; Blocher</v>
          </cell>
          <cell r="C390" t="str">
            <v/>
          </cell>
          <cell r="D390" t="str">
            <v>McCourt</v>
          </cell>
          <cell r="E390" t="str">
            <v>Quade</v>
          </cell>
          <cell r="F390" t="str">
            <v>01</v>
          </cell>
          <cell r="G390" t="str">
            <v>N</v>
          </cell>
          <cell r="H390" t="str">
            <v>N</v>
          </cell>
          <cell r="I390" t="str">
            <v>N</v>
          </cell>
          <cell r="J390" t="str">
            <v>Rates</v>
          </cell>
          <cell r="K390" t="str">
            <v/>
          </cell>
          <cell r="L390" t="str">
            <v>Fully</v>
          </cell>
          <cell r="M390" t="str">
            <v>Wise</v>
          </cell>
          <cell r="N390" t="str">
            <v>0</v>
          </cell>
          <cell r="O390" t="str">
            <v>09</v>
          </cell>
          <cell r="P390" t="str">
            <v/>
          </cell>
          <cell r="Q390" t="str">
            <v/>
          </cell>
          <cell r="R390" t="str">
            <v>MD</v>
          </cell>
          <cell r="S390">
            <v>50000</v>
          </cell>
          <cell r="T390" t="str">
            <v>HMO/POS/PPO</v>
          </cell>
          <cell r="U390" t="str">
            <v>BFF5/CFF5</v>
          </cell>
          <cell r="V390" t="str">
            <v/>
          </cell>
          <cell r="W390" t="str">
            <v/>
          </cell>
          <cell r="X390">
            <v>1</v>
          </cell>
        </row>
        <row r="391">
          <cell r="A391" t="str">
            <v>QJ01</v>
          </cell>
          <cell r="B391" t="str">
            <v>Livingston Fire Protection, Inc.</v>
          </cell>
          <cell r="C391" t="str">
            <v/>
          </cell>
          <cell r="D391" t="str">
            <v>Keefer</v>
          </cell>
          <cell r="E391" t="str">
            <v>Anderson</v>
          </cell>
          <cell r="F391" t="str">
            <v>08</v>
          </cell>
          <cell r="G391" t="str">
            <v/>
          </cell>
          <cell r="H391" t="str">
            <v/>
          </cell>
          <cell r="I391" t="str">
            <v/>
          </cell>
          <cell r="J391" t="str">
            <v/>
          </cell>
          <cell r="K391" t="str">
            <v/>
          </cell>
          <cell r="L391" t="str">
            <v>Fully</v>
          </cell>
          <cell r="M391" t="str">
            <v>Swears</v>
          </cell>
          <cell r="N391" t="str">
            <v/>
          </cell>
          <cell r="O391" t="str">
            <v>04</v>
          </cell>
          <cell r="P391" t="str">
            <v>King, R.</v>
          </cell>
          <cell r="Q391" t="str">
            <v/>
          </cell>
          <cell r="R391" t="str">
            <v>MD</v>
          </cell>
          <cell r="S391">
            <v>50000</v>
          </cell>
          <cell r="T391" t="str">
            <v>HMO POS PPO Rx</v>
          </cell>
          <cell r="U391" t="str">
            <v>BFF5/CFF5</v>
          </cell>
          <cell r="V391" t="str">
            <v/>
          </cell>
          <cell r="W391" t="str">
            <v>8/1/2002</v>
          </cell>
          <cell r="X391">
            <v>1</v>
          </cell>
        </row>
        <row r="392">
          <cell r="A392" t="str">
            <v>6J20</v>
          </cell>
          <cell r="B392" t="str">
            <v>Logical Technical Services Corporation</v>
          </cell>
          <cell r="C392" t="str">
            <v/>
          </cell>
          <cell r="D392" t="str">
            <v>Keefer</v>
          </cell>
          <cell r="E392" t="str">
            <v>Padrutt</v>
          </cell>
          <cell r="F392" t="str">
            <v>01</v>
          </cell>
          <cell r="G392" t="str">
            <v>N</v>
          </cell>
          <cell r="H392" t="str">
            <v/>
          </cell>
          <cell r="I392" t="str">
            <v>N</v>
          </cell>
          <cell r="J392" t="str">
            <v>Rates</v>
          </cell>
          <cell r="K392" t="str">
            <v/>
          </cell>
          <cell r="L392" t="str">
            <v>Fully</v>
          </cell>
          <cell r="M392" t="str">
            <v>Guessford-Kline</v>
          </cell>
          <cell r="N392" t="str">
            <v>0</v>
          </cell>
          <cell r="O392" t="str">
            <v>09</v>
          </cell>
          <cell r="P392" t="str">
            <v>Padrutt</v>
          </cell>
          <cell r="Q392" t="str">
            <v/>
          </cell>
          <cell r="R392" t="str">
            <v>MD</v>
          </cell>
          <cell r="S392">
            <v>50000</v>
          </cell>
          <cell r="T392" t="str">
            <v>HMO/PPO</v>
          </cell>
          <cell r="U392" t="str">
            <v>BFF6/CFF6</v>
          </cell>
          <cell r="V392" t="str">
            <v/>
          </cell>
          <cell r="W392" t="str">
            <v/>
          </cell>
          <cell r="X392">
            <v>1</v>
          </cell>
        </row>
        <row r="393">
          <cell r="A393" t="str">
            <v>WF05</v>
          </cell>
          <cell r="B393" t="str">
            <v>Logistics Applications</v>
          </cell>
          <cell r="C393" t="str">
            <v/>
          </cell>
          <cell r="D393" t="str">
            <v>Keefer</v>
          </cell>
          <cell r="E393" t="str">
            <v>Padrutt</v>
          </cell>
          <cell r="F393" t="str">
            <v>11</v>
          </cell>
          <cell r="G393" t="str">
            <v>N</v>
          </cell>
          <cell r="H393" t="str">
            <v>N</v>
          </cell>
          <cell r="I393" t="str">
            <v>N</v>
          </cell>
          <cell r="J393" t="str">
            <v>Rates</v>
          </cell>
          <cell r="K393" t="str">
            <v/>
          </cell>
          <cell r="L393" t="str">
            <v>Fully</v>
          </cell>
          <cell r="M393" t="str">
            <v>Dodds</v>
          </cell>
          <cell r="N393" t="str">
            <v>0</v>
          </cell>
          <cell r="O393" t="str">
            <v>07</v>
          </cell>
          <cell r="P393" t="str">
            <v>Padrutt</v>
          </cell>
          <cell r="Q393" t="str">
            <v/>
          </cell>
          <cell r="R393" t="str">
            <v>VA</v>
          </cell>
          <cell r="S393">
            <v>50000</v>
          </cell>
          <cell r="T393" t="str">
            <v>PPO/HMO/POS</v>
          </cell>
          <cell r="U393" t="str">
            <v>BFF6/CFF6</v>
          </cell>
          <cell r="V393" t="str">
            <v/>
          </cell>
          <cell r="W393" t="str">
            <v/>
          </cell>
          <cell r="X393">
            <v>1</v>
          </cell>
        </row>
        <row r="394">
          <cell r="A394" t="str">
            <v>MR12</v>
          </cell>
          <cell r="B394" t="str">
            <v>Logistics Management Institute(includes 7915 eff</v>
          </cell>
          <cell r="C394" t="str">
            <v/>
          </cell>
          <cell r="D394" t="str">
            <v>Keefer</v>
          </cell>
          <cell r="E394" t="str">
            <v>Taylor</v>
          </cell>
          <cell r="F394" t="str">
            <v>01</v>
          </cell>
          <cell r="G394" t="str">
            <v>N</v>
          </cell>
          <cell r="H394" t="str">
            <v>N</v>
          </cell>
          <cell r="I394" t="str">
            <v>N</v>
          </cell>
          <cell r="J394" t="str">
            <v>Rates</v>
          </cell>
          <cell r="K394" t="str">
            <v/>
          </cell>
          <cell r="L394" t="str">
            <v>Fully</v>
          </cell>
          <cell r="M394" t="str">
            <v>Jordan</v>
          </cell>
          <cell r="N394" t="str">
            <v>0</v>
          </cell>
          <cell r="O394" t="str">
            <v>08</v>
          </cell>
          <cell r="P394" t="str">
            <v>Taylor</v>
          </cell>
          <cell r="Q394" t="str">
            <v/>
          </cell>
          <cell r="R394" t="str">
            <v>VA</v>
          </cell>
          <cell r="S394">
            <v>75000</v>
          </cell>
          <cell r="T394" t="str">
            <v>POS/HMO</v>
          </cell>
          <cell r="U394" t="str">
            <v>BFF7/CFF7</v>
          </cell>
          <cell r="V394" t="str">
            <v/>
          </cell>
          <cell r="W394" t="str">
            <v/>
          </cell>
          <cell r="X394">
            <v>1</v>
          </cell>
        </row>
        <row r="395">
          <cell r="A395" t="str">
            <v>7H00</v>
          </cell>
          <cell r="B395" t="str">
            <v xml:space="preserve">Lulac National Educational Service Centers, Inc   </v>
          </cell>
          <cell r="C395" t="str">
            <v/>
          </cell>
          <cell r="D395" t="str">
            <v>McCourt</v>
          </cell>
          <cell r="E395" t="str">
            <v>Quade</v>
          </cell>
          <cell r="F395" t="str">
            <v>07</v>
          </cell>
          <cell r="G395" t="str">
            <v>N</v>
          </cell>
          <cell r="H395" t="str">
            <v/>
          </cell>
          <cell r="I395" t="str">
            <v>N</v>
          </cell>
          <cell r="J395" t="str">
            <v>Rates</v>
          </cell>
          <cell r="K395" t="str">
            <v/>
          </cell>
          <cell r="L395" t="str">
            <v>Fully</v>
          </cell>
          <cell r="M395" t="str">
            <v>Henton-Davis</v>
          </cell>
          <cell r="N395" t="str">
            <v/>
          </cell>
          <cell r="O395" t="str">
            <v>03</v>
          </cell>
          <cell r="P395" t="str">
            <v/>
          </cell>
          <cell r="Q395" t="str">
            <v/>
          </cell>
          <cell r="R395" t="str">
            <v>DC</v>
          </cell>
          <cell r="S395">
            <v>0</v>
          </cell>
          <cell r="T395" t="str">
            <v>HMO/POS/PPO</v>
          </cell>
          <cell r="U395" t="str">
            <v>BFF5/CFF5</v>
          </cell>
          <cell r="V395" t="str">
            <v>Y</v>
          </cell>
          <cell r="W395" t="str">
            <v>7/1/2003</v>
          </cell>
          <cell r="X395">
            <v>1</v>
          </cell>
        </row>
        <row r="396">
          <cell r="A396" t="str">
            <v>7A31</v>
          </cell>
          <cell r="B396" t="str">
            <v xml:space="preserve">M &amp; I Seafood, Inc.                               </v>
          </cell>
          <cell r="C396" t="str">
            <v/>
          </cell>
          <cell r="D396" t="str">
            <v>McCourt</v>
          </cell>
          <cell r="E396" t="str">
            <v>Slack</v>
          </cell>
          <cell r="F396" t="str">
            <v>10</v>
          </cell>
          <cell r="G396" t="str">
            <v>N</v>
          </cell>
          <cell r="H396" t="str">
            <v/>
          </cell>
          <cell r="I396" t="str">
            <v>N</v>
          </cell>
          <cell r="J396" t="str">
            <v>Rates</v>
          </cell>
          <cell r="K396" t="str">
            <v/>
          </cell>
          <cell r="L396" t="str">
            <v>Fully</v>
          </cell>
          <cell r="M396" t="str">
            <v>Chopper</v>
          </cell>
          <cell r="N396" t="str">
            <v/>
          </cell>
          <cell r="O396" t="str">
            <v>06</v>
          </cell>
          <cell r="P396" t="str">
            <v>Slack</v>
          </cell>
          <cell r="Q396" t="str">
            <v/>
          </cell>
          <cell r="R396" t="str">
            <v>MD</v>
          </cell>
          <cell r="S396">
            <v>50000</v>
          </cell>
          <cell r="T396" t="str">
            <v>POS/HMO</v>
          </cell>
          <cell r="U396" t="str">
            <v>BFF5/CFF5</v>
          </cell>
          <cell r="V396" t="str">
            <v/>
          </cell>
          <cell r="W396" t="str">
            <v/>
          </cell>
          <cell r="X396">
            <v>1</v>
          </cell>
        </row>
        <row r="397">
          <cell r="A397" t="str">
            <v>YB38</v>
          </cell>
          <cell r="B397" t="str">
            <v>M2 Worldwide Corporation</v>
          </cell>
          <cell r="C397" t="str">
            <v/>
          </cell>
          <cell r="D397" t="str">
            <v>McCourt</v>
          </cell>
          <cell r="E397" t="str">
            <v>Rutkowski</v>
          </cell>
          <cell r="F397" t="str">
            <v>09</v>
          </cell>
          <cell r="G397" t="str">
            <v>N</v>
          </cell>
          <cell r="H397" t="str">
            <v/>
          </cell>
          <cell r="I397" t="str">
            <v>N</v>
          </cell>
          <cell r="J397" t="str">
            <v>Rates</v>
          </cell>
          <cell r="K397" t="str">
            <v/>
          </cell>
          <cell r="L397" t="str">
            <v>Fully</v>
          </cell>
          <cell r="M397" t="str">
            <v>Wise</v>
          </cell>
          <cell r="N397" t="str">
            <v/>
          </cell>
          <cell r="O397" t="str">
            <v>05</v>
          </cell>
          <cell r="P397" t="str">
            <v>Rutkowski</v>
          </cell>
          <cell r="Q397" t="str">
            <v/>
          </cell>
          <cell r="R397" t="str">
            <v>MD</v>
          </cell>
          <cell r="S397">
            <v>50000</v>
          </cell>
          <cell r="T397" t="str">
            <v>PPO/HMO</v>
          </cell>
          <cell r="U397" t="str">
            <v>CFF5</v>
          </cell>
          <cell r="V397" t="str">
            <v/>
          </cell>
          <cell r="W397" t="str">
            <v/>
          </cell>
          <cell r="X397">
            <v>1</v>
          </cell>
        </row>
        <row r="398">
          <cell r="A398" t="str">
            <v>0C9W</v>
          </cell>
          <cell r="B398" t="str">
            <v xml:space="preserve">Magruder Holdings, Inc.                           </v>
          </cell>
          <cell r="C398" t="str">
            <v/>
          </cell>
          <cell r="D398" t="str">
            <v>Keefer</v>
          </cell>
          <cell r="E398" t="str">
            <v>Newman</v>
          </cell>
          <cell r="F398" t="str">
            <v>03</v>
          </cell>
          <cell r="G398" t="str">
            <v>N</v>
          </cell>
          <cell r="H398" t="str">
            <v/>
          </cell>
          <cell r="I398" t="str">
            <v>N</v>
          </cell>
          <cell r="J398" t="str">
            <v>Rates</v>
          </cell>
          <cell r="K398" t="str">
            <v/>
          </cell>
          <cell r="L398" t="str">
            <v>Fully</v>
          </cell>
          <cell r="M398" t="str">
            <v/>
          </cell>
          <cell r="N398" t="str">
            <v/>
          </cell>
          <cell r="O398" t="str">
            <v>11</v>
          </cell>
          <cell r="P398" t="str">
            <v/>
          </cell>
          <cell r="Q398" t="str">
            <v/>
          </cell>
          <cell r="R398" t="str">
            <v>MD</v>
          </cell>
          <cell r="S398">
            <v>50000</v>
          </cell>
          <cell r="T398" t="str">
            <v>POE: Triple Option POE package</v>
          </cell>
          <cell r="U398" t="str">
            <v>BFF5 CFF5</v>
          </cell>
          <cell r="V398" t="str">
            <v>Y</v>
          </cell>
          <cell r="W398" t="str">
            <v>3/1/2005</v>
          </cell>
          <cell r="X398">
            <v>1</v>
          </cell>
        </row>
        <row r="399">
          <cell r="A399" t="str">
            <v>SG75</v>
          </cell>
          <cell r="B399" t="str">
            <v>Management Systems International</v>
          </cell>
          <cell r="C399" t="str">
            <v/>
          </cell>
          <cell r="D399" t="str">
            <v>Keefer</v>
          </cell>
          <cell r="E399" t="str">
            <v>Newman</v>
          </cell>
          <cell r="F399" t="str">
            <v>04</v>
          </cell>
          <cell r="G399" t="str">
            <v>N</v>
          </cell>
          <cell r="H399" t="str">
            <v>N</v>
          </cell>
          <cell r="I399" t="str">
            <v>N</v>
          </cell>
          <cell r="J399" t="str">
            <v>Rates</v>
          </cell>
          <cell r="K399" t="str">
            <v/>
          </cell>
          <cell r="L399" t="str">
            <v>Fully</v>
          </cell>
          <cell r="M399" t="str">
            <v>Swears</v>
          </cell>
          <cell r="N399" t="str">
            <v>0</v>
          </cell>
          <cell r="O399" t="str">
            <v>12</v>
          </cell>
          <cell r="P399" t="str">
            <v>King, R.</v>
          </cell>
          <cell r="Q399" t="str">
            <v/>
          </cell>
          <cell r="R399" t="str">
            <v>DC</v>
          </cell>
          <cell r="S399">
            <v>50000</v>
          </cell>
          <cell r="T399" t="str">
            <v>PPO</v>
          </cell>
          <cell r="U399" t="str">
            <v>BFF5</v>
          </cell>
          <cell r="V399" t="str">
            <v/>
          </cell>
          <cell r="W399" t="str">
            <v/>
          </cell>
          <cell r="X399">
            <v>1</v>
          </cell>
        </row>
        <row r="400">
          <cell r="A400" t="str">
            <v>1B28</v>
          </cell>
          <cell r="B400" t="str">
            <v>Maret School</v>
          </cell>
          <cell r="C400" t="str">
            <v/>
          </cell>
          <cell r="D400" t="str">
            <v>McCourt</v>
          </cell>
          <cell r="E400" t="str">
            <v>Mugo</v>
          </cell>
          <cell r="F400" t="str">
            <v>07</v>
          </cell>
          <cell r="G400" t="str">
            <v>N</v>
          </cell>
          <cell r="H400" t="str">
            <v>N</v>
          </cell>
          <cell r="I400" t="str">
            <v>N</v>
          </cell>
          <cell r="J400" t="str">
            <v>Rates</v>
          </cell>
          <cell r="K400" t="str">
            <v/>
          </cell>
          <cell r="L400" t="str">
            <v>Fully</v>
          </cell>
          <cell r="M400" t="str">
            <v>Henton-Davis</v>
          </cell>
          <cell r="N400" t="str">
            <v>0</v>
          </cell>
          <cell r="O400" t="str">
            <v>03</v>
          </cell>
          <cell r="P400" t="str">
            <v>Addy</v>
          </cell>
          <cell r="Q400" t="str">
            <v/>
          </cell>
          <cell r="R400" t="str">
            <v>DC</v>
          </cell>
          <cell r="S400">
            <v>50000</v>
          </cell>
          <cell r="T400" t="str">
            <v>POS/PPO/HMO</v>
          </cell>
          <cell r="U400" t="str">
            <v>BFF5/CFF5</v>
          </cell>
          <cell r="V400" t="str">
            <v/>
          </cell>
          <cell r="W400" t="str">
            <v/>
          </cell>
          <cell r="X400">
            <v>1</v>
          </cell>
        </row>
        <row r="401">
          <cell r="A401" t="str">
            <v>XM79</v>
          </cell>
          <cell r="B401" t="str">
            <v>MarketBridge, Corp</v>
          </cell>
          <cell r="C401" t="str">
            <v/>
          </cell>
          <cell r="D401" t="str">
            <v>McCourt</v>
          </cell>
          <cell r="E401" t="str">
            <v>Quade</v>
          </cell>
          <cell r="F401" t="str">
            <v>12</v>
          </cell>
          <cell r="G401" t="str">
            <v>N</v>
          </cell>
          <cell r="H401" t="str">
            <v>N</v>
          </cell>
          <cell r="I401" t="str">
            <v>N</v>
          </cell>
          <cell r="J401" t="str">
            <v>Rates</v>
          </cell>
          <cell r="K401" t="str">
            <v/>
          </cell>
          <cell r="L401" t="str">
            <v>Fully</v>
          </cell>
          <cell r="M401" t="str">
            <v>Dodds</v>
          </cell>
          <cell r="N401" t="str">
            <v>0</v>
          </cell>
          <cell r="O401" t="str">
            <v>08</v>
          </cell>
          <cell r="P401" t="str">
            <v/>
          </cell>
          <cell r="Q401" t="str">
            <v/>
          </cell>
          <cell r="R401" t="str">
            <v>MD</v>
          </cell>
          <cell r="S401">
            <v>50000</v>
          </cell>
          <cell r="T401" t="str">
            <v>HMO/POS/PPO</v>
          </cell>
          <cell r="U401" t="str">
            <v>BFF5/CFF5</v>
          </cell>
          <cell r="V401" t="str">
            <v/>
          </cell>
          <cell r="W401" t="str">
            <v/>
          </cell>
          <cell r="X401">
            <v>1</v>
          </cell>
        </row>
        <row r="402">
          <cell r="A402" t="str">
            <v>TR64</v>
          </cell>
          <cell r="B402" t="str">
            <v xml:space="preserve">MarLabs                                           </v>
          </cell>
          <cell r="C402" t="str">
            <v/>
          </cell>
          <cell r="D402" t="str">
            <v>Keefer</v>
          </cell>
          <cell r="E402" t="str">
            <v>Newman</v>
          </cell>
          <cell r="F402" t="str">
            <v>11</v>
          </cell>
          <cell r="G402" t="str">
            <v>N</v>
          </cell>
          <cell r="H402" t="str">
            <v/>
          </cell>
          <cell r="I402" t="str">
            <v>N</v>
          </cell>
          <cell r="J402" t="str">
            <v>Rates</v>
          </cell>
          <cell r="K402" t="str">
            <v/>
          </cell>
          <cell r="L402" t="str">
            <v>Fully</v>
          </cell>
          <cell r="M402" t="str">
            <v>Wise</v>
          </cell>
          <cell r="N402" t="str">
            <v/>
          </cell>
          <cell r="O402" t="str">
            <v>07</v>
          </cell>
          <cell r="P402" t="str">
            <v>King, R.</v>
          </cell>
          <cell r="Q402" t="str">
            <v/>
          </cell>
          <cell r="R402" t="str">
            <v>VA</v>
          </cell>
          <cell r="S402">
            <v>50000</v>
          </cell>
          <cell r="T402" t="str">
            <v>PPO HMO Rx</v>
          </cell>
          <cell r="U402" t="str">
            <v>BFF7/CFF7</v>
          </cell>
          <cell r="V402" t="str">
            <v/>
          </cell>
          <cell r="W402" t="str">
            <v/>
          </cell>
          <cell r="X402">
            <v>1</v>
          </cell>
        </row>
        <row r="403">
          <cell r="A403" t="str">
            <v>7L86</v>
          </cell>
          <cell r="B403" t="str">
            <v xml:space="preserve">Martens Cars of Washington,Inc.                   </v>
          </cell>
          <cell r="C403" t="str">
            <v/>
          </cell>
          <cell r="D403" t="str">
            <v>McCourt</v>
          </cell>
          <cell r="E403" t="str">
            <v>Quade</v>
          </cell>
          <cell r="F403" t="str">
            <v>05</v>
          </cell>
          <cell r="G403" t="str">
            <v>N</v>
          </cell>
          <cell r="H403" t="str">
            <v>N</v>
          </cell>
          <cell r="I403" t="str">
            <v>N</v>
          </cell>
          <cell r="J403" t="str">
            <v>Rates</v>
          </cell>
          <cell r="K403" t="str">
            <v/>
          </cell>
          <cell r="L403" t="str">
            <v>Fully</v>
          </cell>
          <cell r="M403" t="str">
            <v/>
          </cell>
          <cell r="N403" t="str">
            <v/>
          </cell>
          <cell r="O403" t="str">
            <v>01</v>
          </cell>
          <cell r="P403" t="str">
            <v/>
          </cell>
          <cell r="Q403" t="str">
            <v/>
          </cell>
          <cell r="R403" t="str">
            <v>DC</v>
          </cell>
          <cell r="S403">
            <v>0</v>
          </cell>
          <cell r="T403" t="str">
            <v>POE: Dual Option POE package</v>
          </cell>
          <cell r="U403" t="str">
            <v>CFF5</v>
          </cell>
          <cell r="V403" t="str">
            <v>Y</v>
          </cell>
          <cell r="W403" t="str">
            <v>5/1/2005</v>
          </cell>
          <cell r="X403">
            <v>1</v>
          </cell>
        </row>
        <row r="404">
          <cell r="A404" t="str">
            <v>PP28</v>
          </cell>
          <cell r="B404" t="str">
            <v>Maryland National Capital Park &amp; Planning Commis</v>
          </cell>
          <cell r="C404" t="str">
            <v/>
          </cell>
          <cell r="D404" t="str">
            <v>McCourt</v>
          </cell>
          <cell r="E404" t="str">
            <v>Quade</v>
          </cell>
          <cell r="F404" t="str">
            <v>01</v>
          </cell>
          <cell r="G404" t="str">
            <v>N</v>
          </cell>
          <cell r="H404" t="str">
            <v/>
          </cell>
          <cell r="I404" t="str">
            <v>N</v>
          </cell>
          <cell r="J404" t="str">
            <v>CPC Mo</v>
          </cell>
          <cell r="K404" t="str">
            <v>WW</v>
          </cell>
          <cell r="L404" t="str">
            <v>125%</v>
          </cell>
          <cell r="M404" t="str">
            <v>Lewis</v>
          </cell>
          <cell r="N404" t="str">
            <v>3</v>
          </cell>
          <cell r="O404" t="str">
            <v>05</v>
          </cell>
          <cell r="P404" t="str">
            <v>Addy</v>
          </cell>
          <cell r="Q404" t="str">
            <v>Alves</v>
          </cell>
          <cell r="R404" t="str">
            <v>MD</v>
          </cell>
          <cell r="S404">
            <v>125000</v>
          </cell>
          <cell r="T404" t="str">
            <v>POS/PPO/Indem</v>
          </cell>
          <cell r="U404" t="str">
            <v>BAB8</v>
          </cell>
          <cell r="V404" t="str">
            <v/>
          </cell>
          <cell r="W404" t="str">
            <v/>
          </cell>
          <cell r="X404">
            <v>1</v>
          </cell>
        </row>
        <row r="405">
          <cell r="A405" t="str">
            <v>QR24</v>
          </cell>
          <cell r="B405" t="str">
            <v>Masimax Resources, Inc.</v>
          </cell>
          <cell r="C405" t="str">
            <v/>
          </cell>
          <cell r="D405" t="str">
            <v>Keefer</v>
          </cell>
          <cell r="E405" t="str">
            <v>Anderson</v>
          </cell>
          <cell r="F405" t="str">
            <v>07</v>
          </cell>
          <cell r="G405" t="str">
            <v>N</v>
          </cell>
          <cell r="H405" t="str">
            <v>N</v>
          </cell>
          <cell r="I405" t="str">
            <v>N</v>
          </cell>
          <cell r="J405" t="str">
            <v>Rates</v>
          </cell>
          <cell r="K405" t="str">
            <v/>
          </cell>
          <cell r="L405" t="str">
            <v>Fully</v>
          </cell>
          <cell r="M405" t="str">
            <v>Swears</v>
          </cell>
          <cell r="N405" t="str">
            <v>01</v>
          </cell>
          <cell r="O405" t="str">
            <v>03</v>
          </cell>
          <cell r="P405" t="str">
            <v>LaTouche</v>
          </cell>
          <cell r="Q405" t="str">
            <v/>
          </cell>
          <cell r="R405" t="str">
            <v>MD</v>
          </cell>
          <cell r="S405">
            <v>50000</v>
          </cell>
          <cell r="T405" t="str">
            <v>HMO/OA/PPO</v>
          </cell>
          <cell r="U405" t="str">
            <v>BFF5/CFF5</v>
          </cell>
          <cell r="V405" t="str">
            <v>Y</v>
          </cell>
          <cell r="W405" t="str">
            <v>7/1/2004</v>
          </cell>
          <cell r="X405">
            <v>1</v>
          </cell>
        </row>
        <row r="406">
          <cell r="A406" t="str">
            <v>7G12</v>
          </cell>
          <cell r="B406" t="str">
            <v xml:space="preserve">Matthews Media Group Inc                          </v>
          </cell>
          <cell r="C406" t="str">
            <v/>
          </cell>
          <cell r="D406" t="str">
            <v>Keefer</v>
          </cell>
          <cell r="E406" t="str">
            <v>Padrutt</v>
          </cell>
          <cell r="F406" t="str">
            <v>01</v>
          </cell>
          <cell r="G406" t="str">
            <v>N</v>
          </cell>
          <cell r="H406" t="str">
            <v>N</v>
          </cell>
          <cell r="I406" t="str">
            <v>N</v>
          </cell>
          <cell r="J406" t="str">
            <v>Rates</v>
          </cell>
          <cell r="K406" t="str">
            <v/>
          </cell>
          <cell r="L406" t="str">
            <v>Fully</v>
          </cell>
          <cell r="M406" t="str">
            <v>Dodds</v>
          </cell>
          <cell r="N406" t="str">
            <v/>
          </cell>
          <cell r="O406" t="str">
            <v>09</v>
          </cell>
          <cell r="P406" t="str">
            <v>Padrutt</v>
          </cell>
          <cell r="Q406" t="str">
            <v/>
          </cell>
          <cell r="R406" t="str">
            <v>MD</v>
          </cell>
          <cell r="S406">
            <v>50000</v>
          </cell>
          <cell r="T406" t="str">
            <v>PPO/HMO/POS</v>
          </cell>
          <cell r="U406" t="str">
            <v>BFF6/CFF6</v>
          </cell>
          <cell r="V406" t="str">
            <v/>
          </cell>
          <cell r="W406" t="str">
            <v/>
          </cell>
          <cell r="X406">
            <v>1</v>
          </cell>
        </row>
        <row r="407">
          <cell r="A407" t="str">
            <v>3M15</v>
          </cell>
          <cell r="B407" t="str">
            <v>Mattress Discounters</v>
          </cell>
          <cell r="C407" t="str">
            <v/>
          </cell>
          <cell r="D407" t="str">
            <v>McCourt</v>
          </cell>
          <cell r="E407" t="str">
            <v>Slack</v>
          </cell>
          <cell r="F407" t="str">
            <v>06</v>
          </cell>
          <cell r="G407" t="str">
            <v>N</v>
          </cell>
          <cell r="H407" t="str">
            <v/>
          </cell>
          <cell r="I407" t="str">
            <v>N</v>
          </cell>
          <cell r="J407" t="str">
            <v>Rates</v>
          </cell>
          <cell r="K407" t="str">
            <v/>
          </cell>
          <cell r="L407" t="str">
            <v>Fully</v>
          </cell>
          <cell r="M407" t="str">
            <v>Bradshaw</v>
          </cell>
          <cell r="N407" t="str">
            <v>0</v>
          </cell>
          <cell r="O407" t="str">
            <v>01</v>
          </cell>
          <cell r="P407" t="str">
            <v>Slack</v>
          </cell>
          <cell r="Q407" t="str">
            <v/>
          </cell>
          <cell r="R407" t="str">
            <v>MD</v>
          </cell>
          <cell r="S407">
            <v>75000</v>
          </cell>
          <cell r="T407" t="str">
            <v>HMO/PPO/PPO</v>
          </cell>
          <cell r="U407" t="str">
            <v>CFF7</v>
          </cell>
          <cell r="V407" t="str">
            <v/>
          </cell>
          <cell r="W407" t="str">
            <v/>
          </cell>
          <cell r="X407">
            <v>1</v>
          </cell>
        </row>
        <row r="408">
          <cell r="A408" t="str">
            <v>TV96</v>
          </cell>
          <cell r="B408" t="str">
            <v xml:space="preserve">Maya Angelou Public Chartered School              </v>
          </cell>
          <cell r="C408" t="str">
            <v/>
          </cell>
          <cell r="D408" t="str">
            <v>Keefer</v>
          </cell>
          <cell r="E408" t="str">
            <v>Anderson</v>
          </cell>
          <cell r="F408" t="str">
            <v>07</v>
          </cell>
          <cell r="G408" t="str">
            <v>N</v>
          </cell>
          <cell r="H408" t="str">
            <v/>
          </cell>
          <cell r="I408" t="str">
            <v>N</v>
          </cell>
          <cell r="J408" t="str">
            <v>Rates</v>
          </cell>
          <cell r="K408" t="str">
            <v/>
          </cell>
          <cell r="L408" t="str">
            <v>Fully</v>
          </cell>
          <cell r="M408" t="str">
            <v>Savoca</v>
          </cell>
          <cell r="N408" t="str">
            <v/>
          </cell>
          <cell r="O408" t="str">
            <v>03</v>
          </cell>
          <cell r="P408" t="str">
            <v/>
          </cell>
          <cell r="Q408" t="str">
            <v/>
          </cell>
          <cell r="R408" t="str">
            <v>DC</v>
          </cell>
          <cell r="S408">
            <v>50000</v>
          </cell>
          <cell r="T408" t="str">
            <v>HMO/OA/PPO</v>
          </cell>
          <cell r="U408" t="str">
            <v>BFF5/CFF5</v>
          </cell>
          <cell r="V408" t="str">
            <v/>
          </cell>
          <cell r="W408" t="str">
            <v/>
          </cell>
          <cell r="X408">
            <v>1</v>
          </cell>
        </row>
        <row r="409">
          <cell r="A409" t="str">
            <v>6Y20</v>
          </cell>
          <cell r="B409" t="str">
            <v>MayaTech Corporation (The)</v>
          </cell>
          <cell r="C409" t="str">
            <v/>
          </cell>
          <cell r="D409" t="str">
            <v>Keefer</v>
          </cell>
          <cell r="E409" t="str">
            <v>Anderson</v>
          </cell>
          <cell r="F409" t="str">
            <v>05</v>
          </cell>
          <cell r="G409" t="str">
            <v/>
          </cell>
          <cell r="H409" t="str">
            <v/>
          </cell>
          <cell r="I409" t="str">
            <v/>
          </cell>
          <cell r="J409" t="str">
            <v>Rates</v>
          </cell>
          <cell r="K409" t="str">
            <v/>
          </cell>
          <cell r="L409" t="str">
            <v>Fully</v>
          </cell>
          <cell r="M409" t="str">
            <v>Savoca</v>
          </cell>
          <cell r="N409" t="str">
            <v/>
          </cell>
          <cell r="O409" t="str">
            <v>01</v>
          </cell>
          <cell r="P409" t="str">
            <v/>
          </cell>
          <cell r="Q409" t="str">
            <v/>
          </cell>
          <cell r="R409" t="str">
            <v>MD</v>
          </cell>
          <cell r="S409">
            <v>50000</v>
          </cell>
          <cell r="T409" t="str">
            <v>HMO POS PPO Rx</v>
          </cell>
          <cell r="U409" t="str">
            <v>BFF5/CFF5</v>
          </cell>
          <cell r="V409" t="str">
            <v/>
          </cell>
          <cell r="W409" t="str">
            <v/>
          </cell>
          <cell r="X409">
            <v>1</v>
          </cell>
        </row>
        <row r="410">
          <cell r="A410" t="str">
            <v>3G84</v>
          </cell>
          <cell r="B410" t="str">
            <v>MCG Capital Corporation</v>
          </cell>
          <cell r="C410" t="str">
            <v/>
          </cell>
          <cell r="D410" t="str">
            <v>Keefer</v>
          </cell>
          <cell r="E410" t="str">
            <v>Johnson</v>
          </cell>
          <cell r="F410" t="str">
            <v>01</v>
          </cell>
          <cell r="G410" t="str">
            <v>N</v>
          </cell>
          <cell r="H410" t="str">
            <v/>
          </cell>
          <cell r="I410" t="str">
            <v>N</v>
          </cell>
          <cell r="J410" t="str">
            <v>Rates</v>
          </cell>
          <cell r="K410" t="str">
            <v/>
          </cell>
          <cell r="L410" t="str">
            <v>Fully</v>
          </cell>
          <cell r="M410" t="str">
            <v>Wise</v>
          </cell>
          <cell r="N410" t="str">
            <v>0</v>
          </cell>
          <cell r="O410" t="str">
            <v>09</v>
          </cell>
          <cell r="P410" t="str">
            <v/>
          </cell>
          <cell r="Q410" t="str">
            <v/>
          </cell>
          <cell r="R410" t="str">
            <v>VA</v>
          </cell>
          <cell r="S410">
            <v>50000</v>
          </cell>
          <cell r="T410" t="str">
            <v>PPO</v>
          </cell>
          <cell r="U410" t="str">
            <v>BFF7</v>
          </cell>
          <cell r="V410" t="str">
            <v/>
          </cell>
          <cell r="W410" t="str">
            <v/>
          </cell>
          <cell r="X410">
            <v>1</v>
          </cell>
        </row>
        <row r="411">
          <cell r="A411" t="str">
            <v>J986</v>
          </cell>
          <cell r="B411" t="str">
            <v>Medical Society</v>
          </cell>
          <cell r="C411" t="str">
            <v/>
          </cell>
          <cell r="D411" t="str">
            <v>Keefer</v>
          </cell>
          <cell r="E411" t="str">
            <v>Taylor</v>
          </cell>
          <cell r="F411" t="str">
            <v>09</v>
          </cell>
          <cell r="G411" t="str">
            <v>N</v>
          </cell>
          <cell r="H411" t="str">
            <v>N</v>
          </cell>
          <cell r="I411" t="str">
            <v>N</v>
          </cell>
          <cell r="J411" t="str">
            <v>Rates</v>
          </cell>
          <cell r="K411" t="str">
            <v/>
          </cell>
          <cell r="L411" t="str">
            <v>Fully</v>
          </cell>
          <cell r="M411" t="str">
            <v>Guessford-Kline</v>
          </cell>
          <cell r="N411" t="str">
            <v>0</v>
          </cell>
          <cell r="O411" t="str">
            <v>04</v>
          </cell>
          <cell r="P411" t="str">
            <v>Buyak</v>
          </cell>
          <cell r="Q411" t="str">
            <v/>
          </cell>
          <cell r="R411" t="str">
            <v>DC</v>
          </cell>
          <cell r="S411">
            <v>50000</v>
          </cell>
          <cell r="T411" t="str">
            <v>PPO</v>
          </cell>
          <cell r="U411" t="str">
            <v>BFF6</v>
          </cell>
          <cell r="V411" t="str">
            <v/>
          </cell>
          <cell r="W411" t="str">
            <v/>
          </cell>
          <cell r="X411">
            <v>1</v>
          </cell>
        </row>
        <row r="412">
          <cell r="A412" t="str">
            <v>0Y08</v>
          </cell>
          <cell r="B412" t="str">
            <v>MedStar Health</v>
          </cell>
          <cell r="C412" t="str">
            <v/>
          </cell>
          <cell r="D412" t="str">
            <v>McCourt</v>
          </cell>
          <cell r="E412" t="str">
            <v>Wolf</v>
          </cell>
          <cell r="F412" t="str">
            <v>01</v>
          </cell>
          <cell r="G412" t="str">
            <v>Y</v>
          </cell>
          <cell r="H412" t="str">
            <v>N</v>
          </cell>
          <cell r="I412" t="str">
            <v>N</v>
          </cell>
          <cell r="J412" t="str">
            <v>CPC Mo</v>
          </cell>
          <cell r="K412" t="str">
            <v>WW</v>
          </cell>
          <cell r="L412" t="str">
            <v>100%</v>
          </cell>
          <cell r="M412" t="str">
            <v>Greenwell</v>
          </cell>
          <cell r="N412" t="str">
            <v>3</v>
          </cell>
          <cell r="O412" t="str">
            <v>05</v>
          </cell>
          <cell r="P412" t="str">
            <v>Rothrauff</v>
          </cell>
          <cell r="Q412" t="str">
            <v>Alves</v>
          </cell>
          <cell r="R412" t="str">
            <v>DC</v>
          </cell>
          <cell r="S412">
            <v>200000</v>
          </cell>
          <cell r="T412" t="str">
            <v>POS/HMO/PPO</v>
          </cell>
          <cell r="U412" t="str">
            <v>BAB8</v>
          </cell>
          <cell r="V412" t="str">
            <v/>
          </cell>
          <cell r="W412" t="str">
            <v/>
          </cell>
          <cell r="X412">
            <v>1</v>
          </cell>
        </row>
        <row r="413">
          <cell r="A413" t="str">
            <v>QJ03</v>
          </cell>
          <cell r="B413" t="str">
            <v>Megasoft Consultants, Inc.</v>
          </cell>
          <cell r="C413" t="str">
            <v/>
          </cell>
          <cell r="D413" t="str">
            <v>McCourt</v>
          </cell>
          <cell r="E413" t="str">
            <v>Mugo</v>
          </cell>
          <cell r="F413" t="str">
            <v>08</v>
          </cell>
          <cell r="G413" t="str">
            <v>N</v>
          </cell>
          <cell r="H413" t="str">
            <v/>
          </cell>
          <cell r="I413" t="str">
            <v>N</v>
          </cell>
          <cell r="J413" t="str">
            <v>Rates</v>
          </cell>
          <cell r="K413" t="str">
            <v/>
          </cell>
          <cell r="L413" t="str">
            <v>Fully</v>
          </cell>
          <cell r="M413" t="str">
            <v>Guessford-Kline</v>
          </cell>
          <cell r="N413" t="str">
            <v>0</v>
          </cell>
          <cell r="O413" t="str">
            <v>04</v>
          </cell>
          <cell r="P413" t="str">
            <v>Ryan</v>
          </cell>
          <cell r="Q413" t="str">
            <v/>
          </cell>
          <cell r="R413" t="str">
            <v>VA</v>
          </cell>
          <cell r="S413">
            <v>50000</v>
          </cell>
          <cell r="T413" t="str">
            <v>PPO</v>
          </cell>
          <cell r="U413" t="str">
            <v>BFF5</v>
          </cell>
          <cell r="V413" t="str">
            <v>Y</v>
          </cell>
          <cell r="W413" t="str">
            <v>9/1/2003</v>
          </cell>
          <cell r="X413">
            <v>1</v>
          </cell>
        </row>
        <row r="414">
          <cell r="A414" t="str">
            <v>UN23</v>
          </cell>
          <cell r="B414" t="str">
            <v>Mellwood Horticultural Training</v>
          </cell>
          <cell r="C414" t="str">
            <v/>
          </cell>
          <cell r="D414" t="str">
            <v>Keefer</v>
          </cell>
          <cell r="E414" t="str">
            <v>Taylor</v>
          </cell>
          <cell r="F414" t="str">
            <v>07</v>
          </cell>
          <cell r="G414" t="str">
            <v>N</v>
          </cell>
          <cell r="H414" t="str">
            <v>N</v>
          </cell>
          <cell r="I414" t="str">
            <v>N</v>
          </cell>
          <cell r="J414" t="str">
            <v>Rates</v>
          </cell>
          <cell r="K414" t="str">
            <v/>
          </cell>
          <cell r="L414" t="str">
            <v>Fully</v>
          </cell>
          <cell r="M414" t="str">
            <v>Bradshaw</v>
          </cell>
          <cell r="N414" t="str">
            <v>0</v>
          </cell>
          <cell r="O414" t="str">
            <v>03</v>
          </cell>
          <cell r="P414" t="str">
            <v>Thacker</v>
          </cell>
          <cell r="Q414" t="str">
            <v/>
          </cell>
          <cell r="R414" t="str">
            <v>MD</v>
          </cell>
          <cell r="S414">
            <v>100000</v>
          </cell>
          <cell r="T414" t="str">
            <v>HMO/PPO/OA</v>
          </cell>
          <cell r="U414" t="str">
            <v>BFF7/CFF7</v>
          </cell>
          <cell r="V414" t="str">
            <v/>
          </cell>
          <cell r="W414" t="str">
            <v/>
          </cell>
          <cell r="X414">
            <v>1</v>
          </cell>
        </row>
        <row r="415">
          <cell r="A415" t="str">
            <v>1A84</v>
          </cell>
          <cell r="B415" t="str">
            <v>Meridian International Center</v>
          </cell>
          <cell r="C415" t="str">
            <v/>
          </cell>
          <cell r="D415" t="str">
            <v>McCourt</v>
          </cell>
          <cell r="E415" t="str">
            <v>Rutkowski</v>
          </cell>
          <cell r="F415" t="str">
            <v>04</v>
          </cell>
          <cell r="G415" t="str">
            <v>N</v>
          </cell>
          <cell r="H415" t="str">
            <v>N</v>
          </cell>
          <cell r="I415" t="str">
            <v>N</v>
          </cell>
          <cell r="J415" t="str">
            <v>Rates</v>
          </cell>
          <cell r="K415" t="str">
            <v/>
          </cell>
          <cell r="L415" t="str">
            <v>Fully</v>
          </cell>
          <cell r="M415" t="str">
            <v>Dodds</v>
          </cell>
          <cell r="N415" t="str">
            <v>0</v>
          </cell>
          <cell r="O415" t="str">
            <v>12</v>
          </cell>
          <cell r="P415" t="str">
            <v>Rutkowski</v>
          </cell>
          <cell r="Q415" t="str">
            <v/>
          </cell>
          <cell r="R415" t="str">
            <v>DC</v>
          </cell>
          <cell r="S415">
            <v>50000</v>
          </cell>
          <cell r="T415" t="str">
            <v>POS/PPO/HMO</v>
          </cell>
          <cell r="U415" t="str">
            <v>BFF5/CFF5</v>
          </cell>
          <cell r="V415" t="str">
            <v/>
          </cell>
          <cell r="W415" t="str">
            <v/>
          </cell>
          <cell r="X415">
            <v>1</v>
          </cell>
        </row>
        <row r="416">
          <cell r="A416" t="str">
            <v>BWY9</v>
          </cell>
          <cell r="B416" t="str">
            <v>Meridian One Corporation</v>
          </cell>
          <cell r="C416" t="str">
            <v/>
          </cell>
          <cell r="D416" t="str">
            <v>Keefer</v>
          </cell>
          <cell r="E416" t="str">
            <v>Taylor</v>
          </cell>
          <cell r="F416" t="str">
            <v>08</v>
          </cell>
          <cell r="G416" t="str">
            <v/>
          </cell>
          <cell r="H416" t="str">
            <v/>
          </cell>
          <cell r="I416" t="str">
            <v/>
          </cell>
          <cell r="J416" t="str">
            <v>Rates</v>
          </cell>
          <cell r="K416" t="str">
            <v/>
          </cell>
          <cell r="L416" t="str">
            <v>Fully</v>
          </cell>
          <cell r="M416" t="str">
            <v>Guessford-Kline</v>
          </cell>
          <cell r="N416" t="str">
            <v/>
          </cell>
          <cell r="O416" t="str">
            <v>04</v>
          </cell>
          <cell r="P416" t="str">
            <v/>
          </cell>
          <cell r="Q416" t="str">
            <v/>
          </cell>
          <cell r="R416" t="str">
            <v>VA</v>
          </cell>
          <cell r="S416">
            <v>50000</v>
          </cell>
          <cell r="T416" t="str">
            <v>PPO POS OA D</v>
          </cell>
          <cell r="U416" t="str">
            <v>BFF5/CFF5</v>
          </cell>
          <cell r="V416" t="str">
            <v>Y</v>
          </cell>
          <cell r="W416" t="str">
            <v>8/1/2004</v>
          </cell>
          <cell r="X416">
            <v>1</v>
          </cell>
        </row>
        <row r="417">
          <cell r="A417" t="str">
            <v>6D68</v>
          </cell>
          <cell r="B417" t="str">
            <v>Merritt Hospitality (formerly SmileZZZZ)</v>
          </cell>
          <cell r="C417" t="str">
            <v/>
          </cell>
          <cell r="D417" t="str">
            <v>Keefer</v>
          </cell>
          <cell r="E417" t="str">
            <v>Anderson</v>
          </cell>
          <cell r="F417" t="str">
            <v>07</v>
          </cell>
          <cell r="G417" t="str">
            <v>N</v>
          </cell>
          <cell r="H417" t="str">
            <v>Y</v>
          </cell>
          <cell r="I417" t="str">
            <v>N</v>
          </cell>
          <cell r="J417" t="str">
            <v>Rates</v>
          </cell>
          <cell r="K417" t="str">
            <v/>
          </cell>
          <cell r="L417" t="str">
            <v>Fully</v>
          </cell>
          <cell r="M417" t="str">
            <v>Savoca</v>
          </cell>
          <cell r="N417" t="str">
            <v/>
          </cell>
          <cell r="O417" t="str">
            <v>03</v>
          </cell>
          <cell r="P417" t="str">
            <v/>
          </cell>
          <cell r="Q417" t="str">
            <v/>
          </cell>
          <cell r="R417" t="str">
            <v>VA</v>
          </cell>
          <cell r="S417">
            <v>50000</v>
          </cell>
          <cell r="T417" t="str">
            <v>HMO$10$20 PPO 2 Rx</v>
          </cell>
          <cell r="U417" t="str">
            <v>BFF5/CFF5</v>
          </cell>
          <cell r="V417" t="str">
            <v>Y</v>
          </cell>
          <cell r="W417" t="str">
            <v>6/26/2003</v>
          </cell>
          <cell r="X417">
            <v>1</v>
          </cell>
        </row>
        <row r="418">
          <cell r="A418" t="str">
            <v>PV22</v>
          </cell>
          <cell r="B418" t="str">
            <v xml:space="preserve">Metropolitan Gastroenterology Group, P.C.         </v>
          </cell>
          <cell r="C418" t="str">
            <v/>
          </cell>
          <cell r="D418" t="str">
            <v>McCourt</v>
          </cell>
          <cell r="E418" t="str">
            <v>Rutkowski</v>
          </cell>
          <cell r="F418" t="str">
            <v>09</v>
          </cell>
          <cell r="G418" t="str">
            <v>N</v>
          </cell>
          <cell r="H418" t="str">
            <v/>
          </cell>
          <cell r="I418" t="str">
            <v>N</v>
          </cell>
          <cell r="J418" t="str">
            <v>Rates</v>
          </cell>
          <cell r="K418" t="str">
            <v/>
          </cell>
          <cell r="L418" t="str">
            <v>Fully</v>
          </cell>
          <cell r="M418" t="str">
            <v>Dodds</v>
          </cell>
          <cell r="N418" t="str">
            <v/>
          </cell>
          <cell r="O418" t="str">
            <v>05</v>
          </cell>
          <cell r="P418" t="str">
            <v>Rutkowski</v>
          </cell>
          <cell r="Q418" t="str">
            <v/>
          </cell>
          <cell r="R418" t="str">
            <v>DC</v>
          </cell>
          <cell r="S418">
            <v>50000</v>
          </cell>
          <cell r="T418" t="str">
            <v>PPO/ADV</v>
          </cell>
          <cell r="U418" t="str">
            <v>BFF5/CFF5</v>
          </cell>
          <cell r="V418" t="str">
            <v/>
          </cell>
          <cell r="W418" t="str">
            <v/>
          </cell>
          <cell r="X418">
            <v>1</v>
          </cell>
        </row>
        <row r="419">
          <cell r="A419" t="str">
            <v>07GY</v>
          </cell>
          <cell r="B419" t="str">
            <v>Metropolitan Regional Information Systems, Inc.</v>
          </cell>
          <cell r="C419" t="str">
            <v/>
          </cell>
          <cell r="D419" t="str">
            <v>Keefer</v>
          </cell>
          <cell r="E419" t="str">
            <v>Newman</v>
          </cell>
          <cell r="F419" t="str">
            <v>11</v>
          </cell>
          <cell r="G419" t="str">
            <v>N</v>
          </cell>
          <cell r="H419" t="str">
            <v/>
          </cell>
          <cell r="I419" t="str">
            <v>N</v>
          </cell>
          <cell r="J419" t="str">
            <v>Rates</v>
          </cell>
          <cell r="K419" t="str">
            <v/>
          </cell>
          <cell r="L419" t="str">
            <v>Fully</v>
          </cell>
          <cell r="M419" t="str">
            <v>Cosby</v>
          </cell>
          <cell r="N419" t="str">
            <v/>
          </cell>
          <cell r="O419" t="str">
            <v>07</v>
          </cell>
          <cell r="P419" t="str">
            <v/>
          </cell>
          <cell r="Q419" t="str">
            <v/>
          </cell>
          <cell r="R419" t="str">
            <v>MD</v>
          </cell>
          <cell r="S419">
            <v>50000</v>
          </cell>
          <cell r="T419" t="str">
            <v>PPO, HMO</v>
          </cell>
          <cell r="U419" t="str">
            <v>BFF5 CFF5</v>
          </cell>
          <cell r="V419" t="str">
            <v/>
          </cell>
          <cell r="W419" t="str">
            <v>11/1/2004</v>
          </cell>
          <cell r="X419">
            <v>1</v>
          </cell>
        </row>
        <row r="420">
          <cell r="A420" t="str">
            <v>3K41</v>
          </cell>
          <cell r="B420" t="str">
            <v xml:space="preserve">Mid Atlantic Title, Inc.                          </v>
          </cell>
          <cell r="C420" t="str">
            <v/>
          </cell>
          <cell r="D420" t="str">
            <v>McCourt</v>
          </cell>
          <cell r="E420" t="str">
            <v>Rutkowski</v>
          </cell>
          <cell r="F420" t="str">
            <v>12</v>
          </cell>
          <cell r="G420" t="str">
            <v>N</v>
          </cell>
          <cell r="H420" t="str">
            <v/>
          </cell>
          <cell r="I420" t="str">
            <v>N</v>
          </cell>
          <cell r="J420" t="str">
            <v>Rates</v>
          </cell>
          <cell r="K420" t="str">
            <v/>
          </cell>
          <cell r="L420" t="str">
            <v>Fully</v>
          </cell>
          <cell r="M420" t="str">
            <v>Savoca</v>
          </cell>
          <cell r="N420" t="str">
            <v/>
          </cell>
          <cell r="O420" t="str">
            <v>08</v>
          </cell>
          <cell r="P420" t="str">
            <v>Rutkowski</v>
          </cell>
          <cell r="Q420" t="str">
            <v/>
          </cell>
          <cell r="R420" t="str">
            <v>VA</v>
          </cell>
          <cell r="S420">
            <v>50000</v>
          </cell>
          <cell r="T420" t="str">
            <v>PPO</v>
          </cell>
          <cell r="U420" t="str">
            <v>BFF5</v>
          </cell>
          <cell r="V420" t="str">
            <v/>
          </cell>
          <cell r="W420" t="str">
            <v/>
          </cell>
          <cell r="X420">
            <v>1</v>
          </cell>
        </row>
        <row r="421">
          <cell r="A421" t="str">
            <v>0LR7</v>
          </cell>
          <cell r="B421" t="str">
            <v>Mid-Atlanctic Door</v>
          </cell>
          <cell r="C421" t="str">
            <v/>
          </cell>
          <cell r="D421" t="str">
            <v>Keefer</v>
          </cell>
          <cell r="E421" t="str">
            <v>Johnson</v>
          </cell>
          <cell r="F421" t="str">
            <v>06</v>
          </cell>
          <cell r="G421" t="str">
            <v>N</v>
          </cell>
          <cell r="H421" t="str">
            <v>N</v>
          </cell>
          <cell r="I421" t="str">
            <v>N</v>
          </cell>
          <cell r="J421" t="str">
            <v>Rates</v>
          </cell>
          <cell r="K421" t="str">
            <v/>
          </cell>
          <cell r="L421" t="str">
            <v>Fully</v>
          </cell>
          <cell r="M421" t="str">
            <v>Housman</v>
          </cell>
          <cell r="N421" t="str">
            <v>0</v>
          </cell>
          <cell r="O421" t="str">
            <v>02</v>
          </cell>
          <cell r="P421" t="str">
            <v/>
          </cell>
          <cell r="Q421" t="str">
            <v/>
          </cell>
          <cell r="R421" t="str">
            <v>MD</v>
          </cell>
          <cell r="S421">
            <v>50000</v>
          </cell>
          <cell r="T421" t="str">
            <v>hmo pos ppo</v>
          </cell>
          <cell r="U421" t="str">
            <v>BFF5/CFF5</v>
          </cell>
          <cell r="V421" t="str">
            <v>Y</v>
          </cell>
          <cell r="W421" t="str">
            <v>6/1/2005</v>
          </cell>
          <cell r="X421">
            <v>1</v>
          </cell>
        </row>
        <row r="422">
          <cell r="A422" t="str">
            <v>BAR9</v>
          </cell>
          <cell r="B422" t="str">
            <v>Middle East Television Networks, Inc.</v>
          </cell>
          <cell r="C422" t="str">
            <v/>
          </cell>
          <cell r="D422" t="str">
            <v>Keefer</v>
          </cell>
          <cell r="E422" t="str">
            <v>Taylor</v>
          </cell>
          <cell r="F422" t="str">
            <v>10</v>
          </cell>
          <cell r="G422" t="str">
            <v/>
          </cell>
          <cell r="H422" t="str">
            <v/>
          </cell>
          <cell r="I422" t="str">
            <v/>
          </cell>
          <cell r="J422" t="str">
            <v>Rates</v>
          </cell>
          <cell r="K422" t="str">
            <v/>
          </cell>
          <cell r="L422" t="str">
            <v>Fully</v>
          </cell>
          <cell r="M422" t="str">
            <v>Swears</v>
          </cell>
          <cell r="N422" t="str">
            <v/>
          </cell>
          <cell r="O422" t="str">
            <v>06</v>
          </cell>
          <cell r="P422" t="str">
            <v/>
          </cell>
          <cell r="Q422" t="str">
            <v/>
          </cell>
          <cell r="R422" t="str">
            <v>VA</v>
          </cell>
          <cell r="S422">
            <v>50000</v>
          </cell>
          <cell r="T422" t="str">
            <v>PPO HMO Rx</v>
          </cell>
          <cell r="U422" t="str">
            <v>BFF6 CFF6</v>
          </cell>
          <cell r="V422" t="str">
            <v>Y</v>
          </cell>
          <cell r="W422" t="str">
            <v>4/1/2004</v>
          </cell>
          <cell r="X422">
            <v>1</v>
          </cell>
        </row>
        <row r="423">
          <cell r="A423" t="str">
            <v>4V00</v>
          </cell>
          <cell r="B423" t="str">
            <v xml:space="preserve">Military Personnel Services Corp.                 </v>
          </cell>
          <cell r="C423" t="str">
            <v/>
          </cell>
          <cell r="D423" t="str">
            <v>Keefer</v>
          </cell>
          <cell r="E423" t="str">
            <v>Newman</v>
          </cell>
          <cell r="F423" t="str">
            <v>07</v>
          </cell>
          <cell r="G423" t="str">
            <v>N</v>
          </cell>
          <cell r="H423" t="str">
            <v/>
          </cell>
          <cell r="I423" t="str">
            <v>N</v>
          </cell>
          <cell r="J423" t="str">
            <v>Rates</v>
          </cell>
          <cell r="K423" t="str">
            <v/>
          </cell>
          <cell r="L423" t="str">
            <v>Fully</v>
          </cell>
          <cell r="M423" t="str">
            <v>Savoca</v>
          </cell>
          <cell r="N423" t="str">
            <v/>
          </cell>
          <cell r="O423" t="str">
            <v>03</v>
          </cell>
          <cell r="P423" t="str">
            <v/>
          </cell>
          <cell r="Q423" t="str">
            <v/>
          </cell>
          <cell r="R423" t="str">
            <v>VA</v>
          </cell>
          <cell r="S423">
            <v>50000</v>
          </cell>
          <cell r="T423" t="str">
            <v>POS/PPO</v>
          </cell>
          <cell r="U423" t="str">
            <v>BFF5</v>
          </cell>
          <cell r="V423" t="str">
            <v/>
          </cell>
          <cell r="W423" t="str">
            <v/>
          </cell>
          <cell r="X423">
            <v>1</v>
          </cell>
        </row>
        <row r="424">
          <cell r="A424" t="str">
            <v>5954</v>
          </cell>
          <cell r="B424" t="str">
            <v>Miller &amp; Chevalier, Chartered</v>
          </cell>
          <cell r="C424" t="str">
            <v/>
          </cell>
          <cell r="D424" t="str">
            <v>Keefer</v>
          </cell>
          <cell r="E424" t="str">
            <v>Taylor</v>
          </cell>
          <cell r="F424" t="str">
            <v>11</v>
          </cell>
          <cell r="G424" t="str">
            <v>N</v>
          </cell>
          <cell r="H424" t="str">
            <v>N</v>
          </cell>
          <cell r="I424" t="str">
            <v>N</v>
          </cell>
          <cell r="J424" t="str">
            <v>Rates</v>
          </cell>
          <cell r="K424" t="str">
            <v/>
          </cell>
          <cell r="L424" t="str">
            <v>Fully</v>
          </cell>
          <cell r="M424" t="str">
            <v>Lewis</v>
          </cell>
          <cell r="N424" t="str">
            <v>0</v>
          </cell>
          <cell r="O424" t="str">
            <v>07</v>
          </cell>
          <cell r="P424" t="str">
            <v>Taylor</v>
          </cell>
          <cell r="Q424" t="str">
            <v/>
          </cell>
          <cell r="R424" t="str">
            <v>DC</v>
          </cell>
          <cell r="S424">
            <v>75000</v>
          </cell>
          <cell r="T424" t="str">
            <v>PPO HMO Rx D</v>
          </cell>
          <cell r="U424" t="str">
            <v>BFF7/CFF7</v>
          </cell>
          <cell r="V424" t="str">
            <v/>
          </cell>
          <cell r="W424" t="str">
            <v/>
          </cell>
          <cell r="X424">
            <v>1</v>
          </cell>
        </row>
        <row r="425">
          <cell r="A425" t="str">
            <v>UK78</v>
          </cell>
          <cell r="B425" t="str">
            <v xml:space="preserve">Minibar North America, Inc.                       </v>
          </cell>
          <cell r="C425" t="str">
            <v/>
          </cell>
          <cell r="D425" t="str">
            <v>Keefer</v>
          </cell>
          <cell r="E425" t="str">
            <v>Newman</v>
          </cell>
          <cell r="F425" t="str">
            <v>07</v>
          </cell>
          <cell r="G425" t="str">
            <v>N</v>
          </cell>
          <cell r="H425" t="str">
            <v/>
          </cell>
          <cell r="I425" t="str">
            <v>N</v>
          </cell>
          <cell r="J425" t="str">
            <v>Rates</v>
          </cell>
          <cell r="K425" t="str">
            <v/>
          </cell>
          <cell r="L425" t="str">
            <v>Fully</v>
          </cell>
          <cell r="M425" t="str">
            <v>Wise</v>
          </cell>
          <cell r="N425" t="str">
            <v/>
          </cell>
          <cell r="O425" t="str">
            <v>03</v>
          </cell>
          <cell r="P425" t="str">
            <v>Padrutt</v>
          </cell>
          <cell r="Q425" t="str">
            <v/>
          </cell>
          <cell r="R425" t="str">
            <v>MD</v>
          </cell>
          <cell r="S425">
            <v>50000</v>
          </cell>
          <cell r="T425" t="str">
            <v>PPO</v>
          </cell>
          <cell r="U425" t="str">
            <v>BFF5</v>
          </cell>
          <cell r="V425" t="str">
            <v/>
          </cell>
          <cell r="W425" t="str">
            <v/>
          </cell>
          <cell r="X425">
            <v>1</v>
          </cell>
        </row>
        <row r="426">
          <cell r="A426" t="str">
            <v>6D42</v>
          </cell>
          <cell r="B426" t="str">
            <v>Model Home Interiors, Inc.</v>
          </cell>
          <cell r="C426" t="str">
            <v/>
          </cell>
          <cell r="D426" t="str">
            <v>Keefer</v>
          </cell>
          <cell r="E426" t="str">
            <v>Anderson</v>
          </cell>
          <cell r="F426" t="str">
            <v>01</v>
          </cell>
          <cell r="G426" t="str">
            <v>N</v>
          </cell>
          <cell r="H426" t="str">
            <v/>
          </cell>
          <cell r="I426" t="str">
            <v>N</v>
          </cell>
          <cell r="J426" t="str">
            <v>Rates</v>
          </cell>
          <cell r="K426" t="str">
            <v/>
          </cell>
          <cell r="L426" t="str">
            <v>Fully</v>
          </cell>
          <cell r="M426" t="str">
            <v>Henton-Davis</v>
          </cell>
          <cell r="N426" t="str">
            <v>0</v>
          </cell>
          <cell r="O426" t="str">
            <v>09</v>
          </cell>
          <cell r="P426" t="str">
            <v>Taylor</v>
          </cell>
          <cell r="Q426" t="str">
            <v/>
          </cell>
          <cell r="R426" t="str">
            <v>MD</v>
          </cell>
          <cell r="S426">
            <v>50000</v>
          </cell>
          <cell r="T426" t="str">
            <v>PPO HMO POS</v>
          </cell>
          <cell r="U426" t="str">
            <v>BFF5/CFF5</v>
          </cell>
          <cell r="V426" t="str">
            <v/>
          </cell>
          <cell r="W426" t="str">
            <v/>
          </cell>
          <cell r="X426">
            <v>1</v>
          </cell>
        </row>
        <row r="427">
          <cell r="A427" t="str">
            <v>XC73</v>
          </cell>
          <cell r="B427" t="str">
            <v xml:space="preserve">Modern Technology Solutions, Inc.                 </v>
          </cell>
          <cell r="C427" t="str">
            <v/>
          </cell>
          <cell r="D427" t="str">
            <v>Keefer</v>
          </cell>
          <cell r="E427" t="str">
            <v>Newman</v>
          </cell>
          <cell r="F427" t="str">
            <v>06</v>
          </cell>
          <cell r="G427" t="str">
            <v>N</v>
          </cell>
          <cell r="H427" t="str">
            <v/>
          </cell>
          <cell r="I427" t="str">
            <v>N</v>
          </cell>
          <cell r="J427" t="str">
            <v>Rates</v>
          </cell>
          <cell r="K427" t="str">
            <v/>
          </cell>
          <cell r="L427" t="str">
            <v>Fully</v>
          </cell>
          <cell r="M427" t="str">
            <v>Henton-Davis</v>
          </cell>
          <cell r="N427" t="str">
            <v/>
          </cell>
          <cell r="O427" t="str">
            <v>02</v>
          </cell>
          <cell r="P427" t="str">
            <v/>
          </cell>
          <cell r="Q427" t="str">
            <v/>
          </cell>
          <cell r="R427" t="str">
            <v>VA</v>
          </cell>
          <cell r="S427">
            <v>50000</v>
          </cell>
          <cell r="T427" t="str">
            <v>POE: Dual Option POE package</v>
          </cell>
          <cell r="U427" t="str">
            <v>CFF2</v>
          </cell>
          <cell r="V427" t="str">
            <v/>
          </cell>
          <cell r="W427" t="str">
            <v/>
          </cell>
          <cell r="X427">
            <v>1</v>
          </cell>
        </row>
        <row r="428">
          <cell r="A428" t="str">
            <v>PG52</v>
          </cell>
          <cell r="B428" t="str">
            <v>Montgomery County Government (POS)</v>
          </cell>
          <cell r="C428" t="str">
            <v/>
          </cell>
          <cell r="D428" t="str">
            <v>McCourt</v>
          </cell>
          <cell r="E428" t="str">
            <v>Quade</v>
          </cell>
          <cell r="F428" t="str">
            <v>01</v>
          </cell>
          <cell r="G428" t="str">
            <v>Y</v>
          </cell>
          <cell r="H428" t="str">
            <v>N</v>
          </cell>
          <cell r="I428" t="str">
            <v>N</v>
          </cell>
          <cell r="J428" t="str">
            <v>CPC Mo</v>
          </cell>
          <cell r="K428" t="str">
            <v>WW</v>
          </cell>
          <cell r="L428" t="str">
            <v>ASO</v>
          </cell>
          <cell r="M428" t="str">
            <v>Jordan</v>
          </cell>
          <cell r="N428" t="str">
            <v>3</v>
          </cell>
          <cell r="O428" t="str">
            <v>07</v>
          </cell>
          <cell r="P428" t="str">
            <v>Addy</v>
          </cell>
          <cell r="Q428" t="str">
            <v>Alves</v>
          </cell>
          <cell r="R428" t="str">
            <v>MD</v>
          </cell>
          <cell r="S428">
            <v>250000</v>
          </cell>
          <cell r="T428" t="str">
            <v>POS/PPO/Indem</v>
          </cell>
          <cell r="U428" t="str">
            <v>BCA8</v>
          </cell>
          <cell r="V428" t="str">
            <v/>
          </cell>
          <cell r="W428" t="str">
            <v/>
          </cell>
          <cell r="X428">
            <v>1</v>
          </cell>
        </row>
        <row r="429">
          <cell r="A429" t="str">
            <v>PG50</v>
          </cell>
          <cell r="B429" t="str">
            <v>Montgomery County Government-Ret</v>
          </cell>
          <cell r="C429" t="str">
            <v/>
          </cell>
          <cell r="D429" t="str">
            <v>McCourt</v>
          </cell>
          <cell r="E429" t="str">
            <v>Quade</v>
          </cell>
          <cell r="F429" t="str">
            <v>01</v>
          </cell>
          <cell r="G429" t="str">
            <v>Y</v>
          </cell>
          <cell r="H429" t="str">
            <v>N</v>
          </cell>
          <cell r="I429" t="str">
            <v>N</v>
          </cell>
          <cell r="J429" t="str">
            <v>CPC Mo</v>
          </cell>
          <cell r="K429" t="str">
            <v>WW</v>
          </cell>
          <cell r="L429" t="str">
            <v>ASO</v>
          </cell>
          <cell r="M429" t="str">
            <v>Jordan</v>
          </cell>
          <cell r="N429" t="str">
            <v>06</v>
          </cell>
          <cell r="O429" t="str">
            <v>07</v>
          </cell>
          <cell r="P429" t="str">
            <v>Addy</v>
          </cell>
          <cell r="Q429" t="str">
            <v>Alves</v>
          </cell>
          <cell r="R429" t="str">
            <v>MD</v>
          </cell>
          <cell r="S429">
            <v>250000</v>
          </cell>
          <cell r="T429" t="str">
            <v>Indem</v>
          </cell>
          <cell r="U429" t="str">
            <v>BCA8</v>
          </cell>
          <cell r="V429" t="str">
            <v/>
          </cell>
          <cell r="W429" t="str">
            <v/>
          </cell>
          <cell r="X429">
            <v>1</v>
          </cell>
        </row>
        <row r="430">
          <cell r="A430" t="str">
            <v>PP20</v>
          </cell>
          <cell r="B430" t="str">
            <v>Montgomery County Public Schools</v>
          </cell>
          <cell r="C430" t="str">
            <v/>
          </cell>
          <cell r="D430" t="str">
            <v>McCourt</v>
          </cell>
          <cell r="E430" t="str">
            <v>Quade</v>
          </cell>
          <cell r="F430" t="str">
            <v>01</v>
          </cell>
          <cell r="G430" t="str">
            <v>N</v>
          </cell>
          <cell r="H430" t="str">
            <v>N</v>
          </cell>
          <cell r="I430" t="str">
            <v>N</v>
          </cell>
          <cell r="J430" t="str">
            <v>CPC Mo</v>
          </cell>
          <cell r="K430" t="str">
            <v>WW</v>
          </cell>
          <cell r="L430" t="str">
            <v>ASO</v>
          </cell>
          <cell r="M430" t="str">
            <v>Jordan</v>
          </cell>
          <cell r="N430" t="str">
            <v>3</v>
          </cell>
          <cell r="O430" t="str">
            <v>07</v>
          </cell>
          <cell r="P430" t="str">
            <v>Addy</v>
          </cell>
          <cell r="Q430" t="str">
            <v>Alves</v>
          </cell>
          <cell r="R430" t="str">
            <v>MD</v>
          </cell>
          <cell r="S430" t="str">
            <v/>
          </cell>
          <cell r="T430" t="str">
            <v>POS/PPO/Indem</v>
          </cell>
          <cell r="U430" t="str">
            <v>BAD8</v>
          </cell>
          <cell r="V430" t="str">
            <v/>
          </cell>
          <cell r="W430" t="str">
            <v/>
          </cell>
          <cell r="X430">
            <v>1</v>
          </cell>
        </row>
        <row r="431">
          <cell r="A431" t="str">
            <v>3D58</v>
          </cell>
          <cell r="B431" t="str">
            <v>Montgomery County Public Schools</v>
          </cell>
          <cell r="C431" t="str">
            <v/>
          </cell>
          <cell r="D431" t="str">
            <v>McCourt</v>
          </cell>
          <cell r="E431" t="str">
            <v>Quade</v>
          </cell>
          <cell r="F431" t="str">
            <v>01</v>
          </cell>
          <cell r="G431" t="str">
            <v>N</v>
          </cell>
          <cell r="H431" t="str">
            <v/>
          </cell>
          <cell r="I431" t="str">
            <v>N</v>
          </cell>
          <cell r="J431" t="str">
            <v>Rates</v>
          </cell>
          <cell r="K431" t="str">
            <v/>
          </cell>
          <cell r="L431" t="str">
            <v>Fully</v>
          </cell>
          <cell r="M431" t="str">
            <v>Jordan</v>
          </cell>
          <cell r="N431" t="str">
            <v>0</v>
          </cell>
          <cell r="O431" t="str">
            <v>07</v>
          </cell>
          <cell r="P431" t="str">
            <v>Addy</v>
          </cell>
          <cell r="Q431" t="str">
            <v/>
          </cell>
          <cell r="R431" t="str">
            <v>MD</v>
          </cell>
          <cell r="S431">
            <v>125000</v>
          </cell>
          <cell r="T431" t="str">
            <v>HMO</v>
          </cell>
          <cell r="U431" t="str">
            <v>CFF7</v>
          </cell>
          <cell r="V431" t="str">
            <v/>
          </cell>
          <cell r="W431" t="str">
            <v/>
          </cell>
          <cell r="X431">
            <v>1</v>
          </cell>
        </row>
        <row r="432">
          <cell r="A432" t="str">
            <v>7H27</v>
          </cell>
          <cell r="B432" t="str">
            <v>Montgomery County Teachers Federal Credit Union</v>
          </cell>
          <cell r="C432" t="str">
            <v/>
          </cell>
          <cell r="D432" t="str">
            <v>Keefer</v>
          </cell>
          <cell r="E432" t="str">
            <v>Anderson</v>
          </cell>
          <cell r="F432" t="str">
            <v>01</v>
          </cell>
          <cell r="G432" t="str">
            <v/>
          </cell>
          <cell r="H432" t="str">
            <v/>
          </cell>
          <cell r="I432" t="str">
            <v/>
          </cell>
          <cell r="J432" t="str">
            <v>Rates</v>
          </cell>
          <cell r="K432" t="str">
            <v/>
          </cell>
          <cell r="L432" t="str">
            <v>Fully</v>
          </cell>
          <cell r="M432" t="str">
            <v>Swears</v>
          </cell>
          <cell r="N432" t="str">
            <v/>
          </cell>
          <cell r="O432" t="str">
            <v>09</v>
          </cell>
          <cell r="P432" t="str">
            <v/>
          </cell>
          <cell r="Q432" t="str">
            <v/>
          </cell>
          <cell r="R432" t="str">
            <v>MD</v>
          </cell>
          <cell r="S432">
            <v>50000</v>
          </cell>
          <cell r="T432" t="str">
            <v>OA PPO Rx D</v>
          </cell>
          <cell r="U432" t="str">
            <v>BFF5</v>
          </cell>
          <cell r="V432" t="str">
            <v>Y</v>
          </cell>
          <cell r="W432" t="str">
            <v>1/1/2004</v>
          </cell>
          <cell r="X432">
            <v>1</v>
          </cell>
        </row>
        <row r="433">
          <cell r="A433" t="str">
            <v>6G67</v>
          </cell>
          <cell r="B433" t="str">
            <v xml:space="preserve">Montgomery Scrap Corporation                      </v>
          </cell>
          <cell r="C433" t="str">
            <v/>
          </cell>
          <cell r="D433" t="str">
            <v>McCourt</v>
          </cell>
          <cell r="E433" t="str">
            <v>Slack</v>
          </cell>
          <cell r="F433" t="str">
            <v>12</v>
          </cell>
          <cell r="G433" t="str">
            <v>N</v>
          </cell>
          <cell r="H433" t="str">
            <v/>
          </cell>
          <cell r="I433" t="str">
            <v>N</v>
          </cell>
          <cell r="J433" t="str">
            <v>Rates</v>
          </cell>
          <cell r="K433" t="str">
            <v/>
          </cell>
          <cell r="L433" t="str">
            <v>Fully</v>
          </cell>
          <cell r="M433" t="str">
            <v>Wise</v>
          </cell>
          <cell r="N433" t="str">
            <v/>
          </cell>
          <cell r="O433" t="str">
            <v>08</v>
          </cell>
          <cell r="P433" t="str">
            <v>Slack</v>
          </cell>
          <cell r="Q433" t="str">
            <v/>
          </cell>
          <cell r="R433" t="str">
            <v>MD</v>
          </cell>
          <cell r="S433">
            <v>50000</v>
          </cell>
          <cell r="T433" t="str">
            <v>POS/HMO/PPO</v>
          </cell>
          <cell r="U433" t="str">
            <v>BFF5/CFF5</v>
          </cell>
          <cell r="V433" t="str">
            <v/>
          </cell>
          <cell r="W433" t="str">
            <v/>
          </cell>
          <cell r="X433">
            <v>1</v>
          </cell>
        </row>
        <row r="434">
          <cell r="A434" t="str">
            <v>MP72</v>
          </cell>
          <cell r="B434" t="str">
            <v>Morgan, Lewis &amp; Bockius LLP</v>
          </cell>
          <cell r="C434" t="str">
            <v/>
          </cell>
          <cell r="D434" t="str">
            <v>McCourt</v>
          </cell>
          <cell r="E434" t="str">
            <v>Rutkowski</v>
          </cell>
          <cell r="F434" t="str">
            <v>01</v>
          </cell>
          <cell r="G434" t="str">
            <v>N</v>
          </cell>
          <cell r="H434" t="str">
            <v>N</v>
          </cell>
          <cell r="I434" t="str">
            <v>N</v>
          </cell>
          <cell r="J434" t="str">
            <v>Rates</v>
          </cell>
          <cell r="K434" t="str">
            <v/>
          </cell>
          <cell r="L434" t="str">
            <v>Fully</v>
          </cell>
          <cell r="M434" t="str">
            <v>Swears</v>
          </cell>
          <cell r="N434" t="str">
            <v>0</v>
          </cell>
          <cell r="O434" t="str">
            <v>07</v>
          </cell>
          <cell r="P434" t="str">
            <v>Rutkowski</v>
          </cell>
          <cell r="Q434" t="str">
            <v/>
          </cell>
          <cell r="R434" t="str">
            <v>DC</v>
          </cell>
          <cell r="S434">
            <v>50000</v>
          </cell>
          <cell r="T434" t="str">
            <v>HMO</v>
          </cell>
          <cell r="U434" t="str">
            <v>CFF5</v>
          </cell>
          <cell r="V434" t="str">
            <v/>
          </cell>
          <cell r="W434" t="str">
            <v/>
          </cell>
          <cell r="X434">
            <v>1</v>
          </cell>
        </row>
        <row r="435">
          <cell r="A435" t="str">
            <v>0KMR</v>
          </cell>
          <cell r="B435" t="str">
            <v xml:space="preserve">Mount Vernon Ladies Associations                  </v>
          </cell>
          <cell r="C435" t="str">
            <v/>
          </cell>
          <cell r="D435" t="str">
            <v>Keefer</v>
          </cell>
          <cell r="E435" t="str">
            <v>Taylor</v>
          </cell>
          <cell r="F435" t="str">
            <v>03</v>
          </cell>
          <cell r="G435" t="str">
            <v>N</v>
          </cell>
          <cell r="H435" t="str">
            <v/>
          </cell>
          <cell r="I435" t="str">
            <v>N</v>
          </cell>
          <cell r="J435" t="str">
            <v>Rates</v>
          </cell>
          <cell r="K435" t="str">
            <v/>
          </cell>
          <cell r="L435" t="str">
            <v>Fully</v>
          </cell>
          <cell r="M435" t="str">
            <v>Rand</v>
          </cell>
          <cell r="N435" t="str">
            <v/>
          </cell>
          <cell r="O435" t="str">
            <v>11</v>
          </cell>
          <cell r="P435" t="str">
            <v/>
          </cell>
          <cell r="Q435" t="str">
            <v/>
          </cell>
          <cell r="R435" t="str">
            <v>VA</v>
          </cell>
          <cell r="S435">
            <v>50000</v>
          </cell>
          <cell r="T435" t="str">
            <v>PPO/HMO/OA</v>
          </cell>
          <cell r="U435" t="str">
            <v>BFF6/CFF6</v>
          </cell>
          <cell r="V435" t="str">
            <v>Y</v>
          </cell>
          <cell r="W435" t="str">
            <v>3/1/2005</v>
          </cell>
          <cell r="X435">
            <v>1</v>
          </cell>
        </row>
        <row r="436">
          <cell r="A436" t="str">
            <v>MR67</v>
          </cell>
          <cell r="B436" t="str">
            <v>Mount Vernon-Lee Enterprises, Inc.</v>
          </cell>
          <cell r="C436" t="str">
            <v/>
          </cell>
          <cell r="D436" t="str">
            <v>McCourt</v>
          </cell>
          <cell r="E436" t="str">
            <v>Slack</v>
          </cell>
          <cell r="F436" t="str">
            <v>02</v>
          </cell>
          <cell r="G436" t="str">
            <v>N</v>
          </cell>
          <cell r="H436" t="str">
            <v/>
          </cell>
          <cell r="I436" t="str">
            <v>N</v>
          </cell>
          <cell r="J436" t="str">
            <v>Rates</v>
          </cell>
          <cell r="K436" t="str">
            <v/>
          </cell>
          <cell r="L436" t="str">
            <v>Fully</v>
          </cell>
          <cell r="M436" t="str">
            <v>Henton-Davis</v>
          </cell>
          <cell r="N436" t="str">
            <v>0</v>
          </cell>
          <cell r="O436" t="str">
            <v>11</v>
          </cell>
          <cell r="P436" t="str">
            <v>Slack</v>
          </cell>
          <cell r="Q436" t="str">
            <v/>
          </cell>
          <cell r="R436" t="str">
            <v>VA</v>
          </cell>
          <cell r="S436">
            <v>50000</v>
          </cell>
          <cell r="T436" t="str">
            <v>HMO/PPO/POS</v>
          </cell>
          <cell r="U436" t="str">
            <v>BFF5/CFF5</v>
          </cell>
          <cell r="V436" t="str">
            <v/>
          </cell>
          <cell r="W436" t="str">
            <v/>
          </cell>
          <cell r="X436">
            <v>1</v>
          </cell>
        </row>
        <row r="437">
          <cell r="A437" t="str">
            <v>BWY0</v>
          </cell>
          <cell r="B437" t="str">
            <v xml:space="preserve">MTS Technologies, Inc.                            </v>
          </cell>
          <cell r="C437" t="str">
            <v/>
          </cell>
          <cell r="D437" t="str">
            <v>McCourt</v>
          </cell>
          <cell r="E437" t="str">
            <v>Slack</v>
          </cell>
          <cell r="F437" t="str">
            <v>01</v>
          </cell>
          <cell r="G437" t="str">
            <v>N</v>
          </cell>
          <cell r="H437" t="str">
            <v/>
          </cell>
          <cell r="I437" t="str">
            <v>N</v>
          </cell>
          <cell r="J437" t="str">
            <v>Rates</v>
          </cell>
          <cell r="K437" t="str">
            <v/>
          </cell>
          <cell r="L437" t="str">
            <v>Fully</v>
          </cell>
          <cell r="M437" t="str">
            <v>Cosby</v>
          </cell>
          <cell r="N437" t="str">
            <v/>
          </cell>
          <cell r="O437" t="str">
            <v>09</v>
          </cell>
          <cell r="P437" t="str">
            <v>Slack</v>
          </cell>
          <cell r="Q437" t="str">
            <v/>
          </cell>
          <cell r="R437" t="str">
            <v>VA</v>
          </cell>
          <cell r="S437">
            <v>0</v>
          </cell>
          <cell r="T437" t="str">
            <v>PPO</v>
          </cell>
          <cell r="U437" t="str">
            <v>BFF6</v>
          </cell>
          <cell r="V437" t="str">
            <v>Y</v>
          </cell>
          <cell r="W437" t="str">
            <v>1/1/2004</v>
          </cell>
          <cell r="X437">
            <v>1</v>
          </cell>
        </row>
        <row r="438">
          <cell r="A438" t="str">
            <v>UU61</v>
          </cell>
          <cell r="B438" t="str">
            <v>MWAA</v>
          </cell>
          <cell r="C438" t="str">
            <v/>
          </cell>
          <cell r="D438" t="str">
            <v>Keefer</v>
          </cell>
          <cell r="E438" t="str">
            <v>Newman</v>
          </cell>
          <cell r="F438" t="str">
            <v>01</v>
          </cell>
          <cell r="G438" t="str">
            <v>N</v>
          </cell>
          <cell r="H438" t="str">
            <v>N</v>
          </cell>
          <cell r="I438" t="str">
            <v>N</v>
          </cell>
          <cell r="J438" t="str">
            <v>CPC Mo</v>
          </cell>
          <cell r="K438" t="str">
            <v>SW</v>
          </cell>
          <cell r="L438" t="str">
            <v>120%</v>
          </cell>
          <cell r="M438" t="str">
            <v>Bradshaw</v>
          </cell>
          <cell r="N438" t="str">
            <v>3</v>
          </cell>
          <cell r="O438" t="str">
            <v>09</v>
          </cell>
          <cell r="P438" t="str">
            <v>Padrutt</v>
          </cell>
          <cell r="Q438" t="str">
            <v>Alves</v>
          </cell>
          <cell r="R438" t="str">
            <v>VA</v>
          </cell>
          <cell r="S438">
            <v>100000</v>
          </cell>
          <cell r="T438" t="str">
            <v>PPO</v>
          </cell>
          <cell r="U438" t="str">
            <v>BAB8</v>
          </cell>
          <cell r="V438" t="str">
            <v/>
          </cell>
          <cell r="W438" t="str">
            <v/>
          </cell>
          <cell r="X438">
            <v>1</v>
          </cell>
        </row>
        <row r="439">
          <cell r="A439" t="str">
            <v>7G98</v>
          </cell>
          <cell r="B439" t="str">
            <v>Myer Emco, Inc</v>
          </cell>
          <cell r="C439" t="str">
            <v/>
          </cell>
          <cell r="D439" t="str">
            <v>McCourt</v>
          </cell>
          <cell r="E439" t="str">
            <v>Rutkowski</v>
          </cell>
          <cell r="F439" t="str">
            <v>07</v>
          </cell>
          <cell r="G439" t="str">
            <v>N</v>
          </cell>
          <cell r="H439" t="str">
            <v>N</v>
          </cell>
          <cell r="I439" t="str">
            <v>N</v>
          </cell>
          <cell r="J439" t="str">
            <v>Rates</v>
          </cell>
          <cell r="K439" t="str">
            <v/>
          </cell>
          <cell r="L439" t="str">
            <v>Fully</v>
          </cell>
          <cell r="M439" t="str">
            <v>Swears</v>
          </cell>
          <cell r="N439" t="str">
            <v/>
          </cell>
          <cell r="O439" t="str">
            <v>03</v>
          </cell>
          <cell r="P439" t="str">
            <v>Rutkowski</v>
          </cell>
          <cell r="Q439" t="str">
            <v/>
          </cell>
          <cell r="R439" t="str">
            <v>MD</v>
          </cell>
          <cell r="S439">
            <v>50000</v>
          </cell>
          <cell r="T439" t="str">
            <v>PPO, HMO, OA, RX D</v>
          </cell>
          <cell r="U439" t="str">
            <v>BFF5/CFF5</v>
          </cell>
          <cell r="V439" t="str">
            <v>Y</v>
          </cell>
          <cell r="W439" t="str">
            <v>7/1/2003</v>
          </cell>
          <cell r="X439">
            <v>1</v>
          </cell>
        </row>
        <row r="440">
          <cell r="A440" t="str">
            <v>4N45</v>
          </cell>
          <cell r="B440" t="str">
            <v>MZM</v>
          </cell>
          <cell r="C440" t="str">
            <v/>
          </cell>
          <cell r="D440" t="str">
            <v>Keefer</v>
          </cell>
          <cell r="E440" t="str">
            <v>Taylor</v>
          </cell>
          <cell r="F440" t="str">
            <v>09</v>
          </cell>
          <cell r="G440" t="str">
            <v/>
          </cell>
          <cell r="H440" t="str">
            <v/>
          </cell>
          <cell r="I440" t="str">
            <v/>
          </cell>
          <cell r="J440" t="str">
            <v>Rates</v>
          </cell>
          <cell r="K440" t="str">
            <v/>
          </cell>
          <cell r="L440" t="str">
            <v>Fully</v>
          </cell>
          <cell r="M440" t="str">
            <v>Savoca</v>
          </cell>
          <cell r="N440" t="str">
            <v/>
          </cell>
          <cell r="O440" t="str">
            <v>05</v>
          </cell>
          <cell r="P440" t="str">
            <v/>
          </cell>
          <cell r="Q440" t="str">
            <v/>
          </cell>
          <cell r="R440" t="str">
            <v>DC</v>
          </cell>
          <cell r="S440">
            <v>50000</v>
          </cell>
          <cell r="T440" t="str">
            <v>PPO HMO Rx De</v>
          </cell>
          <cell r="U440" t="str">
            <v>BFF5/CFF5</v>
          </cell>
          <cell r="V440" t="str">
            <v>Y</v>
          </cell>
          <cell r="W440" t="str">
            <v>9/1/2003</v>
          </cell>
          <cell r="X440">
            <v>1</v>
          </cell>
        </row>
        <row r="441">
          <cell r="A441" t="str">
            <v>QR13</v>
          </cell>
          <cell r="B441" t="str">
            <v>NAHB Research Center, Inc.</v>
          </cell>
          <cell r="C441" t="str">
            <v/>
          </cell>
          <cell r="D441" t="str">
            <v>Keefer</v>
          </cell>
          <cell r="E441" t="str">
            <v>Anderson</v>
          </cell>
          <cell r="F441" t="str">
            <v>01</v>
          </cell>
          <cell r="G441" t="str">
            <v>N</v>
          </cell>
          <cell r="H441" t="str">
            <v/>
          </cell>
          <cell r="I441" t="str">
            <v/>
          </cell>
          <cell r="J441" t="str">
            <v>Rates</v>
          </cell>
          <cell r="K441" t="str">
            <v/>
          </cell>
          <cell r="L441" t="str">
            <v>Fully</v>
          </cell>
          <cell r="M441" t="str">
            <v>Dodds</v>
          </cell>
          <cell r="N441" t="str">
            <v/>
          </cell>
          <cell r="O441" t="str">
            <v>09</v>
          </cell>
          <cell r="P441" t="str">
            <v/>
          </cell>
          <cell r="Q441" t="str">
            <v/>
          </cell>
          <cell r="R441" t="str">
            <v>MD</v>
          </cell>
          <cell r="S441">
            <v>50000</v>
          </cell>
          <cell r="T441" t="str">
            <v>HMO POS PPO Rx</v>
          </cell>
          <cell r="U441" t="str">
            <v>BFF5 CFF5</v>
          </cell>
          <cell r="V441" t="str">
            <v>Y</v>
          </cell>
          <cell r="W441" t="str">
            <v>1/1/2004</v>
          </cell>
          <cell r="X441">
            <v>1</v>
          </cell>
        </row>
        <row r="442">
          <cell r="A442" t="str">
            <v>3M17</v>
          </cell>
          <cell r="B442" t="str">
            <v>NASA Federal Credit Union</v>
          </cell>
          <cell r="C442" t="str">
            <v/>
          </cell>
          <cell r="D442" t="str">
            <v>Keefer</v>
          </cell>
          <cell r="E442" t="str">
            <v>Anderson</v>
          </cell>
          <cell r="F442" t="str">
            <v>03</v>
          </cell>
          <cell r="G442" t="str">
            <v>N</v>
          </cell>
          <cell r="H442" t="str">
            <v/>
          </cell>
          <cell r="I442" t="str">
            <v>N</v>
          </cell>
          <cell r="J442" t="str">
            <v>Rates</v>
          </cell>
          <cell r="K442" t="str">
            <v/>
          </cell>
          <cell r="L442" t="str">
            <v>Fully</v>
          </cell>
          <cell r="M442" t="str">
            <v>Dodds</v>
          </cell>
          <cell r="N442" t="str">
            <v>0</v>
          </cell>
          <cell r="O442" t="str">
            <v>11</v>
          </cell>
          <cell r="P442" t="str">
            <v>Taylor</v>
          </cell>
          <cell r="Q442" t="str">
            <v/>
          </cell>
          <cell r="R442" t="str">
            <v>MD</v>
          </cell>
          <cell r="S442">
            <v>50000</v>
          </cell>
          <cell r="T442" t="str">
            <v>PPO Rx D</v>
          </cell>
          <cell r="U442" t="str">
            <v>BFF6</v>
          </cell>
          <cell r="V442" t="str">
            <v/>
          </cell>
          <cell r="W442" t="str">
            <v/>
          </cell>
          <cell r="X442">
            <v>1</v>
          </cell>
        </row>
        <row r="443">
          <cell r="A443" t="str">
            <v>F200</v>
          </cell>
          <cell r="B443" t="str">
            <v>National Abortion &amp; Reproductive Rights Action L</v>
          </cell>
          <cell r="C443" t="str">
            <v/>
          </cell>
          <cell r="D443" t="str">
            <v>Keefer</v>
          </cell>
          <cell r="E443" t="str">
            <v>Newman</v>
          </cell>
          <cell r="F443" t="str">
            <v>01</v>
          </cell>
          <cell r="G443" t="str">
            <v>N</v>
          </cell>
          <cell r="H443" t="str">
            <v/>
          </cell>
          <cell r="I443" t="str">
            <v>N</v>
          </cell>
          <cell r="J443" t="str">
            <v>Rates</v>
          </cell>
          <cell r="K443" t="str">
            <v/>
          </cell>
          <cell r="L443" t="str">
            <v>Fully</v>
          </cell>
          <cell r="M443" t="str">
            <v>Guessford-Kline</v>
          </cell>
          <cell r="N443" t="str">
            <v>0</v>
          </cell>
          <cell r="O443" t="str">
            <v>09</v>
          </cell>
          <cell r="P443" t="str">
            <v>King, R.</v>
          </cell>
          <cell r="Q443" t="str">
            <v/>
          </cell>
          <cell r="R443" t="str">
            <v>DC</v>
          </cell>
          <cell r="S443">
            <v>50000</v>
          </cell>
          <cell r="T443" t="str">
            <v>PPO/POS/HMO</v>
          </cell>
          <cell r="U443" t="str">
            <v>BFF5/CFF5</v>
          </cell>
          <cell r="V443" t="str">
            <v/>
          </cell>
          <cell r="W443" t="str">
            <v/>
          </cell>
          <cell r="X443">
            <v>1</v>
          </cell>
        </row>
        <row r="444">
          <cell r="A444" t="str">
            <v>XJ94</v>
          </cell>
          <cell r="B444" t="str">
            <v>National Assn. for the Education of Young Childr</v>
          </cell>
          <cell r="C444" t="str">
            <v/>
          </cell>
          <cell r="D444" t="str">
            <v>Keefer</v>
          </cell>
          <cell r="E444" t="str">
            <v>Burba</v>
          </cell>
          <cell r="F444" t="str">
            <v>06</v>
          </cell>
          <cell r="G444" t="str">
            <v>N</v>
          </cell>
          <cell r="H444" t="str">
            <v/>
          </cell>
          <cell r="I444" t="str">
            <v>N</v>
          </cell>
          <cell r="J444" t="str">
            <v>Rates</v>
          </cell>
          <cell r="K444" t="str">
            <v/>
          </cell>
          <cell r="L444" t="str">
            <v>Fully</v>
          </cell>
          <cell r="M444" t="str">
            <v>Wise</v>
          </cell>
          <cell r="N444" t="str">
            <v>0</v>
          </cell>
          <cell r="O444" t="str">
            <v>02</v>
          </cell>
          <cell r="P444" t="str">
            <v>Padrutt</v>
          </cell>
          <cell r="Q444" t="str">
            <v/>
          </cell>
          <cell r="R444" t="str">
            <v>DC</v>
          </cell>
          <cell r="S444">
            <v>50000</v>
          </cell>
          <cell r="T444" t="str">
            <v>PPO OA</v>
          </cell>
          <cell r="U444" t="str">
            <v>BFF6/CFF6</v>
          </cell>
          <cell r="V444" t="str">
            <v/>
          </cell>
          <cell r="W444" t="str">
            <v/>
          </cell>
          <cell r="X444">
            <v>1</v>
          </cell>
        </row>
        <row r="445">
          <cell r="A445" t="str">
            <v>TL44</v>
          </cell>
          <cell r="B445" t="str">
            <v>National Association Of Children's Hosp. And Rel</v>
          </cell>
          <cell r="C445" t="str">
            <v/>
          </cell>
          <cell r="D445" t="str">
            <v>McCourt</v>
          </cell>
          <cell r="E445" t="str">
            <v>Slack</v>
          </cell>
          <cell r="F445" t="str">
            <v>07</v>
          </cell>
          <cell r="G445" t="str">
            <v>N</v>
          </cell>
          <cell r="H445" t="str">
            <v/>
          </cell>
          <cell r="I445" t="str">
            <v>N</v>
          </cell>
          <cell r="J445" t="str">
            <v>Rates</v>
          </cell>
          <cell r="K445" t="str">
            <v/>
          </cell>
          <cell r="L445" t="str">
            <v>Fully</v>
          </cell>
          <cell r="M445" t="str">
            <v>Henton-Davis</v>
          </cell>
          <cell r="N445" t="str">
            <v>0</v>
          </cell>
          <cell r="O445" t="str">
            <v>03</v>
          </cell>
          <cell r="P445" t="str">
            <v>Slack</v>
          </cell>
          <cell r="Q445" t="str">
            <v/>
          </cell>
          <cell r="R445" t="str">
            <v>VA</v>
          </cell>
          <cell r="S445">
            <v>50000</v>
          </cell>
          <cell r="T445" t="str">
            <v>PPO/HMO</v>
          </cell>
          <cell r="U445" t="str">
            <v>BFF5</v>
          </cell>
          <cell r="V445" t="str">
            <v/>
          </cell>
          <cell r="W445" t="str">
            <v/>
          </cell>
          <cell r="X445">
            <v>1</v>
          </cell>
        </row>
        <row r="446">
          <cell r="A446" t="str">
            <v>PP77</v>
          </cell>
          <cell r="B446" t="str">
            <v>National Association of Convenience Stores</v>
          </cell>
          <cell r="C446" t="str">
            <v/>
          </cell>
          <cell r="D446" t="str">
            <v>Keefer</v>
          </cell>
          <cell r="E446" t="str">
            <v>Padrutt</v>
          </cell>
          <cell r="F446" t="str">
            <v>02</v>
          </cell>
          <cell r="G446" t="str">
            <v>N</v>
          </cell>
          <cell r="H446" t="str">
            <v/>
          </cell>
          <cell r="I446" t="str">
            <v>N</v>
          </cell>
          <cell r="J446" t="str">
            <v>Rates</v>
          </cell>
          <cell r="K446" t="str">
            <v/>
          </cell>
          <cell r="L446" t="str">
            <v>Fully</v>
          </cell>
          <cell r="M446" t="str">
            <v>Guessford-Kline</v>
          </cell>
          <cell r="N446" t="str">
            <v>0</v>
          </cell>
          <cell r="O446" t="str">
            <v>10</v>
          </cell>
          <cell r="P446" t="str">
            <v>Padrutt</v>
          </cell>
          <cell r="Q446" t="str">
            <v/>
          </cell>
          <cell r="R446" t="str">
            <v>VA</v>
          </cell>
          <cell r="S446">
            <v>50000</v>
          </cell>
          <cell r="T446" t="str">
            <v>PPO/HMO</v>
          </cell>
          <cell r="U446" t="str">
            <v>BFF5/CFF5</v>
          </cell>
          <cell r="V446" t="str">
            <v/>
          </cell>
          <cell r="W446" t="str">
            <v/>
          </cell>
          <cell r="X446">
            <v>1</v>
          </cell>
        </row>
        <row r="447">
          <cell r="A447" t="str">
            <v>NC34</v>
          </cell>
          <cell r="B447" t="str">
            <v xml:space="preserve">National Business Aviation Association, Inc.      </v>
          </cell>
          <cell r="C447" t="str">
            <v/>
          </cell>
          <cell r="D447" t="str">
            <v>McCourt</v>
          </cell>
          <cell r="E447" t="str">
            <v>Mugo</v>
          </cell>
          <cell r="F447" t="str">
            <v>06</v>
          </cell>
          <cell r="G447" t="str">
            <v>N</v>
          </cell>
          <cell r="H447" t="str">
            <v/>
          </cell>
          <cell r="I447" t="str">
            <v>N</v>
          </cell>
          <cell r="J447" t="str">
            <v>Rates</v>
          </cell>
          <cell r="K447" t="str">
            <v/>
          </cell>
          <cell r="L447" t="str">
            <v>Fully</v>
          </cell>
          <cell r="M447" t="str">
            <v>Dodds</v>
          </cell>
          <cell r="N447" t="str">
            <v/>
          </cell>
          <cell r="O447" t="str">
            <v>02</v>
          </cell>
          <cell r="P447" t="str">
            <v/>
          </cell>
          <cell r="Q447" t="str">
            <v/>
          </cell>
          <cell r="R447" t="str">
            <v>DC</v>
          </cell>
          <cell r="S447">
            <v>50000</v>
          </cell>
          <cell r="T447" t="str">
            <v>POS/HMO</v>
          </cell>
          <cell r="U447" t="str">
            <v>BFF5</v>
          </cell>
          <cell r="V447" t="str">
            <v/>
          </cell>
          <cell r="W447" t="str">
            <v/>
          </cell>
          <cell r="X447">
            <v>1</v>
          </cell>
        </row>
        <row r="448">
          <cell r="A448" t="str">
            <v>MP84</v>
          </cell>
          <cell r="B448" t="str">
            <v>National Center On Education &amp; The Economy</v>
          </cell>
          <cell r="C448" t="str">
            <v/>
          </cell>
          <cell r="D448" t="str">
            <v>McCourt</v>
          </cell>
          <cell r="E448" t="str">
            <v>Quade</v>
          </cell>
          <cell r="F448" t="str">
            <v>07</v>
          </cell>
          <cell r="G448" t="str">
            <v>N</v>
          </cell>
          <cell r="H448" t="str">
            <v/>
          </cell>
          <cell r="I448" t="str">
            <v>N</v>
          </cell>
          <cell r="J448" t="str">
            <v>Rates</v>
          </cell>
          <cell r="K448" t="str">
            <v/>
          </cell>
          <cell r="L448" t="str">
            <v>Fully</v>
          </cell>
          <cell r="M448" t="str">
            <v>Henton-Davis</v>
          </cell>
          <cell r="N448" t="str">
            <v>0</v>
          </cell>
          <cell r="O448" t="str">
            <v>03</v>
          </cell>
          <cell r="P448" t="str">
            <v>Elbashir</v>
          </cell>
          <cell r="Q448" t="str">
            <v/>
          </cell>
          <cell r="R448" t="str">
            <v>DC</v>
          </cell>
          <cell r="S448">
            <v>50000</v>
          </cell>
          <cell r="T448" t="str">
            <v>HMO/PPO</v>
          </cell>
          <cell r="U448" t="str">
            <v>BFF6/CFF6</v>
          </cell>
          <cell r="V448" t="str">
            <v/>
          </cell>
          <cell r="W448" t="str">
            <v/>
          </cell>
          <cell r="X448">
            <v>1</v>
          </cell>
        </row>
        <row r="449">
          <cell r="A449" t="str">
            <v>XM81</v>
          </cell>
          <cell r="B449" t="str">
            <v>National Committee For Quality Assurance</v>
          </cell>
          <cell r="C449" t="str">
            <v/>
          </cell>
          <cell r="D449" t="str">
            <v>Keefer</v>
          </cell>
          <cell r="E449" t="str">
            <v>Johnson</v>
          </cell>
          <cell r="F449" t="str">
            <v>01</v>
          </cell>
          <cell r="G449" t="str">
            <v>N</v>
          </cell>
          <cell r="H449" t="str">
            <v/>
          </cell>
          <cell r="I449" t="str">
            <v>N</v>
          </cell>
          <cell r="J449" t="str">
            <v>Rates</v>
          </cell>
          <cell r="K449" t="str">
            <v/>
          </cell>
          <cell r="L449" t="str">
            <v>Fully</v>
          </cell>
          <cell r="M449" t="str">
            <v>Dodds</v>
          </cell>
          <cell r="N449" t="str">
            <v>0</v>
          </cell>
          <cell r="O449" t="str">
            <v>09</v>
          </cell>
          <cell r="P449" t="str">
            <v/>
          </cell>
          <cell r="Q449" t="str">
            <v/>
          </cell>
          <cell r="R449" t="str">
            <v>DC</v>
          </cell>
          <cell r="S449">
            <v>50000</v>
          </cell>
          <cell r="T449" t="str">
            <v>HMO/POS/PPO</v>
          </cell>
          <cell r="U449" t="str">
            <v>BFF6/CFF6</v>
          </cell>
          <cell r="V449" t="str">
            <v/>
          </cell>
          <cell r="W449" t="str">
            <v/>
          </cell>
          <cell r="X449">
            <v>1</v>
          </cell>
        </row>
        <row r="450">
          <cell r="A450" t="str">
            <v>TB93</v>
          </cell>
          <cell r="B450" t="str">
            <v>National Council of Architectural  Registration</v>
          </cell>
          <cell r="C450" t="str">
            <v/>
          </cell>
          <cell r="D450" t="str">
            <v>Keefer</v>
          </cell>
          <cell r="E450" t="str">
            <v>Anderson</v>
          </cell>
          <cell r="F450" t="str">
            <v>01</v>
          </cell>
          <cell r="G450" t="str">
            <v>N</v>
          </cell>
          <cell r="H450" t="str">
            <v/>
          </cell>
          <cell r="I450" t="str">
            <v>N</v>
          </cell>
          <cell r="J450" t="str">
            <v>Rates</v>
          </cell>
          <cell r="K450" t="str">
            <v/>
          </cell>
          <cell r="L450" t="str">
            <v>Fully</v>
          </cell>
          <cell r="M450" t="str">
            <v>Swears</v>
          </cell>
          <cell r="N450" t="str">
            <v>0</v>
          </cell>
          <cell r="O450" t="str">
            <v>09</v>
          </cell>
          <cell r="P450" t="str">
            <v>Ryan</v>
          </cell>
          <cell r="Q450" t="str">
            <v/>
          </cell>
          <cell r="R450" t="str">
            <v>DC</v>
          </cell>
          <cell r="S450">
            <v>50000</v>
          </cell>
          <cell r="T450" t="str">
            <v>PPO HMO POS</v>
          </cell>
          <cell r="U450" t="str">
            <v>BFF5/CFF5</v>
          </cell>
          <cell r="V450" t="str">
            <v/>
          </cell>
          <cell r="W450" t="str">
            <v/>
          </cell>
          <cell r="X450">
            <v>1</v>
          </cell>
        </row>
        <row r="451">
          <cell r="A451" t="str">
            <v>TY47</v>
          </cell>
          <cell r="B451" t="str">
            <v>National Crime Prevention Council</v>
          </cell>
          <cell r="C451" t="str">
            <v/>
          </cell>
          <cell r="D451" t="str">
            <v>McCourt</v>
          </cell>
          <cell r="E451" t="str">
            <v>Quade</v>
          </cell>
          <cell r="F451" t="str">
            <v>01</v>
          </cell>
          <cell r="G451" t="str">
            <v>N</v>
          </cell>
          <cell r="H451" t="str">
            <v/>
          </cell>
          <cell r="I451" t="str">
            <v>N</v>
          </cell>
          <cell r="J451" t="str">
            <v>Rates</v>
          </cell>
          <cell r="K451" t="str">
            <v/>
          </cell>
          <cell r="L451" t="str">
            <v>Fully</v>
          </cell>
          <cell r="M451" t="str">
            <v>Dodds</v>
          </cell>
          <cell r="N451" t="str">
            <v/>
          </cell>
          <cell r="O451" t="str">
            <v>09</v>
          </cell>
          <cell r="P451" t="str">
            <v/>
          </cell>
          <cell r="Q451" t="str">
            <v/>
          </cell>
          <cell r="R451" t="str">
            <v>DC</v>
          </cell>
          <cell r="S451">
            <v>50000</v>
          </cell>
          <cell r="T451" t="str">
            <v>PPO HMO POS Rx</v>
          </cell>
          <cell r="U451" t="str">
            <v>BFF5/CFF5</v>
          </cell>
          <cell r="V451" t="str">
            <v/>
          </cell>
          <cell r="W451" t="str">
            <v/>
          </cell>
          <cell r="X451">
            <v>1</v>
          </cell>
        </row>
        <row r="452">
          <cell r="A452" t="str">
            <v>6362</v>
          </cell>
          <cell r="B452" t="str">
            <v>National Defense Industrial Assoc.</v>
          </cell>
          <cell r="C452" t="str">
            <v/>
          </cell>
          <cell r="D452" t="str">
            <v>McCourt</v>
          </cell>
          <cell r="E452" t="str">
            <v>Mugo</v>
          </cell>
          <cell r="F452" t="str">
            <v>05</v>
          </cell>
          <cell r="G452" t="str">
            <v>N</v>
          </cell>
          <cell r="H452" t="str">
            <v/>
          </cell>
          <cell r="I452" t="str">
            <v>N</v>
          </cell>
          <cell r="J452" t="str">
            <v>Rates</v>
          </cell>
          <cell r="K452" t="str">
            <v/>
          </cell>
          <cell r="L452" t="str">
            <v>Fully</v>
          </cell>
          <cell r="M452" t="str">
            <v>Dodds</v>
          </cell>
          <cell r="N452" t="str">
            <v/>
          </cell>
          <cell r="O452" t="str">
            <v>01</v>
          </cell>
          <cell r="P452" t="str">
            <v/>
          </cell>
          <cell r="Q452" t="str">
            <v/>
          </cell>
          <cell r="R452" t="str">
            <v>DC</v>
          </cell>
          <cell r="S452">
            <v>50000</v>
          </cell>
          <cell r="T452" t="str">
            <v>PPO/HMO</v>
          </cell>
          <cell r="U452" t="str">
            <v>BFF5/CFF5</v>
          </cell>
          <cell r="V452" t="str">
            <v/>
          </cell>
          <cell r="W452" t="str">
            <v/>
          </cell>
          <cell r="X452">
            <v>1</v>
          </cell>
        </row>
        <row r="453">
          <cell r="A453" t="str">
            <v>Y685</v>
          </cell>
          <cell r="B453" t="str">
            <v>National Democratic Institute</v>
          </cell>
          <cell r="C453" t="str">
            <v/>
          </cell>
          <cell r="D453" t="str">
            <v>Keefer</v>
          </cell>
          <cell r="E453" t="str">
            <v>Johnson</v>
          </cell>
          <cell r="F453" t="str">
            <v>02</v>
          </cell>
          <cell r="G453" t="str">
            <v>N</v>
          </cell>
          <cell r="H453" t="str">
            <v>N</v>
          </cell>
          <cell r="I453" t="str">
            <v>N</v>
          </cell>
          <cell r="J453" t="str">
            <v>Rates</v>
          </cell>
          <cell r="K453" t="str">
            <v/>
          </cell>
          <cell r="L453" t="str">
            <v>Fully</v>
          </cell>
          <cell r="M453" t="str">
            <v>Swears</v>
          </cell>
          <cell r="N453" t="str">
            <v>0</v>
          </cell>
          <cell r="O453" t="str">
            <v>10</v>
          </cell>
          <cell r="P453" t="str">
            <v>LaMorte</v>
          </cell>
          <cell r="Q453" t="str">
            <v/>
          </cell>
          <cell r="R453" t="str">
            <v>DC</v>
          </cell>
          <cell r="S453">
            <v>50000</v>
          </cell>
          <cell r="T453" t="str">
            <v>PPO</v>
          </cell>
          <cell r="U453" t="str">
            <v>BFF6</v>
          </cell>
          <cell r="V453" t="str">
            <v/>
          </cell>
          <cell r="W453" t="str">
            <v/>
          </cell>
          <cell r="X453">
            <v>1</v>
          </cell>
        </row>
        <row r="454">
          <cell r="A454" t="str">
            <v>NU61</v>
          </cell>
          <cell r="B454" t="str">
            <v>National District Attorney's Association</v>
          </cell>
          <cell r="C454" t="str">
            <v/>
          </cell>
          <cell r="D454" t="str">
            <v>McCourt</v>
          </cell>
          <cell r="E454" t="str">
            <v>Rutkowski</v>
          </cell>
          <cell r="F454" t="str">
            <v>03</v>
          </cell>
          <cell r="G454" t="str">
            <v>N</v>
          </cell>
          <cell r="H454" t="str">
            <v/>
          </cell>
          <cell r="I454" t="str">
            <v>N</v>
          </cell>
          <cell r="J454" t="str">
            <v>Rates</v>
          </cell>
          <cell r="K454" t="str">
            <v/>
          </cell>
          <cell r="L454" t="str">
            <v>Fully</v>
          </cell>
          <cell r="M454" t="str">
            <v>Swears</v>
          </cell>
          <cell r="N454" t="str">
            <v>0</v>
          </cell>
          <cell r="O454" t="str">
            <v>11</v>
          </cell>
          <cell r="P454" t="str">
            <v>Rutkowski</v>
          </cell>
          <cell r="Q454" t="str">
            <v/>
          </cell>
          <cell r="R454" t="str">
            <v>VA</v>
          </cell>
          <cell r="S454">
            <v>50000</v>
          </cell>
          <cell r="T454" t="str">
            <v>PPO</v>
          </cell>
          <cell r="U454" t="str">
            <v>BFF5</v>
          </cell>
          <cell r="V454" t="str">
            <v/>
          </cell>
          <cell r="W454" t="str">
            <v/>
          </cell>
          <cell r="X454">
            <v>1</v>
          </cell>
        </row>
        <row r="455">
          <cell r="A455" t="str">
            <v>7L62</v>
          </cell>
          <cell r="B455" t="str">
            <v>National Electrical Manufacturers Association (NEM</v>
          </cell>
          <cell r="C455" t="str">
            <v/>
          </cell>
          <cell r="D455" t="str">
            <v>Keefer</v>
          </cell>
          <cell r="E455" t="str">
            <v>LaTouche</v>
          </cell>
          <cell r="F455" t="str">
            <v>02</v>
          </cell>
          <cell r="G455" t="str">
            <v>N</v>
          </cell>
          <cell r="H455" t="str">
            <v/>
          </cell>
          <cell r="I455" t="str">
            <v>N</v>
          </cell>
          <cell r="J455" t="str">
            <v>Rates</v>
          </cell>
          <cell r="K455" t="str">
            <v/>
          </cell>
          <cell r="L455" t="str">
            <v>Fully</v>
          </cell>
          <cell r="M455" t="str">
            <v>Warren</v>
          </cell>
          <cell r="N455" t="str">
            <v/>
          </cell>
          <cell r="O455" t="str">
            <v>10</v>
          </cell>
          <cell r="P455" t="str">
            <v/>
          </cell>
          <cell r="Q455" t="str">
            <v/>
          </cell>
          <cell r="R455" t="str">
            <v>VA</v>
          </cell>
          <cell r="S455">
            <v>50000</v>
          </cell>
          <cell r="T455" t="str">
            <v>HMO/PPO</v>
          </cell>
          <cell r="U455" t="str">
            <v>BFF5/CFF5</v>
          </cell>
          <cell r="V455" t="str">
            <v>Y</v>
          </cell>
          <cell r="W455" t="str">
            <v>2/1/2005</v>
          </cell>
          <cell r="X455">
            <v>1</v>
          </cell>
        </row>
        <row r="456">
          <cell r="A456" t="str">
            <v>CH28</v>
          </cell>
          <cell r="B456" t="str">
            <v>National Endowment for Democracy</v>
          </cell>
          <cell r="C456" t="str">
            <v/>
          </cell>
          <cell r="D456" t="str">
            <v>McCourt</v>
          </cell>
          <cell r="E456" t="str">
            <v>Rutkowski</v>
          </cell>
          <cell r="F456" t="str">
            <v>10</v>
          </cell>
          <cell r="G456" t="str">
            <v>N</v>
          </cell>
          <cell r="H456" t="str">
            <v>N</v>
          </cell>
          <cell r="I456" t="str">
            <v>N</v>
          </cell>
          <cell r="J456" t="str">
            <v>Rates</v>
          </cell>
          <cell r="K456" t="str">
            <v/>
          </cell>
          <cell r="L456" t="str">
            <v>Fully</v>
          </cell>
          <cell r="M456" t="str">
            <v>Guessford-Kline</v>
          </cell>
          <cell r="N456" t="str">
            <v>0</v>
          </cell>
          <cell r="O456" t="str">
            <v>06</v>
          </cell>
          <cell r="P456" t="str">
            <v>Rutkowski</v>
          </cell>
          <cell r="Q456" t="str">
            <v/>
          </cell>
          <cell r="R456" t="str">
            <v>DC</v>
          </cell>
          <cell r="S456">
            <v>50000</v>
          </cell>
          <cell r="T456" t="str">
            <v>POS/Indem</v>
          </cell>
          <cell r="U456" t="str">
            <v>BFF5</v>
          </cell>
          <cell r="V456" t="str">
            <v/>
          </cell>
          <cell r="W456" t="str">
            <v/>
          </cell>
          <cell r="X456">
            <v>1</v>
          </cell>
        </row>
        <row r="457">
          <cell r="A457" t="str">
            <v>XB93</v>
          </cell>
          <cell r="B457" t="str">
            <v>National Environmental Trust</v>
          </cell>
          <cell r="C457" t="str">
            <v/>
          </cell>
          <cell r="D457" t="str">
            <v>Keefer</v>
          </cell>
          <cell r="E457" t="str">
            <v>Newman</v>
          </cell>
          <cell r="F457" t="str">
            <v>01</v>
          </cell>
          <cell r="G457" t="str">
            <v>N</v>
          </cell>
          <cell r="H457" t="str">
            <v/>
          </cell>
          <cell r="I457" t="str">
            <v>N</v>
          </cell>
          <cell r="J457" t="str">
            <v>Rates</v>
          </cell>
          <cell r="K457" t="str">
            <v/>
          </cell>
          <cell r="L457" t="str">
            <v>Fully</v>
          </cell>
          <cell r="M457" t="str">
            <v>Dodds</v>
          </cell>
          <cell r="N457" t="str">
            <v>0</v>
          </cell>
          <cell r="O457" t="str">
            <v>09</v>
          </cell>
          <cell r="P457" t="str">
            <v>King, R.</v>
          </cell>
          <cell r="Q457" t="str">
            <v/>
          </cell>
          <cell r="R457" t="str">
            <v>DC</v>
          </cell>
          <cell r="S457">
            <v>50000</v>
          </cell>
          <cell r="T457" t="str">
            <v>PPO/POS</v>
          </cell>
          <cell r="U457" t="str">
            <v>BFF5</v>
          </cell>
          <cell r="V457" t="str">
            <v/>
          </cell>
          <cell r="W457" t="str">
            <v/>
          </cell>
          <cell r="X457">
            <v>1</v>
          </cell>
        </row>
        <row r="458">
          <cell r="A458" t="str">
            <v>CH67</v>
          </cell>
          <cell r="B458" t="str">
            <v xml:space="preserve">National Fish and Wildlife Foundation             </v>
          </cell>
          <cell r="C458" t="str">
            <v/>
          </cell>
          <cell r="D458" t="str">
            <v>McCourt</v>
          </cell>
          <cell r="E458" t="str">
            <v>Rutkowski</v>
          </cell>
          <cell r="F458" t="str">
            <v>03</v>
          </cell>
          <cell r="G458" t="str">
            <v>N</v>
          </cell>
          <cell r="H458" t="str">
            <v/>
          </cell>
          <cell r="I458" t="str">
            <v>N</v>
          </cell>
          <cell r="J458" t="str">
            <v>Rates</v>
          </cell>
          <cell r="K458" t="str">
            <v/>
          </cell>
          <cell r="L458" t="str">
            <v>Fully</v>
          </cell>
          <cell r="M458" t="str">
            <v>Henton-Davis</v>
          </cell>
          <cell r="N458" t="str">
            <v/>
          </cell>
          <cell r="O458" t="str">
            <v>11</v>
          </cell>
          <cell r="P458" t="str">
            <v>Rutkowski</v>
          </cell>
          <cell r="Q458" t="str">
            <v/>
          </cell>
          <cell r="R458" t="str">
            <v>DC</v>
          </cell>
          <cell r="S458">
            <v>50000</v>
          </cell>
          <cell r="T458" t="str">
            <v>PPO/HMO</v>
          </cell>
          <cell r="U458" t="str">
            <v>BFF5/CFF5</v>
          </cell>
          <cell r="V458" t="str">
            <v/>
          </cell>
          <cell r="W458" t="str">
            <v/>
          </cell>
          <cell r="X458">
            <v>1</v>
          </cell>
        </row>
        <row r="459">
          <cell r="A459" t="str">
            <v>UC00</v>
          </cell>
          <cell r="B459" t="str">
            <v>National Food Processors Association</v>
          </cell>
          <cell r="C459" t="str">
            <v/>
          </cell>
          <cell r="D459" t="str">
            <v>Keefer</v>
          </cell>
          <cell r="E459" t="str">
            <v>Burba</v>
          </cell>
          <cell r="F459" t="str">
            <v>01</v>
          </cell>
          <cell r="G459" t="str">
            <v>N</v>
          </cell>
          <cell r="H459" t="str">
            <v/>
          </cell>
          <cell r="I459" t="str">
            <v>N</v>
          </cell>
          <cell r="J459" t="str">
            <v>Rates</v>
          </cell>
          <cell r="K459" t="str">
            <v/>
          </cell>
          <cell r="L459" t="str">
            <v>Fully</v>
          </cell>
          <cell r="M459" t="str">
            <v>Swears</v>
          </cell>
          <cell r="N459" t="str">
            <v/>
          </cell>
          <cell r="O459" t="str">
            <v>09</v>
          </cell>
          <cell r="P459" t="str">
            <v>Thacker</v>
          </cell>
          <cell r="Q459" t="str">
            <v/>
          </cell>
          <cell r="R459" t="str">
            <v>DC</v>
          </cell>
          <cell r="S459">
            <v>50000</v>
          </cell>
          <cell r="T459" t="str">
            <v>HMO/PPO/POS</v>
          </cell>
          <cell r="U459" t="str">
            <v>BFF6/CFF6</v>
          </cell>
          <cell r="V459" t="str">
            <v/>
          </cell>
          <cell r="W459" t="str">
            <v/>
          </cell>
          <cell r="X459">
            <v>1</v>
          </cell>
        </row>
        <row r="460">
          <cell r="A460" t="str">
            <v>R138</v>
          </cell>
          <cell r="B460" t="str">
            <v>National Geographic Society</v>
          </cell>
          <cell r="C460" t="str">
            <v/>
          </cell>
          <cell r="D460" t="str">
            <v>Keefer</v>
          </cell>
          <cell r="E460" t="str">
            <v>Anderson</v>
          </cell>
          <cell r="F460" t="str">
            <v>01</v>
          </cell>
          <cell r="G460" t="str">
            <v>N</v>
          </cell>
          <cell r="H460" t="str">
            <v/>
          </cell>
          <cell r="I460" t="str">
            <v>N</v>
          </cell>
          <cell r="J460" t="str">
            <v>CPC Mo</v>
          </cell>
          <cell r="K460" t="str">
            <v>SW</v>
          </cell>
          <cell r="L460" t="str">
            <v>125%</v>
          </cell>
          <cell r="M460" t="str">
            <v>Dunn</v>
          </cell>
          <cell r="N460" t="str">
            <v>6</v>
          </cell>
          <cell r="O460" t="str">
            <v>07</v>
          </cell>
          <cell r="P460" t="str">
            <v>Ryan</v>
          </cell>
          <cell r="Q460" t="str">
            <v>Smith</v>
          </cell>
          <cell r="R460" t="str">
            <v>DC</v>
          </cell>
          <cell r="S460">
            <v>250000</v>
          </cell>
          <cell r="T460" t="str">
            <v>PPO</v>
          </cell>
          <cell r="U460" t="str">
            <v>BAB8</v>
          </cell>
          <cell r="V460" t="str">
            <v/>
          </cell>
          <cell r="W460" t="str">
            <v/>
          </cell>
          <cell r="X460">
            <v>1</v>
          </cell>
        </row>
        <row r="461">
          <cell r="A461" t="str">
            <v>6T07</v>
          </cell>
          <cell r="B461" t="str">
            <v>National Industries for the Blind</v>
          </cell>
          <cell r="C461" t="str">
            <v/>
          </cell>
          <cell r="D461" t="str">
            <v>Keefer</v>
          </cell>
          <cell r="E461" t="str">
            <v>Taylor</v>
          </cell>
          <cell r="F461" t="str">
            <v>10</v>
          </cell>
          <cell r="G461" t="str">
            <v/>
          </cell>
          <cell r="H461" t="str">
            <v/>
          </cell>
          <cell r="I461" t="str">
            <v>N</v>
          </cell>
          <cell r="J461" t="str">
            <v>Rates</v>
          </cell>
          <cell r="K461" t="str">
            <v/>
          </cell>
          <cell r="L461" t="str">
            <v>Fully</v>
          </cell>
          <cell r="M461" t="str">
            <v>Rutkowski</v>
          </cell>
          <cell r="N461" t="str">
            <v/>
          </cell>
          <cell r="O461" t="str">
            <v>06</v>
          </cell>
          <cell r="P461" t="str">
            <v/>
          </cell>
          <cell r="Q461" t="str">
            <v/>
          </cell>
          <cell r="R461" t="str">
            <v>VA</v>
          </cell>
          <cell r="S461">
            <v>50000</v>
          </cell>
          <cell r="T461" t="str">
            <v>PPO/HMO/OA</v>
          </cell>
          <cell r="U461" t="str">
            <v>BFF5/CFF5</v>
          </cell>
          <cell r="V461" t="str">
            <v>Y</v>
          </cell>
          <cell r="W461" t="str">
            <v>10/1/2002</v>
          </cell>
          <cell r="X461">
            <v>1</v>
          </cell>
        </row>
        <row r="462">
          <cell r="A462" t="str">
            <v>NM34</v>
          </cell>
          <cell r="B462" t="str">
            <v>National Institute Of Health Federal Credit Unio</v>
          </cell>
          <cell r="C462" t="str">
            <v/>
          </cell>
          <cell r="D462" t="str">
            <v>McCourt</v>
          </cell>
          <cell r="E462" t="str">
            <v>Rutkowski</v>
          </cell>
          <cell r="F462" t="str">
            <v>12</v>
          </cell>
          <cell r="G462" t="str">
            <v>N</v>
          </cell>
          <cell r="H462" t="str">
            <v>N</v>
          </cell>
          <cell r="I462" t="str">
            <v>N</v>
          </cell>
          <cell r="J462" t="str">
            <v>Rates</v>
          </cell>
          <cell r="K462" t="str">
            <v/>
          </cell>
          <cell r="L462" t="str">
            <v>Fully</v>
          </cell>
          <cell r="M462" t="str">
            <v>Guessford-Kline</v>
          </cell>
          <cell r="N462" t="str">
            <v>0</v>
          </cell>
          <cell r="O462" t="str">
            <v>08</v>
          </cell>
          <cell r="P462" t="str">
            <v>Rutkowski</v>
          </cell>
          <cell r="Q462" t="str">
            <v/>
          </cell>
          <cell r="R462" t="str">
            <v>MD</v>
          </cell>
          <cell r="S462">
            <v>50000</v>
          </cell>
          <cell r="T462" t="str">
            <v>PPO/HMO</v>
          </cell>
          <cell r="U462" t="str">
            <v>BFF5/CFF5</v>
          </cell>
          <cell r="V462" t="str">
            <v/>
          </cell>
          <cell r="W462" t="str">
            <v/>
          </cell>
          <cell r="X462">
            <v>1</v>
          </cell>
        </row>
        <row r="463">
          <cell r="A463" t="str">
            <v>TR66</v>
          </cell>
          <cell r="B463" t="str">
            <v>National Mental Health Association</v>
          </cell>
          <cell r="C463" t="str">
            <v/>
          </cell>
          <cell r="D463" t="str">
            <v>Keefer</v>
          </cell>
          <cell r="E463" t="str">
            <v>Burba</v>
          </cell>
          <cell r="F463" t="str">
            <v>11</v>
          </cell>
          <cell r="G463" t="str">
            <v>N</v>
          </cell>
          <cell r="H463" t="str">
            <v/>
          </cell>
          <cell r="I463" t="str">
            <v>N</v>
          </cell>
          <cell r="J463" t="str">
            <v>Rates</v>
          </cell>
          <cell r="K463" t="str">
            <v/>
          </cell>
          <cell r="L463" t="str">
            <v>Fully</v>
          </cell>
          <cell r="M463" t="str">
            <v>Wise</v>
          </cell>
          <cell r="N463" t="str">
            <v/>
          </cell>
          <cell r="O463" t="str">
            <v>07</v>
          </cell>
          <cell r="P463" t="str">
            <v/>
          </cell>
          <cell r="Q463" t="str">
            <v/>
          </cell>
          <cell r="R463" t="str">
            <v>VA</v>
          </cell>
          <cell r="S463">
            <v>50000</v>
          </cell>
          <cell r="T463" t="str">
            <v>HMO/PPO/OA</v>
          </cell>
          <cell r="U463" t="str">
            <v>BFF5/CFF5</v>
          </cell>
          <cell r="V463" t="str">
            <v/>
          </cell>
          <cell r="W463" t="str">
            <v/>
          </cell>
          <cell r="X463">
            <v>1</v>
          </cell>
        </row>
        <row r="464">
          <cell r="A464" t="str">
            <v>6267</v>
          </cell>
          <cell r="B464" t="str">
            <v>National Retail Federation</v>
          </cell>
          <cell r="C464" t="str">
            <v/>
          </cell>
          <cell r="D464" t="str">
            <v>Keefer</v>
          </cell>
          <cell r="E464" t="str">
            <v>Newman</v>
          </cell>
          <cell r="F464" t="str">
            <v>07</v>
          </cell>
          <cell r="G464" t="str">
            <v>N</v>
          </cell>
          <cell r="H464" t="str">
            <v>N</v>
          </cell>
          <cell r="I464" t="str">
            <v>N</v>
          </cell>
          <cell r="J464" t="str">
            <v>Rates</v>
          </cell>
          <cell r="K464" t="str">
            <v/>
          </cell>
          <cell r="L464" t="str">
            <v>Fully</v>
          </cell>
          <cell r="M464" t="str">
            <v>Guessford-Kline</v>
          </cell>
          <cell r="N464" t="str">
            <v>0</v>
          </cell>
          <cell r="O464" t="str">
            <v>03</v>
          </cell>
          <cell r="P464" t="str">
            <v>King, R.</v>
          </cell>
          <cell r="Q464" t="str">
            <v/>
          </cell>
          <cell r="R464" t="str">
            <v>DC</v>
          </cell>
          <cell r="S464">
            <v>50000</v>
          </cell>
          <cell r="T464" t="str">
            <v>PPO</v>
          </cell>
          <cell r="U464" t="str">
            <v>BFF5</v>
          </cell>
          <cell r="V464" t="str">
            <v/>
          </cell>
          <cell r="W464" t="str">
            <v/>
          </cell>
          <cell r="X464">
            <v>1</v>
          </cell>
        </row>
        <row r="465">
          <cell r="A465" t="str">
            <v>XM71</v>
          </cell>
          <cell r="B465" t="str">
            <v>National Science Teachers Association</v>
          </cell>
          <cell r="C465" t="str">
            <v/>
          </cell>
          <cell r="D465" t="str">
            <v>Keefer</v>
          </cell>
          <cell r="E465" t="str">
            <v>Burba</v>
          </cell>
          <cell r="F465" t="str">
            <v>06</v>
          </cell>
          <cell r="G465" t="str">
            <v>N</v>
          </cell>
          <cell r="H465" t="str">
            <v/>
          </cell>
          <cell r="I465" t="str">
            <v>N</v>
          </cell>
          <cell r="J465" t="str">
            <v>Rates</v>
          </cell>
          <cell r="K465" t="str">
            <v/>
          </cell>
          <cell r="L465" t="str">
            <v>Fully</v>
          </cell>
          <cell r="M465" t="str">
            <v>Savoca</v>
          </cell>
          <cell r="N465" t="str">
            <v/>
          </cell>
          <cell r="O465" t="str">
            <v>02</v>
          </cell>
          <cell r="P465" t="str">
            <v/>
          </cell>
          <cell r="Q465" t="str">
            <v/>
          </cell>
          <cell r="R465" t="str">
            <v>VA</v>
          </cell>
          <cell r="S465">
            <v>50000</v>
          </cell>
          <cell r="T465" t="str">
            <v>PPO/HMO/POS</v>
          </cell>
          <cell r="U465" t="str">
            <v>BFF6/CFF6</v>
          </cell>
          <cell r="V465" t="str">
            <v/>
          </cell>
          <cell r="W465" t="str">
            <v/>
          </cell>
          <cell r="X465">
            <v>1</v>
          </cell>
        </row>
        <row r="466">
          <cell r="A466" t="str">
            <v>1E48</v>
          </cell>
          <cell r="B466" t="str">
            <v xml:space="preserve">National Society of Professional Engineers        </v>
          </cell>
          <cell r="C466" t="str">
            <v/>
          </cell>
          <cell r="D466" t="str">
            <v>Keefer</v>
          </cell>
          <cell r="E466" t="str">
            <v>Burba</v>
          </cell>
          <cell r="F466" t="str">
            <v>01</v>
          </cell>
          <cell r="G466" t="str">
            <v>N</v>
          </cell>
          <cell r="H466" t="str">
            <v/>
          </cell>
          <cell r="I466" t="str">
            <v>N</v>
          </cell>
          <cell r="J466" t="str">
            <v>Rates</v>
          </cell>
          <cell r="K466" t="str">
            <v/>
          </cell>
          <cell r="L466" t="str">
            <v>Fully</v>
          </cell>
          <cell r="M466" t="str">
            <v>Savoca</v>
          </cell>
          <cell r="N466" t="str">
            <v/>
          </cell>
          <cell r="O466" t="str">
            <v>09</v>
          </cell>
          <cell r="P466" t="str">
            <v/>
          </cell>
          <cell r="Q466" t="str">
            <v/>
          </cell>
          <cell r="R466" t="str">
            <v>VA</v>
          </cell>
          <cell r="S466">
            <v>50000</v>
          </cell>
          <cell r="T466" t="str">
            <v>PPO</v>
          </cell>
          <cell r="U466" t="str">
            <v>BFF5</v>
          </cell>
          <cell r="V466" t="str">
            <v/>
          </cell>
          <cell r="W466" t="str">
            <v/>
          </cell>
          <cell r="X466">
            <v>1</v>
          </cell>
        </row>
        <row r="467">
          <cell r="A467" t="str">
            <v>6D52</v>
          </cell>
          <cell r="B467" t="str">
            <v>National Technologies Associates</v>
          </cell>
          <cell r="C467" t="str">
            <v/>
          </cell>
          <cell r="D467" t="str">
            <v>Keefer</v>
          </cell>
          <cell r="E467" t="str">
            <v>Burba</v>
          </cell>
          <cell r="F467" t="str">
            <v>07</v>
          </cell>
          <cell r="G467" t="str">
            <v>N</v>
          </cell>
          <cell r="H467" t="str">
            <v>N</v>
          </cell>
          <cell r="I467" t="str">
            <v>N</v>
          </cell>
          <cell r="J467" t="str">
            <v>Rates</v>
          </cell>
          <cell r="K467" t="str">
            <v/>
          </cell>
          <cell r="L467" t="str">
            <v>Fully</v>
          </cell>
          <cell r="M467" t="str">
            <v>Swears</v>
          </cell>
          <cell r="N467" t="str">
            <v>0</v>
          </cell>
          <cell r="O467" t="str">
            <v>03</v>
          </cell>
          <cell r="P467" t="str">
            <v>LaTouche</v>
          </cell>
          <cell r="Q467" t="str">
            <v/>
          </cell>
          <cell r="R467" t="str">
            <v>VA</v>
          </cell>
          <cell r="S467">
            <v>50000</v>
          </cell>
          <cell r="T467" t="str">
            <v>HMO POS PPO Rx</v>
          </cell>
          <cell r="U467" t="str">
            <v>BFF6/CFF6</v>
          </cell>
          <cell r="V467" t="str">
            <v>Y</v>
          </cell>
          <cell r="W467" t="str">
            <v>7/1/2002</v>
          </cell>
          <cell r="X467">
            <v>1</v>
          </cell>
        </row>
        <row r="468">
          <cell r="A468" t="str">
            <v>0C9V</v>
          </cell>
          <cell r="B468" t="str">
            <v xml:space="preserve">Navy Mutual Aid Association                       </v>
          </cell>
          <cell r="C468" t="str">
            <v/>
          </cell>
          <cell r="D468" t="str">
            <v>Keefer</v>
          </cell>
          <cell r="E468" t="str">
            <v>Burba</v>
          </cell>
          <cell r="F468" t="str">
            <v>03</v>
          </cell>
          <cell r="G468" t="str">
            <v>N</v>
          </cell>
          <cell r="H468" t="str">
            <v/>
          </cell>
          <cell r="I468" t="str">
            <v>N</v>
          </cell>
          <cell r="J468" t="str">
            <v>Rates</v>
          </cell>
          <cell r="K468" t="str">
            <v/>
          </cell>
          <cell r="L468" t="str">
            <v>Fully</v>
          </cell>
          <cell r="M468" t="str">
            <v>Flora</v>
          </cell>
          <cell r="N468" t="str">
            <v/>
          </cell>
          <cell r="O468" t="str">
            <v>11</v>
          </cell>
          <cell r="P468" t="str">
            <v/>
          </cell>
          <cell r="Q468" t="str">
            <v/>
          </cell>
          <cell r="R468" t="str">
            <v>VA</v>
          </cell>
          <cell r="S468">
            <v>50000</v>
          </cell>
          <cell r="T468" t="str">
            <v>PPO/HMO/POS</v>
          </cell>
          <cell r="U468" t="str">
            <v>BFF5/CFF5</v>
          </cell>
          <cell r="V468" t="str">
            <v>Y</v>
          </cell>
          <cell r="W468" t="str">
            <v>3/1/2005</v>
          </cell>
          <cell r="X468">
            <v>1</v>
          </cell>
        </row>
        <row r="469">
          <cell r="A469" t="str">
            <v>UF98</v>
          </cell>
          <cell r="B469" t="str">
            <v xml:space="preserve">New Skies Satellites, Inc.                        </v>
          </cell>
          <cell r="C469" t="str">
            <v/>
          </cell>
          <cell r="D469" t="str">
            <v>Keefer</v>
          </cell>
          <cell r="E469" t="str">
            <v>Johnson</v>
          </cell>
          <cell r="F469" t="str">
            <v>06</v>
          </cell>
          <cell r="G469" t="str">
            <v>N</v>
          </cell>
          <cell r="H469" t="str">
            <v/>
          </cell>
          <cell r="I469" t="str">
            <v>N</v>
          </cell>
          <cell r="J469" t="str">
            <v>Rates</v>
          </cell>
          <cell r="K469" t="str">
            <v/>
          </cell>
          <cell r="L469" t="str">
            <v>Fully</v>
          </cell>
          <cell r="M469" t="str">
            <v>Swears</v>
          </cell>
          <cell r="N469" t="str">
            <v/>
          </cell>
          <cell r="O469" t="str">
            <v>02</v>
          </cell>
          <cell r="P469" t="str">
            <v>Padrutt</v>
          </cell>
          <cell r="Q469" t="str">
            <v/>
          </cell>
          <cell r="R469" t="str">
            <v>DC</v>
          </cell>
          <cell r="S469">
            <v>50000</v>
          </cell>
          <cell r="T469" t="str">
            <v>PPO</v>
          </cell>
          <cell r="U469" t="str">
            <v>BFF5</v>
          </cell>
          <cell r="V469" t="str">
            <v/>
          </cell>
          <cell r="W469" t="str">
            <v/>
          </cell>
          <cell r="X469">
            <v>1</v>
          </cell>
        </row>
        <row r="470">
          <cell r="A470" t="str">
            <v>NA35</v>
          </cell>
          <cell r="B470" t="str">
            <v xml:space="preserve">New Technology Management, Inc                    </v>
          </cell>
          <cell r="C470" t="str">
            <v/>
          </cell>
          <cell r="D470" t="str">
            <v>McCourt</v>
          </cell>
          <cell r="E470" t="str">
            <v>Mugo</v>
          </cell>
          <cell r="F470" t="str">
            <v>05</v>
          </cell>
          <cell r="G470" t="str">
            <v>N</v>
          </cell>
          <cell r="H470" t="str">
            <v/>
          </cell>
          <cell r="I470" t="str">
            <v>N</v>
          </cell>
          <cell r="J470" t="str">
            <v>Rates</v>
          </cell>
          <cell r="K470" t="str">
            <v/>
          </cell>
          <cell r="L470" t="str">
            <v>Fully</v>
          </cell>
          <cell r="M470" t="str">
            <v>Dodds</v>
          </cell>
          <cell r="N470" t="str">
            <v/>
          </cell>
          <cell r="O470" t="str">
            <v>01</v>
          </cell>
          <cell r="P470" t="str">
            <v/>
          </cell>
          <cell r="Q470" t="str">
            <v/>
          </cell>
          <cell r="R470" t="str">
            <v>VA</v>
          </cell>
          <cell r="S470">
            <v>50000</v>
          </cell>
          <cell r="T470" t="str">
            <v>PPO</v>
          </cell>
          <cell r="U470" t="str">
            <v>BFF5</v>
          </cell>
          <cell r="V470" t="str">
            <v/>
          </cell>
          <cell r="W470" t="str">
            <v/>
          </cell>
          <cell r="X470">
            <v>1</v>
          </cell>
        </row>
        <row r="471">
          <cell r="A471" t="str">
            <v>7L70</v>
          </cell>
          <cell r="B471" t="str">
            <v xml:space="preserve">Nextlinx                                          </v>
          </cell>
          <cell r="C471" t="str">
            <v/>
          </cell>
          <cell r="D471" t="str">
            <v>Keefer</v>
          </cell>
          <cell r="E471" t="str">
            <v>Anderson</v>
          </cell>
          <cell r="F471" t="str">
            <v>03</v>
          </cell>
          <cell r="G471" t="str">
            <v/>
          </cell>
          <cell r="H471" t="str">
            <v/>
          </cell>
          <cell r="I471" t="str">
            <v/>
          </cell>
          <cell r="J471" t="str">
            <v>Rates</v>
          </cell>
          <cell r="K471" t="str">
            <v/>
          </cell>
          <cell r="L471" t="str">
            <v>Fully</v>
          </cell>
          <cell r="M471" t="str">
            <v>Warren</v>
          </cell>
          <cell r="N471" t="str">
            <v/>
          </cell>
          <cell r="O471" t="str">
            <v>11</v>
          </cell>
          <cell r="P471" t="str">
            <v/>
          </cell>
          <cell r="Q471" t="str">
            <v/>
          </cell>
          <cell r="R471" t="str">
            <v>MD</v>
          </cell>
          <cell r="S471">
            <v>50000</v>
          </cell>
          <cell r="T471" t="str">
            <v>HMO6 OA3 PPO10</v>
          </cell>
          <cell r="U471" t="str">
            <v>BFF5 CFF5</v>
          </cell>
          <cell r="V471" t="str">
            <v>Y</v>
          </cell>
          <cell r="W471" t="str">
            <v>3/1/2005</v>
          </cell>
          <cell r="X471">
            <v>1</v>
          </cell>
        </row>
        <row r="472">
          <cell r="A472" t="str">
            <v>TR75</v>
          </cell>
          <cell r="B472" t="str">
            <v>Northwest Federal Credit Union</v>
          </cell>
          <cell r="C472" t="str">
            <v/>
          </cell>
          <cell r="D472" t="str">
            <v>Keefer</v>
          </cell>
          <cell r="E472" t="str">
            <v>LaTouche</v>
          </cell>
          <cell r="F472" t="str">
            <v>01</v>
          </cell>
          <cell r="G472" t="str">
            <v>N</v>
          </cell>
          <cell r="H472" t="str">
            <v>N</v>
          </cell>
          <cell r="I472" t="str">
            <v>N</v>
          </cell>
          <cell r="J472" t="str">
            <v>Rates</v>
          </cell>
          <cell r="K472" t="str">
            <v/>
          </cell>
          <cell r="L472" t="str">
            <v>Fully</v>
          </cell>
          <cell r="M472" t="str">
            <v>Savoca</v>
          </cell>
          <cell r="N472" t="str">
            <v>0</v>
          </cell>
          <cell r="O472" t="str">
            <v>09</v>
          </cell>
          <cell r="P472" t="str">
            <v>LaTouche</v>
          </cell>
          <cell r="Q472" t="str">
            <v/>
          </cell>
          <cell r="R472" t="str">
            <v>VA</v>
          </cell>
          <cell r="S472">
            <v>50000</v>
          </cell>
          <cell r="T472" t="str">
            <v>HMO/PPO</v>
          </cell>
          <cell r="U472" t="str">
            <v>BFF5/CFF5</v>
          </cell>
          <cell r="V472" t="str">
            <v/>
          </cell>
          <cell r="W472" t="str">
            <v/>
          </cell>
          <cell r="X472">
            <v>1</v>
          </cell>
        </row>
        <row r="473">
          <cell r="A473" t="str">
            <v>1E70</v>
          </cell>
          <cell r="B473" t="str">
            <v>NoVA Juvenile Detention Comm</v>
          </cell>
          <cell r="C473" t="str">
            <v/>
          </cell>
          <cell r="D473" t="str">
            <v>McCourt</v>
          </cell>
          <cell r="E473" t="str">
            <v>Quade</v>
          </cell>
          <cell r="F473" t="str">
            <v>04</v>
          </cell>
          <cell r="G473" t="str">
            <v>N</v>
          </cell>
          <cell r="H473" t="str">
            <v>N</v>
          </cell>
          <cell r="I473" t="str">
            <v>N</v>
          </cell>
          <cell r="J473" t="str">
            <v>Rates</v>
          </cell>
          <cell r="K473" t="str">
            <v/>
          </cell>
          <cell r="L473" t="str">
            <v>Fully</v>
          </cell>
          <cell r="M473" t="str">
            <v>Savoca</v>
          </cell>
          <cell r="N473" t="str">
            <v>0</v>
          </cell>
          <cell r="O473" t="str">
            <v>12</v>
          </cell>
          <cell r="P473" t="str">
            <v>Johnson</v>
          </cell>
          <cell r="Q473" t="str">
            <v/>
          </cell>
          <cell r="R473" t="str">
            <v>VA</v>
          </cell>
          <cell r="S473">
            <v>50000</v>
          </cell>
          <cell r="T473" t="str">
            <v>POS/HMO</v>
          </cell>
          <cell r="U473" t="str">
            <v>BFF5/CFF5</v>
          </cell>
          <cell r="V473" t="str">
            <v/>
          </cell>
          <cell r="W473" t="str">
            <v/>
          </cell>
          <cell r="X473">
            <v>1</v>
          </cell>
        </row>
        <row r="474">
          <cell r="A474" t="str">
            <v>1B60</v>
          </cell>
          <cell r="B474" t="str">
            <v>Nova Research Institute, Limited</v>
          </cell>
          <cell r="C474" t="str">
            <v/>
          </cell>
          <cell r="D474" t="str">
            <v>McCourt</v>
          </cell>
          <cell r="E474" t="str">
            <v>Quade</v>
          </cell>
          <cell r="F474" t="str">
            <v>02</v>
          </cell>
          <cell r="G474" t="str">
            <v>N</v>
          </cell>
          <cell r="H474" t="str">
            <v>N</v>
          </cell>
          <cell r="I474" t="str">
            <v>N</v>
          </cell>
          <cell r="J474" t="str">
            <v>Rates</v>
          </cell>
          <cell r="K474" t="str">
            <v/>
          </cell>
          <cell r="L474" t="str">
            <v>Fully</v>
          </cell>
          <cell r="M474" t="str">
            <v>Henton-Davis</v>
          </cell>
          <cell r="N474" t="str">
            <v>0</v>
          </cell>
          <cell r="O474" t="str">
            <v>10</v>
          </cell>
          <cell r="P474" t="str">
            <v>Addy</v>
          </cell>
          <cell r="Q474" t="str">
            <v/>
          </cell>
          <cell r="R474" t="str">
            <v>MD</v>
          </cell>
          <cell r="S474">
            <v>50000</v>
          </cell>
          <cell r="T474" t="str">
            <v>POS</v>
          </cell>
          <cell r="U474" t="str">
            <v>BFF5</v>
          </cell>
          <cell r="V474" t="str">
            <v/>
          </cell>
          <cell r="W474" t="str">
            <v/>
          </cell>
          <cell r="X474">
            <v>1</v>
          </cell>
        </row>
        <row r="475">
          <cell r="A475" t="str">
            <v>XT49</v>
          </cell>
          <cell r="B475" t="str">
            <v xml:space="preserve">NRL Federal Credit Union                          </v>
          </cell>
          <cell r="C475" t="str">
            <v/>
          </cell>
          <cell r="D475" t="str">
            <v>Keefer</v>
          </cell>
          <cell r="E475" t="str">
            <v>Burba</v>
          </cell>
          <cell r="F475" t="str">
            <v>10</v>
          </cell>
          <cell r="G475" t="str">
            <v>N</v>
          </cell>
          <cell r="H475" t="str">
            <v/>
          </cell>
          <cell r="I475" t="str">
            <v>N</v>
          </cell>
          <cell r="J475" t="str">
            <v>Rates</v>
          </cell>
          <cell r="K475" t="str">
            <v/>
          </cell>
          <cell r="L475" t="str">
            <v>Fully</v>
          </cell>
          <cell r="M475" t="str">
            <v>Henton-Davis</v>
          </cell>
          <cell r="N475" t="str">
            <v/>
          </cell>
          <cell r="O475" t="str">
            <v>06</v>
          </cell>
          <cell r="P475" t="str">
            <v/>
          </cell>
          <cell r="Q475" t="str">
            <v/>
          </cell>
          <cell r="R475" t="str">
            <v>MD</v>
          </cell>
          <cell r="S475">
            <v>50000</v>
          </cell>
          <cell r="T475" t="str">
            <v>POS/HMO/PPO</v>
          </cell>
          <cell r="U475" t="str">
            <v>BFF5/CFF5</v>
          </cell>
          <cell r="V475" t="str">
            <v/>
          </cell>
          <cell r="W475" t="str">
            <v/>
          </cell>
          <cell r="X475">
            <v>1</v>
          </cell>
        </row>
        <row r="476">
          <cell r="A476" t="str">
            <v>QR19</v>
          </cell>
          <cell r="B476" t="str">
            <v>Number Six Software, Inc.</v>
          </cell>
          <cell r="C476" t="str">
            <v/>
          </cell>
          <cell r="D476" t="str">
            <v>Keefer</v>
          </cell>
          <cell r="E476" t="str">
            <v>Taylor</v>
          </cell>
          <cell r="F476" t="str">
            <v>05</v>
          </cell>
          <cell r="G476" t="str">
            <v/>
          </cell>
          <cell r="H476" t="str">
            <v/>
          </cell>
          <cell r="I476" t="str">
            <v/>
          </cell>
          <cell r="J476" t="str">
            <v>Rates</v>
          </cell>
          <cell r="K476" t="str">
            <v/>
          </cell>
          <cell r="L476" t="str">
            <v>Fully</v>
          </cell>
          <cell r="M476" t="str">
            <v>Swears</v>
          </cell>
          <cell r="N476" t="str">
            <v/>
          </cell>
          <cell r="O476" t="str">
            <v>01</v>
          </cell>
          <cell r="P476" t="str">
            <v/>
          </cell>
          <cell r="Q476" t="str">
            <v/>
          </cell>
          <cell r="R476" t="str">
            <v>VA</v>
          </cell>
          <cell r="S476">
            <v>50000</v>
          </cell>
          <cell r="T476" t="str">
            <v>PPO HMO POS</v>
          </cell>
          <cell r="U476" t="str">
            <v>BFF5 CFF5</v>
          </cell>
          <cell r="V476" t="str">
            <v>Y</v>
          </cell>
          <cell r="W476" t="str">
            <v>5/1/2004</v>
          </cell>
          <cell r="X476">
            <v>1</v>
          </cell>
        </row>
        <row r="477">
          <cell r="A477" t="str">
            <v>BWY2</v>
          </cell>
          <cell r="B477" t="str">
            <v xml:space="preserve">Object Sciences Corp.                             </v>
          </cell>
          <cell r="C477" t="str">
            <v/>
          </cell>
          <cell r="D477" t="str">
            <v>McCourt</v>
          </cell>
          <cell r="E477" t="str">
            <v>Slack</v>
          </cell>
          <cell r="F477" t="str">
            <v>02</v>
          </cell>
          <cell r="G477" t="str">
            <v>N</v>
          </cell>
          <cell r="H477" t="str">
            <v/>
          </cell>
          <cell r="I477" t="str">
            <v>N</v>
          </cell>
          <cell r="J477" t="str">
            <v>Rates</v>
          </cell>
          <cell r="K477" t="str">
            <v/>
          </cell>
          <cell r="L477" t="str">
            <v>Fully</v>
          </cell>
          <cell r="M477" t="str">
            <v>Cosby</v>
          </cell>
          <cell r="N477" t="str">
            <v/>
          </cell>
          <cell r="O477" t="str">
            <v>10</v>
          </cell>
          <cell r="P477" t="str">
            <v>Slack</v>
          </cell>
          <cell r="Q477" t="str">
            <v/>
          </cell>
          <cell r="R477" t="str">
            <v>VA</v>
          </cell>
          <cell r="S477">
            <v>50000</v>
          </cell>
          <cell r="T477" t="str">
            <v>HMO/OA/PPO</v>
          </cell>
          <cell r="U477" t="str">
            <v>BFF5/CFF5</v>
          </cell>
          <cell r="V477" t="str">
            <v>Y</v>
          </cell>
          <cell r="W477" t="str">
            <v>2/1/2004</v>
          </cell>
          <cell r="X477">
            <v>1</v>
          </cell>
        </row>
        <row r="478">
          <cell r="A478" t="str">
            <v>YC41</v>
          </cell>
          <cell r="B478" t="str">
            <v xml:space="preserve">Occasions Caterers, Inc.                          </v>
          </cell>
          <cell r="C478" t="str">
            <v/>
          </cell>
          <cell r="D478" t="str">
            <v>Keefer</v>
          </cell>
          <cell r="E478" t="str">
            <v>LaTouche</v>
          </cell>
          <cell r="F478" t="str">
            <v>10</v>
          </cell>
          <cell r="G478" t="str">
            <v>N</v>
          </cell>
          <cell r="H478" t="str">
            <v/>
          </cell>
          <cell r="I478" t="str">
            <v>N</v>
          </cell>
          <cell r="J478" t="str">
            <v>Rates</v>
          </cell>
          <cell r="K478" t="str">
            <v/>
          </cell>
          <cell r="L478" t="str">
            <v>Fully</v>
          </cell>
          <cell r="M478" t="str">
            <v>Wise</v>
          </cell>
          <cell r="N478" t="str">
            <v/>
          </cell>
          <cell r="O478" t="str">
            <v>06</v>
          </cell>
          <cell r="P478" t="str">
            <v>LaTouche</v>
          </cell>
          <cell r="Q478" t="str">
            <v/>
          </cell>
          <cell r="R478" t="str">
            <v>DC</v>
          </cell>
          <cell r="S478">
            <v>50000</v>
          </cell>
          <cell r="T478" t="str">
            <v>POS/HMO/PPO</v>
          </cell>
          <cell r="U478" t="str">
            <v>BFF5/CFF5</v>
          </cell>
          <cell r="V478" t="str">
            <v/>
          </cell>
          <cell r="W478" t="str">
            <v/>
          </cell>
          <cell r="X478">
            <v>1</v>
          </cell>
        </row>
        <row r="479">
          <cell r="A479" t="str">
            <v>06QX</v>
          </cell>
          <cell r="B479" t="str">
            <v xml:space="preserve">Office of Foreign Buildings                       </v>
          </cell>
          <cell r="C479" t="str">
            <v/>
          </cell>
          <cell r="D479" t="str">
            <v>Keefer</v>
          </cell>
          <cell r="E479" t="str">
            <v>Burba</v>
          </cell>
          <cell r="F479" t="str">
            <v>11</v>
          </cell>
          <cell r="G479" t="str">
            <v>N</v>
          </cell>
          <cell r="H479" t="str">
            <v/>
          </cell>
          <cell r="I479" t="str">
            <v>N</v>
          </cell>
          <cell r="J479" t="str">
            <v>Rates</v>
          </cell>
          <cell r="K479" t="str">
            <v/>
          </cell>
          <cell r="L479" t="str">
            <v>Fully</v>
          </cell>
          <cell r="M479" t="str">
            <v>Rand</v>
          </cell>
          <cell r="N479" t="str">
            <v/>
          </cell>
          <cell r="O479" t="str">
            <v>07</v>
          </cell>
          <cell r="P479" t="str">
            <v/>
          </cell>
          <cell r="Q479" t="str">
            <v/>
          </cell>
          <cell r="R479" t="str">
            <v>VA</v>
          </cell>
          <cell r="S479">
            <v>50000</v>
          </cell>
          <cell r="T479" t="str">
            <v>HMO/OA/PPO</v>
          </cell>
          <cell r="U479" t="str">
            <v>BFF5/CFF5</v>
          </cell>
          <cell r="V479" t="str">
            <v>Y</v>
          </cell>
          <cell r="W479" t="str">
            <v>11/1/2004</v>
          </cell>
          <cell r="X479">
            <v>1</v>
          </cell>
        </row>
        <row r="480">
          <cell r="A480" t="str">
            <v>3G01</v>
          </cell>
          <cell r="B480" t="str">
            <v xml:space="preserve">Office Paper Systems, Inc.                        </v>
          </cell>
          <cell r="C480" t="str">
            <v/>
          </cell>
          <cell r="D480" t="str">
            <v>McCourt</v>
          </cell>
          <cell r="E480" t="str">
            <v>Quade</v>
          </cell>
          <cell r="F480" t="str">
            <v>10</v>
          </cell>
          <cell r="G480" t="str">
            <v>N</v>
          </cell>
          <cell r="H480" t="str">
            <v/>
          </cell>
          <cell r="I480" t="str">
            <v>N</v>
          </cell>
          <cell r="J480" t="str">
            <v>Rates</v>
          </cell>
          <cell r="K480" t="str">
            <v/>
          </cell>
          <cell r="L480" t="str">
            <v>Fully</v>
          </cell>
          <cell r="M480" t="str">
            <v>Rutkowski</v>
          </cell>
          <cell r="N480" t="str">
            <v/>
          </cell>
          <cell r="O480" t="str">
            <v>06</v>
          </cell>
          <cell r="P480" t="str">
            <v>Addy</v>
          </cell>
          <cell r="Q480" t="str">
            <v/>
          </cell>
          <cell r="R480" t="str">
            <v>MD</v>
          </cell>
          <cell r="S480">
            <v>50000</v>
          </cell>
          <cell r="T480" t="str">
            <v>PPO</v>
          </cell>
          <cell r="U480" t="str">
            <v>BFF5</v>
          </cell>
          <cell r="V480" t="str">
            <v/>
          </cell>
          <cell r="W480" t="str">
            <v/>
          </cell>
          <cell r="X480">
            <v>1</v>
          </cell>
        </row>
        <row r="481">
          <cell r="A481" t="str">
            <v>XY53</v>
          </cell>
          <cell r="B481" t="str">
            <v>Oliff &amp; Berridge, PLC</v>
          </cell>
          <cell r="C481" t="str">
            <v/>
          </cell>
          <cell r="D481" t="str">
            <v>Keefer</v>
          </cell>
          <cell r="E481" t="str">
            <v>Anderson</v>
          </cell>
          <cell r="F481" t="str">
            <v>09</v>
          </cell>
          <cell r="G481" t="str">
            <v>N</v>
          </cell>
          <cell r="H481" t="str">
            <v/>
          </cell>
          <cell r="I481" t="str">
            <v>N</v>
          </cell>
          <cell r="J481" t="str">
            <v>Rates</v>
          </cell>
          <cell r="K481" t="str">
            <v/>
          </cell>
          <cell r="L481" t="str">
            <v>Fully</v>
          </cell>
          <cell r="M481" t="str">
            <v>Henton-Davis</v>
          </cell>
          <cell r="N481" t="str">
            <v>0</v>
          </cell>
          <cell r="O481" t="str">
            <v>05</v>
          </cell>
          <cell r="P481" t="str">
            <v>Taylor</v>
          </cell>
          <cell r="Q481" t="str">
            <v/>
          </cell>
          <cell r="R481" t="str">
            <v>VA</v>
          </cell>
          <cell r="S481">
            <v>50000</v>
          </cell>
          <cell r="T481" t="str">
            <v>PPO HMO Rx</v>
          </cell>
          <cell r="U481" t="str">
            <v>BFF6/CFF6</v>
          </cell>
          <cell r="V481" t="str">
            <v>Y</v>
          </cell>
          <cell r="W481" t="str">
            <v>9/1/2002</v>
          </cell>
          <cell r="X481">
            <v>1</v>
          </cell>
        </row>
        <row r="482">
          <cell r="A482" t="str">
            <v>WY79</v>
          </cell>
          <cell r="B482" t="str">
            <v xml:space="preserve">Omni Resource Inc.                                </v>
          </cell>
          <cell r="C482" t="str">
            <v/>
          </cell>
          <cell r="D482" t="str">
            <v>McCourt</v>
          </cell>
          <cell r="E482" t="str">
            <v>Mugo</v>
          </cell>
          <cell r="F482" t="str">
            <v>05</v>
          </cell>
          <cell r="G482" t="str">
            <v>N</v>
          </cell>
          <cell r="H482" t="str">
            <v/>
          </cell>
          <cell r="I482" t="str">
            <v>N</v>
          </cell>
          <cell r="J482" t="str">
            <v>Rates</v>
          </cell>
          <cell r="K482" t="str">
            <v/>
          </cell>
          <cell r="L482" t="str">
            <v>Fully</v>
          </cell>
          <cell r="M482" t="str">
            <v>Wise</v>
          </cell>
          <cell r="N482" t="str">
            <v/>
          </cell>
          <cell r="O482" t="str">
            <v>01</v>
          </cell>
          <cell r="P482" t="str">
            <v/>
          </cell>
          <cell r="Q482" t="str">
            <v/>
          </cell>
          <cell r="R482" t="str">
            <v>MD</v>
          </cell>
          <cell r="S482">
            <v>50000</v>
          </cell>
          <cell r="T482" t="str">
            <v>POS/HMO/PPO</v>
          </cell>
          <cell r="U482" t="str">
            <v>BFF5/CFF5</v>
          </cell>
          <cell r="V482" t="str">
            <v/>
          </cell>
          <cell r="W482" t="str">
            <v/>
          </cell>
          <cell r="X482">
            <v>1</v>
          </cell>
        </row>
        <row r="483">
          <cell r="A483" t="str">
            <v>7L98</v>
          </cell>
          <cell r="B483" t="str">
            <v>ONE UP ENTERPRISES, INC</v>
          </cell>
          <cell r="C483" t="str">
            <v/>
          </cell>
          <cell r="D483" t="str">
            <v>Keefer</v>
          </cell>
          <cell r="E483" t="str">
            <v>Johnson</v>
          </cell>
          <cell r="F483" t="str">
            <v>06</v>
          </cell>
          <cell r="G483" t="str">
            <v>N</v>
          </cell>
          <cell r="H483" t="str">
            <v>N</v>
          </cell>
          <cell r="I483" t="str">
            <v>N</v>
          </cell>
          <cell r="J483" t="str">
            <v>Rates</v>
          </cell>
          <cell r="K483" t="str">
            <v/>
          </cell>
          <cell r="L483" t="str">
            <v>Fully</v>
          </cell>
          <cell r="M483" t="str">
            <v>Housman</v>
          </cell>
          <cell r="N483" t="str">
            <v>06</v>
          </cell>
          <cell r="O483" t="str">
            <v>02</v>
          </cell>
          <cell r="P483" t="str">
            <v/>
          </cell>
          <cell r="Q483" t="str">
            <v/>
          </cell>
          <cell r="R483" t="str">
            <v>VA</v>
          </cell>
          <cell r="S483">
            <v>50000</v>
          </cell>
          <cell r="T483" t="str">
            <v>HMO POS PPO</v>
          </cell>
          <cell r="U483" t="str">
            <v>BFF7/CFF7</v>
          </cell>
          <cell r="V483" t="str">
            <v>Y</v>
          </cell>
          <cell r="W483" t="str">
            <v>6/1/2005</v>
          </cell>
          <cell r="X483">
            <v>1</v>
          </cell>
        </row>
        <row r="484">
          <cell r="A484" t="str">
            <v>UN22</v>
          </cell>
          <cell r="B484" t="str">
            <v>Optimus Corp.</v>
          </cell>
          <cell r="C484" t="str">
            <v/>
          </cell>
          <cell r="D484" t="str">
            <v>McCourt</v>
          </cell>
          <cell r="E484" t="str">
            <v>Rutkowski</v>
          </cell>
          <cell r="F484" t="str">
            <v>07</v>
          </cell>
          <cell r="G484" t="str">
            <v>N</v>
          </cell>
          <cell r="H484" t="str">
            <v>N</v>
          </cell>
          <cell r="I484" t="str">
            <v>N</v>
          </cell>
          <cell r="J484" t="str">
            <v>Rates</v>
          </cell>
          <cell r="K484" t="str">
            <v/>
          </cell>
          <cell r="L484" t="str">
            <v>Fully</v>
          </cell>
          <cell r="M484" t="str">
            <v>Savoca</v>
          </cell>
          <cell r="N484" t="str">
            <v>0</v>
          </cell>
          <cell r="O484" t="str">
            <v>03</v>
          </cell>
          <cell r="P484" t="str">
            <v>Rutkowski</v>
          </cell>
          <cell r="Q484" t="str">
            <v/>
          </cell>
          <cell r="R484" t="str">
            <v>MD</v>
          </cell>
          <cell r="S484">
            <v>50000</v>
          </cell>
          <cell r="T484" t="str">
            <v>POS/PPO</v>
          </cell>
          <cell r="U484" t="str">
            <v>BFF5</v>
          </cell>
          <cell r="V484" t="str">
            <v/>
          </cell>
          <cell r="W484" t="str">
            <v/>
          </cell>
          <cell r="X484">
            <v>1</v>
          </cell>
        </row>
        <row r="485">
          <cell r="A485" t="str">
            <v>R391</v>
          </cell>
          <cell r="B485" t="str">
            <v>Organization of American States (OAS)</v>
          </cell>
          <cell r="C485" t="str">
            <v/>
          </cell>
          <cell r="D485" t="str">
            <v>McCourt</v>
          </cell>
          <cell r="E485" t="str">
            <v>Mugo</v>
          </cell>
          <cell r="F485" t="str">
            <v>01</v>
          </cell>
          <cell r="G485" t="str">
            <v>Y</v>
          </cell>
          <cell r="H485" t="str">
            <v>N</v>
          </cell>
          <cell r="I485" t="str">
            <v>N</v>
          </cell>
          <cell r="J485" t="str">
            <v>CPC Mo</v>
          </cell>
          <cell r="K485" t="str">
            <v>SW</v>
          </cell>
          <cell r="L485" t="str">
            <v>ASO</v>
          </cell>
          <cell r="M485" t="str">
            <v>Lewis</v>
          </cell>
          <cell r="N485" t="str">
            <v>3</v>
          </cell>
          <cell r="O485" t="str">
            <v>09</v>
          </cell>
          <cell r="P485" t="str">
            <v>Henton</v>
          </cell>
          <cell r="Q485" t="str">
            <v>Henton</v>
          </cell>
          <cell r="R485" t="str">
            <v>DC</v>
          </cell>
          <cell r="S485">
            <v>150000</v>
          </cell>
          <cell r="T485" t="str">
            <v>PPO</v>
          </cell>
          <cell r="U485" t="str">
            <v>BAS8</v>
          </cell>
          <cell r="V485" t="str">
            <v/>
          </cell>
          <cell r="W485" t="str">
            <v/>
          </cell>
          <cell r="X485">
            <v>1</v>
          </cell>
        </row>
        <row r="486">
          <cell r="A486" t="str">
            <v>WE51</v>
          </cell>
          <cell r="B486" t="str">
            <v>Orndorf &amp; Spaid</v>
          </cell>
          <cell r="C486" t="str">
            <v/>
          </cell>
          <cell r="D486" t="str">
            <v>Keefer</v>
          </cell>
          <cell r="E486" t="str">
            <v>Anderson</v>
          </cell>
          <cell r="F486" t="str">
            <v>03</v>
          </cell>
          <cell r="G486" t="str">
            <v>N</v>
          </cell>
          <cell r="H486" t="str">
            <v/>
          </cell>
          <cell r="I486" t="str">
            <v>N</v>
          </cell>
          <cell r="J486" t="str">
            <v>Rates</v>
          </cell>
          <cell r="K486" t="str">
            <v/>
          </cell>
          <cell r="L486" t="str">
            <v>Fully</v>
          </cell>
          <cell r="M486" t="str">
            <v>Guessford-Kline</v>
          </cell>
          <cell r="N486" t="str">
            <v>0</v>
          </cell>
          <cell r="O486" t="str">
            <v>11</v>
          </cell>
          <cell r="P486" t="str">
            <v>Ryan</v>
          </cell>
          <cell r="Q486" t="str">
            <v/>
          </cell>
          <cell r="R486" t="str">
            <v>MD</v>
          </cell>
          <cell r="S486">
            <v>50000</v>
          </cell>
          <cell r="T486" t="str">
            <v>PPO/HMO/POS</v>
          </cell>
          <cell r="U486" t="str">
            <v>BFF5/CFF5</v>
          </cell>
          <cell r="V486" t="str">
            <v/>
          </cell>
          <cell r="W486" t="str">
            <v/>
          </cell>
          <cell r="X486">
            <v>1</v>
          </cell>
        </row>
        <row r="487">
          <cell r="A487" t="str">
            <v>BJN0</v>
          </cell>
          <cell r="B487" t="str">
            <v xml:space="preserve">OSI                                               </v>
          </cell>
          <cell r="C487" t="str">
            <v/>
          </cell>
          <cell r="D487" t="str">
            <v>Keefer</v>
          </cell>
          <cell r="E487" t="str">
            <v>Newman</v>
          </cell>
          <cell r="F487" t="str">
            <v>08</v>
          </cell>
          <cell r="G487" t="str">
            <v>N</v>
          </cell>
          <cell r="H487" t="str">
            <v/>
          </cell>
          <cell r="I487" t="str">
            <v>N</v>
          </cell>
          <cell r="J487" t="str">
            <v>Rates</v>
          </cell>
          <cell r="K487" t="str">
            <v/>
          </cell>
          <cell r="L487" t="str">
            <v>Fully</v>
          </cell>
          <cell r="M487" t="str">
            <v>Henton-Davis</v>
          </cell>
          <cell r="N487" t="str">
            <v/>
          </cell>
          <cell r="O487" t="str">
            <v>04</v>
          </cell>
          <cell r="P487" t="str">
            <v/>
          </cell>
          <cell r="Q487" t="str">
            <v/>
          </cell>
          <cell r="R487" t="str">
            <v>VA</v>
          </cell>
          <cell r="S487">
            <v>50000</v>
          </cell>
          <cell r="T487" t="str">
            <v>PPO/HMO</v>
          </cell>
          <cell r="U487" t="str">
            <v>BFF2/CFF2</v>
          </cell>
          <cell r="V487" t="str">
            <v/>
          </cell>
          <cell r="W487" t="str">
            <v/>
          </cell>
          <cell r="X487">
            <v>1</v>
          </cell>
        </row>
        <row r="488">
          <cell r="A488" t="str">
            <v>XY52</v>
          </cell>
          <cell r="B488" t="str">
            <v>Our Lady Of Good Counsel High School, Inc.</v>
          </cell>
          <cell r="C488" t="str">
            <v/>
          </cell>
          <cell r="D488" t="str">
            <v>Keefer</v>
          </cell>
          <cell r="E488" t="str">
            <v>Taylor</v>
          </cell>
          <cell r="F488" t="str">
            <v>06</v>
          </cell>
          <cell r="G488" t="str">
            <v>N</v>
          </cell>
          <cell r="H488" t="str">
            <v>N</v>
          </cell>
          <cell r="I488" t="str">
            <v>N</v>
          </cell>
          <cell r="J488" t="str">
            <v>Rates</v>
          </cell>
          <cell r="K488" t="str">
            <v/>
          </cell>
          <cell r="L488" t="str">
            <v>Fully</v>
          </cell>
          <cell r="M488" t="str">
            <v>Henton-Davis</v>
          </cell>
          <cell r="N488" t="str">
            <v>0</v>
          </cell>
          <cell r="O488" t="str">
            <v>02</v>
          </cell>
          <cell r="P488" t="str">
            <v>LaTouche</v>
          </cell>
          <cell r="Q488" t="str">
            <v/>
          </cell>
          <cell r="R488" t="str">
            <v>MD</v>
          </cell>
          <cell r="S488">
            <v>50000</v>
          </cell>
          <cell r="T488" t="str">
            <v>PPO</v>
          </cell>
          <cell r="U488" t="str">
            <v>BFF5</v>
          </cell>
          <cell r="V488" t="str">
            <v/>
          </cell>
          <cell r="W488" t="str">
            <v/>
          </cell>
          <cell r="X488">
            <v>1</v>
          </cell>
        </row>
        <row r="489">
          <cell r="A489" t="str">
            <v>7H56</v>
          </cell>
          <cell r="B489" t="str">
            <v>Ourisman Automotive of Virginia</v>
          </cell>
          <cell r="C489" t="str">
            <v/>
          </cell>
          <cell r="D489" t="str">
            <v>Keefer</v>
          </cell>
          <cell r="E489" t="str">
            <v>Anderson</v>
          </cell>
          <cell r="F489" t="str">
            <v>06</v>
          </cell>
          <cell r="G489" t="str">
            <v/>
          </cell>
          <cell r="H489" t="str">
            <v/>
          </cell>
          <cell r="I489" t="str">
            <v/>
          </cell>
          <cell r="J489" t="str">
            <v/>
          </cell>
          <cell r="K489" t="str">
            <v/>
          </cell>
          <cell r="L489" t="str">
            <v>Fully</v>
          </cell>
          <cell r="M489" t="str">
            <v>Dodds</v>
          </cell>
          <cell r="N489" t="str">
            <v/>
          </cell>
          <cell r="O489" t="str">
            <v>02</v>
          </cell>
          <cell r="P489" t="str">
            <v/>
          </cell>
          <cell r="Q489" t="str">
            <v/>
          </cell>
          <cell r="R489" t="str">
            <v>VA</v>
          </cell>
          <cell r="S489">
            <v>50000</v>
          </cell>
          <cell r="T489" t="str">
            <v>HMO PPO Rx</v>
          </cell>
          <cell r="U489" t="str">
            <v>BFF6 CFF6</v>
          </cell>
          <cell r="V489" t="str">
            <v>Y</v>
          </cell>
          <cell r="W489" t="str">
            <v>6/1/2004</v>
          </cell>
          <cell r="X489">
            <v>1</v>
          </cell>
        </row>
        <row r="490">
          <cell r="A490" t="str">
            <v>UU06</v>
          </cell>
          <cell r="B490" t="str">
            <v xml:space="preserve">OutTask.Com, Inc.                                 </v>
          </cell>
          <cell r="C490" t="str">
            <v/>
          </cell>
          <cell r="D490" t="str">
            <v>Keefer</v>
          </cell>
          <cell r="E490" t="str">
            <v>Padrutt</v>
          </cell>
          <cell r="F490" t="str">
            <v>11</v>
          </cell>
          <cell r="G490" t="str">
            <v>N</v>
          </cell>
          <cell r="H490" t="str">
            <v/>
          </cell>
          <cell r="I490" t="str">
            <v>N</v>
          </cell>
          <cell r="J490" t="str">
            <v>Rates</v>
          </cell>
          <cell r="K490" t="str">
            <v/>
          </cell>
          <cell r="L490" t="str">
            <v>Fully</v>
          </cell>
          <cell r="M490" t="str">
            <v>Swears</v>
          </cell>
          <cell r="N490" t="str">
            <v/>
          </cell>
          <cell r="O490" t="str">
            <v>07</v>
          </cell>
          <cell r="P490" t="str">
            <v>Padrutt</v>
          </cell>
          <cell r="Q490" t="str">
            <v/>
          </cell>
          <cell r="R490" t="str">
            <v>VA</v>
          </cell>
          <cell r="S490">
            <v>50000</v>
          </cell>
          <cell r="T490" t="str">
            <v>PPO</v>
          </cell>
          <cell r="U490" t="str">
            <v>BFF5</v>
          </cell>
          <cell r="V490" t="str">
            <v/>
          </cell>
          <cell r="W490" t="str">
            <v/>
          </cell>
          <cell r="X490">
            <v>1</v>
          </cell>
        </row>
        <row r="491">
          <cell r="A491" t="str">
            <v>XM54</v>
          </cell>
          <cell r="B491" t="str">
            <v xml:space="preserve">Overlook Systems Technologies, Inc.               </v>
          </cell>
          <cell r="C491" t="str">
            <v/>
          </cell>
          <cell r="D491" t="str">
            <v>Keefer</v>
          </cell>
          <cell r="E491" t="str">
            <v>Johnson</v>
          </cell>
          <cell r="F491" t="str">
            <v>06</v>
          </cell>
          <cell r="G491" t="str">
            <v>N</v>
          </cell>
          <cell r="H491" t="str">
            <v/>
          </cell>
          <cell r="I491" t="str">
            <v>N</v>
          </cell>
          <cell r="J491" t="str">
            <v>Rates</v>
          </cell>
          <cell r="K491" t="str">
            <v/>
          </cell>
          <cell r="L491" t="str">
            <v>Fully</v>
          </cell>
          <cell r="M491" t="str">
            <v>Wise</v>
          </cell>
          <cell r="N491" t="str">
            <v/>
          </cell>
          <cell r="O491" t="str">
            <v>02</v>
          </cell>
          <cell r="P491" t="str">
            <v/>
          </cell>
          <cell r="Q491" t="str">
            <v/>
          </cell>
          <cell r="R491" t="str">
            <v>VA</v>
          </cell>
          <cell r="S491">
            <v>50000</v>
          </cell>
          <cell r="T491" t="str">
            <v>PPO</v>
          </cell>
          <cell r="U491" t="str">
            <v>BFF5</v>
          </cell>
          <cell r="V491" t="str">
            <v/>
          </cell>
          <cell r="W491" t="str">
            <v/>
          </cell>
          <cell r="X491">
            <v>1</v>
          </cell>
        </row>
        <row r="492">
          <cell r="A492" t="str">
            <v>UN21</v>
          </cell>
          <cell r="B492" t="str">
            <v>P &amp; R Ent Inc/International Building Services</v>
          </cell>
          <cell r="C492" t="str">
            <v/>
          </cell>
          <cell r="D492" t="str">
            <v>Keefer</v>
          </cell>
          <cell r="E492" t="str">
            <v>Taylor</v>
          </cell>
          <cell r="F492" t="str">
            <v>07</v>
          </cell>
          <cell r="G492" t="str">
            <v>N</v>
          </cell>
          <cell r="H492" t="str">
            <v>N</v>
          </cell>
          <cell r="I492" t="str">
            <v>N</v>
          </cell>
          <cell r="J492" t="str">
            <v>Rates</v>
          </cell>
          <cell r="K492" t="str">
            <v/>
          </cell>
          <cell r="L492" t="str">
            <v>Fully</v>
          </cell>
          <cell r="M492" t="str">
            <v>Henton-Davis</v>
          </cell>
          <cell r="N492" t="str">
            <v>0</v>
          </cell>
          <cell r="O492" t="str">
            <v>03</v>
          </cell>
          <cell r="P492" t="str">
            <v>LaTouche</v>
          </cell>
          <cell r="Q492" t="str">
            <v/>
          </cell>
          <cell r="R492" t="str">
            <v>VA</v>
          </cell>
          <cell r="S492">
            <v>50000</v>
          </cell>
          <cell r="T492" t="str">
            <v>HMO</v>
          </cell>
          <cell r="U492" t="str">
            <v>BFF6/CFF6</v>
          </cell>
          <cell r="V492" t="str">
            <v/>
          </cell>
          <cell r="W492" t="str">
            <v/>
          </cell>
          <cell r="X492">
            <v>1</v>
          </cell>
        </row>
        <row r="493">
          <cell r="A493" t="str">
            <v>NR79</v>
          </cell>
          <cell r="B493" t="str">
            <v>P.B.R. Staff</v>
          </cell>
          <cell r="C493" t="str">
            <v/>
          </cell>
          <cell r="D493" t="str">
            <v>McCourt</v>
          </cell>
          <cell r="E493" t="str">
            <v>Mugo</v>
          </cell>
          <cell r="F493" t="str">
            <v>03</v>
          </cell>
          <cell r="G493" t="str">
            <v>N</v>
          </cell>
          <cell r="H493" t="str">
            <v>N</v>
          </cell>
          <cell r="I493" t="str">
            <v>N</v>
          </cell>
          <cell r="J493" t="str">
            <v>Rates</v>
          </cell>
          <cell r="K493" t="str">
            <v/>
          </cell>
          <cell r="L493" t="str">
            <v>Fully</v>
          </cell>
          <cell r="M493" t="str">
            <v>Guessford-Kline</v>
          </cell>
          <cell r="N493" t="str">
            <v>0</v>
          </cell>
          <cell r="O493" t="str">
            <v>11</v>
          </cell>
          <cell r="P493" t="str">
            <v>Elbashir</v>
          </cell>
          <cell r="Q493" t="str">
            <v/>
          </cell>
          <cell r="R493" t="str">
            <v>VA</v>
          </cell>
          <cell r="S493">
            <v>50000</v>
          </cell>
          <cell r="T493" t="str">
            <v>PPO</v>
          </cell>
          <cell r="U493" t="str">
            <v>BFF6</v>
          </cell>
          <cell r="V493" t="str">
            <v/>
          </cell>
          <cell r="W493" t="str">
            <v/>
          </cell>
          <cell r="X493">
            <v>1</v>
          </cell>
        </row>
        <row r="494">
          <cell r="A494" t="str">
            <v>UL25</v>
          </cell>
          <cell r="B494" t="str">
            <v xml:space="preserve">Paloma Systems, Inc.                              </v>
          </cell>
          <cell r="C494" t="str">
            <v/>
          </cell>
          <cell r="D494" t="str">
            <v>Keefer</v>
          </cell>
          <cell r="E494" t="str">
            <v>Taylor</v>
          </cell>
          <cell r="F494" t="str">
            <v>01</v>
          </cell>
          <cell r="G494" t="str">
            <v>N</v>
          </cell>
          <cell r="H494" t="str">
            <v/>
          </cell>
          <cell r="I494" t="str">
            <v>N</v>
          </cell>
          <cell r="J494" t="str">
            <v>Rates</v>
          </cell>
          <cell r="K494" t="str">
            <v/>
          </cell>
          <cell r="L494" t="str">
            <v>Fully</v>
          </cell>
          <cell r="M494" t="str">
            <v>Dodds</v>
          </cell>
          <cell r="N494" t="str">
            <v/>
          </cell>
          <cell r="O494" t="str">
            <v>09</v>
          </cell>
          <cell r="P494" t="str">
            <v/>
          </cell>
          <cell r="Q494" t="str">
            <v/>
          </cell>
          <cell r="R494" t="str">
            <v>VA</v>
          </cell>
          <cell r="S494">
            <v>50000</v>
          </cell>
          <cell r="T494" t="str">
            <v>PPO/HMO</v>
          </cell>
          <cell r="U494" t="str">
            <v>BFF5/CFF5</v>
          </cell>
          <cell r="V494" t="str">
            <v/>
          </cell>
          <cell r="W494" t="str">
            <v/>
          </cell>
          <cell r="X494">
            <v>1</v>
          </cell>
        </row>
        <row r="495">
          <cell r="A495" t="str">
            <v>NU26</v>
          </cell>
          <cell r="B495" t="str">
            <v>Pal-Tech, Inc.</v>
          </cell>
          <cell r="C495" t="str">
            <v/>
          </cell>
          <cell r="D495" t="str">
            <v>McCourt</v>
          </cell>
          <cell r="E495" t="str">
            <v>Rutkowski</v>
          </cell>
          <cell r="F495" t="str">
            <v>12</v>
          </cell>
          <cell r="G495" t="str">
            <v>N</v>
          </cell>
          <cell r="H495" t="str">
            <v>N</v>
          </cell>
          <cell r="I495" t="str">
            <v>N</v>
          </cell>
          <cell r="J495" t="str">
            <v>Rates</v>
          </cell>
          <cell r="K495" t="str">
            <v/>
          </cell>
          <cell r="L495" t="str">
            <v>Fully</v>
          </cell>
          <cell r="M495" t="str">
            <v>Wise</v>
          </cell>
          <cell r="N495" t="str">
            <v>0</v>
          </cell>
          <cell r="O495" t="str">
            <v>08</v>
          </cell>
          <cell r="P495" t="str">
            <v>Rutkowski</v>
          </cell>
          <cell r="Q495" t="str">
            <v/>
          </cell>
          <cell r="R495" t="str">
            <v>VA</v>
          </cell>
          <cell r="S495">
            <v>50000</v>
          </cell>
          <cell r="T495" t="str">
            <v>HMO/PPO</v>
          </cell>
          <cell r="U495" t="str">
            <v>BFF6/CFF6</v>
          </cell>
          <cell r="V495" t="str">
            <v/>
          </cell>
          <cell r="W495" t="str">
            <v/>
          </cell>
          <cell r="X495">
            <v>1</v>
          </cell>
        </row>
        <row r="496">
          <cell r="A496" t="str">
            <v>0F12</v>
          </cell>
          <cell r="B496" t="str">
            <v>Pan-American Health Organization</v>
          </cell>
          <cell r="C496" t="str">
            <v/>
          </cell>
          <cell r="D496" t="str">
            <v>McCourt</v>
          </cell>
          <cell r="E496" t="str">
            <v>Mugo</v>
          </cell>
          <cell r="F496" t="str">
            <v>12</v>
          </cell>
          <cell r="G496" t="str">
            <v>Y</v>
          </cell>
          <cell r="H496" t="str">
            <v>N</v>
          </cell>
          <cell r="I496" t="str">
            <v>Y</v>
          </cell>
          <cell r="J496" t="str">
            <v>CPC Mo</v>
          </cell>
          <cell r="K496" t="str">
            <v>SW</v>
          </cell>
          <cell r="L496" t="str">
            <v>ASO</v>
          </cell>
          <cell r="M496" t="str">
            <v>Lewis</v>
          </cell>
          <cell r="N496" t="str">
            <v>2</v>
          </cell>
          <cell r="O496" t="str">
            <v>07</v>
          </cell>
          <cell r="P496" t="str">
            <v>Batist</v>
          </cell>
          <cell r="Q496" t="str">
            <v>Henton</v>
          </cell>
          <cell r="R496" t="str">
            <v>DC</v>
          </cell>
          <cell r="S496" t="str">
            <v/>
          </cell>
          <cell r="T496" t="str">
            <v>Indem</v>
          </cell>
          <cell r="U496" t="str">
            <v>BAD8</v>
          </cell>
          <cell r="V496" t="str">
            <v/>
          </cell>
          <cell r="W496" t="str">
            <v/>
          </cell>
          <cell r="X496">
            <v>1</v>
          </cell>
        </row>
        <row r="497">
          <cell r="A497" t="str">
            <v>7L01</v>
          </cell>
          <cell r="B497" t="str">
            <v>Paradigm Technologies</v>
          </cell>
          <cell r="C497" t="str">
            <v/>
          </cell>
          <cell r="D497" t="str">
            <v>Keefer</v>
          </cell>
          <cell r="E497" t="str">
            <v>Johnson</v>
          </cell>
          <cell r="F497" t="str">
            <v>12</v>
          </cell>
          <cell r="G497" t="str">
            <v>N</v>
          </cell>
          <cell r="H497" t="str">
            <v>N</v>
          </cell>
          <cell r="I497" t="str">
            <v>N</v>
          </cell>
          <cell r="J497" t="str">
            <v>Rates</v>
          </cell>
          <cell r="K497" t="str">
            <v/>
          </cell>
          <cell r="L497" t="str">
            <v>Fully</v>
          </cell>
          <cell r="M497" t="str">
            <v>Wise</v>
          </cell>
          <cell r="N497" t="str">
            <v/>
          </cell>
          <cell r="O497" t="str">
            <v>08</v>
          </cell>
          <cell r="P497" t="str">
            <v/>
          </cell>
          <cell r="Q497" t="str">
            <v/>
          </cell>
          <cell r="R497" t="str">
            <v>DC</v>
          </cell>
          <cell r="S497">
            <v>50000</v>
          </cell>
          <cell r="T497" t="str">
            <v>HMO, OA, PPO</v>
          </cell>
          <cell r="U497" t="str">
            <v>BFF5</v>
          </cell>
          <cell r="V497" t="str">
            <v>Y</v>
          </cell>
          <cell r="W497" t="str">
            <v>12/1/2004</v>
          </cell>
          <cell r="X497">
            <v>1</v>
          </cell>
        </row>
        <row r="498">
          <cell r="A498" t="str">
            <v>F803</v>
          </cell>
          <cell r="B498" t="str">
            <v>Paralyzed Veterans of America</v>
          </cell>
          <cell r="C498" t="str">
            <v/>
          </cell>
          <cell r="D498" t="str">
            <v>Keefer</v>
          </cell>
          <cell r="E498" t="str">
            <v>Anderson</v>
          </cell>
          <cell r="F498" t="str">
            <v>01</v>
          </cell>
          <cell r="G498" t="str">
            <v>N</v>
          </cell>
          <cell r="H498" t="str">
            <v/>
          </cell>
          <cell r="I498" t="str">
            <v>N</v>
          </cell>
          <cell r="J498" t="str">
            <v>Rates</v>
          </cell>
          <cell r="K498" t="str">
            <v/>
          </cell>
          <cell r="L498" t="str">
            <v>Fully</v>
          </cell>
          <cell r="M498" t="str">
            <v>Guessford-Kline</v>
          </cell>
          <cell r="N498" t="str">
            <v>0</v>
          </cell>
          <cell r="O498" t="str">
            <v>08</v>
          </cell>
          <cell r="P498" t="str">
            <v>Ryan</v>
          </cell>
          <cell r="Q498" t="str">
            <v/>
          </cell>
          <cell r="R498" t="str">
            <v>DC</v>
          </cell>
          <cell r="S498">
            <v>50000</v>
          </cell>
          <cell r="T498" t="str">
            <v>PPO HMO Rx</v>
          </cell>
          <cell r="U498" t="str">
            <v>BFF6/CFF6</v>
          </cell>
          <cell r="V498" t="str">
            <v/>
          </cell>
          <cell r="W498" t="str">
            <v/>
          </cell>
          <cell r="X498">
            <v>1</v>
          </cell>
        </row>
        <row r="499">
          <cell r="A499" t="str">
            <v>XR27</v>
          </cell>
          <cell r="B499" t="str">
            <v xml:space="preserve">Paul Jr. High Public Charter School               </v>
          </cell>
          <cell r="C499" t="str">
            <v/>
          </cell>
          <cell r="D499" t="str">
            <v>Keefer</v>
          </cell>
          <cell r="E499" t="str">
            <v>Burba</v>
          </cell>
          <cell r="F499" t="str">
            <v>09</v>
          </cell>
          <cell r="G499" t="str">
            <v>N</v>
          </cell>
          <cell r="H499" t="str">
            <v/>
          </cell>
          <cell r="I499" t="str">
            <v>N</v>
          </cell>
          <cell r="J499" t="str">
            <v>Rates</v>
          </cell>
          <cell r="K499" t="str">
            <v/>
          </cell>
          <cell r="L499" t="str">
            <v>Fully</v>
          </cell>
          <cell r="M499" t="str">
            <v>Henton-Davis</v>
          </cell>
          <cell r="N499" t="str">
            <v/>
          </cell>
          <cell r="O499" t="str">
            <v>05</v>
          </cell>
          <cell r="P499" t="str">
            <v/>
          </cell>
          <cell r="Q499" t="str">
            <v/>
          </cell>
          <cell r="R499" t="str">
            <v>DC</v>
          </cell>
          <cell r="S499">
            <v>50000</v>
          </cell>
          <cell r="T499" t="str">
            <v>PPO/HMO/OA</v>
          </cell>
          <cell r="U499" t="str">
            <v>BFF5/CFF5</v>
          </cell>
          <cell r="V499" t="str">
            <v/>
          </cell>
          <cell r="W499" t="str">
            <v/>
          </cell>
          <cell r="X499">
            <v>1</v>
          </cell>
        </row>
        <row r="500">
          <cell r="A500" t="str">
            <v>0EFZ</v>
          </cell>
          <cell r="B500" t="str">
            <v xml:space="preserve">Performance Management Consulting                 </v>
          </cell>
          <cell r="C500" t="str">
            <v/>
          </cell>
          <cell r="D500" t="str">
            <v>Keefer</v>
          </cell>
          <cell r="E500" t="str">
            <v>Burba</v>
          </cell>
          <cell r="F500" t="str">
            <v>04</v>
          </cell>
          <cell r="G500" t="str">
            <v>N</v>
          </cell>
          <cell r="H500" t="str">
            <v/>
          </cell>
          <cell r="I500" t="str">
            <v>N</v>
          </cell>
          <cell r="J500" t="str">
            <v>Rates</v>
          </cell>
          <cell r="K500" t="str">
            <v/>
          </cell>
          <cell r="L500" t="str">
            <v>Fully</v>
          </cell>
          <cell r="M500" t="str">
            <v>Grabarek</v>
          </cell>
          <cell r="N500" t="str">
            <v/>
          </cell>
          <cell r="O500" t="str">
            <v>12</v>
          </cell>
          <cell r="P500" t="str">
            <v/>
          </cell>
          <cell r="Q500" t="str">
            <v/>
          </cell>
          <cell r="R500" t="str">
            <v>VA</v>
          </cell>
          <cell r="S500">
            <v>50000</v>
          </cell>
          <cell r="T500" t="str">
            <v>HMO/OA/PPO</v>
          </cell>
          <cell r="U500" t="str">
            <v>BFF5/CFF5</v>
          </cell>
          <cell r="V500" t="str">
            <v>Y</v>
          </cell>
          <cell r="W500" t="str">
            <v>4/1/2005</v>
          </cell>
          <cell r="X500">
            <v>1</v>
          </cell>
        </row>
        <row r="501">
          <cell r="A501" t="str">
            <v>01B5</v>
          </cell>
          <cell r="B501" t="str">
            <v>Pew Research Center (The)</v>
          </cell>
          <cell r="C501" t="str">
            <v/>
          </cell>
          <cell r="D501" t="str">
            <v>Keefer</v>
          </cell>
          <cell r="E501" t="str">
            <v>Anderson</v>
          </cell>
          <cell r="F501" t="str">
            <v>08</v>
          </cell>
          <cell r="G501" t="str">
            <v>N</v>
          </cell>
          <cell r="H501" t="str">
            <v/>
          </cell>
          <cell r="I501" t="str">
            <v>N</v>
          </cell>
          <cell r="J501" t="str">
            <v>Rates</v>
          </cell>
          <cell r="K501" t="str">
            <v/>
          </cell>
          <cell r="L501" t="str">
            <v>Fully</v>
          </cell>
          <cell r="M501" t="str">
            <v>Savoca</v>
          </cell>
          <cell r="N501" t="str">
            <v/>
          </cell>
          <cell r="O501" t="str">
            <v>04</v>
          </cell>
          <cell r="P501" t="str">
            <v/>
          </cell>
          <cell r="Q501" t="str">
            <v/>
          </cell>
          <cell r="R501" t="str">
            <v>DC</v>
          </cell>
          <cell r="S501">
            <v>50000</v>
          </cell>
          <cell r="T501" t="str">
            <v>HMO/POS/PPO</v>
          </cell>
          <cell r="U501" t="str">
            <v>BFF5 CFF5</v>
          </cell>
          <cell r="V501" t="str">
            <v/>
          </cell>
          <cell r="W501" t="str">
            <v/>
          </cell>
          <cell r="X501">
            <v>1</v>
          </cell>
        </row>
        <row r="502">
          <cell r="A502" t="str">
            <v>TX72</v>
          </cell>
          <cell r="B502" t="str">
            <v>Pharmaceutical Research</v>
          </cell>
          <cell r="C502" t="str">
            <v/>
          </cell>
          <cell r="D502" t="str">
            <v>Keefer</v>
          </cell>
          <cell r="E502" t="str">
            <v>Anderson</v>
          </cell>
          <cell r="F502" t="str">
            <v>01</v>
          </cell>
          <cell r="G502" t="str">
            <v>N</v>
          </cell>
          <cell r="H502" t="str">
            <v/>
          </cell>
          <cell r="I502" t="str">
            <v>N</v>
          </cell>
          <cell r="J502" t="str">
            <v>Rates</v>
          </cell>
          <cell r="K502" t="str">
            <v/>
          </cell>
          <cell r="L502" t="str">
            <v>Fully</v>
          </cell>
          <cell r="M502" t="str">
            <v>Swears</v>
          </cell>
          <cell r="N502" t="str">
            <v>0</v>
          </cell>
          <cell r="O502" t="str">
            <v>09</v>
          </cell>
          <cell r="P502" t="str">
            <v>Ryan</v>
          </cell>
          <cell r="Q502" t="str">
            <v/>
          </cell>
          <cell r="R502" t="str">
            <v>DC</v>
          </cell>
          <cell r="S502">
            <v>50000</v>
          </cell>
          <cell r="T502" t="str">
            <v>PPO/HMO</v>
          </cell>
          <cell r="U502" t="str">
            <v>BFF6/CFF6</v>
          </cell>
          <cell r="V502" t="str">
            <v/>
          </cell>
          <cell r="W502" t="str">
            <v/>
          </cell>
          <cell r="X502">
            <v>1</v>
          </cell>
        </row>
        <row r="503">
          <cell r="A503" t="str">
            <v>CN59</v>
          </cell>
          <cell r="B503" t="str">
            <v>Phillips Collection (The)</v>
          </cell>
          <cell r="C503" t="str">
            <v/>
          </cell>
          <cell r="D503" t="str">
            <v>McCourt</v>
          </cell>
          <cell r="E503" t="str">
            <v>Slack</v>
          </cell>
          <cell r="F503" t="str">
            <v>12</v>
          </cell>
          <cell r="G503" t="str">
            <v>N</v>
          </cell>
          <cell r="H503" t="str">
            <v>N</v>
          </cell>
          <cell r="I503" t="str">
            <v>N</v>
          </cell>
          <cell r="J503" t="str">
            <v>Rates</v>
          </cell>
          <cell r="K503" t="str">
            <v/>
          </cell>
          <cell r="L503" t="str">
            <v>Fully</v>
          </cell>
          <cell r="M503" t="str">
            <v>Guessford-Kline</v>
          </cell>
          <cell r="N503" t="str">
            <v>0</v>
          </cell>
          <cell r="O503" t="str">
            <v>08</v>
          </cell>
          <cell r="P503" t="str">
            <v>Slack</v>
          </cell>
          <cell r="Q503" t="str">
            <v/>
          </cell>
          <cell r="R503" t="str">
            <v>DC</v>
          </cell>
          <cell r="S503">
            <v>50000</v>
          </cell>
          <cell r="T503" t="str">
            <v>POS/Indem</v>
          </cell>
          <cell r="U503" t="str">
            <v>BFF5</v>
          </cell>
          <cell r="V503" t="str">
            <v/>
          </cell>
          <cell r="W503" t="str">
            <v/>
          </cell>
          <cell r="X503">
            <v>1</v>
          </cell>
        </row>
        <row r="504">
          <cell r="A504" t="str">
            <v>06R2</v>
          </cell>
          <cell r="B504" t="str">
            <v>Phoenix Health Systems</v>
          </cell>
          <cell r="C504" t="str">
            <v/>
          </cell>
          <cell r="D504" t="str">
            <v>Keefer</v>
          </cell>
          <cell r="E504" t="str">
            <v>LaTouche</v>
          </cell>
          <cell r="F504" t="str">
            <v>01</v>
          </cell>
          <cell r="G504" t="str">
            <v>N</v>
          </cell>
          <cell r="H504" t="str">
            <v>N</v>
          </cell>
          <cell r="I504" t="str">
            <v>N</v>
          </cell>
          <cell r="J504" t="str">
            <v>Rates</v>
          </cell>
          <cell r="K504" t="str">
            <v/>
          </cell>
          <cell r="L504" t="str">
            <v>Fully</v>
          </cell>
          <cell r="M504" t="str">
            <v>Rand</v>
          </cell>
          <cell r="N504" t="str">
            <v/>
          </cell>
          <cell r="O504" t="str">
            <v>09</v>
          </cell>
          <cell r="P504" t="str">
            <v/>
          </cell>
          <cell r="Q504" t="str">
            <v/>
          </cell>
          <cell r="R504" t="str">
            <v>MD</v>
          </cell>
          <cell r="S504">
            <v>50000</v>
          </cell>
          <cell r="T504" t="str">
            <v>HMO/PPO/PPO</v>
          </cell>
          <cell r="U504" t="str">
            <v>BFF5/CFF5</v>
          </cell>
          <cell r="V504" t="str">
            <v/>
          </cell>
          <cell r="W504" t="str">
            <v/>
          </cell>
          <cell r="X504">
            <v>1</v>
          </cell>
        </row>
        <row r="505">
          <cell r="A505" t="str">
            <v>BWY8</v>
          </cell>
          <cell r="B505" t="str">
            <v xml:space="preserve">Planned Parenthood of Metropolitan  Washington    </v>
          </cell>
          <cell r="C505" t="str">
            <v/>
          </cell>
          <cell r="D505" t="str">
            <v>Keefer</v>
          </cell>
          <cell r="E505" t="str">
            <v>Taylor</v>
          </cell>
          <cell r="F505" t="str">
            <v>07</v>
          </cell>
          <cell r="G505" t="str">
            <v>N</v>
          </cell>
          <cell r="H505" t="str">
            <v/>
          </cell>
          <cell r="I505" t="str">
            <v>N</v>
          </cell>
          <cell r="J505" t="str">
            <v>Rates</v>
          </cell>
          <cell r="K505" t="str">
            <v/>
          </cell>
          <cell r="L505" t="str">
            <v>Fully</v>
          </cell>
          <cell r="M505" t="str">
            <v>Cosby</v>
          </cell>
          <cell r="N505" t="str">
            <v/>
          </cell>
          <cell r="O505" t="str">
            <v>03</v>
          </cell>
          <cell r="P505" t="str">
            <v/>
          </cell>
          <cell r="Q505" t="str">
            <v/>
          </cell>
          <cell r="R505" t="str">
            <v>DC</v>
          </cell>
          <cell r="S505">
            <v>50000</v>
          </cell>
          <cell r="T505" t="str">
            <v>HMO/OA/PPO</v>
          </cell>
          <cell r="U505" t="str">
            <v>BFF5/CFF5</v>
          </cell>
          <cell r="V505" t="str">
            <v>Y</v>
          </cell>
          <cell r="W505" t="str">
            <v>8/1/2004</v>
          </cell>
          <cell r="X505">
            <v>1</v>
          </cell>
        </row>
        <row r="506">
          <cell r="A506" t="str">
            <v>UV30</v>
          </cell>
          <cell r="B506" t="str">
            <v>Points of Light Foundation</v>
          </cell>
          <cell r="C506" t="str">
            <v/>
          </cell>
          <cell r="D506" t="str">
            <v>McCourt</v>
          </cell>
          <cell r="E506" t="str">
            <v>Mugo</v>
          </cell>
          <cell r="F506" t="str">
            <v>10</v>
          </cell>
          <cell r="G506" t="str">
            <v>N</v>
          </cell>
          <cell r="H506" t="str">
            <v/>
          </cell>
          <cell r="I506" t="str">
            <v>N</v>
          </cell>
          <cell r="J506" t="str">
            <v>Rates</v>
          </cell>
          <cell r="K506" t="str">
            <v/>
          </cell>
          <cell r="L506" t="str">
            <v>Fully</v>
          </cell>
          <cell r="M506" t="str">
            <v>Savoca</v>
          </cell>
          <cell r="N506" t="str">
            <v>0</v>
          </cell>
          <cell r="O506" t="str">
            <v>06</v>
          </cell>
          <cell r="P506" t="str">
            <v>Ryan</v>
          </cell>
          <cell r="Q506" t="str">
            <v/>
          </cell>
          <cell r="R506" t="str">
            <v>DC</v>
          </cell>
          <cell r="S506">
            <v>50000</v>
          </cell>
          <cell r="T506" t="str">
            <v>PPO/HMO/POS</v>
          </cell>
          <cell r="U506" t="str">
            <v>CFF6</v>
          </cell>
          <cell r="V506" t="str">
            <v/>
          </cell>
          <cell r="W506" t="str">
            <v/>
          </cell>
          <cell r="X506">
            <v>1</v>
          </cell>
        </row>
        <row r="507">
          <cell r="A507" t="str">
            <v>6D59</v>
          </cell>
          <cell r="B507" t="str">
            <v>Porten Companies, Inc.</v>
          </cell>
          <cell r="C507" t="str">
            <v/>
          </cell>
          <cell r="D507" t="str">
            <v>Keefer</v>
          </cell>
          <cell r="E507" t="str">
            <v>Anderson</v>
          </cell>
          <cell r="F507" t="str">
            <v>01</v>
          </cell>
          <cell r="G507" t="str">
            <v>N</v>
          </cell>
          <cell r="H507" t="str">
            <v/>
          </cell>
          <cell r="I507" t="str">
            <v>N</v>
          </cell>
          <cell r="J507" t="str">
            <v>Rates</v>
          </cell>
          <cell r="K507" t="str">
            <v/>
          </cell>
          <cell r="L507" t="str">
            <v>Fully</v>
          </cell>
          <cell r="M507" t="str">
            <v>Savoca</v>
          </cell>
          <cell r="N507" t="str">
            <v/>
          </cell>
          <cell r="O507" t="str">
            <v>07</v>
          </cell>
          <cell r="P507" t="str">
            <v/>
          </cell>
          <cell r="Q507" t="str">
            <v/>
          </cell>
          <cell r="R507" t="str">
            <v>MD</v>
          </cell>
          <cell r="S507">
            <v>50000</v>
          </cell>
          <cell r="T507" t="str">
            <v>PPO HMO POS OA Rx</v>
          </cell>
          <cell r="U507" t="str">
            <v>BFF5/CFF5</v>
          </cell>
          <cell r="V507" t="str">
            <v>Y</v>
          </cell>
          <cell r="W507" t="str">
            <v>11/1/2002</v>
          </cell>
          <cell r="X507">
            <v>1</v>
          </cell>
        </row>
        <row r="508">
          <cell r="A508" t="str">
            <v>4F52</v>
          </cell>
          <cell r="B508" t="str">
            <v xml:space="preserve">Powers, Pyles, Sutter, Verville PC                </v>
          </cell>
          <cell r="C508" t="str">
            <v/>
          </cell>
          <cell r="D508" t="str">
            <v>Keefer</v>
          </cell>
          <cell r="E508" t="str">
            <v>Anderson</v>
          </cell>
          <cell r="F508" t="str">
            <v>04</v>
          </cell>
          <cell r="G508" t="str">
            <v/>
          </cell>
          <cell r="H508" t="str">
            <v/>
          </cell>
          <cell r="I508" t="str">
            <v/>
          </cell>
          <cell r="J508" t="str">
            <v/>
          </cell>
          <cell r="K508" t="str">
            <v/>
          </cell>
          <cell r="L508" t="str">
            <v>Fully</v>
          </cell>
          <cell r="M508" t="str">
            <v>Swears</v>
          </cell>
          <cell r="N508" t="str">
            <v/>
          </cell>
          <cell r="O508" t="str">
            <v>12</v>
          </cell>
          <cell r="P508" t="str">
            <v/>
          </cell>
          <cell r="Q508" t="str">
            <v/>
          </cell>
          <cell r="R508" t="str">
            <v>DC</v>
          </cell>
          <cell r="S508">
            <v>50000</v>
          </cell>
          <cell r="T508" t="str">
            <v>PPO</v>
          </cell>
          <cell r="U508" t="str">
            <v>BFF5</v>
          </cell>
          <cell r="V508" t="str">
            <v/>
          </cell>
          <cell r="W508" t="str">
            <v/>
          </cell>
          <cell r="X508">
            <v>1</v>
          </cell>
        </row>
        <row r="509">
          <cell r="A509" t="str">
            <v>UH90</v>
          </cell>
          <cell r="B509" t="str">
            <v xml:space="preserve">Praxis Inc.                                       </v>
          </cell>
          <cell r="C509" t="str">
            <v/>
          </cell>
          <cell r="D509" t="str">
            <v>McCourt</v>
          </cell>
          <cell r="E509" t="str">
            <v>Mugo</v>
          </cell>
          <cell r="F509" t="str">
            <v>11</v>
          </cell>
          <cell r="G509" t="str">
            <v>N</v>
          </cell>
          <cell r="H509" t="str">
            <v/>
          </cell>
          <cell r="I509" t="str">
            <v>N</v>
          </cell>
          <cell r="J509" t="str">
            <v>Rates</v>
          </cell>
          <cell r="K509" t="str">
            <v/>
          </cell>
          <cell r="L509" t="str">
            <v>Fully</v>
          </cell>
          <cell r="M509" t="str">
            <v>Dodds</v>
          </cell>
          <cell r="N509" t="str">
            <v/>
          </cell>
          <cell r="O509" t="str">
            <v>07</v>
          </cell>
          <cell r="P509" t="str">
            <v/>
          </cell>
          <cell r="Q509" t="str">
            <v/>
          </cell>
          <cell r="R509" t="str">
            <v>VA</v>
          </cell>
          <cell r="S509">
            <v>50000</v>
          </cell>
          <cell r="T509" t="str">
            <v>PPO/HMO</v>
          </cell>
          <cell r="U509" t="str">
            <v>BFF5/CFF5</v>
          </cell>
          <cell r="V509" t="str">
            <v/>
          </cell>
          <cell r="W509" t="str">
            <v/>
          </cell>
          <cell r="X509">
            <v>1</v>
          </cell>
        </row>
        <row r="510">
          <cell r="A510" t="str">
            <v>QR29</v>
          </cell>
          <cell r="B510" t="str">
            <v xml:space="preserve">Preferred Systems Solutions, Inc.                 </v>
          </cell>
          <cell r="C510" t="str">
            <v/>
          </cell>
          <cell r="D510" t="str">
            <v>Keefer</v>
          </cell>
          <cell r="E510" t="str">
            <v>Burba</v>
          </cell>
          <cell r="F510" t="str">
            <v>11</v>
          </cell>
          <cell r="G510" t="str">
            <v>N</v>
          </cell>
          <cell r="H510" t="str">
            <v/>
          </cell>
          <cell r="I510" t="str">
            <v>N</v>
          </cell>
          <cell r="J510" t="str">
            <v>Rates</v>
          </cell>
          <cell r="K510" t="str">
            <v/>
          </cell>
          <cell r="L510" t="str">
            <v>Fully</v>
          </cell>
          <cell r="M510" t="str">
            <v>Rand</v>
          </cell>
          <cell r="N510" t="str">
            <v/>
          </cell>
          <cell r="O510" t="str">
            <v>07</v>
          </cell>
          <cell r="P510" t="str">
            <v/>
          </cell>
          <cell r="Q510" t="str">
            <v/>
          </cell>
          <cell r="R510" t="str">
            <v>VA</v>
          </cell>
          <cell r="S510">
            <v>50000</v>
          </cell>
          <cell r="T510" t="str">
            <v>PPO/HMO</v>
          </cell>
          <cell r="U510" t="str">
            <v>BFF5/CFF5</v>
          </cell>
          <cell r="V510" t="str">
            <v>Y</v>
          </cell>
          <cell r="W510" t="str">
            <v>11/1/2004</v>
          </cell>
          <cell r="X510">
            <v>1</v>
          </cell>
        </row>
        <row r="511">
          <cell r="A511" t="str">
            <v>4R83</v>
          </cell>
          <cell r="B511" t="str">
            <v xml:space="preserve">Prescient                                         </v>
          </cell>
          <cell r="C511" t="str">
            <v/>
          </cell>
          <cell r="D511" t="str">
            <v>Keefer</v>
          </cell>
          <cell r="E511" t="str">
            <v>Burba</v>
          </cell>
          <cell r="F511" t="str">
            <v>09</v>
          </cell>
          <cell r="G511" t="str">
            <v>N</v>
          </cell>
          <cell r="H511" t="str">
            <v/>
          </cell>
          <cell r="I511" t="str">
            <v>N</v>
          </cell>
          <cell r="J511" t="str">
            <v>Rates</v>
          </cell>
          <cell r="K511" t="str">
            <v/>
          </cell>
          <cell r="L511" t="str">
            <v>Fully</v>
          </cell>
          <cell r="M511" t="str">
            <v/>
          </cell>
          <cell r="N511" t="str">
            <v/>
          </cell>
          <cell r="O511" t="str">
            <v>05</v>
          </cell>
          <cell r="P511" t="str">
            <v/>
          </cell>
          <cell r="Q511" t="str">
            <v/>
          </cell>
          <cell r="R511" t="str">
            <v>VA</v>
          </cell>
          <cell r="S511">
            <v>50000</v>
          </cell>
          <cell r="T511" t="str">
            <v>PPO</v>
          </cell>
          <cell r="U511" t="str">
            <v>BFF5</v>
          </cell>
          <cell r="V511" t="str">
            <v/>
          </cell>
          <cell r="W511" t="str">
            <v/>
          </cell>
          <cell r="X511">
            <v>1</v>
          </cell>
        </row>
        <row r="512">
          <cell r="A512" t="str">
            <v>NJ51</v>
          </cell>
          <cell r="B512" t="str">
            <v>Prince George's Community College</v>
          </cell>
          <cell r="C512" t="str">
            <v/>
          </cell>
          <cell r="D512" t="str">
            <v>McCourt</v>
          </cell>
          <cell r="E512" t="str">
            <v>Slack</v>
          </cell>
          <cell r="F512" t="str">
            <v>07</v>
          </cell>
          <cell r="G512" t="str">
            <v>Y</v>
          </cell>
          <cell r="H512" t="str">
            <v>N</v>
          </cell>
          <cell r="I512" t="str">
            <v>N</v>
          </cell>
          <cell r="J512" t="str">
            <v>CPC Mo</v>
          </cell>
          <cell r="K512" t="str">
            <v>786000</v>
          </cell>
          <cell r="L512" t="str">
            <v>115%</v>
          </cell>
          <cell r="M512" t="str">
            <v>Jordan</v>
          </cell>
          <cell r="N512" t="str">
            <v>12</v>
          </cell>
          <cell r="O512" t="str">
            <v>02</v>
          </cell>
          <cell r="P512" t="str">
            <v>Slack</v>
          </cell>
          <cell r="Q512" t="str">
            <v>Slack</v>
          </cell>
          <cell r="R512" t="str">
            <v>MD</v>
          </cell>
          <cell r="S512">
            <v>75000</v>
          </cell>
          <cell r="T512" t="str">
            <v>POS</v>
          </cell>
          <cell r="U512" t="str">
            <v>BAB7</v>
          </cell>
          <cell r="V512" t="str">
            <v/>
          </cell>
          <cell r="W512" t="str">
            <v/>
          </cell>
          <cell r="X512">
            <v>1</v>
          </cell>
        </row>
        <row r="513">
          <cell r="A513" t="str">
            <v>0F27</v>
          </cell>
          <cell r="B513" t="str">
            <v>Prince George's County Public Schools</v>
          </cell>
          <cell r="C513" t="str">
            <v/>
          </cell>
          <cell r="D513" t="str">
            <v>McCourt</v>
          </cell>
          <cell r="E513" t="str">
            <v>Slack</v>
          </cell>
          <cell r="F513" t="str">
            <v>10</v>
          </cell>
          <cell r="G513" t="str">
            <v>N</v>
          </cell>
          <cell r="H513" t="str">
            <v>N</v>
          </cell>
          <cell r="I513" t="str">
            <v>N</v>
          </cell>
          <cell r="J513" t="str">
            <v>CPC Mo</v>
          </cell>
          <cell r="K513" t="str">
            <v>WW</v>
          </cell>
          <cell r="L513" t="str">
            <v>ASO</v>
          </cell>
          <cell r="M513" t="str">
            <v>Jordan</v>
          </cell>
          <cell r="N513" t="str">
            <v>12</v>
          </cell>
          <cell r="O513" t="str">
            <v>05</v>
          </cell>
          <cell r="P513" t="str">
            <v>Slack</v>
          </cell>
          <cell r="Q513" t="str">
            <v>Slack</v>
          </cell>
          <cell r="R513" t="str">
            <v>MD</v>
          </cell>
          <cell r="S513" t="str">
            <v/>
          </cell>
          <cell r="T513" t="str">
            <v>POS</v>
          </cell>
          <cell r="U513" t="str">
            <v>BAD8</v>
          </cell>
          <cell r="V513" t="str">
            <v/>
          </cell>
          <cell r="W513" t="str">
            <v/>
          </cell>
          <cell r="X513">
            <v>1</v>
          </cell>
        </row>
        <row r="514">
          <cell r="A514" t="str">
            <v>TD97</v>
          </cell>
          <cell r="B514" t="str">
            <v>Production Group International</v>
          </cell>
          <cell r="C514" t="str">
            <v/>
          </cell>
          <cell r="D514" t="str">
            <v>McCourt</v>
          </cell>
          <cell r="E514" t="str">
            <v>Mugo</v>
          </cell>
          <cell r="F514" t="str">
            <v>01</v>
          </cell>
          <cell r="G514" t="str">
            <v>N</v>
          </cell>
          <cell r="H514" t="str">
            <v>N</v>
          </cell>
          <cell r="I514" t="str">
            <v>N</v>
          </cell>
          <cell r="J514" t="str">
            <v>CPC Mo</v>
          </cell>
          <cell r="K514" t="str">
            <v>WW</v>
          </cell>
          <cell r="L514" t="str">
            <v>125%</v>
          </cell>
          <cell r="M514" t="str">
            <v>Dunn</v>
          </cell>
          <cell r="N514" t="str">
            <v>0</v>
          </cell>
          <cell r="O514" t="str">
            <v>09</v>
          </cell>
          <cell r="P514" t="str">
            <v>Morrison</v>
          </cell>
          <cell r="Q514" t="str">
            <v>Courtney</v>
          </cell>
          <cell r="R514" t="str">
            <v>VA</v>
          </cell>
          <cell r="S514">
            <v>75000</v>
          </cell>
          <cell r="T514" t="str">
            <v>PPO</v>
          </cell>
          <cell r="U514" t="str">
            <v/>
          </cell>
          <cell r="V514" t="str">
            <v/>
          </cell>
          <cell r="W514" t="str">
            <v/>
          </cell>
          <cell r="X514">
            <v>1</v>
          </cell>
        </row>
        <row r="515">
          <cell r="A515" t="str">
            <v>UA41</v>
          </cell>
          <cell r="B515" t="str">
            <v xml:space="preserve">Professional Healthcare Resources International   </v>
          </cell>
          <cell r="C515" t="str">
            <v/>
          </cell>
          <cell r="D515" t="str">
            <v>Keefer</v>
          </cell>
          <cell r="E515" t="str">
            <v>Johnson</v>
          </cell>
          <cell r="F515" t="str">
            <v>05</v>
          </cell>
          <cell r="G515" t="str">
            <v>N</v>
          </cell>
          <cell r="H515" t="str">
            <v>N</v>
          </cell>
          <cell r="I515" t="str">
            <v>N</v>
          </cell>
          <cell r="J515" t="str">
            <v>Rates</v>
          </cell>
          <cell r="K515" t="str">
            <v/>
          </cell>
          <cell r="L515" t="str">
            <v>Fully</v>
          </cell>
          <cell r="M515" t="str">
            <v>Henton-Davis</v>
          </cell>
          <cell r="N515" t="str">
            <v/>
          </cell>
          <cell r="O515" t="str">
            <v>01</v>
          </cell>
          <cell r="P515" t="str">
            <v/>
          </cell>
          <cell r="Q515" t="str">
            <v/>
          </cell>
          <cell r="R515" t="str">
            <v>VA</v>
          </cell>
          <cell r="S515">
            <v>50000</v>
          </cell>
          <cell r="T515" t="str">
            <v>POE: Triple Option POE package</v>
          </cell>
          <cell r="U515" t="str">
            <v>CFF5</v>
          </cell>
          <cell r="V515" t="str">
            <v/>
          </cell>
          <cell r="W515" t="str">
            <v/>
          </cell>
          <cell r="X515">
            <v>1</v>
          </cell>
        </row>
        <row r="516">
          <cell r="A516" t="str">
            <v>MX98</v>
          </cell>
          <cell r="B516" t="str">
            <v xml:space="preserve">Profunds Advisors LLC                             </v>
          </cell>
          <cell r="C516" t="str">
            <v/>
          </cell>
          <cell r="D516" t="str">
            <v>McCourt</v>
          </cell>
          <cell r="E516" t="str">
            <v>Mugo</v>
          </cell>
          <cell r="F516" t="str">
            <v>11</v>
          </cell>
          <cell r="G516" t="str">
            <v>N</v>
          </cell>
          <cell r="H516" t="str">
            <v/>
          </cell>
          <cell r="I516" t="str">
            <v>N</v>
          </cell>
          <cell r="J516" t="str">
            <v>Rates</v>
          </cell>
          <cell r="K516" t="str">
            <v/>
          </cell>
          <cell r="L516" t="str">
            <v>Fully</v>
          </cell>
          <cell r="M516" t="str">
            <v>Savoca</v>
          </cell>
          <cell r="N516" t="str">
            <v/>
          </cell>
          <cell r="O516" t="str">
            <v>07</v>
          </cell>
          <cell r="P516" t="str">
            <v/>
          </cell>
          <cell r="Q516" t="str">
            <v/>
          </cell>
          <cell r="R516" t="str">
            <v>MD</v>
          </cell>
          <cell r="S516">
            <v>50000</v>
          </cell>
          <cell r="T516" t="str">
            <v>PPO/HMO</v>
          </cell>
          <cell r="U516" t="str">
            <v>BFF5/CFF5</v>
          </cell>
          <cell r="V516" t="str">
            <v/>
          </cell>
          <cell r="W516" t="str">
            <v/>
          </cell>
          <cell r="X516">
            <v>1</v>
          </cell>
        </row>
        <row r="517">
          <cell r="A517" t="str">
            <v>3F78</v>
          </cell>
          <cell r="B517" t="str">
            <v>Progressive Life Center, Inc.</v>
          </cell>
          <cell r="C517" t="str">
            <v/>
          </cell>
          <cell r="D517" t="str">
            <v>Keefer</v>
          </cell>
          <cell r="E517" t="str">
            <v>Johnson</v>
          </cell>
          <cell r="F517" t="str">
            <v>04</v>
          </cell>
          <cell r="G517" t="str">
            <v>N</v>
          </cell>
          <cell r="H517" t="str">
            <v/>
          </cell>
          <cell r="I517" t="str">
            <v>N</v>
          </cell>
          <cell r="J517" t="str">
            <v>Rates</v>
          </cell>
          <cell r="K517" t="str">
            <v/>
          </cell>
          <cell r="L517" t="str">
            <v>Fully</v>
          </cell>
          <cell r="M517" t="str">
            <v>Henton-Davis</v>
          </cell>
          <cell r="N517" t="str">
            <v>0</v>
          </cell>
          <cell r="O517" t="str">
            <v>12</v>
          </cell>
          <cell r="P517" t="str">
            <v/>
          </cell>
          <cell r="Q517" t="str">
            <v/>
          </cell>
          <cell r="R517" t="str">
            <v>DC</v>
          </cell>
          <cell r="S517">
            <v>50000</v>
          </cell>
          <cell r="T517" t="str">
            <v>POS/PPO/HMO</v>
          </cell>
          <cell r="U517" t="str">
            <v>CFF6</v>
          </cell>
          <cell r="V517" t="str">
            <v/>
          </cell>
          <cell r="W517" t="str">
            <v/>
          </cell>
          <cell r="X517">
            <v>1</v>
          </cell>
        </row>
        <row r="518">
          <cell r="A518" t="str">
            <v>3J76</v>
          </cell>
          <cell r="B518" t="str">
            <v xml:space="preserve">Protelligent, LLC                                 </v>
          </cell>
          <cell r="C518" t="str">
            <v/>
          </cell>
          <cell r="D518" t="str">
            <v>Keefer</v>
          </cell>
          <cell r="E518" t="str">
            <v>LaTouche</v>
          </cell>
          <cell r="F518" t="str">
            <v>01</v>
          </cell>
          <cell r="G518" t="str">
            <v>N</v>
          </cell>
          <cell r="H518" t="str">
            <v/>
          </cell>
          <cell r="I518" t="str">
            <v>N</v>
          </cell>
          <cell r="J518" t="str">
            <v>Rates</v>
          </cell>
          <cell r="K518" t="str">
            <v/>
          </cell>
          <cell r="L518" t="str">
            <v>Fully</v>
          </cell>
          <cell r="M518" t="str">
            <v>Guessford-Kline</v>
          </cell>
          <cell r="N518" t="str">
            <v/>
          </cell>
          <cell r="O518" t="str">
            <v>09</v>
          </cell>
          <cell r="P518" t="str">
            <v>LaTouche</v>
          </cell>
          <cell r="Q518" t="str">
            <v/>
          </cell>
          <cell r="R518" t="str">
            <v>VA</v>
          </cell>
          <cell r="S518">
            <v>50000</v>
          </cell>
          <cell r="T518" t="str">
            <v>POS/HMO/PPO</v>
          </cell>
          <cell r="U518" t="str">
            <v>BFF5/CFF5</v>
          </cell>
          <cell r="V518" t="str">
            <v/>
          </cell>
          <cell r="W518" t="str">
            <v/>
          </cell>
          <cell r="X518">
            <v>1</v>
          </cell>
        </row>
        <row r="519">
          <cell r="A519" t="str">
            <v>4A49</v>
          </cell>
          <cell r="B519" t="str">
            <v>Protestant Episcopal Theological Seminary</v>
          </cell>
          <cell r="C519" t="str">
            <v/>
          </cell>
          <cell r="D519" t="str">
            <v>McCourt</v>
          </cell>
          <cell r="E519" t="str">
            <v>Quade</v>
          </cell>
          <cell r="F519" t="str">
            <v>06</v>
          </cell>
          <cell r="G519" t="str">
            <v>N</v>
          </cell>
          <cell r="H519" t="str">
            <v>N</v>
          </cell>
          <cell r="I519" t="str">
            <v>N</v>
          </cell>
          <cell r="J519" t="str">
            <v>Rates</v>
          </cell>
          <cell r="K519" t="str">
            <v/>
          </cell>
          <cell r="L519" t="str">
            <v>Fully</v>
          </cell>
          <cell r="M519" t="str">
            <v>Dodds</v>
          </cell>
          <cell r="N519" t="str">
            <v>0</v>
          </cell>
          <cell r="O519" t="str">
            <v>02</v>
          </cell>
          <cell r="P519" t="str">
            <v/>
          </cell>
          <cell r="Q519" t="str">
            <v/>
          </cell>
          <cell r="R519" t="str">
            <v>VA</v>
          </cell>
          <cell r="S519">
            <v>50000</v>
          </cell>
          <cell r="T519" t="str">
            <v>HMO POS PPO Rx D</v>
          </cell>
          <cell r="U519" t="str">
            <v>BFF5/CFF5</v>
          </cell>
          <cell r="V519" t="str">
            <v/>
          </cell>
          <cell r="W519" t="str">
            <v/>
          </cell>
          <cell r="X519">
            <v>1</v>
          </cell>
        </row>
        <row r="520">
          <cell r="A520" t="str">
            <v>MF28</v>
          </cell>
          <cell r="B520" t="str">
            <v>Protocall Communications</v>
          </cell>
          <cell r="C520" t="str">
            <v/>
          </cell>
          <cell r="D520" t="str">
            <v>Keefer</v>
          </cell>
          <cell r="E520" t="str">
            <v>Taylor</v>
          </cell>
          <cell r="F520" t="str">
            <v>11</v>
          </cell>
          <cell r="G520" t="str">
            <v>N</v>
          </cell>
          <cell r="H520" t="str">
            <v>Y</v>
          </cell>
          <cell r="I520" t="str">
            <v>Y</v>
          </cell>
          <cell r="J520" t="str">
            <v>Rates</v>
          </cell>
          <cell r="K520" t="str">
            <v/>
          </cell>
          <cell r="L520" t="str">
            <v>Fully</v>
          </cell>
          <cell r="M520" t="str">
            <v>Guessford-Kline</v>
          </cell>
          <cell r="N520" t="str">
            <v/>
          </cell>
          <cell r="O520" t="str">
            <v>07</v>
          </cell>
          <cell r="P520" t="str">
            <v/>
          </cell>
          <cell r="Q520" t="str">
            <v/>
          </cell>
          <cell r="R520" t="str">
            <v>MD</v>
          </cell>
          <cell r="S520">
            <v>50000</v>
          </cell>
          <cell r="T520" t="str">
            <v>HMO PPO POS D</v>
          </cell>
          <cell r="U520" t="str">
            <v>BFF5/CFF5</v>
          </cell>
          <cell r="V520" t="str">
            <v>Y</v>
          </cell>
          <cell r="W520" t="str">
            <v>11/1/2002</v>
          </cell>
          <cell r="X520">
            <v>1</v>
          </cell>
        </row>
        <row r="521">
          <cell r="A521" t="str">
            <v>1F95</v>
          </cell>
          <cell r="B521" t="str">
            <v>Psychiatric Institute of Washington  (The)</v>
          </cell>
          <cell r="C521" t="str">
            <v/>
          </cell>
          <cell r="D521" t="str">
            <v>McCourt</v>
          </cell>
          <cell r="E521" t="str">
            <v>Mugo</v>
          </cell>
          <cell r="F521" t="str">
            <v>02</v>
          </cell>
          <cell r="G521" t="str">
            <v>N</v>
          </cell>
          <cell r="H521" t="str">
            <v>N</v>
          </cell>
          <cell r="I521" t="str">
            <v>N</v>
          </cell>
          <cell r="J521" t="str">
            <v>Rates</v>
          </cell>
          <cell r="K521" t="str">
            <v/>
          </cell>
          <cell r="L521" t="str">
            <v>Fully</v>
          </cell>
          <cell r="M521" t="str">
            <v>Guessford-Kline</v>
          </cell>
          <cell r="N521" t="str">
            <v>0</v>
          </cell>
          <cell r="O521" t="str">
            <v>10</v>
          </cell>
          <cell r="P521" t="str">
            <v>Rutkowski</v>
          </cell>
          <cell r="Q521" t="str">
            <v/>
          </cell>
          <cell r="R521" t="str">
            <v>DC</v>
          </cell>
          <cell r="S521">
            <v>50000</v>
          </cell>
          <cell r="T521" t="str">
            <v>POS</v>
          </cell>
          <cell r="U521" t="str">
            <v>BFF5</v>
          </cell>
          <cell r="V521" t="str">
            <v/>
          </cell>
          <cell r="W521" t="str">
            <v>2/1/2002</v>
          </cell>
          <cell r="X521">
            <v>1</v>
          </cell>
        </row>
        <row r="522">
          <cell r="A522" t="str">
            <v>NZ42</v>
          </cell>
          <cell r="B522" t="str">
            <v>Public Citizen</v>
          </cell>
          <cell r="C522" t="str">
            <v/>
          </cell>
          <cell r="D522" t="str">
            <v>Keefer</v>
          </cell>
          <cell r="E522" t="str">
            <v>Johnson</v>
          </cell>
          <cell r="F522" t="str">
            <v>07</v>
          </cell>
          <cell r="G522" t="str">
            <v>N</v>
          </cell>
          <cell r="H522" t="str">
            <v/>
          </cell>
          <cell r="I522" t="str">
            <v>N</v>
          </cell>
          <cell r="J522" t="str">
            <v>Rates</v>
          </cell>
          <cell r="K522" t="str">
            <v/>
          </cell>
          <cell r="L522" t="str">
            <v>Fully</v>
          </cell>
          <cell r="M522" t="str">
            <v>Savoca</v>
          </cell>
          <cell r="N522" t="str">
            <v>0</v>
          </cell>
          <cell r="O522" t="str">
            <v>03</v>
          </cell>
          <cell r="P522" t="str">
            <v/>
          </cell>
          <cell r="Q522" t="str">
            <v/>
          </cell>
          <cell r="R522" t="str">
            <v>DC</v>
          </cell>
          <cell r="S522">
            <v>50000</v>
          </cell>
          <cell r="T522" t="str">
            <v>HMO/PPO</v>
          </cell>
          <cell r="U522" t="str">
            <v>BFF6</v>
          </cell>
          <cell r="V522" t="str">
            <v/>
          </cell>
          <cell r="W522" t="str">
            <v/>
          </cell>
          <cell r="X522">
            <v>1</v>
          </cell>
        </row>
        <row r="523">
          <cell r="A523" t="str">
            <v>00X5</v>
          </cell>
          <cell r="B523" t="str">
            <v xml:space="preserve">Puerto Rico Federal Affairs Administration        </v>
          </cell>
          <cell r="C523" t="str">
            <v/>
          </cell>
          <cell r="D523" t="str">
            <v>Keefer</v>
          </cell>
          <cell r="E523" t="str">
            <v>Burba</v>
          </cell>
          <cell r="F523" t="str">
            <v>09</v>
          </cell>
          <cell r="G523" t="str">
            <v>N</v>
          </cell>
          <cell r="H523" t="str">
            <v/>
          </cell>
          <cell r="I523" t="str">
            <v>N</v>
          </cell>
          <cell r="J523" t="str">
            <v>Rates</v>
          </cell>
          <cell r="K523" t="str">
            <v/>
          </cell>
          <cell r="L523" t="str">
            <v>Fully</v>
          </cell>
          <cell r="M523" t="str">
            <v/>
          </cell>
          <cell r="N523" t="str">
            <v/>
          </cell>
          <cell r="O523" t="str">
            <v>05</v>
          </cell>
          <cell r="P523" t="str">
            <v/>
          </cell>
          <cell r="Q523" t="str">
            <v/>
          </cell>
          <cell r="R523" t="str">
            <v>DC</v>
          </cell>
          <cell r="S523">
            <v>50000</v>
          </cell>
          <cell r="T523" t="str">
            <v>HMO/OA/PPO</v>
          </cell>
          <cell r="U523" t="str">
            <v>BFF5/CFF5</v>
          </cell>
          <cell r="V523" t="str">
            <v/>
          </cell>
          <cell r="W523" t="str">
            <v/>
          </cell>
          <cell r="X523">
            <v>1</v>
          </cell>
        </row>
        <row r="524">
          <cell r="A524" t="str">
            <v>0M29</v>
          </cell>
          <cell r="B524" t="str">
            <v xml:space="preserve">Quality Support, Inc. (QSI)                       </v>
          </cell>
          <cell r="C524" t="str">
            <v/>
          </cell>
          <cell r="D524" t="str">
            <v>Keefer</v>
          </cell>
          <cell r="E524" t="str">
            <v>Burba</v>
          </cell>
          <cell r="F524" t="str">
            <v>06</v>
          </cell>
          <cell r="G524" t="str">
            <v>N</v>
          </cell>
          <cell r="H524" t="str">
            <v/>
          </cell>
          <cell r="I524" t="str">
            <v>N</v>
          </cell>
          <cell r="J524" t="str">
            <v>Rates</v>
          </cell>
          <cell r="K524" t="str">
            <v/>
          </cell>
          <cell r="L524" t="str">
            <v>Fully</v>
          </cell>
          <cell r="M524" t="str">
            <v>Cosby</v>
          </cell>
          <cell r="N524" t="str">
            <v/>
          </cell>
          <cell r="O524" t="str">
            <v>02</v>
          </cell>
          <cell r="P524" t="str">
            <v/>
          </cell>
          <cell r="Q524" t="str">
            <v/>
          </cell>
          <cell r="R524" t="str">
            <v>MD</v>
          </cell>
          <cell r="S524">
            <v>50000</v>
          </cell>
          <cell r="T524" t="str">
            <v>HMO/POS/PPO</v>
          </cell>
          <cell r="U524" t="str">
            <v>BFF5/CFF5</v>
          </cell>
          <cell r="V524" t="str">
            <v>Y</v>
          </cell>
          <cell r="W524" t="str">
            <v>6/1/2005</v>
          </cell>
          <cell r="X524">
            <v>1</v>
          </cell>
        </row>
        <row r="525">
          <cell r="A525" t="str">
            <v>07GW</v>
          </cell>
          <cell r="B525" t="str">
            <v>R &amp; S Auto &amp; Truck</v>
          </cell>
          <cell r="C525" t="str">
            <v/>
          </cell>
          <cell r="D525" t="str">
            <v>Keefer</v>
          </cell>
          <cell r="E525" t="str">
            <v>LaTouche</v>
          </cell>
          <cell r="F525" t="str">
            <v>10</v>
          </cell>
          <cell r="G525" t="str">
            <v>N</v>
          </cell>
          <cell r="H525" t="str">
            <v/>
          </cell>
          <cell r="I525" t="str">
            <v>N</v>
          </cell>
          <cell r="J525" t="str">
            <v>Rates</v>
          </cell>
          <cell r="K525" t="str">
            <v/>
          </cell>
          <cell r="L525" t="str">
            <v>Fully</v>
          </cell>
          <cell r="M525" t="str">
            <v>Rutkowski</v>
          </cell>
          <cell r="N525" t="str">
            <v/>
          </cell>
          <cell r="O525" t="str">
            <v>06</v>
          </cell>
          <cell r="P525" t="str">
            <v>LaTouche</v>
          </cell>
          <cell r="Q525" t="str">
            <v/>
          </cell>
          <cell r="R525" t="str">
            <v>MD</v>
          </cell>
          <cell r="S525">
            <v>50000</v>
          </cell>
          <cell r="T525" t="str">
            <v>HMO/PPO</v>
          </cell>
          <cell r="U525" t="str">
            <v>BFF5/CFF5</v>
          </cell>
          <cell r="V525" t="str">
            <v/>
          </cell>
          <cell r="W525" t="str">
            <v/>
          </cell>
          <cell r="X525">
            <v>1</v>
          </cell>
        </row>
        <row r="526">
          <cell r="A526" t="str">
            <v>6D64</v>
          </cell>
          <cell r="B526" t="str">
            <v>R. B. Associates</v>
          </cell>
          <cell r="C526" t="str">
            <v/>
          </cell>
          <cell r="D526" t="str">
            <v>McCourt</v>
          </cell>
          <cell r="E526" t="str">
            <v>Rutkowski</v>
          </cell>
          <cell r="F526" t="str">
            <v>02</v>
          </cell>
          <cell r="G526" t="str">
            <v>N</v>
          </cell>
          <cell r="H526" t="str">
            <v>N</v>
          </cell>
          <cell r="I526" t="str">
            <v>N</v>
          </cell>
          <cell r="J526" t="str">
            <v>Rates</v>
          </cell>
          <cell r="K526" t="str">
            <v/>
          </cell>
          <cell r="L526" t="str">
            <v>Fully</v>
          </cell>
          <cell r="M526" t="str">
            <v>Bradshaw</v>
          </cell>
          <cell r="N526" t="str">
            <v/>
          </cell>
          <cell r="O526" t="str">
            <v>10</v>
          </cell>
          <cell r="P526" t="str">
            <v>Rutkowski</v>
          </cell>
          <cell r="Q526" t="str">
            <v/>
          </cell>
          <cell r="R526" t="str">
            <v>DC</v>
          </cell>
          <cell r="S526">
            <v>75000</v>
          </cell>
          <cell r="T526" t="str">
            <v>HMO/POS/PPO</v>
          </cell>
          <cell r="U526" t="str">
            <v>BFF7/CFF7</v>
          </cell>
          <cell r="V526" t="str">
            <v/>
          </cell>
          <cell r="W526" t="str">
            <v/>
          </cell>
          <cell r="X526">
            <v>1</v>
          </cell>
        </row>
        <row r="527">
          <cell r="A527" t="str">
            <v>3M28</v>
          </cell>
          <cell r="B527" t="str">
            <v>Radian, Inc.</v>
          </cell>
          <cell r="C527" t="str">
            <v/>
          </cell>
          <cell r="D527" t="str">
            <v>McCourt</v>
          </cell>
          <cell r="E527" t="str">
            <v>Rutkowski</v>
          </cell>
          <cell r="F527" t="str">
            <v>08</v>
          </cell>
          <cell r="G527" t="str">
            <v>N</v>
          </cell>
          <cell r="H527" t="str">
            <v/>
          </cell>
          <cell r="I527" t="str">
            <v>N</v>
          </cell>
          <cell r="J527" t="str">
            <v>Rates</v>
          </cell>
          <cell r="K527" t="str">
            <v/>
          </cell>
          <cell r="L527" t="str">
            <v>Fully</v>
          </cell>
          <cell r="M527" t="str">
            <v>Dunn</v>
          </cell>
          <cell r="N527" t="str">
            <v>0</v>
          </cell>
          <cell r="O527" t="str">
            <v>04</v>
          </cell>
          <cell r="P527" t="str">
            <v>Rutkowski</v>
          </cell>
          <cell r="Q527" t="str">
            <v/>
          </cell>
          <cell r="R527" t="str">
            <v>VA</v>
          </cell>
          <cell r="S527">
            <v>75000</v>
          </cell>
          <cell r="T527" t="str">
            <v>PPO</v>
          </cell>
          <cell r="U527" t="str">
            <v>BFF7</v>
          </cell>
          <cell r="V527" t="str">
            <v/>
          </cell>
          <cell r="W527" t="str">
            <v/>
          </cell>
          <cell r="X527">
            <v>1</v>
          </cell>
        </row>
        <row r="528">
          <cell r="A528" t="str">
            <v>NS43</v>
          </cell>
          <cell r="B528" t="str">
            <v>Raffa &amp; Associates</v>
          </cell>
          <cell r="C528" t="str">
            <v/>
          </cell>
          <cell r="D528" t="str">
            <v>McCourt</v>
          </cell>
          <cell r="E528" t="str">
            <v>Slack</v>
          </cell>
          <cell r="F528" t="str">
            <v>04</v>
          </cell>
          <cell r="G528" t="str">
            <v>N</v>
          </cell>
          <cell r="H528" t="str">
            <v/>
          </cell>
          <cell r="I528" t="str">
            <v>N</v>
          </cell>
          <cell r="J528" t="str">
            <v>Rates</v>
          </cell>
          <cell r="K528" t="str">
            <v/>
          </cell>
          <cell r="L528" t="str">
            <v>Fully</v>
          </cell>
          <cell r="M528" t="str">
            <v>Dodds</v>
          </cell>
          <cell r="N528" t="str">
            <v>0</v>
          </cell>
          <cell r="O528" t="str">
            <v>01</v>
          </cell>
          <cell r="P528" t="str">
            <v>Slack</v>
          </cell>
          <cell r="Q528" t="str">
            <v/>
          </cell>
          <cell r="R528" t="str">
            <v>DC</v>
          </cell>
          <cell r="S528">
            <v>50000</v>
          </cell>
          <cell r="T528" t="str">
            <v>POS</v>
          </cell>
          <cell r="U528" t="str">
            <v>CFF5</v>
          </cell>
          <cell r="V528" t="str">
            <v/>
          </cell>
          <cell r="W528" t="str">
            <v/>
          </cell>
          <cell r="X528">
            <v>1</v>
          </cell>
        </row>
        <row r="529">
          <cell r="A529" t="str">
            <v>6U00</v>
          </cell>
          <cell r="B529" t="str">
            <v xml:space="preserve">Realty Management Services, Inc.                  </v>
          </cell>
          <cell r="C529" t="str">
            <v/>
          </cell>
          <cell r="D529" t="str">
            <v>Keefer</v>
          </cell>
          <cell r="E529" t="str">
            <v>Taylor</v>
          </cell>
          <cell r="F529" t="str">
            <v>04</v>
          </cell>
          <cell r="G529" t="str">
            <v>N</v>
          </cell>
          <cell r="H529" t="str">
            <v>N</v>
          </cell>
          <cell r="I529" t="str">
            <v>N</v>
          </cell>
          <cell r="J529" t="str">
            <v>Rates</v>
          </cell>
          <cell r="K529" t="str">
            <v/>
          </cell>
          <cell r="L529" t="str">
            <v>Fully</v>
          </cell>
          <cell r="M529" t="str">
            <v>Bradshaw</v>
          </cell>
          <cell r="N529" t="str">
            <v/>
          </cell>
          <cell r="O529" t="str">
            <v>12</v>
          </cell>
          <cell r="P529" t="str">
            <v/>
          </cell>
          <cell r="Q529" t="str">
            <v/>
          </cell>
          <cell r="R529" t="str">
            <v>MD</v>
          </cell>
          <cell r="S529">
            <v>75000</v>
          </cell>
          <cell r="T529" t="str">
            <v>HMO POS PPO Rx</v>
          </cell>
          <cell r="U529" t="str">
            <v>CFF7 BFF7</v>
          </cell>
          <cell r="V529" t="str">
            <v/>
          </cell>
          <cell r="W529" t="str">
            <v>4/1/2002</v>
          </cell>
          <cell r="X529">
            <v>1</v>
          </cell>
        </row>
        <row r="530">
          <cell r="A530" t="str">
            <v>06QV</v>
          </cell>
          <cell r="B530" t="str">
            <v xml:space="preserve">Red Coats, Inc.                                   </v>
          </cell>
          <cell r="C530" t="str">
            <v/>
          </cell>
          <cell r="D530" t="str">
            <v>Keefer</v>
          </cell>
          <cell r="E530" t="str">
            <v>Burba</v>
          </cell>
          <cell r="F530" t="str">
            <v>01</v>
          </cell>
          <cell r="G530" t="str">
            <v>N</v>
          </cell>
          <cell r="H530" t="str">
            <v/>
          </cell>
          <cell r="I530" t="str">
            <v>N</v>
          </cell>
          <cell r="J530" t="str">
            <v>Rates</v>
          </cell>
          <cell r="K530" t="str">
            <v/>
          </cell>
          <cell r="L530" t="str">
            <v>Fully</v>
          </cell>
          <cell r="M530" t="str">
            <v>Rand</v>
          </cell>
          <cell r="N530" t="str">
            <v/>
          </cell>
          <cell r="O530" t="str">
            <v>09</v>
          </cell>
          <cell r="P530" t="str">
            <v/>
          </cell>
          <cell r="Q530" t="str">
            <v/>
          </cell>
          <cell r="R530" t="str">
            <v>MD</v>
          </cell>
          <cell r="S530">
            <v>50000</v>
          </cell>
          <cell r="T530" t="str">
            <v>HMO/OA/PPO</v>
          </cell>
          <cell r="U530" t="str">
            <v>BFF6/CFF6</v>
          </cell>
          <cell r="V530" t="str">
            <v>Y</v>
          </cell>
          <cell r="W530" t="str">
            <v>11/1/2004</v>
          </cell>
          <cell r="X530">
            <v>1</v>
          </cell>
        </row>
        <row r="531">
          <cell r="A531" t="str">
            <v>3G22</v>
          </cell>
          <cell r="B531" t="str">
            <v>Red Hot &amp; Blue Restaurant</v>
          </cell>
          <cell r="C531" t="str">
            <v/>
          </cell>
          <cell r="D531" t="str">
            <v>Keefer</v>
          </cell>
          <cell r="E531" t="str">
            <v>Burba</v>
          </cell>
          <cell r="F531" t="str">
            <v>12</v>
          </cell>
          <cell r="G531" t="str">
            <v>N</v>
          </cell>
          <cell r="H531" t="str">
            <v/>
          </cell>
          <cell r="I531" t="str">
            <v>N</v>
          </cell>
          <cell r="J531" t="str">
            <v>Rates</v>
          </cell>
          <cell r="K531" t="str">
            <v/>
          </cell>
          <cell r="L531" t="str">
            <v>Fully</v>
          </cell>
          <cell r="M531" t="str">
            <v>Swears</v>
          </cell>
          <cell r="N531" t="str">
            <v/>
          </cell>
          <cell r="O531" t="str">
            <v>08</v>
          </cell>
          <cell r="P531" t="str">
            <v/>
          </cell>
          <cell r="Q531" t="str">
            <v/>
          </cell>
          <cell r="R531" t="str">
            <v>VA</v>
          </cell>
          <cell r="S531">
            <v>50000</v>
          </cell>
          <cell r="T531" t="str">
            <v>PPO/OA/HMO</v>
          </cell>
          <cell r="U531" t="str">
            <v>BFF5/CFF5</v>
          </cell>
          <cell r="V531" t="str">
            <v/>
          </cell>
          <cell r="W531" t="str">
            <v/>
          </cell>
          <cell r="X531">
            <v>1</v>
          </cell>
        </row>
        <row r="532">
          <cell r="A532" t="str">
            <v>NR68</v>
          </cell>
          <cell r="B532" t="str">
            <v xml:space="preserve">Rei Systems, Inc.                                 </v>
          </cell>
          <cell r="C532" t="str">
            <v/>
          </cell>
          <cell r="D532" t="str">
            <v>Keefer</v>
          </cell>
          <cell r="E532" t="str">
            <v>LaTouche</v>
          </cell>
          <cell r="F532" t="str">
            <v>02</v>
          </cell>
          <cell r="G532" t="str">
            <v>N</v>
          </cell>
          <cell r="H532" t="str">
            <v/>
          </cell>
          <cell r="I532" t="str">
            <v>N</v>
          </cell>
          <cell r="J532" t="str">
            <v>Rates</v>
          </cell>
          <cell r="K532" t="str">
            <v/>
          </cell>
          <cell r="L532" t="str">
            <v>Fully</v>
          </cell>
          <cell r="M532" t="str">
            <v>Guessford-Kline</v>
          </cell>
          <cell r="N532" t="str">
            <v/>
          </cell>
          <cell r="O532" t="str">
            <v>10</v>
          </cell>
          <cell r="P532" t="str">
            <v>LaTouche</v>
          </cell>
          <cell r="Q532" t="str">
            <v/>
          </cell>
          <cell r="R532" t="str">
            <v>VA</v>
          </cell>
          <cell r="S532">
            <v>50000</v>
          </cell>
          <cell r="T532" t="str">
            <v>PPO</v>
          </cell>
          <cell r="U532" t="str">
            <v>BFF5</v>
          </cell>
          <cell r="V532" t="str">
            <v/>
          </cell>
          <cell r="W532" t="str">
            <v/>
          </cell>
          <cell r="X532">
            <v>1</v>
          </cell>
        </row>
        <row r="533">
          <cell r="A533" t="str">
            <v>BWY4</v>
          </cell>
          <cell r="B533" t="str">
            <v>Retail Services and Systems, Inc.</v>
          </cell>
          <cell r="C533" t="str">
            <v/>
          </cell>
          <cell r="D533" t="str">
            <v>Keefer</v>
          </cell>
          <cell r="E533" t="str">
            <v>Taylor</v>
          </cell>
          <cell r="F533" t="str">
            <v>04</v>
          </cell>
          <cell r="G533" t="str">
            <v>N</v>
          </cell>
          <cell r="H533" t="str">
            <v>N</v>
          </cell>
          <cell r="I533" t="str">
            <v>N</v>
          </cell>
          <cell r="J533" t="str">
            <v>Rates</v>
          </cell>
          <cell r="K533" t="str">
            <v/>
          </cell>
          <cell r="L533" t="str">
            <v>Fully</v>
          </cell>
          <cell r="M533" t="str">
            <v>Jordan</v>
          </cell>
          <cell r="N533" t="str">
            <v/>
          </cell>
          <cell r="O533" t="str">
            <v>12</v>
          </cell>
          <cell r="P533" t="str">
            <v/>
          </cell>
          <cell r="Q533" t="str">
            <v/>
          </cell>
          <cell r="R533" t="str">
            <v>MD</v>
          </cell>
          <cell r="S533">
            <v>75000</v>
          </cell>
          <cell r="T533" t="str">
            <v>PPO HMO OA</v>
          </cell>
          <cell r="U533" t="str">
            <v>BFF7 CFF7</v>
          </cell>
          <cell r="V533" t="str">
            <v>Y</v>
          </cell>
          <cell r="W533" t="str">
            <v>4/1/2004</v>
          </cell>
          <cell r="X533">
            <v>1</v>
          </cell>
        </row>
        <row r="534">
          <cell r="A534" t="str">
            <v>PC86</v>
          </cell>
          <cell r="B534" t="str">
            <v>Retina Group of Washington P.C. (The)</v>
          </cell>
          <cell r="C534" t="str">
            <v/>
          </cell>
          <cell r="D534" t="str">
            <v>McCourt</v>
          </cell>
          <cell r="E534" t="str">
            <v>Mugo</v>
          </cell>
          <cell r="F534" t="str">
            <v>12</v>
          </cell>
          <cell r="G534" t="str">
            <v>N</v>
          </cell>
          <cell r="H534" t="str">
            <v/>
          </cell>
          <cell r="I534" t="str">
            <v>N</v>
          </cell>
          <cell r="J534" t="str">
            <v>Rates</v>
          </cell>
          <cell r="K534" t="str">
            <v/>
          </cell>
          <cell r="L534" t="str">
            <v>Fully</v>
          </cell>
          <cell r="M534" t="str">
            <v>Savoca</v>
          </cell>
          <cell r="N534" t="str">
            <v/>
          </cell>
          <cell r="O534" t="str">
            <v>08</v>
          </cell>
          <cell r="P534" t="str">
            <v/>
          </cell>
          <cell r="Q534" t="str">
            <v/>
          </cell>
          <cell r="R534" t="str">
            <v>VA</v>
          </cell>
          <cell r="S534">
            <v>50000</v>
          </cell>
          <cell r="T534" t="str">
            <v>POS/HMO/PPO</v>
          </cell>
          <cell r="U534" t="str">
            <v>BFF5/CFF5</v>
          </cell>
          <cell r="V534" t="str">
            <v/>
          </cell>
          <cell r="W534" t="str">
            <v/>
          </cell>
          <cell r="X534">
            <v>1</v>
          </cell>
        </row>
        <row r="535">
          <cell r="A535" t="str">
            <v>6472</v>
          </cell>
          <cell r="B535" t="str">
            <v xml:space="preserve">Retired Officers Association                      </v>
          </cell>
          <cell r="C535" t="str">
            <v/>
          </cell>
          <cell r="D535" t="str">
            <v>McCourt</v>
          </cell>
          <cell r="E535" t="str">
            <v>Mugo</v>
          </cell>
          <cell r="F535" t="str">
            <v>01</v>
          </cell>
          <cell r="G535" t="str">
            <v>N</v>
          </cell>
          <cell r="H535" t="str">
            <v/>
          </cell>
          <cell r="I535" t="str">
            <v>N</v>
          </cell>
          <cell r="J535" t="str">
            <v>Rates</v>
          </cell>
          <cell r="K535" t="str">
            <v/>
          </cell>
          <cell r="L535" t="str">
            <v>Fully</v>
          </cell>
          <cell r="M535" t="str">
            <v>Guessford-Kline</v>
          </cell>
          <cell r="N535" t="str">
            <v/>
          </cell>
          <cell r="O535" t="str">
            <v>09</v>
          </cell>
          <cell r="P535" t="str">
            <v/>
          </cell>
          <cell r="Q535" t="str">
            <v/>
          </cell>
          <cell r="R535" t="str">
            <v>VA</v>
          </cell>
          <cell r="S535">
            <v>50000</v>
          </cell>
          <cell r="T535" t="str">
            <v>PPO</v>
          </cell>
          <cell r="U535" t="str">
            <v>BFF5</v>
          </cell>
          <cell r="V535" t="str">
            <v/>
          </cell>
          <cell r="W535" t="str">
            <v/>
          </cell>
          <cell r="X535">
            <v>1</v>
          </cell>
        </row>
        <row r="536">
          <cell r="A536" t="str">
            <v>NF39</v>
          </cell>
          <cell r="B536" t="str">
            <v xml:space="preserve">Rgs Associates, Inc.                              </v>
          </cell>
          <cell r="C536" t="str">
            <v/>
          </cell>
          <cell r="D536" t="str">
            <v>Keefer</v>
          </cell>
          <cell r="E536" t="str">
            <v>Burba</v>
          </cell>
          <cell r="F536" t="str">
            <v>10</v>
          </cell>
          <cell r="G536" t="str">
            <v>N</v>
          </cell>
          <cell r="H536" t="str">
            <v/>
          </cell>
          <cell r="I536" t="str">
            <v>N</v>
          </cell>
          <cell r="J536" t="str">
            <v>Rates</v>
          </cell>
          <cell r="K536" t="str">
            <v/>
          </cell>
          <cell r="L536" t="str">
            <v>Fully</v>
          </cell>
          <cell r="M536" t="str">
            <v>Henton-Davis</v>
          </cell>
          <cell r="N536" t="str">
            <v/>
          </cell>
          <cell r="O536" t="str">
            <v>06</v>
          </cell>
          <cell r="P536" t="str">
            <v/>
          </cell>
          <cell r="Q536" t="str">
            <v/>
          </cell>
          <cell r="R536" t="str">
            <v>VA</v>
          </cell>
          <cell r="S536">
            <v>50000</v>
          </cell>
          <cell r="T536" t="str">
            <v>PPO/PPO/POS</v>
          </cell>
          <cell r="U536" t="str">
            <v>BFF5</v>
          </cell>
          <cell r="V536" t="str">
            <v/>
          </cell>
          <cell r="W536" t="str">
            <v/>
          </cell>
          <cell r="X536">
            <v>1</v>
          </cell>
        </row>
        <row r="537">
          <cell r="A537" t="str">
            <v>4G16</v>
          </cell>
          <cell r="B537" t="str">
            <v>Rickman Management LLC</v>
          </cell>
          <cell r="C537" t="str">
            <v/>
          </cell>
          <cell r="D537" t="str">
            <v>McCourt</v>
          </cell>
          <cell r="E537" t="str">
            <v>Rutkowski</v>
          </cell>
          <cell r="F537" t="str">
            <v>09</v>
          </cell>
          <cell r="G537" t="str">
            <v>N</v>
          </cell>
          <cell r="H537" t="str">
            <v/>
          </cell>
          <cell r="I537" t="str">
            <v>N</v>
          </cell>
          <cell r="J537" t="str">
            <v>Rates</v>
          </cell>
          <cell r="K537" t="str">
            <v/>
          </cell>
          <cell r="L537" t="str">
            <v>Fully</v>
          </cell>
          <cell r="M537" t="str">
            <v>Dodds</v>
          </cell>
          <cell r="N537" t="str">
            <v/>
          </cell>
          <cell r="O537" t="str">
            <v>05</v>
          </cell>
          <cell r="P537" t="str">
            <v>Rutkowski</v>
          </cell>
          <cell r="Q537" t="str">
            <v/>
          </cell>
          <cell r="R537" t="str">
            <v>MD</v>
          </cell>
          <cell r="S537">
            <v>50000</v>
          </cell>
          <cell r="T537" t="str">
            <v>HMO/PPO</v>
          </cell>
          <cell r="U537" t="str">
            <v>BFF5/CFF5</v>
          </cell>
          <cell r="V537" t="str">
            <v/>
          </cell>
          <cell r="W537" t="str">
            <v/>
          </cell>
          <cell r="X537">
            <v>1</v>
          </cell>
        </row>
        <row r="538">
          <cell r="A538" t="str">
            <v>MM43</v>
          </cell>
          <cell r="B538" t="str">
            <v>Ritz Camera Centers</v>
          </cell>
          <cell r="C538" t="str">
            <v/>
          </cell>
          <cell r="D538" t="str">
            <v>Keefer</v>
          </cell>
          <cell r="E538" t="str">
            <v>Johnson</v>
          </cell>
          <cell r="F538" t="str">
            <v>10</v>
          </cell>
          <cell r="G538" t="str">
            <v>N</v>
          </cell>
          <cell r="H538" t="str">
            <v>N</v>
          </cell>
          <cell r="I538" t="str">
            <v>N</v>
          </cell>
          <cell r="J538" t="str">
            <v>Rates</v>
          </cell>
          <cell r="K538" t="str">
            <v/>
          </cell>
          <cell r="L538" t="str">
            <v>Fully</v>
          </cell>
          <cell r="M538" t="str">
            <v>Wise</v>
          </cell>
          <cell r="N538" t="str">
            <v>0</v>
          </cell>
          <cell r="O538" t="str">
            <v>06</v>
          </cell>
          <cell r="P538" t="str">
            <v>Buyak</v>
          </cell>
          <cell r="Q538" t="str">
            <v/>
          </cell>
          <cell r="R538" t="str">
            <v>MD</v>
          </cell>
          <cell r="S538">
            <v>50000</v>
          </cell>
          <cell r="T538" t="str">
            <v>HMO</v>
          </cell>
          <cell r="U538" t="str">
            <v>CFF6</v>
          </cell>
          <cell r="V538" t="str">
            <v/>
          </cell>
          <cell r="W538" t="str">
            <v/>
          </cell>
          <cell r="X538">
            <v>1</v>
          </cell>
        </row>
        <row r="539">
          <cell r="A539" t="str">
            <v>4S91</v>
          </cell>
          <cell r="B539" t="str">
            <v>Riverdale Baptist School</v>
          </cell>
          <cell r="C539" t="str">
            <v/>
          </cell>
          <cell r="D539" t="str">
            <v>Keefer</v>
          </cell>
          <cell r="E539" t="str">
            <v>Taylor</v>
          </cell>
          <cell r="F539" t="str">
            <v>09</v>
          </cell>
          <cell r="G539" t="str">
            <v>N</v>
          </cell>
          <cell r="H539" t="str">
            <v/>
          </cell>
          <cell r="I539" t="str">
            <v>N</v>
          </cell>
          <cell r="J539" t="str">
            <v>Rates</v>
          </cell>
          <cell r="K539" t="str">
            <v/>
          </cell>
          <cell r="L539" t="str">
            <v>Fully</v>
          </cell>
          <cell r="M539" t="str">
            <v>Chopper</v>
          </cell>
          <cell r="N539" t="str">
            <v>0</v>
          </cell>
          <cell r="O539" t="str">
            <v>05</v>
          </cell>
          <cell r="P539" t="str">
            <v/>
          </cell>
          <cell r="Q539" t="str">
            <v/>
          </cell>
          <cell r="R539" t="str">
            <v>MD</v>
          </cell>
          <cell r="S539">
            <v>50000</v>
          </cell>
          <cell r="T539" t="str">
            <v>PPO/HMO/OA</v>
          </cell>
          <cell r="U539" t="str">
            <v>BFF5/CFF5</v>
          </cell>
          <cell r="V539" t="str">
            <v/>
          </cell>
          <cell r="W539" t="str">
            <v/>
          </cell>
          <cell r="X539">
            <v>1</v>
          </cell>
        </row>
        <row r="540">
          <cell r="A540" t="str">
            <v>WV08</v>
          </cell>
          <cell r="B540" t="str">
            <v>Riverside Management Services</v>
          </cell>
          <cell r="C540" t="str">
            <v/>
          </cell>
          <cell r="D540" t="str">
            <v>McCourt</v>
          </cell>
          <cell r="E540" t="str">
            <v>Quade</v>
          </cell>
          <cell r="F540" t="str">
            <v>01</v>
          </cell>
          <cell r="G540" t="str">
            <v>N</v>
          </cell>
          <cell r="H540" t="str">
            <v>N</v>
          </cell>
          <cell r="I540" t="str">
            <v>N</v>
          </cell>
          <cell r="J540" t="str">
            <v>Rates</v>
          </cell>
          <cell r="K540" t="str">
            <v/>
          </cell>
          <cell r="L540" t="str">
            <v>Fully</v>
          </cell>
          <cell r="M540" t="str">
            <v>Dodds</v>
          </cell>
          <cell r="N540" t="str">
            <v>0</v>
          </cell>
          <cell r="O540" t="str">
            <v>09</v>
          </cell>
          <cell r="P540" t="str">
            <v/>
          </cell>
          <cell r="Q540" t="str">
            <v/>
          </cell>
          <cell r="R540" t="str">
            <v>MD</v>
          </cell>
          <cell r="S540">
            <v>50000</v>
          </cell>
          <cell r="T540" t="str">
            <v>HMO OA Rx</v>
          </cell>
          <cell r="U540" t="str">
            <v>CFF5</v>
          </cell>
          <cell r="V540" t="str">
            <v/>
          </cell>
          <cell r="W540" t="str">
            <v/>
          </cell>
          <cell r="X540">
            <v>1</v>
          </cell>
        </row>
        <row r="541">
          <cell r="A541" t="str">
            <v>MD12</v>
          </cell>
          <cell r="B541" t="str">
            <v>Rodgers Consulting, Inc</v>
          </cell>
          <cell r="C541" t="str">
            <v/>
          </cell>
          <cell r="D541" t="str">
            <v>McCourt</v>
          </cell>
          <cell r="E541" t="str">
            <v>Quade</v>
          </cell>
          <cell r="F541" t="str">
            <v>09</v>
          </cell>
          <cell r="G541" t="str">
            <v>N</v>
          </cell>
          <cell r="H541" t="str">
            <v/>
          </cell>
          <cell r="I541" t="str">
            <v>N</v>
          </cell>
          <cell r="J541" t="str">
            <v>Rates</v>
          </cell>
          <cell r="K541" t="str">
            <v/>
          </cell>
          <cell r="L541" t="str">
            <v>Fully</v>
          </cell>
          <cell r="M541" t="str">
            <v>Dodds</v>
          </cell>
          <cell r="N541" t="str">
            <v>0</v>
          </cell>
          <cell r="O541" t="str">
            <v>05</v>
          </cell>
          <cell r="P541" t="str">
            <v>Slack</v>
          </cell>
          <cell r="Q541" t="str">
            <v/>
          </cell>
          <cell r="R541" t="str">
            <v>MD</v>
          </cell>
          <cell r="S541">
            <v>50000</v>
          </cell>
          <cell r="T541" t="str">
            <v>ADV</v>
          </cell>
          <cell r="U541" t="str">
            <v>CFF5</v>
          </cell>
          <cell r="V541" t="str">
            <v/>
          </cell>
          <cell r="W541" t="str">
            <v/>
          </cell>
          <cell r="X541">
            <v>1</v>
          </cell>
        </row>
        <row r="542">
          <cell r="A542" t="str">
            <v>7G58</v>
          </cell>
          <cell r="B542" t="str">
            <v>Rosemount</v>
          </cell>
          <cell r="C542" t="str">
            <v/>
          </cell>
          <cell r="D542" t="str">
            <v>Keefer</v>
          </cell>
          <cell r="E542" t="str">
            <v>Taylor</v>
          </cell>
          <cell r="F542" t="str">
            <v>08</v>
          </cell>
          <cell r="G542" t="str">
            <v>N</v>
          </cell>
          <cell r="H542" t="str">
            <v>N</v>
          </cell>
          <cell r="I542" t="str">
            <v>N</v>
          </cell>
          <cell r="J542" t="str">
            <v>Rates</v>
          </cell>
          <cell r="K542" t="str">
            <v/>
          </cell>
          <cell r="L542" t="str">
            <v>Fully</v>
          </cell>
          <cell r="M542" t="str">
            <v>Wise</v>
          </cell>
          <cell r="N542" t="str">
            <v>0</v>
          </cell>
          <cell r="O542" t="str">
            <v>04</v>
          </cell>
          <cell r="P542" t="str">
            <v>LaTouche</v>
          </cell>
          <cell r="Q542" t="str">
            <v/>
          </cell>
          <cell r="R542" t="str">
            <v>DC</v>
          </cell>
          <cell r="S542">
            <v>50000</v>
          </cell>
          <cell r="T542" t="str">
            <v>HMO POS PPO</v>
          </cell>
          <cell r="U542" t="str">
            <v>BFF5/CFF5</v>
          </cell>
          <cell r="V542" t="str">
            <v>Y</v>
          </cell>
          <cell r="W542" t="str">
            <v>8/1/2002</v>
          </cell>
          <cell r="X542">
            <v>1</v>
          </cell>
        </row>
        <row r="543">
          <cell r="A543" t="str">
            <v>7G94</v>
          </cell>
          <cell r="B543" t="str">
            <v>Rosenthal Automotive</v>
          </cell>
          <cell r="C543" t="str">
            <v/>
          </cell>
          <cell r="D543" t="str">
            <v>McCourt</v>
          </cell>
          <cell r="E543" t="str">
            <v>Quade</v>
          </cell>
          <cell r="F543" t="str">
            <v>05</v>
          </cell>
          <cell r="G543" t="str">
            <v>N</v>
          </cell>
          <cell r="H543" t="str">
            <v>N</v>
          </cell>
          <cell r="I543" t="str">
            <v>N</v>
          </cell>
          <cell r="J543" t="str">
            <v>Rates</v>
          </cell>
          <cell r="K543" t="str">
            <v/>
          </cell>
          <cell r="L543" t="str">
            <v>Fully</v>
          </cell>
          <cell r="M543" t="str">
            <v>Jordan</v>
          </cell>
          <cell r="N543" t="str">
            <v/>
          </cell>
          <cell r="O543" t="str">
            <v>01</v>
          </cell>
          <cell r="P543" t="str">
            <v/>
          </cell>
          <cell r="Q543" t="str">
            <v/>
          </cell>
          <cell r="R543" t="str">
            <v>VA</v>
          </cell>
          <cell r="S543">
            <v>100000</v>
          </cell>
          <cell r="T543" t="str">
            <v>HMO/PPO/OA Rx</v>
          </cell>
          <cell r="U543" t="str">
            <v>BFF7/CFF7</v>
          </cell>
          <cell r="V543" t="str">
            <v>Y</v>
          </cell>
          <cell r="W543" t="str">
            <v>5/1/2003</v>
          </cell>
          <cell r="X543">
            <v>1</v>
          </cell>
        </row>
        <row r="544">
          <cell r="A544" t="str">
            <v>6F13</v>
          </cell>
          <cell r="B544" t="str">
            <v xml:space="preserve">S P Systems, Inc                                  </v>
          </cell>
          <cell r="C544" t="str">
            <v/>
          </cell>
          <cell r="D544" t="str">
            <v>Keefer</v>
          </cell>
          <cell r="E544" t="str">
            <v>LaTouche</v>
          </cell>
          <cell r="F544" t="str">
            <v>12</v>
          </cell>
          <cell r="G544" t="str">
            <v>N</v>
          </cell>
          <cell r="H544" t="str">
            <v/>
          </cell>
          <cell r="I544" t="str">
            <v>N</v>
          </cell>
          <cell r="J544" t="str">
            <v>Rates</v>
          </cell>
          <cell r="K544" t="str">
            <v/>
          </cell>
          <cell r="L544" t="str">
            <v>Fully</v>
          </cell>
          <cell r="M544" t="str">
            <v>Dodds</v>
          </cell>
          <cell r="N544" t="str">
            <v/>
          </cell>
          <cell r="O544" t="str">
            <v>08</v>
          </cell>
          <cell r="P544" t="str">
            <v>LaTouche</v>
          </cell>
          <cell r="Q544" t="str">
            <v/>
          </cell>
          <cell r="R544" t="str">
            <v>MD</v>
          </cell>
          <cell r="S544">
            <v>50000</v>
          </cell>
          <cell r="T544" t="str">
            <v>PPO/OA/HMO</v>
          </cell>
          <cell r="U544" t="str">
            <v>BFF5/CFF5</v>
          </cell>
          <cell r="V544" t="str">
            <v/>
          </cell>
          <cell r="W544" t="str">
            <v/>
          </cell>
          <cell r="X544">
            <v>1</v>
          </cell>
        </row>
        <row r="545">
          <cell r="A545" t="str">
            <v>7L32</v>
          </cell>
          <cell r="B545" t="str">
            <v xml:space="preserve">S. Freedman &amp; Sons, Inc                           </v>
          </cell>
          <cell r="C545" t="str">
            <v/>
          </cell>
          <cell r="D545" t="str">
            <v>McCourt</v>
          </cell>
          <cell r="E545" t="str">
            <v>Mugo</v>
          </cell>
          <cell r="F545" t="str">
            <v>01</v>
          </cell>
          <cell r="G545" t="str">
            <v>N</v>
          </cell>
          <cell r="H545" t="str">
            <v/>
          </cell>
          <cell r="I545" t="str">
            <v>N</v>
          </cell>
          <cell r="J545" t="str">
            <v>Rates</v>
          </cell>
          <cell r="K545" t="str">
            <v/>
          </cell>
          <cell r="L545" t="str">
            <v>Fully</v>
          </cell>
          <cell r="M545" t="str">
            <v>Grabarek</v>
          </cell>
          <cell r="N545" t="str">
            <v/>
          </cell>
          <cell r="O545" t="str">
            <v>09</v>
          </cell>
          <cell r="P545" t="str">
            <v/>
          </cell>
          <cell r="Q545" t="str">
            <v/>
          </cell>
          <cell r="R545" t="str">
            <v>MD</v>
          </cell>
          <cell r="S545">
            <v>0</v>
          </cell>
          <cell r="T545" t="str">
            <v>Dental only</v>
          </cell>
          <cell r="U545" t="str">
            <v>BFF5</v>
          </cell>
          <cell r="V545" t="str">
            <v>Y</v>
          </cell>
          <cell r="W545" t="str">
            <v>1/1/2005</v>
          </cell>
          <cell r="X545">
            <v>1</v>
          </cell>
        </row>
        <row r="546">
          <cell r="A546" t="str">
            <v>07GX</v>
          </cell>
          <cell r="B546" t="str">
            <v>Safemasters Co., Inc.</v>
          </cell>
          <cell r="C546" t="str">
            <v/>
          </cell>
          <cell r="D546" t="str">
            <v>Keefer</v>
          </cell>
          <cell r="E546" t="str">
            <v>LaTouche</v>
          </cell>
          <cell r="F546" t="str">
            <v>11</v>
          </cell>
          <cell r="G546" t="str">
            <v>N</v>
          </cell>
          <cell r="H546" t="str">
            <v/>
          </cell>
          <cell r="I546" t="str">
            <v>N</v>
          </cell>
          <cell r="J546" t="str">
            <v>Rates</v>
          </cell>
          <cell r="K546" t="str">
            <v/>
          </cell>
          <cell r="L546" t="str">
            <v>Fully</v>
          </cell>
          <cell r="M546" t="str">
            <v/>
          </cell>
          <cell r="N546" t="str">
            <v/>
          </cell>
          <cell r="O546" t="str">
            <v>07</v>
          </cell>
          <cell r="P546" t="str">
            <v>LaTouche</v>
          </cell>
          <cell r="Q546" t="str">
            <v/>
          </cell>
          <cell r="R546" t="str">
            <v>MD</v>
          </cell>
          <cell r="S546">
            <v>50000</v>
          </cell>
          <cell r="T546" t="str">
            <v>PPO</v>
          </cell>
          <cell r="U546" t="str">
            <v>BFF5</v>
          </cell>
          <cell r="V546" t="str">
            <v/>
          </cell>
          <cell r="W546" t="str">
            <v/>
          </cell>
          <cell r="X546">
            <v>1</v>
          </cell>
        </row>
        <row r="547">
          <cell r="A547" t="str">
            <v>UP20</v>
          </cell>
          <cell r="B547" t="str">
            <v>SAMBA</v>
          </cell>
          <cell r="C547" t="str">
            <v/>
          </cell>
          <cell r="D547" t="str">
            <v>Keefer</v>
          </cell>
          <cell r="E547" t="str">
            <v>Johnson</v>
          </cell>
          <cell r="F547" t="str">
            <v>01</v>
          </cell>
          <cell r="G547" t="str">
            <v/>
          </cell>
          <cell r="H547" t="str">
            <v/>
          </cell>
          <cell r="I547" t="str">
            <v/>
          </cell>
          <cell r="J547" t="str">
            <v>CPC Mo</v>
          </cell>
          <cell r="K547" t="str">
            <v>WW</v>
          </cell>
          <cell r="L547" t="str">
            <v>ASO</v>
          </cell>
          <cell r="M547" t="str">
            <v>Bradshaw</v>
          </cell>
          <cell r="N547" t="str">
            <v>3</v>
          </cell>
          <cell r="O547" t="str">
            <v>04</v>
          </cell>
          <cell r="P547" t="str">
            <v>LaTouche</v>
          </cell>
          <cell r="Q547" t="str">
            <v>Alves</v>
          </cell>
          <cell r="R547" t="str">
            <v>MD</v>
          </cell>
          <cell r="S547">
            <v>50000</v>
          </cell>
          <cell r="T547" t="str">
            <v>PPO</v>
          </cell>
          <cell r="U547" t="str">
            <v>BAD8</v>
          </cell>
          <cell r="V547" t="str">
            <v/>
          </cell>
          <cell r="W547" t="str">
            <v/>
          </cell>
          <cell r="X547">
            <v>1</v>
          </cell>
        </row>
        <row r="548">
          <cell r="A548" t="str">
            <v>1A96</v>
          </cell>
          <cell r="B548" t="str">
            <v>Scott Management</v>
          </cell>
          <cell r="C548" t="str">
            <v/>
          </cell>
          <cell r="D548" t="str">
            <v>Keefer</v>
          </cell>
          <cell r="E548" t="str">
            <v>LaTouche</v>
          </cell>
          <cell r="F548" t="str">
            <v>10</v>
          </cell>
          <cell r="G548" t="str">
            <v>N</v>
          </cell>
          <cell r="H548" t="str">
            <v>N</v>
          </cell>
          <cell r="I548" t="str">
            <v>N</v>
          </cell>
          <cell r="J548" t="str">
            <v>Rates</v>
          </cell>
          <cell r="K548" t="str">
            <v/>
          </cell>
          <cell r="L548" t="str">
            <v>Fully</v>
          </cell>
          <cell r="M548" t="str">
            <v>Henton-Davis</v>
          </cell>
          <cell r="N548" t="str">
            <v/>
          </cell>
          <cell r="O548" t="str">
            <v>06</v>
          </cell>
          <cell r="P548" t="str">
            <v>LaTouche</v>
          </cell>
          <cell r="Q548" t="str">
            <v/>
          </cell>
          <cell r="R548" t="str">
            <v>VA</v>
          </cell>
          <cell r="S548">
            <v>50000</v>
          </cell>
          <cell r="T548" t="str">
            <v>POS</v>
          </cell>
          <cell r="U548" t="str">
            <v>CFF5</v>
          </cell>
          <cell r="V548" t="str">
            <v/>
          </cell>
          <cell r="W548" t="str">
            <v/>
          </cell>
          <cell r="X548">
            <v>1</v>
          </cell>
        </row>
        <row r="549">
          <cell r="A549" t="str">
            <v>06R0</v>
          </cell>
          <cell r="B549" t="str">
            <v>Seasonair, Inc.</v>
          </cell>
          <cell r="C549" t="str">
            <v/>
          </cell>
          <cell r="D549" t="str">
            <v>Keefer</v>
          </cell>
          <cell r="E549" t="str">
            <v>LaTouche</v>
          </cell>
          <cell r="F549" t="str">
            <v>01</v>
          </cell>
          <cell r="G549" t="str">
            <v>N</v>
          </cell>
          <cell r="H549" t="str">
            <v/>
          </cell>
          <cell r="I549" t="str">
            <v>N</v>
          </cell>
          <cell r="J549" t="str">
            <v>Rates</v>
          </cell>
          <cell r="K549" t="str">
            <v/>
          </cell>
          <cell r="L549" t="str">
            <v>Fully</v>
          </cell>
          <cell r="M549" t="str">
            <v>Rand</v>
          </cell>
          <cell r="N549" t="str">
            <v/>
          </cell>
          <cell r="O549" t="str">
            <v>09</v>
          </cell>
          <cell r="P549" t="str">
            <v>LaTouche</v>
          </cell>
          <cell r="Q549" t="str">
            <v/>
          </cell>
          <cell r="R549" t="str">
            <v>MD</v>
          </cell>
          <cell r="S549">
            <v>50000</v>
          </cell>
          <cell r="T549" t="str">
            <v>HMO/OA</v>
          </cell>
          <cell r="U549" t="str">
            <v>CFF5</v>
          </cell>
          <cell r="V549" t="str">
            <v>Y</v>
          </cell>
          <cell r="W549" t="str">
            <v>1/1/2005</v>
          </cell>
          <cell r="X549">
            <v>1</v>
          </cell>
        </row>
        <row r="550">
          <cell r="A550" t="str">
            <v>X590</v>
          </cell>
          <cell r="B550" t="str">
            <v>Secret Service</v>
          </cell>
          <cell r="C550" t="str">
            <v/>
          </cell>
          <cell r="D550" t="str">
            <v>Keefer</v>
          </cell>
          <cell r="E550" t="str">
            <v>Johnson</v>
          </cell>
          <cell r="F550" t="str">
            <v>01</v>
          </cell>
          <cell r="G550" t="str">
            <v>N</v>
          </cell>
          <cell r="H550" t="str">
            <v>N</v>
          </cell>
          <cell r="I550" t="str">
            <v>N</v>
          </cell>
          <cell r="J550" t="str">
            <v>CPC Ra</v>
          </cell>
          <cell r="K550" t="str">
            <v/>
          </cell>
          <cell r="L550" t="str">
            <v>ASO</v>
          </cell>
          <cell r="M550" t="str">
            <v>Dunn</v>
          </cell>
          <cell r="N550" t="str">
            <v>0</v>
          </cell>
          <cell r="O550" t="str">
            <v>05</v>
          </cell>
          <cell r="P550" t="str">
            <v>Thacker</v>
          </cell>
          <cell r="Q550" t="str">
            <v/>
          </cell>
          <cell r="R550" t="str">
            <v>DC</v>
          </cell>
          <cell r="S550" t="str">
            <v/>
          </cell>
          <cell r="T550" t="str">
            <v>Indem</v>
          </cell>
          <cell r="U550" t="str">
            <v>BAD8</v>
          </cell>
          <cell r="V550" t="str">
            <v/>
          </cell>
          <cell r="W550" t="str">
            <v/>
          </cell>
          <cell r="X550">
            <v>1</v>
          </cell>
        </row>
        <row r="551">
          <cell r="A551" t="str">
            <v>0C9J</v>
          </cell>
          <cell r="B551" t="str">
            <v>Security Vault Works</v>
          </cell>
          <cell r="C551" t="str">
            <v/>
          </cell>
          <cell r="D551" t="str">
            <v>Keefer</v>
          </cell>
          <cell r="E551" t="str">
            <v>Taylor</v>
          </cell>
          <cell r="F551" t="str">
            <v>01</v>
          </cell>
          <cell r="G551" t="str">
            <v/>
          </cell>
          <cell r="H551" t="str">
            <v/>
          </cell>
          <cell r="I551" t="str">
            <v/>
          </cell>
          <cell r="J551" t="str">
            <v/>
          </cell>
          <cell r="K551" t="str">
            <v/>
          </cell>
          <cell r="L551" t="str">
            <v>Fully</v>
          </cell>
          <cell r="M551" t="str">
            <v>Flora</v>
          </cell>
          <cell r="N551" t="str">
            <v/>
          </cell>
          <cell r="O551" t="str">
            <v>09</v>
          </cell>
          <cell r="P551" t="str">
            <v/>
          </cell>
          <cell r="Q551" t="str">
            <v/>
          </cell>
          <cell r="R551" t="str">
            <v>MD</v>
          </cell>
          <cell r="S551">
            <v>50000</v>
          </cell>
          <cell r="T551" t="str">
            <v>PPO Rx</v>
          </cell>
          <cell r="U551" t="str">
            <v>BFF5</v>
          </cell>
          <cell r="V551" t="str">
            <v>Y</v>
          </cell>
          <cell r="W551" t="str">
            <v>1/1/2005</v>
          </cell>
          <cell r="X551">
            <v>1</v>
          </cell>
        </row>
        <row r="552">
          <cell r="A552" t="str">
            <v>0C9L</v>
          </cell>
          <cell r="B552" t="str">
            <v>SEEC</v>
          </cell>
          <cell r="C552" t="str">
            <v/>
          </cell>
          <cell r="D552" t="str">
            <v>Keefer</v>
          </cell>
          <cell r="E552" t="str">
            <v>Newman</v>
          </cell>
          <cell r="F552" t="str">
            <v>12</v>
          </cell>
          <cell r="G552" t="str">
            <v>N</v>
          </cell>
          <cell r="H552" t="str">
            <v>N</v>
          </cell>
          <cell r="I552" t="str">
            <v>N</v>
          </cell>
          <cell r="J552" t="str">
            <v>Rates</v>
          </cell>
          <cell r="K552" t="str">
            <v/>
          </cell>
          <cell r="L552" t="str">
            <v>Fully</v>
          </cell>
          <cell r="M552" t="str">
            <v>Cosby</v>
          </cell>
          <cell r="N552" t="str">
            <v/>
          </cell>
          <cell r="O552" t="str">
            <v>08</v>
          </cell>
          <cell r="P552" t="str">
            <v/>
          </cell>
          <cell r="Q552" t="str">
            <v/>
          </cell>
          <cell r="R552" t="str">
            <v>MD</v>
          </cell>
          <cell r="S552">
            <v>50000</v>
          </cell>
          <cell r="T552" t="str">
            <v>HMO/PPO/Rx/De</v>
          </cell>
          <cell r="U552" t="str">
            <v>CFF5/BFF5</v>
          </cell>
          <cell r="V552" t="str">
            <v>Y</v>
          </cell>
          <cell r="W552" t="str">
            <v>12/1/2004</v>
          </cell>
          <cell r="X552">
            <v>1</v>
          </cell>
        </row>
        <row r="553">
          <cell r="A553" t="str">
            <v>TK91</v>
          </cell>
          <cell r="B553" t="str">
            <v>Seed Public Charter School of Washington DC (The)</v>
          </cell>
          <cell r="C553" t="str">
            <v/>
          </cell>
          <cell r="D553" t="str">
            <v>McCourt</v>
          </cell>
          <cell r="E553" t="str">
            <v>Slack</v>
          </cell>
          <cell r="F553" t="str">
            <v>07</v>
          </cell>
          <cell r="G553" t="str">
            <v>N</v>
          </cell>
          <cell r="H553" t="str">
            <v/>
          </cell>
          <cell r="I553" t="str">
            <v>N</v>
          </cell>
          <cell r="J553" t="str">
            <v>Rates</v>
          </cell>
          <cell r="K553" t="str">
            <v/>
          </cell>
          <cell r="L553" t="str">
            <v>Fully</v>
          </cell>
          <cell r="M553" t="str">
            <v>Henton-Davis</v>
          </cell>
          <cell r="N553" t="str">
            <v/>
          </cell>
          <cell r="O553" t="str">
            <v>03</v>
          </cell>
          <cell r="P553" t="str">
            <v>Slack</v>
          </cell>
          <cell r="Q553" t="str">
            <v/>
          </cell>
          <cell r="R553" t="str">
            <v>DC</v>
          </cell>
          <cell r="S553">
            <v>50000</v>
          </cell>
          <cell r="T553" t="str">
            <v>PPO/HMO</v>
          </cell>
          <cell r="U553" t="str">
            <v>BFF5</v>
          </cell>
          <cell r="V553" t="str">
            <v/>
          </cell>
          <cell r="W553" t="str">
            <v/>
          </cell>
          <cell r="X553">
            <v>1</v>
          </cell>
        </row>
        <row r="554">
          <cell r="A554" t="str">
            <v>7G54</v>
          </cell>
          <cell r="B554" t="str">
            <v>Senior Service America, Inc.</v>
          </cell>
          <cell r="C554" t="str">
            <v/>
          </cell>
          <cell r="D554" t="str">
            <v>Keefer</v>
          </cell>
          <cell r="E554" t="str">
            <v>Newman</v>
          </cell>
          <cell r="F554" t="str">
            <v>07</v>
          </cell>
          <cell r="G554" t="str">
            <v>N</v>
          </cell>
          <cell r="H554" t="str">
            <v>N</v>
          </cell>
          <cell r="I554" t="str">
            <v>N</v>
          </cell>
          <cell r="J554" t="str">
            <v>Rates</v>
          </cell>
          <cell r="K554" t="str">
            <v/>
          </cell>
          <cell r="L554" t="str">
            <v>Fully</v>
          </cell>
          <cell r="M554" t="str">
            <v>Savoca</v>
          </cell>
          <cell r="N554" t="str">
            <v/>
          </cell>
          <cell r="O554" t="str">
            <v>03</v>
          </cell>
          <cell r="P554" t="str">
            <v>King, R.</v>
          </cell>
          <cell r="Q554" t="str">
            <v/>
          </cell>
          <cell r="R554" t="str">
            <v>MD</v>
          </cell>
          <cell r="S554">
            <v>50000</v>
          </cell>
          <cell r="T554" t="str">
            <v>PPO/HMO/POS</v>
          </cell>
          <cell r="U554" t="str">
            <v>BFF5/CFF5</v>
          </cell>
          <cell r="V554" t="str">
            <v>Y</v>
          </cell>
          <cell r="W554" t="str">
            <v>7/1/2002</v>
          </cell>
          <cell r="X554">
            <v>1</v>
          </cell>
        </row>
        <row r="555">
          <cell r="A555" t="str">
            <v>7G89</v>
          </cell>
          <cell r="B555" t="str">
            <v>Sentito Networks, Inc</v>
          </cell>
          <cell r="C555" t="str">
            <v/>
          </cell>
          <cell r="D555" t="str">
            <v>McCourt</v>
          </cell>
          <cell r="E555" t="str">
            <v>Slack</v>
          </cell>
          <cell r="F555" t="str">
            <v>04</v>
          </cell>
          <cell r="G555" t="str">
            <v>N</v>
          </cell>
          <cell r="H555" t="str">
            <v/>
          </cell>
          <cell r="I555" t="str">
            <v>N</v>
          </cell>
          <cell r="J555" t="str">
            <v>Rates</v>
          </cell>
          <cell r="K555" t="str">
            <v/>
          </cell>
          <cell r="L555" t="str">
            <v>Fully</v>
          </cell>
          <cell r="M555" t="str">
            <v>Henton-Davis</v>
          </cell>
          <cell r="N555" t="str">
            <v/>
          </cell>
          <cell r="O555" t="str">
            <v>12</v>
          </cell>
          <cell r="P555" t="str">
            <v>Slack</v>
          </cell>
          <cell r="Q555" t="str">
            <v/>
          </cell>
          <cell r="R555" t="str">
            <v>MD</v>
          </cell>
          <cell r="S555">
            <v>50000</v>
          </cell>
          <cell r="T555" t="str">
            <v>PPO, RX</v>
          </cell>
          <cell r="U555" t="str">
            <v>BFF6</v>
          </cell>
          <cell r="V555" t="str">
            <v>Y</v>
          </cell>
          <cell r="W555" t="str">
            <v>4/1/2003</v>
          </cell>
          <cell r="X555">
            <v>1</v>
          </cell>
        </row>
        <row r="556">
          <cell r="A556" t="str">
            <v>U240</v>
          </cell>
          <cell r="B556" t="str">
            <v>Shakespeare Theatre (The)</v>
          </cell>
          <cell r="C556" t="str">
            <v/>
          </cell>
          <cell r="D556" t="str">
            <v>McCourt</v>
          </cell>
          <cell r="E556" t="str">
            <v>Quade</v>
          </cell>
          <cell r="F556" t="str">
            <v>08</v>
          </cell>
          <cell r="G556" t="str">
            <v>N</v>
          </cell>
          <cell r="H556" t="str">
            <v>N</v>
          </cell>
          <cell r="I556" t="str">
            <v>N</v>
          </cell>
          <cell r="J556" t="str">
            <v>Rates</v>
          </cell>
          <cell r="K556" t="str">
            <v/>
          </cell>
          <cell r="L556" t="str">
            <v>Fully</v>
          </cell>
          <cell r="M556" t="str">
            <v>Swears</v>
          </cell>
          <cell r="N556" t="str">
            <v>0</v>
          </cell>
          <cell r="O556" t="str">
            <v>04</v>
          </cell>
          <cell r="P556" t="str">
            <v>Buyak</v>
          </cell>
          <cell r="Q556" t="str">
            <v/>
          </cell>
          <cell r="R556" t="str">
            <v>DC</v>
          </cell>
          <cell r="S556">
            <v>50000</v>
          </cell>
          <cell r="T556" t="str">
            <v>POS/PPO/HMO Rx D</v>
          </cell>
          <cell r="U556" t="str">
            <v>BFF5/CFF5</v>
          </cell>
          <cell r="V556" t="str">
            <v/>
          </cell>
          <cell r="W556" t="str">
            <v/>
          </cell>
          <cell r="X556">
            <v>1</v>
          </cell>
        </row>
        <row r="557">
          <cell r="A557" t="str">
            <v>WD85</v>
          </cell>
          <cell r="B557" t="str">
            <v xml:space="preserve">Share Our Strength                                </v>
          </cell>
          <cell r="C557" t="str">
            <v/>
          </cell>
          <cell r="D557" t="str">
            <v>Keefer</v>
          </cell>
          <cell r="E557" t="str">
            <v>Padrutt</v>
          </cell>
          <cell r="F557" t="str">
            <v>12</v>
          </cell>
          <cell r="G557" t="str">
            <v>N</v>
          </cell>
          <cell r="H557" t="str">
            <v/>
          </cell>
          <cell r="I557" t="str">
            <v>N</v>
          </cell>
          <cell r="J557" t="str">
            <v>Rates</v>
          </cell>
          <cell r="K557" t="str">
            <v/>
          </cell>
          <cell r="L557" t="str">
            <v>Fully</v>
          </cell>
          <cell r="M557" t="str">
            <v>Henton-Davis</v>
          </cell>
          <cell r="N557" t="str">
            <v/>
          </cell>
          <cell r="O557" t="str">
            <v>08</v>
          </cell>
          <cell r="P557" t="str">
            <v>Padrutt</v>
          </cell>
          <cell r="Q557" t="str">
            <v/>
          </cell>
          <cell r="R557" t="str">
            <v>DC</v>
          </cell>
          <cell r="S557">
            <v>50000</v>
          </cell>
          <cell r="T557" t="str">
            <v>PPO HMO OA</v>
          </cell>
          <cell r="U557" t="str">
            <v>BFF5/CFF5</v>
          </cell>
          <cell r="V557" t="str">
            <v/>
          </cell>
          <cell r="W557" t="str">
            <v/>
          </cell>
          <cell r="X557">
            <v>1</v>
          </cell>
        </row>
        <row r="558">
          <cell r="A558" t="str">
            <v>0Y02</v>
          </cell>
          <cell r="B558" t="str">
            <v>Sheet Metal Workers</v>
          </cell>
          <cell r="C558" t="str">
            <v/>
          </cell>
          <cell r="D558" t="str">
            <v>Keefer</v>
          </cell>
          <cell r="E558" t="str">
            <v>Anderson</v>
          </cell>
          <cell r="F558" t="str">
            <v>01</v>
          </cell>
          <cell r="G558" t="str">
            <v>Y</v>
          </cell>
          <cell r="H558" t="str">
            <v/>
          </cell>
          <cell r="I558" t="str">
            <v>N</v>
          </cell>
          <cell r="J558" t="str">
            <v>CPC Ra</v>
          </cell>
          <cell r="K558" t="str">
            <v/>
          </cell>
          <cell r="L558" t="str">
            <v>100%</v>
          </cell>
          <cell r="M558" t="str">
            <v>Yocum</v>
          </cell>
          <cell r="N558" t="str">
            <v>6</v>
          </cell>
          <cell r="O558" t="str">
            <v>08</v>
          </cell>
          <cell r="P558" t="str">
            <v>Ryan</v>
          </cell>
          <cell r="Q558" t="str">
            <v>Anderson</v>
          </cell>
          <cell r="R558" t="str">
            <v>DC</v>
          </cell>
          <cell r="S558">
            <v>100000</v>
          </cell>
          <cell r="T558" t="str">
            <v>PPO/IND</v>
          </cell>
          <cell r="U558" t="str">
            <v>BBB7</v>
          </cell>
          <cell r="V558" t="str">
            <v/>
          </cell>
          <cell r="W558" t="str">
            <v/>
          </cell>
          <cell r="X558">
            <v>1</v>
          </cell>
        </row>
        <row r="559">
          <cell r="A559" t="str">
            <v>PD84</v>
          </cell>
          <cell r="B559" t="str">
            <v>Shreves, Keegan &amp; Schudel, P.C.</v>
          </cell>
          <cell r="C559" t="str">
            <v/>
          </cell>
          <cell r="D559" t="str">
            <v>McCourt</v>
          </cell>
          <cell r="E559" t="str">
            <v>Rutkowski</v>
          </cell>
          <cell r="F559" t="str">
            <v>07</v>
          </cell>
          <cell r="G559" t="str">
            <v>N</v>
          </cell>
          <cell r="H559" t="str">
            <v>N</v>
          </cell>
          <cell r="I559" t="str">
            <v>N</v>
          </cell>
          <cell r="J559" t="str">
            <v>Rates</v>
          </cell>
          <cell r="K559" t="str">
            <v/>
          </cell>
          <cell r="L559" t="str">
            <v>Fully</v>
          </cell>
          <cell r="M559" t="str">
            <v>Guessford-Kline</v>
          </cell>
          <cell r="N559" t="str">
            <v>0</v>
          </cell>
          <cell r="O559" t="str">
            <v>03</v>
          </cell>
          <cell r="P559" t="str">
            <v>Rutkowski</v>
          </cell>
          <cell r="Q559" t="str">
            <v/>
          </cell>
          <cell r="R559" t="str">
            <v>VA</v>
          </cell>
          <cell r="S559">
            <v>50000</v>
          </cell>
          <cell r="T559" t="str">
            <v>HMO/POS/PPO</v>
          </cell>
          <cell r="U559" t="str">
            <v>BFF5</v>
          </cell>
          <cell r="V559" t="str">
            <v/>
          </cell>
          <cell r="W559" t="str">
            <v/>
          </cell>
          <cell r="X559">
            <v>1</v>
          </cell>
        </row>
        <row r="560">
          <cell r="A560" t="str">
            <v>XK93</v>
          </cell>
          <cell r="B560" t="str">
            <v xml:space="preserve">SHS North America                                 </v>
          </cell>
          <cell r="C560" t="str">
            <v/>
          </cell>
          <cell r="D560" t="str">
            <v>Keefer</v>
          </cell>
          <cell r="E560" t="str">
            <v>Newman</v>
          </cell>
          <cell r="F560" t="str">
            <v>05</v>
          </cell>
          <cell r="G560" t="str">
            <v>N</v>
          </cell>
          <cell r="H560" t="str">
            <v>N</v>
          </cell>
          <cell r="I560" t="str">
            <v>N</v>
          </cell>
          <cell r="J560" t="str">
            <v>Rates</v>
          </cell>
          <cell r="K560" t="str">
            <v/>
          </cell>
          <cell r="L560" t="str">
            <v>Fully</v>
          </cell>
          <cell r="M560" t="str">
            <v>Henton-Davis</v>
          </cell>
          <cell r="N560" t="str">
            <v/>
          </cell>
          <cell r="O560" t="str">
            <v>01</v>
          </cell>
          <cell r="P560" t="str">
            <v/>
          </cell>
          <cell r="Q560" t="str">
            <v/>
          </cell>
          <cell r="R560" t="str">
            <v>MD</v>
          </cell>
          <cell r="S560">
            <v>50000</v>
          </cell>
          <cell r="T560" t="str">
            <v>PPO</v>
          </cell>
          <cell r="U560" t="str">
            <v>BFF5</v>
          </cell>
          <cell r="V560" t="str">
            <v/>
          </cell>
          <cell r="W560" t="str">
            <v/>
          </cell>
          <cell r="X560">
            <v>1</v>
          </cell>
        </row>
        <row r="561">
          <cell r="A561" t="str">
            <v>D702</v>
          </cell>
          <cell r="B561" t="str">
            <v>Sibley Memorial Hospital</v>
          </cell>
          <cell r="C561" t="str">
            <v/>
          </cell>
          <cell r="D561" t="str">
            <v>Keefer</v>
          </cell>
          <cell r="E561" t="str">
            <v>Johnson</v>
          </cell>
          <cell r="F561" t="str">
            <v>07</v>
          </cell>
          <cell r="G561" t="str">
            <v>N</v>
          </cell>
          <cell r="H561" t="str">
            <v>N</v>
          </cell>
          <cell r="I561" t="str">
            <v>N</v>
          </cell>
          <cell r="J561" t="str">
            <v>CPC Mo</v>
          </cell>
          <cell r="K561" t="str">
            <v>653,000</v>
          </cell>
          <cell r="L561" t="str">
            <v>120%</v>
          </cell>
          <cell r="M561" t="str">
            <v>Greenwell</v>
          </cell>
          <cell r="N561" t="str">
            <v>0</v>
          </cell>
          <cell r="O561" t="str">
            <v>03</v>
          </cell>
          <cell r="P561" t="str">
            <v>Keefer</v>
          </cell>
          <cell r="Q561" t="str">
            <v>Jacobs</v>
          </cell>
          <cell r="R561" t="str">
            <v>DC</v>
          </cell>
          <cell r="S561">
            <v>75000</v>
          </cell>
          <cell r="T561" t="str">
            <v>POS</v>
          </cell>
          <cell r="U561" t="str">
            <v>BAB8</v>
          </cell>
          <cell r="V561" t="str">
            <v/>
          </cell>
          <cell r="W561" t="str">
            <v/>
          </cell>
          <cell r="X561">
            <v>1</v>
          </cell>
        </row>
        <row r="562">
          <cell r="A562" t="str">
            <v>UB32</v>
          </cell>
          <cell r="B562" t="str">
            <v>Sidley, Austin, Brown &amp; Wood</v>
          </cell>
          <cell r="C562" t="str">
            <v/>
          </cell>
          <cell r="D562" t="str">
            <v>Keefer</v>
          </cell>
          <cell r="E562" t="str">
            <v>Newman</v>
          </cell>
          <cell r="F562" t="str">
            <v>01</v>
          </cell>
          <cell r="G562" t="str">
            <v>N</v>
          </cell>
          <cell r="H562" t="str">
            <v/>
          </cell>
          <cell r="I562" t="str">
            <v>N</v>
          </cell>
          <cell r="J562" t="str">
            <v>Rates</v>
          </cell>
          <cell r="K562" t="str">
            <v/>
          </cell>
          <cell r="L562" t="str">
            <v>Fully</v>
          </cell>
          <cell r="M562" t="str">
            <v>Savoca</v>
          </cell>
          <cell r="N562" t="str">
            <v/>
          </cell>
          <cell r="O562" t="str">
            <v>09</v>
          </cell>
          <cell r="P562" t="str">
            <v>Padrutt</v>
          </cell>
          <cell r="Q562" t="str">
            <v/>
          </cell>
          <cell r="R562" t="str">
            <v>DC</v>
          </cell>
          <cell r="S562">
            <v>50000</v>
          </cell>
          <cell r="T562" t="str">
            <v>HMO</v>
          </cell>
          <cell r="U562" t="str">
            <v>CFF5</v>
          </cell>
          <cell r="V562" t="str">
            <v/>
          </cell>
          <cell r="W562" t="str">
            <v/>
          </cell>
          <cell r="X562">
            <v>1</v>
          </cell>
        </row>
        <row r="563">
          <cell r="A563" t="str">
            <v>6J28</v>
          </cell>
          <cell r="B563" t="str">
            <v xml:space="preserve">Sidwell Friends Schools                           </v>
          </cell>
          <cell r="C563" t="str">
            <v/>
          </cell>
          <cell r="D563" t="str">
            <v>McCourt</v>
          </cell>
          <cell r="E563" t="str">
            <v>Slack</v>
          </cell>
          <cell r="F563" t="str">
            <v>12</v>
          </cell>
          <cell r="G563" t="str">
            <v>N</v>
          </cell>
          <cell r="H563" t="str">
            <v>N</v>
          </cell>
          <cell r="I563" t="str">
            <v>Y</v>
          </cell>
          <cell r="J563" t="str">
            <v>Rates</v>
          </cell>
          <cell r="K563" t="str">
            <v/>
          </cell>
          <cell r="L563" t="str">
            <v>Fully</v>
          </cell>
          <cell r="M563" t="str">
            <v>Henton-Davis</v>
          </cell>
          <cell r="N563" t="str">
            <v/>
          </cell>
          <cell r="O563" t="str">
            <v>08</v>
          </cell>
          <cell r="P563" t="str">
            <v>Slack</v>
          </cell>
          <cell r="Q563" t="str">
            <v/>
          </cell>
          <cell r="R563" t="str">
            <v>DC</v>
          </cell>
          <cell r="S563">
            <v>50000</v>
          </cell>
          <cell r="T563" t="str">
            <v>HMO/POS/PPO</v>
          </cell>
          <cell r="U563" t="str">
            <v>BFF6/CFF6</v>
          </cell>
          <cell r="V563" t="str">
            <v>Y</v>
          </cell>
          <cell r="W563" t="str">
            <v>2/1/2002</v>
          </cell>
          <cell r="X563">
            <v>1</v>
          </cell>
        </row>
        <row r="564">
          <cell r="A564" t="str">
            <v>6D66</v>
          </cell>
          <cell r="B564" t="str">
            <v xml:space="preserve">Sign Language Associates, Inc.                    </v>
          </cell>
          <cell r="C564" t="str">
            <v/>
          </cell>
          <cell r="D564" t="str">
            <v>Keefer</v>
          </cell>
          <cell r="E564" t="str">
            <v>Burba</v>
          </cell>
          <cell r="F564" t="str">
            <v>06</v>
          </cell>
          <cell r="G564" t="str">
            <v>N</v>
          </cell>
          <cell r="H564" t="str">
            <v/>
          </cell>
          <cell r="I564" t="str">
            <v>N</v>
          </cell>
          <cell r="J564" t="str">
            <v>Rates</v>
          </cell>
          <cell r="K564" t="str">
            <v/>
          </cell>
          <cell r="L564" t="str">
            <v>Fully</v>
          </cell>
          <cell r="M564" t="str">
            <v>Swears</v>
          </cell>
          <cell r="N564" t="str">
            <v/>
          </cell>
          <cell r="O564" t="str">
            <v>02</v>
          </cell>
          <cell r="P564" t="str">
            <v/>
          </cell>
          <cell r="Q564" t="str">
            <v/>
          </cell>
          <cell r="R564" t="str">
            <v>MD</v>
          </cell>
          <cell r="S564">
            <v>50000</v>
          </cell>
          <cell r="T564" t="str">
            <v>PPO/OA/HMO</v>
          </cell>
          <cell r="U564" t="str">
            <v>BFF5/CFF5</v>
          </cell>
          <cell r="V564" t="str">
            <v>Y</v>
          </cell>
          <cell r="W564" t="str">
            <v>6/1/2004</v>
          </cell>
          <cell r="X564">
            <v>1</v>
          </cell>
        </row>
        <row r="565">
          <cell r="A565" t="str">
            <v>PM24</v>
          </cell>
          <cell r="B565" t="str">
            <v xml:space="preserve">Simply Wireless, Inc.                             </v>
          </cell>
          <cell r="C565" t="str">
            <v/>
          </cell>
          <cell r="D565" t="str">
            <v>Keefer</v>
          </cell>
          <cell r="E565" t="str">
            <v>Anderson</v>
          </cell>
          <cell r="F565" t="str">
            <v>06</v>
          </cell>
          <cell r="G565" t="str">
            <v>N</v>
          </cell>
          <cell r="H565" t="str">
            <v/>
          </cell>
          <cell r="I565" t="str">
            <v>N</v>
          </cell>
          <cell r="J565" t="str">
            <v>Rates</v>
          </cell>
          <cell r="K565" t="str">
            <v/>
          </cell>
          <cell r="L565" t="str">
            <v>Fully</v>
          </cell>
          <cell r="M565" t="str">
            <v>Wise</v>
          </cell>
          <cell r="N565" t="str">
            <v/>
          </cell>
          <cell r="O565" t="str">
            <v>02</v>
          </cell>
          <cell r="P565" t="str">
            <v/>
          </cell>
          <cell r="Q565" t="str">
            <v/>
          </cell>
          <cell r="R565" t="str">
            <v>VA</v>
          </cell>
          <cell r="S565">
            <v>50000</v>
          </cell>
          <cell r="T565" t="str">
            <v>HMO OA PPO Rx D</v>
          </cell>
          <cell r="U565" t="str">
            <v>BFF5/CFF5</v>
          </cell>
          <cell r="V565" t="str">
            <v/>
          </cell>
          <cell r="W565" t="str">
            <v/>
          </cell>
          <cell r="X565">
            <v>1</v>
          </cell>
        </row>
        <row r="566">
          <cell r="A566" t="str">
            <v>MS56</v>
          </cell>
          <cell r="B566" t="str">
            <v>SMC Concrete Construction</v>
          </cell>
          <cell r="C566" t="str">
            <v/>
          </cell>
          <cell r="D566" t="str">
            <v>Keefer</v>
          </cell>
          <cell r="E566" t="str">
            <v>Padrutt</v>
          </cell>
          <cell r="F566" t="str">
            <v>02</v>
          </cell>
          <cell r="G566" t="str">
            <v>N</v>
          </cell>
          <cell r="H566" t="str">
            <v>N</v>
          </cell>
          <cell r="I566" t="str">
            <v>N</v>
          </cell>
          <cell r="J566" t="str">
            <v>Rates</v>
          </cell>
          <cell r="K566" t="str">
            <v/>
          </cell>
          <cell r="L566" t="str">
            <v>Fully</v>
          </cell>
          <cell r="M566" t="str">
            <v>Savoca</v>
          </cell>
          <cell r="N566" t="str">
            <v>0</v>
          </cell>
          <cell r="O566" t="str">
            <v>10</v>
          </cell>
          <cell r="P566" t="str">
            <v>Padrutt</v>
          </cell>
          <cell r="Q566" t="str">
            <v/>
          </cell>
          <cell r="R566" t="str">
            <v>VA</v>
          </cell>
          <cell r="S566">
            <v>50000</v>
          </cell>
          <cell r="T566" t="str">
            <v>POS/HMO/ADV</v>
          </cell>
          <cell r="U566" t="str">
            <v>BFF5/CFF5</v>
          </cell>
          <cell r="V566" t="str">
            <v/>
          </cell>
          <cell r="W566" t="str">
            <v/>
          </cell>
          <cell r="X566">
            <v>1</v>
          </cell>
        </row>
        <row r="567">
          <cell r="A567" t="str">
            <v>MP78</v>
          </cell>
          <cell r="B567" t="str">
            <v>Smithsonian Institution</v>
          </cell>
          <cell r="C567" t="str">
            <v/>
          </cell>
          <cell r="D567" t="str">
            <v>Keefer</v>
          </cell>
          <cell r="E567" t="str">
            <v>Anderson</v>
          </cell>
          <cell r="F567" t="str">
            <v>01</v>
          </cell>
          <cell r="G567" t="str">
            <v>N</v>
          </cell>
          <cell r="H567" t="str">
            <v/>
          </cell>
          <cell r="I567" t="str">
            <v>N</v>
          </cell>
          <cell r="J567" t="str">
            <v>Rates</v>
          </cell>
          <cell r="K567" t="str">
            <v/>
          </cell>
          <cell r="L567" t="str">
            <v>Fully</v>
          </cell>
          <cell r="M567" t="str">
            <v>Bradshaw</v>
          </cell>
          <cell r="N567" t="str">
            <v>0</v>
          </cell>
          <cell r="O567" t="str">
            <v>09</v>
          </cell>
          <cell r="P567" t="str">
            <v>Ryan</v>
          </cell>
          <cell r="Q567" t="str">
            <v/>
          </cell>
          <cell r="R567" t="str">
            <v>DC</v>
          </cell>
          <cell r="S567">
            <v>75000</v>
          </cell>
          <cell r="T567" t="str">
            <v>HMO Rx</v>
          </cell>
          <cell r="U567" t="str">
            <v>CFF7</v>
          </cell>
          <cell r="V567" t="str">
            <v/>
          </cell>
          <cell r="W567" t="str">
            <v/>
          </cell>
          <cell r="X567">
            <v>1</v>
          </cell>
        </row>
        <row r="568">
          <cell r="A568" t="str">
            <v>XY62</v>
          </cell>
          <cell r="B568" t="str">
            <v xml:space="preserve">SMS Direct, Inc                                   </v>
          </cell>
          <cell r="C568" t="str">
            <v/>
          </cell>
          <cell r="D568" t="str">
            <v>Keefer</v>
          </cell>
          <cell r="E568" t="str">
            <v>Newman</v>
          </cell>
          <cell r="F568" t="str">
            <v>09</v>
          </cell>
          <cell r="G568" t="str">
            <v>N</v>
          </cell>
          <cell r="H568" t="str">
            <v/>
          </cell>
          <cell r="I568" t="str">
            <v>N</v>
          </cell>
          <cell r="J568" t="str">
            <v>Rates</v>
          </cell>
          <cell r="K568" t="str">
            <v/>
          </cell>
          <cell r="L568" t="str">
            <v>Fully</v>
          </cell>
          <cell r="M568" t="str">
            <v>Henton-Davis</v>
          </cell>
          <cell r="N568" t="str">
            <v/>
          </cell>
          <cell r="O568" t="str">
            <v>05</v>
          </cell>
          <cell r="P568" t="str">
            <v/>
          </cell>
          <cell r="Q568" t="str">
            <v/>
          </cell>
          <cell r="R568" t="str">
            <v>VA</v>
          </cell>
          <cell r="S568">
            <v>50000</v>
          </cell>
          <cell r="T568" t="str">
            <v>POS/HMO</v>
          </cell>
          <cell r="U568" t="str">
            <v>BFF5/CFF5</v>
          </cell>
          <cell r="V568" t="str">
            <v/>
          </cell>
          <cell r="W568" t="str">
            <v/>
          </cell>
          <cell r="X568">
            <v>1</v>
          </cell>
        </row>
        <row r="569">
          <cell r="A569" t="str">
            <v>QR15</v>
          </cell>
          <cell r="B569" t="str">
            <v>Soil &amp; Land Use Technology</v>
          </cell>
          <cell r="C569" t="str">
            <v/>
          </cell>
          <cell r="D569" t="str">
            <v>Keefer</v>
          </cell>
          <cell r="E569" t="str">
            <v>Taylor</v>
          </cell>
          <cell r="F569" t="str">
            <v>02</v>
          </cell>
          <cell r="G569" t="str">
            <v>N</v>
          </cell>
          <cell r="H569" t="str">
            <v>N</v>
          </cell>
          <cell r="I569" t="str">
            <v>N</v>
          </cell>
          <cell r="J569" t="str">
            <v>Rates</v>
          </cell>
          <cell r="K569" t="str">
            <v/>
          </cell>
          <cell r="L569" t="str">
            <v>Fully</v>
          </cell>
          <cell r="M569" t="str">
            <v>Wise</v>
          </cell>
          <cell r="N569" t="str">
            <v/>
          </cell>
          <cell r="O569" t="str">
            <v>10</v>
          </cell>
          <cell r="P569" t="str">
            <v/>
          </cell>
          <cell r="Q569" t="str">
            <v/>
          </cell>
          <cell r="R569" t="str">
            <v>MD</v>
          </cell>
          <cell r="S569">
            <v>50000</v>
          </cell>
          <cell r="T569" t="str">
            <v>PPO HMO POS Rx</v>
          </cell>
          <cell r="U569" t="str">
            <v>BFF5/CFF5</v>
          </cell>
          <cell r="V569" t="str">
            <v>Y</v>
          </cell>
          <cell r="W569" t="str">
            <v>2/1/2004</v>
          </cell>
          <cell r="X569">
            <v>1</v>
          </cell>
        </row>
        <row r="570">
          <cell r="A570" t="str">
            <v>XX12</v>
          </cell>
          <cell r="B570" t="str">
            <v>Solipsys Corporations</v>
          </cell>
          <cell r="C570" t="str">
            <v/>
          </cell>
          <cell r="D570" t="str">
            <v>Keefer</v>
          </cell>
          <cell r="E570" t="str">
            <v>Johnson</v>
          </cell>
          <cell r="F570" t="str">
            <v>08</v>
          </cell>
          <cell r="G570" t="str">
            <v>N</v>
          </cell>
          <cell r="H570" t="str">
            <v/>
          </cell>
          <cell r="I570" t="str">
            <v>N</v>
          </cell>
          <cell r="J570" t="str">
            <v>Rates</v>
          </cell>
          <cell r="K570" t="str">
            <v/>
          </cell>
          <cell r="L570" t="str">
            <v>Fully</v>
          </cell>
          <cell r="M570" t="str">
            <v>Guessford-Kline</v>
          </cell>
          <cell r="N570" t="str">
            <v>0</v>
          </cell>
          <cell r="O570" t="str">
            <v>04</v>
          </cell>
          <cell r="P570" t="str">
            <v/>
          </cell>
          <cell r="Q570" t="str">
            <v/>
          </cell>
          <cell r="R570" t="str">
            <v>MD</v>
          </cell>
          <cell r="S570">
            <v>50000</v>
          </cell>
          <cell r="T570" t="str">
            <v>PPO/HMO/POS</v>
          </cell>
          <cell r="U570" t="str">
            <v>CFF5</v>
          </cell>
          <cell r="V570" t="str">
            <v/>
          </cell>
          <cell r="W570" t="str">
            <v/>
          </cell>
          <cell r="X570">
            <v>1</v>
          </cell>
        </row>
        <row r="571">
          <cell r="A571" t="str">
            <v>PK51</v>
          </cell>
          <cell r="B571" t="str">
            <v xml:space="preserve">Sonnenschein Nath &amp; Rosenthal                     </v>
          </cell>
          <cell r="C571" t="str">
            <v/>
          </cell>
          <cell r="D571" t="str">
            <v>Keefer</v>
          </cell>
          <cell r="E571" t="str">
            <v>LaTouche</v>
          </cell>
          <cell r="F571" t="str">
            <v>01</v>
          </cell>
          <cell r="G571" t="str">
            <v>N</v>
          </cell>
          <cell r="H571" t="str">
            <v/>
          </cell>
          <cell r="I571" t="str">
            <v>N</v>
          </cell>
          <cell r="J571" t="str">
            <v>Rates</v>
          </cell>
          <cell r="K571" t="str">
            <v/>
          </cell>
          <cell r="L571" t="str">
            <v>Fully</v>
          </cell>
          <cell r="M571" t="str">
            <v>Dodds</v>
          </cell>
          <cell r="N571" t="str">
            <v/>
          </cell>
          <cell r="O571" t="str">
            <v>09</v>
          </cell>
          <cell r="P571" t="str">
            <v>LaTouche</v>
          </cell>
          <cell r="Q571" t="str">
            <v/>
          </cell>
          <cell r="R571" t="str">
            <v>DC</v>
          </cell>
          <cell r="S571">
            <v>50000</v>
          </cell>
          <cell r="T571" t="str">
            <v>HMO</v>
          </cell>
          <cell r="U571" t="str">
            <v>CFF5</v>
          </cell>
          <cell r="V571" t="str">
            <v/>
          </cell>
          <cell r="W571" t="str">
            <v/>
          </cell>
          <cell r="X571">
            <v>1</v>
          </cell>
        </row>
        <row r="572">
          <cell r="A572" t="str">
            <v>WU32</v>
          </cell>
          <cell r="B572" t="str">
            <v xml:space="preserve">Southeast Academy of Scholastic Excellence        </v>
          </cell>
          <cell r="C572" t="str">
            <v/>
          </cell>
          <cell r="D572" t="str">
            <v>Keefer</v>
          </cell>
          <cell r="E572" t="str">
            <v>LaTouche</v>
          </cell>
          <cell r="F572" t="str">
            <v>02</v>
          </cell>
          <cell r="G572" t="str">
            <v>N</v>
          </cell>
          <cell r="H572" t="str">
            <v/>
          </cell>
          <cell r="I572" t="str">
            <v>N</v>
          </cell>
          <cell r="J572" t="str">
            <v>Rates</v>
          </cell>
          <cell r="K572" t="str">
            <v/>
          </cell>
          <cell r="L572" t="str">
            <v>Fully</v>
          </cell>
          <cell r="M572" t="str">
            <v>Henton-Davis</v>
          </cell>
          <cell r="N572" t="str">
            <v/>
          </cell>
          <cell r="O572" t="str">
            <v>10</v>
          </cell>
          <cell r="P572" t="str">
            <v>LaTouche</v>
          </cell>
          <cell r="Q572" t="str">
            <v/>
          </cell>
          <cell r="R572" t="str">
            <v>DC</v>
          </cell>
          <cell r="S572">
            <v>50000</v>
          </cell>
          <cell r="T572" t="str">
            <v>POS/HMO</v>
          </cell>
          <cell r="U572" t="str">
            <v>BFF5/CFF5</v>
          </cell>
          <cell r="V572" t="str">
            <v/>
          </cell>
          <cell r="W572" t="str">
            <v/>
          </cell>
          <cell r="X572">
            <v>1</v>
          </cell>
        </row>
        <row r="573">
          <cell r="A573" t="str">
            <v>NH58</v>
          </cell>
          <cell r="B573" t="str">
            <v xml:space="preserve">Southeastern University                           </v>
          </cell>
          <cell r="C573" t="str">
            <v/>
          </cell>
          <cell r="D573" t="str">
            <v>Keefer</v>
          </cell>
          <cell r="E573" t="str">
            <v>Johnson</v>
          </cell>
          <cell r="F573" t="str">
            <v>01</v>
          </cell>
          <cell r="G573" t="str">
            <v>N</v>
          </cell>
          <cell r="H573" t="str">
            <v/>
          </cell>
          <cell r="I573" t="str">
            <v>N</v>
          </cell>
          <cell r="J573" t="str">
            <v>Rates</v>
          </cell>
          <cell r="K573" t="str">
            <v/>
          </cell>
          <cell r="L573" t="str">
            <v>Fully</v>
          </cell>
          <cell r="M573" t="str">
            <v>Dodds</v>
          </cell>
          <cell r="N573" t="str">
            <v/>
          </cell>
          <cell r="O573" t="str">
            <v>09</v>
          </cell>
          <cell r="P573" t="str">
            <v/>
          </cell>
          <cell r="Q573" t="str">
            <v/>
          </cell>
          <cell r="R573" t="str">
            <v>DC</v>
          </cell>
          <cell r="S573">
            <v>50000</v>
          </cell>
          <cell r="T573" t="str">
            <v>Point of Sv</v>
          </cell>
          <cell r="U573" t="str">
            <v>CFF5</v>
          </cell>
          <cell r="V573" t="str">
            <v/>
          </cell>
          <cell r="W573" t="str">
            <v/>
          </cell>
          <cell r="X573">
            <v>1</v>
          </cell>
        </row>
        <row r="574">
          <cell r="A574" t="str">
            <v>TU39</v>
          </cell>
          <cell r="B574" t="str">
            <v xml:space="preserve">Spacelink International                           </v>
          </cell>
          <cell r="C574" t="str">
            <v/>
          </cell>
          <cell r="D574" t="str">
            <v>Keefer</v>
          </cell>
          <cell r="E574" t="str">
            <v>LaTouche</v>
          </cell>
          <cell r="F574" t="str">
            <v>11</v>
          </cell>
          <cell r="G574" t="str">
            <v>N</v>
          </cell>
          <cell r="H574" t="str">
            <v/>
          </cell>
          <cell r="I574" t="str">
            <v>N</v>
          </cell>
          <cell r="J574" t="str">
            <v>Rates</v>
          </cell>
          <cell r="K574" t="str">
            <v/>
          </cell>
          <cell r="L574" t="str">
            <v>Fully</v>
          </cell>
          <cell r="M574" t="str">
            <v>Savoca</v>
          </cell>
          <cell r="N574" t="str">
            <v/>
          </cell>
          <cell r="O574" t="str">
            <v>07</v>
          </cell>
          <cell r="P574" t="str">
            <v>LaTouche</v>
          </cell>
          <cell r="Q574" t="str">
            <v/>
          </cell>
          <cell r="R574" t="str">
            <v>DC</v>
          </cell>
          <cell r="S574">
            <v>50000</v>
          </cell>
          <cell r="T574" t="str">
            <v>PPO/HMO</v>
          </cell>
          <cell r="U574" t="str">
            <v>BFF5/CFF5</v>
          </cell>
          <cell r="V574" t="str">
            <v/>
          </cell>
          <cell r="W574" t="str">
            <v/>
          </cell>
          <cell r="X574">
            <v>1</v>
          </cell>
        </row>
        <row r="575">
          <cell r="A575" t="str">
            <v>06R1</v>
          </cell>
          <cell r="B575" t="str">
            <v>Sparks Personnel</v>
          </cell>
          <cell r="C575" t="str">
            <v/>
          </cell>
          <cell r="D575" t="str">
            <v>Keefer</v>
          </cell>
          <cell r="E575" t="str">
            <v>LaTouche</v>
          </cell>
          <cell r="F575" t="str">
            <v>01</v>
          </cell>
          <cell r="G575" t="str">
            <v>N</v>
          </cell>
          <cell r="H575" t="str">
            <v/>
          </cell>
          <cell r="I575" t="str">
            <v>N</v>
          </cell>
          <cell r="J575" t="str">
            <v>Rates</v>
          </cell>
          <cell r="K575" t="str">
            <v/>
          </cell>
          <cell r="L575" t="str">
            <v>Fully</v>
          </cell>
          <cell r="M575" t="str">
            <v>Rand</v>
          </cell>
          <cell r="N575" t="str">
            <v/>
          </cell>
          <cell r="O575" t="str">
            <v>09</v>
          </cell>
          <cell r="P575" t="str">
            <v>LaTouche</v>
          </cell>
          <cell r="Q575" t="str">
            <v/>
          </cell>
          <cell r="R575" t="str">
            <v>MD</v>
          </cell>
          <cell r="S575">
            <v>50000</v>
          </cell>
          <cell r="T575" t="str">
            <v>HMO/OA/POS</v>
          </cell>
          <cell r="U575" t="str">
            <v>BFF5/CFF5</v>
          </cell>
          <cell r="V575" t="str">
            <v>Y</v>
          </cell>
          <cell r="W575" t="str">
            <v>1/1/2005</v>
          </cell>
          <cell r="X575">
            <v>1</v>
          </cell>
        </row>
        <row r="576">
          <cell r="A576" t="str">
            <v>1B45</v>
          </cell>
          <cell r="B576" t="str">
            <v>Spaulding &amp; Slye</v>
          </cell>
          <cell r="C576" t="str">
            <v/>
          </cell>
          <cell r="D576" t="str">
            <v>McCourt</v>
          </cell>
          <cell r="E576" t="str">
            <v>Mugo</v>
          </cell>
          <cell r="F576" t="str">
            <v>10</v>
          </cell>
          <cell r="G576" t="str">
            <v>N</v>
          </cell>
          <cell r="H576" t="str">
            <v>N</v>
          </cell>
          <cell r="I576" t="str">
            <v>N</v>
          </cell>
          <cell r="J576" t="str">
            <v>Rates</v>
          </cell>
          <cell r="K576" t="str">
            <v/>
          </cell>
          <cell r="L576" t="str">
            <v>Fully</v>
          </cell>
          <cell r="M576" t="str">
            <v>Swears</v>
          </cell>
          <cell r="N576" t="str">
            <v>0</v>
          </cell>
          <cell r="O576" t="str">
            <v>06</v>
          </cell>
          <cell r="P576" t="str">
            <v>Elbashir</v>
          </cell>
          <cell r="Q576" t="str">
            <v/>
          </cell>
          <cell r="R576" t="str">
            <v>DC</v>
          </cell>
          <cell r="S576">
            <v>50000</v>
          </cell>
          <cell r="T576" t="str">
            <v>POS/HMO</v>
          </cell>
          <cell r="U576" t="str">
            <v>BFF6/CFF6</v>
          </cell>
          <cell r="V576" t="str">
            <v/>
          </cell>
          <cell r="W576" t="str">
            <v/>
          </cell>
          <cell r="X576">
            <v>1</v>
          </cell>
        </row>
        <row r="577">
          <cell r="A577" t="str">
            <v>5U39</v>
          </cell>
          <cell r="B577" t="str">
            <v xml:space="preserve">Spectal, LLC                                      </v>
          </cell>
          <cell r="C577" t="str">
            <v/>
          </cell>
          <cell r="D577" t="str">
            <v>Keefer</v>
          </cell>
          <cell r="E577" t="str">
            <v>Burba</v>
          </cell>
          <cell r="F577" t="str">
            <v>10</v>
          </cell>
          <cell r="G577" t="str">
            <v>N</v>
          </cell>
          <cell r="H577" t="str">
            <v/>
          </cell>
          <cell r="I577" t="str">
            <v>N</v>
          </cell>
          <cell r="J577" t="str">
            <v>Rates</v>
          </cell>
          <cell r="K577" t="str">
            <v/>
          </cell>
          <cell r="L577" t="str">
            <v>Fully</v>
          </cell>
          <cell r="M577" t="str">
            <v>Wise</v>
          </cell>
          <cell r="N577" t="str">
            <v/>
          </cell>
          <cell r="O577" t="str">
            <v>06</v>
          </cell>
          <cell r="P577" t="str">
            <v/>
          </cell>
          <cell r="Q577" t="str">
            <v/>
          </cell>
          <cell r="R577" t="str">
            <v>VA</v>
          </cell>
          <cell r="S577">
            <v>50000</v>
          </cell>
          <cell r="T577" t="str">
            <v>PPO/POS/HMO</v>
          </cell>
          <cell r="U577" t="str">
            <v>BFF5/CFF5</v>
          </cell>
          <cell r="V577" t="str">
            <v/>
          </cell>
          <cell r="W577" t="str">
            <v/>
          </cell>
          <cell r="X577">
            <v>1</v>
          </cell>
        </row>
        <row r="578">
          <cell r="A578" t="str">
            <v>6D61</v>
          </cell>
          <cell r="B578" t="str">
            <v xml:space="preserve">Spherix, Inc.                                     </v>
          </cell>
          <cell r="C578" t="str">
            <v/>
          </cell>
          <cell r="D578" t="str">
            <v>Keefer</v>
          </cell>
          <cell r="E578" t="str">
            <v>Newman</v>
          </cell>
          <cell r="F578" t="str">
            <v>01</v>
          </cell>
          <cell r="G578" t="str">
            <v>N</v>
          </cell>
          <cell r="H578" t="str">
            <v/>
          </cell>
          <cell r="I578" t="str">
            <v>N</v>
          </cell>
          <cell r="J578" t="str">
            <v>Rates</v>
          </cell>
          <cell r="K578" t="str">
            <v/>
          </cell>
          <cell r="L578" t="str">
            <v>Fully</v>
          </cell>
          <cell r="M578" t="str">
            <v>Dodds</v>
          </cell>
          <cell r="N578" t="str">
            <v/>
          </cell>
          <cell r="O578" t="str">
            <v>09</v>
          </cell>
          <cell r="P578" t="str">
            <v>King, R.</v>
          </cell>
          <cell r="Q578" t="str">
            <v/>
          </cell>
          <cell r="R578" t="str">
            <v>MD</v>
          </cell>
          <cell r="S578">
            <v>50000</v>
          </cell>
          <cell r="T578" t="str">
            <v>POS/HMO/PPO</v>
          </cell>
          <cell r="U578" t="str">
            <v>BFF6/CFF6</v>
          </cell>
          <cell r="V578" t="str">
            <v>Y</v>
          </cell>
          <cell r="W578" t="str">
            <v>1/1/2003</v>
          </cell>
          <cell r="X578">
            <v>1</v>
          </cell>
        </row>
        <row r="579">
          <cell r="A579" t="str">
            <v>7H23</v>
          </cell>
          <cell r="B579" t="str">
            <v>Sport Chevrolet</v>
          </cell>
          <cell r="C579" t="str">
            <v/>
          </cell>
          <cell r="D579" t="str">
            <v>Keefer</v>
          </cell>
          <cell r="E579" t="str">
            <v>Anderson</v>
          </cell>
          <cell r="F579" t="str">
            <v>03</v>
          </cell>
          <cell r="G579" t="str">
            <v>N</v>
          </cell>
          <cell r="H579" t="str">
            <v/>
          </cell>
          <cell r="I579" t="str">
            <v/>
          </cell>
          <cell r="J579" t="str">
            <v>Rates</v>
          </cell>
          <cell r="K579" t="str">
            <v/>
          </cell>
          <cell r="L579" t="str">
            <v>Fully</v>
          </cell>
          <cell r="M579" t="str">
            <v>Dodds</v>
          </cell>
          <cell r="N579" t="str">
            <v/>
          </cell>
          <cell r="O579" t="str">
            <v>12</v>
          </cell>
          <cell r="P579" t="str">
            <v/>
          </cell>
          <cell r="Q579" t="str">
            <v/>
          </cell>
          <cell r="R579" t="str">
            <v>MD</v>
          </cell>
          <cell r="S579">
            <v>50000</v>
          </cell>
          <cell r="T579" t="str">
            <v>HMO POS OA PPO Rx</v>
          </cell>
          <cell r="U579" t="str">
            <v>BFF6 CFF6</v>
          </cell>
          <cell r="V579" t="str">
            <v>Y</v>
          </cell>
          <cell r="W579" t="str">
            <v>1/1/2004</v>
          </cell>
          <cell r="X579">
            <v>1</v>
          </cell>
        </row>
        <row r="580">
          <cell r="A580" t="str">
            <v>0EFH</v>
          </cell>
          <cell r="B580" t="str">
            <v>St. Coletta of Greater Washington, Inc.</v>
          </cell>
          <cell r="C580" t="str">
            <v/>
          </cell>
          <cell r="D580" t="str">
            <v>Keefer</v>
          </cell>
          <cell r="E580" t="str">
            <v>LaTouche</v>
          </cell>
          <cell r="F580" t="str">
            <v>01</v>
          </cell>
          <cell r="G580" t="str">
            <v>N</v>
          </cell>
          <cell r="H580" t="str">
            <v/>
          </cell>
          <cell r="I580" t="str">
            <v>N</v>
          </cell>
          <cell r="J580" t="str">
            <v>Rates</v>
          </cell>
          <cell r="K580" t="str">
            <v/>
          </cell>
          <cell r="L580" t="str">
            <v>Fully</v>
          </cell>
          <cell r="M580" t="str">
            <v>Thomas</v>
          </cell>
          <cell r="N580" t="str">
            <v/>
          </cell>
          <cell r="O580" t="str">
            <v>09</v>
          </cell>
          <cell r="P580" t="str">
            <v>LaTouche</v>
          </cell>
          <cell r="Q580" t="str">
            <v/>
          </cell>
          <cell r="R580" t="str">
            <v>VA</v>
          </cell>
          <cell r="S580">
            <v>50000</v>
          </cell>
          <cell r="T580" t="str">
            <v>HMO/POS/PPO</v>
          </cell>
          <cell r="U580" t="str">
            <v>BFF5/CFF5</v>
          </cell>
          <cell r="V580" t="str">
            <v/>
          </cell>
          <cell r="W580" t="str">
            <v/>
          </cell>
          <cell r="X580">
            <v>1</v>
          </cell>
        </row>
        <row r="581">
          <cell r="A581" t="str">
            <v>6D41</v>
          </cell>
          <cell r="B581" t="str">
            <v>St. Luke's House</v>
          </cell>
          <cell r="C581" t="str">
            <v/>
          </cell>
          <cell r="D581" t="str">
            <v>Keefer</v>
          </cell>
          <cell r="E581" t="str">
            <v>Taylor</v>
          </cell>
          <cell r="F581" t="str">
            <v>12</v>
          </cell>
          <cell r="G581" t="str">
            <v>N</v>
          </cell>
          <cell r="H581" t="str">
            <v/>
          </cell>
          <cell r="I581" t="str">
            <v>N</v>
          </cell>
          <cell r="J581" t="str">
            <v>Rates</v>
          </cell>
          <cell r="K581" t="str">
            <v/>
          </cell>
          <cell r="L581" t="str">
            <v>Fully</v>
          </cell>
          <cell r="M581" t="str">
            <v>Savoca</v>
          </cell>
          <cell r="N581" t="str">
            <v>0</v>
          </cell>
          <cell r="O581" t="str">
            <v>08</v>
          </cell>
          <cell r="P581" t="str">
            <v/>
          </cell>
          <cell r="Q581" t="str">
            <v/>
          </cell>
          <cell r="R581" t="str">
            <v>MD</v>
          </cell>
          <cell r="S581">
            <v>50000</v>
          </cell>
          <cell r="T581" t="str">
            <v>HMO/POS</v>
          </cell>
          <cell r="U581" t="str">
            <v>BFF5/CFF5</v>
          </cell>
          <cell r="V581" t="str">
            <v/>
          </cell>
          <cell r="W581" t="str">
            <v/>
          </cell>
          <cell r="X581">
            <v>1</v>
          </cell>
        </row>
        <row r="582">
          <cell r="A582" t="str">
            <v>3376</v>
          </cell>
          <cell r="B582" t="str">
            <v xml:space="preserve">Staas and Halsey, LLP                             </v>
          </cell>
          <cell r="C582" t="str">
            <v/>
          </cell>
          <cell r="D582" t="str">
            <v>McCourt</v>
          </cell>
          <cell r="E582" t="str">
            <v>Rutkowski</v>
          </cell>
          <cell r="F582" t="str">
            <v>02</v>
          </cell>
          <cell r="G582" t="str">
            <v>N</v>
          </cell>
          <cell r="H582" t="str">
            <v/>
          </cell>
          <cell r="I582" t="str">
            <v>N</v>
          </cell>
          <cell r="J582" t="str">
            <v>Rates</v>
          </cell>
          <cell r="K582" t="str">
            <v/>
          </cell>
          <cell r="L582" t="str">
            <v>Fully</v>
          </cell>
          <cell r="M582" t="str">
            <v>Swears</v>
          </cell>
          <cell r="N582" t="str">
            <v/>
          </cell>
          <cell r="O582" t="str">
            <v>10</v>
          </cell>
          <cell r="P582" t="str">
            <v>Rutkowski</v>
          </cell>
          <cell r="Q582" t="str">
            <v/>
          </cell>
          <cell r="R582" t="str">
            <v>DC</v>
          </cell>
          <cell r="S582">
            <v>50000</v>
          </cell>
          <cell r="T582" t="str">
            <v>PPO/HMO</v>
          </cell>
          <cell r="U582" t="str">
            <v>BFF5/CFF5</v>
          </cell>
          <cell r="V582" t="str">
            <v/>
          </cell>
          <cell r="W582" t="str">
            <v/>
          </cell>
          <cell r="X582">
            <v>1</v>
          </cell>
        </row>
        <row r="583">
          <cell r="A583" t="str">
            <v>0M2A</v>
          </cell>
          <cell r="B583" t="str">
            <v xml:space="preserve">Startec Global Operating Company                  </v>
          </cell>
          <cell r="C583" t="str">
            <v/>
          </cell>
          <cell r="D583" t="str">
            <v>Keefer</v>
          </cell>
          <cell r="E583" t="str">
            <v>Burba</v>
          </cell>
          <cell r="F583" t="str">
            <v>06</v>
          </cell>
          <cell r="G583" t="str">
            <v>N</v>
          </cell>
          <cell r="H583" t="str">
            <v/>
          </cell>
          <cell r="I583" t="str">
            <v>N</v>
          </cell>
          <cell r="J583" t="str">
            <v>Rates</v>
          </cell>
          <cell r="K583" t="str">
            <v/>
          </cell>
          <cell r="L583" t="str">
            <v>Fully</v>
          </cell>
          <cell r="M583" t="str">
            <v>Cosby</v>
          </cell>
          <cell r="N583" t="str">
            <v/>
          </cell>
          <cell r="O583" t="str">
            <v>02</v>
          </cell>
          <cell r="P583" t="str">
            <v/>
          </cell>
          <cell r="Q583" t="str">
            <v/>
          </cell>
          <cell r="R583" t="str">
            <v>MD</v>
          </cell>
          <cell r="S583">
            <v>50000</v>
          </cell>
          <cell r="T583" t="str">
            <v>HMO/PPO</v>
          </cell>
          <cell r="U583" t="str">
            <v>BFF5/CFF5</v>
          </cell>
          <cell r="V583" t="str">
            <v>Y</v>
          </cell>
          <cell r="W583" t="str">
            <v>6/1/2005</v>
          </cell>
          <cell r="X583">
            <v>1</v>
          </cell>
        </row>
        <row r="584">
          <cell r="A584" t="str">
            <v>MY25</v>
          </cell>
          <cell r="B584" t="str">
            <v xml:space="preserve">Stateside Associates                              </v>
          </cell>
          <cell r="C584" t="str">
            <v/>
          </cell>
          <cell r="D584" t="str">
            <v>Keefer</v>
          </cell>
          <cell r="E584" t="str">
            <v>LaTouche</v>
          </cell>
          <cell r="F584" t="str">
            <v>03</v>
          </cell>
          <cell r="G584" t="str">
            <v>N</v>
          </cell>
          <cell r="H584" t="str">
            <v/>
          </cell>
          <cell r="I584" t="str">
            <v>N</v>
          </cell>
          <cell r="J584" t="str">
            <v>Rates</v>
          </cell>
          <cell r="K584" t="str">
            <v/>
          </cell>
          <cell r="L584" t="str">
            <v>Fully</v>
          </cell>
          <cell r="M584" t="str">
            <v>Guessford-Kline</v>
          </cell>
          <cell r="N584" t="str">
            <v/>
          </cell>
          <cell r="O584" t="str">
            <v>11</v>
          </cell>
          <cell r="P584" t="str">
            <v>LaTouche</v>
          </cell>
          <cell r="Q584" t="str">
            <v/>
          </cell>
          <cell r="R584" t="str">
            <v>VA</v>
          </cell>
          <cell r="S584">
            <v>50000</v>
          </cell>
          <cell r="T584" t="str">
            <v>PPO</v>
          </cell>
          <cell r="U584" t="str">
            <v>BFF5</v>
          </cell>
          <cell r="V584" t="str">
            <v/>
          </cell>
          <cell r="W584" t="str">
            <v/>
          </cell>
          <cell r="X584">
            <v>1</v>
          </cell>
        </row>
        <row r="585">
          <cell r="A585" t="str">
            <v>NC86</v>
          </cell>
          <cell r="B585" t="str">
            <v>Staubach Company (The)</v>
          </cell>
          <cell r="C585" t="str">
            <v/>
          </cell>
          <cell r="D585" t="str">
            <v>Keefer</v>
          </cell>
          <cell r="E585" t="str">
            <v>Burba</v>
          </cell>
          <cell r="F585" t="str">
            <v>07</v>
          </cell>
          <cell r="G585" t="str">
            <v>N</v>
          </cell>
          <cell r="H585" t="str">
            <v/>
          </cell>
          <cell r="I585" t="str">
            <v>N</v>
          </cell>
          <cell r="J585" t="str">
            <v>Rates</v>
          </cell>
          <cell r="K585" t="str">
            <v/>
          </cell>
          <cell r="L585" t="str">
            <v>Fully</v>
          </cell>
          <cell r="M585" t="str">
            <v>Henton-Davis</v>
          </cell>
          <cell r="N585" t="str">
            <v/>
          </cell>
          <cell r="O585" t="str">
            <v>03</v>
          </cell>
          <cell r="P585" t="str">
            <v/>
          </cell>
          <cell r="Q585" t="str">
            <v/>
          </cell>
          <cell r="R585" t="str">
            <v>VA</v>
          </cell>
          <cell r="S585">
            <v>50000</v>
          </cell>
          <cell r="T585" t="str">
            <v>PPO/OA/HMO</v>
          </cell>
          <cell r="U585" t="str">
            <v>BFF5/CFF5</v>
          </cell>
          <cell r="V585" t="str">
            <v/>
          </cell>
          <cell r="W585" t="str">
            <v/>
          </cell>
          <cell r="X585">
            <v>1</v>
          </cell>
        </row>
        <row r="586">
          <cell r="A586" t="str">
            <v>QJ08</v>
          </cell>
          <cell r="B586" t="str">
            <v>Stellar Realty Management, Inc</v>
          </cell>
          <cell r="C586" t="str">
            <v/>
          </cell>
          <cell r="D586" t="str">
            <v>Keefer</v>
          </cell>
          <cell r="E586" t="str">
            <v>Taylor</v>
          </cell>
          <cell r="F586" t="str">
            <v>12</v>
          </cell>
          <cell r="G586" t="str">
            <v>N</v>
          </cell>
          <cell r="H586" t="str">
            <v>N</v>
          </cell>
          <cell r="I586" t="str">
            <v>N</v>
          </cell>
          <cell r="J586" t="str">
            <v>Rates</v>
          </cell>
          <cell r="K586" t="str">
            <v/>
          </cell>
          <cell r="L586" t="str">
            <v>Fully</v>
          </cell>
          <cell r="M586" t="str">
            <v>Thomas</v>
          </cell>
          <cell r="N586" t="str">
            <v/>
          </cell>
          <cell r="O586" t="str">
            <v>08</v>
          </cell>
          <cell r="P586" t="str">
            <v/>
          </cell>
          <cell r="Q586" t="str">
            <v/>
          </cell>
          <cell r="R586" t="str">
            <v>MD</v>
          </cell>
          <cell r="S586">
            <v>50000</v>
          </cell>
          <cell r="T586" t="str">
            <v>PPO HMO Rx De</v>
          </cell>
          <cell r="U586" t="str">
            <v>BFF5 CFF%</v>
          </cell>
          <cell r="V586" t="str">
            <v>Y</v>
          </cell>
          <cell r="W586" t="str">
            <v>12/1/2004</v>
          </cell>
          <cell r="X586">
            <v>1</v>
          </cell>
        </row>
        <row r="587">
          <cell r="A587" t="str">
            <v>PR30</v>
          </cell>
          <cell r="B587" t="str">
            <v>Sterne, Kessler, Goldstein &amp; Fox</v>
          </cell>
          <cell r="C587" t="str">
            <v/>
          </cell>
          <cell r="D587" t="str">
            <v>Keefer</v>
          </cell>
          <cell r="E587" t="str">
            <v>Burba</v>
          </cell>
          <cell r="F587" t="str">
            <v>12</v>
          </cell>
          <cell r="G587" t="str">
            <v>N</v>
          </cell>
          <cell r="H587" t="str">
            <v/>
          </cell>
          <cell r="I587" t="str">
            <v>N</v>
          </cell>
          <cell r="J587" t="str">
            <v>Rates</v>
          </cell>
          <cell r="K587" t="str">
            <v/>
          </cell>
          <cell r="L587" t="str">
            <v>Fully</v>
          </cell>
          <cell r="M587" t="str">
            <v>Greenwell</v>
          </cell>
          <cell r="N587" t="str">
            <v/>
          </cell>
          <cell r="O587" t="str">
            <v>08</v>
          </cell>
          <cell r="P587" t="str">
            <v>Jones</v>
          </cell>
          <cell r="Q587" t="str">
            <v/>
          </cell>
          <cell r="R587" t="str">
            <v>DC</v>
          </cell>
          <cell r="S587">
            <v>75000</v>
          </cell>
          <cell r="T587" t="str">
            <v>PPO/HMO</v>
          </cell>
          <cell r="U587" t="str">
            <v>BFF7/CFF7</v>
          </cell>
          <cell r="V587" t="str">
            <v/>
          </cell>
          <cell r="W587" t="str">
            <v/>
          </cell>
          <cell r="X587">
            <v>1</v>
          </cell>
        </row>
        <row r="588">
          <cell r="A588" t="str">
            <v>TT84</v>
          </cell>
          <cell r="B588" t="str">
            <v xml:space="preserve">STG International, Inc.                           </v>
          </cell>
          <cell r="C588" t="str">
            <v/>
          </cell>
          <cell r="D588" t="str">
            <v>Keefer</v>
          </cell>
          <cell r="E588" t="str">
            <v>Anderson</v>
          </cell>
          <cell r="F588" t="str">
            <v>10</v>
          </cell>
          <cell r="G588" t="str">
            <v>N</v>
          </cell>
          <cell r="H588" t="str">
            <v/>
          </cell>
          <cell r="I588" t="str">
            <v>N</v>
          </cell>
          <cell r="J588" t="str">
            <v>Rates</v>
          </cell>
          <cell r="K588" t="str">
            <v/>
          </cell>
          <cell r="L588" t="str">
            <v>Fully</v>
          </cell>
          <cell r="M588" t="str">
            <v>Jordan</v>
          </cell>
          <cell r="N588" t="str">
            <v/>
          </cell>
          <cell r="O588" t="str">
            <v>06</v>
          </cell>
          <cell r="P588" t="str">
            <v>LaTouche</v>
          </cell>
          <cell r="Q588" t="str">
            <v/>
          </cell>
          <cell r="R588" t="str">
            <v>VA</v>
          </cell>
          <cell r="S588">
            <v>50000</v>
          </cell>
          <cell r="T588" t="str">
            <v>POS/HMO/PPO</v>
          </cell>
          <cell r="U588" t="str">
            <v>CFF5</v>
          </cell>
          <cell r="V588" t="str">
            <v/>
          </cell>
          <cell r="W588" t="str">
            <v/>
          </cell>
          <cell r="X588">
            <v>1</v>
          </cell>
        </row>
        <row r="589">
          <cell r="A589" t="str">
            <v>7L52</v>
          </cell>
          <cell r="B589" t="str">
            <v xml:space="preserve">Stone Street Capital, Inc.                        </v>
          </cell>
          <cell r="C589" t="str">
            <v/>
          </cell>
          <cell r="D589" t="str">
            <v>Keefer</v>
          </cell>
          <cell r="E589" t="str">
            <v>Burba</v>
          </cell>
          <cell r="F589" t="str">
            <v>01</v>
          </cell>
          <cell r="G589" t="str">
            <v>N</v>
          </cell>
          <cell r="H589" t="str">
            <v/>
          </cell>
          <cell r="I589" t="str">
            <v>N</v>
          </cell>
          <cell r="J589" t="str">
            <v>Rates</v>
          </cell>
          <cell r="K589" t="str">
            <v/>
          </cell>
          <cell r="L589" t="str">
            <v>Fully</v>
          </cell>
          <cell r="M589" t="str">
            <v>Grabarek</v>
          </cell>
          <cell r="N589" t="str">
            <v/>
          </cell>
          <cell r="O589" t="str">
            <v>09</v>
          </cell>
          <cell r="P589" t="str">
            <v/>
          </cell>
          <cell r="Q589" t="str">
            <v/>
          </cell>
          <cell r="R589" t="str">
            <v>MD</v>
          </cell>
          <cell r="S589">
            <v>50000</v>
          </cell>
          <cell r="T589" t="str">
            <v>PPO/OA/HMO</v>
          </cell>
          <cell r="U589" t="str">
            <v>BFF5/CFF5</v>
          </cell>
          <cell r="V589" t="str">
            <v>Y</v>
          </cell>
          <cell r="W589" t="str">
            <v>1/1/2005</v>
          </cell>
          <cell r="X589">
            <v>1</v>
          </cell>
        </row>
        <row r="590">
          <cell r="A590" t="str">
            <v>PT12</v>
          </cell>
          <cell r="B590" t="str">
            <v>Strategic Analysis, Inc.</v>
          </cell>
          <cell r="C590" t="str">
            <v/>
          </cell>
          <cell r="D590" t="str">
            <v>Keefer</v>
          </cell>
          <cell r="E590" t="str">
            <v>Johnson</v>
          </cell>
          <cell r="F590" t="str">
            <v>01</v>
          </cell>
          <cell r="G590" t="str">
            <v>N</v>
          </cell>
          <cell r="H590" t="str">
            <v>N</v>
          </cell>
          <cell r="I590" t="str">
            <v>N</v>
          </cell>
          <cell r="J590" t="str">
            <v>Rates</v>
          </cell>
          <cell r="K590" t="str">
            <v/>
          </cell>
          <cell r="L590" t="str">
            <v>Fully</v>
          </cell>
          <cell r="M590" t="str">
            <v>Dodds</v>
          </cell>
          <cell r="N590" t="str">
            <v>0</v>
          </cell>
          <cell r="O590" t="str">
            <v>09</v>
          </cell>
          <cell r="P590" t="str">
            <v/>
          </cell>
          <cell r="Q590" t="str">
            <v/>
          </cell>
          <cell r="R590" t="str">
            <v>VA</v>
          </cell>
          <cell r="S590">
            <v>50000</v>
          </cell>
          <cell r="T590" t="str">
            <v>PPO/POS/HMO</v>
          </cell>
          <cell r="U590" t="str">
            <v>BFF5/CFF5</v>
          </cell>
          <cell r="V590" t="str">
            <v/>
          </cell>
          <cell r="W590" t="str">
            <v/>
          </cell>
          <cell r="X590">
            <v>1</v>
          </cell>
        </row>
        <row r="591">
          <cell r="A591" t="str">
            <v>G045</v>
          </cell>
          <cell r="B591" t="str">
            <v>Sughrue, Mion, Mcpeak &amp; Seas</v>
          </cell>
          <cell r="C591" t="str">
            <v/>
          </cell>
          <cell r="D591" t="str">
            <v>Keefer</v>
          </cell>
          <cell r="E591" t="str">
            <v>Taylor</v>
          </cell>
          <cell r="F591" t="str">
            <v>01</v>
          </cell>
          <cell r="G591" t="str">
            <v>N</v>
          </cell>
          <cell r="H591" t="str">
            <v>N</v>
          </cell>
          <cell r="I591" t="str">
            <v>N</v>
          </cell>
          <cell r="J591" t="str">
            <v>Rates</v>
          </cell>
          <cell r="K591" t="str">
            <v/>
          </cell>
          <cell r="L591" t="str">
            <v>Fully</v>
          </cell>
          <cell r="M591" t="str">
            <v>Guessford-Kline</v>
          </cell>
          <cell r="N591" t="str">
            <v>0</v>
          </cell>
          <cell r="O591" t="str">
            <v>09</v>
          </cell>
          <cell r="P591" t="str">
            <v>Taylor</v>
          </cell>
          <cell r="Q591" t="str">
            <v/>
          </cell>
          <cell r="R591" t="str">
            <v>DC</v>
          </cell>
          <cell r="S591">
            <v>50000</v>
          </cell>
          <cell r="T591" t="str">
            <v>POS PPO HMO</v>
          </cell>
          <cell r="U591" t="str">
            <v>BFF6/CFF6</v>
          </cell>
          <cell r="V591" t="str">
            <v/>
          </cell>
          <cell r="W591" t="str">
            <v/>
          </cell>
          <cell r="X591">
            <v>1</v>
          </cell>
        </row>
        <row r="592">
          <cell r="A592" t="str">
            <v>NS54</v>
          </cell>
          <cell r="B592" t="str">
            <v xml:space="preserve">Synectics For Management Decisions, Inc.          </v>
          </cell>
          <cell r="C592" t="str">
            <v/>
          </cell>
          <cell r="D592" t="str">
            <v>Keefer</v>
          </cell>
          <cell r="E592" t="str">
            <v>Newman</v>
          </cell>
          <cell r="F592" t="str">
            <v>03</v>
          </cell>
          <cell r="G592" t="str">
            <v>N</v>
          </cell>
          <cell r="H592" t="str">
            <v/>
          </cell>
          <cell r="I592" t="str">
            <v>N</v>
          </cell>
          <cell r="J592" t="str">
            <v>Rates</v>
          </cell>
          <cell r="K592" t="str">
            <v/>
          </cell>
          <cell r="L592" t="str">
            <v>Fully</v>
          </cell>
          <cell r="M592" t="str">
            <v>Savoca</v>
          </cell>
          <cell r="N592" t="str">
            <v/>
          </cell>
          <cell r="O592" t="str">
            <v>11</v>
          </cell>
          <cell r="P592" t="str">
            <v/>
          </cell>
          <cell r="Q592" t="str">
            <v/>
          </cell>
          <cell r="R592" t="str">
            <v>VA</v>
          </cell>
          <cell r="S592">
            <v>50000</v>
          </cell>
          <cell r="T592" t="str">
            <v>OA/PPO/HMO</v>
          </cell>
          <cell r="U592" t="str">
            <v>BFF5/CFF5</v>
          </cell>
          <cell r="V592" t="str">
            <v/>
          </cell>
          <cell r="W592" t="str">
            <v/>
          </cell>
          <cell r="X592">
            <v>1</v>
          </cell>
        </row>
        <row r="593">
          <cell r="A593" t="str">
            <v>7H86</v>
          </cell>
          <cell r="B593" t="str">
            <v>Systems Integration</v>
          </cell>
          <cell r="C593" t="str">
            <v/>
          </cell>
          <cell r="D593" t="str">
            <v>Keefer</v>
          </cell>
          <cell r="E593" t="str">
            <v>Taylor</v>
          </cell>
          <cell r="F593" t="str">
            <v>11</v>
          </cell>
          <cell r="G593" t="str">
            <v>N</v>
          </cell>
          <cell r="H593" t="str">
            <v>Y</v>
          </cell>
          <cell r="I593" t="str">
            <v>N</v>
          </cell>
          <cell r="J593" t="str">
            <v>Rates</v>
          </cell>
          <cell r="K593" t="str">
            <v/>
          </cell>
          <cell r="L593" t="str">
            <v>Fully</v>
          </cell>
          <cell r="M593" t="str">
            <v/>
          </cell>
          <cell r="N593" t="str">
            <v/>
          </cell>
          <cell r="O593" t="str">
            <v>07</v>
          </cell>
          <cell r="P593" t="str">
            <v/>
          </cell>
          <cell r="Q593" t="str">
            <v/>
          </cell>
          <cell r="R593" t="str">
            <v>MD</v>
          </cell>
          <cell r="S593">
            <v>50000</v>
          </cell>
          <cell r="T593" t="str">
            <v>PPO OA HMO</v>
          </cell>
          <cell r="U593" t="str">
            <v>BFF6 CFF6</v>
          </cell>
          <cell r="V593" t="str">
            <v>Y</v>
          </cell>
          <cell r="W593" t="str">
            <v>11/1/2004</v>
          </cell>
          <cell r="X593">
            <v>1</v>
          </cell>
        </row>
        <row r="594">
          <cell r="A594" t="str">
            <v>NC52</v>
          </cell>
          <cell r="B594" t="str">
            <v>Systems Integration Group, Inc.</v>
          </cell>
          <cell r="C594" t="str">
            <v/>
          </cell>
          <cell r="D594" t="str">
            <v>McCourt</v>
          </cell>
          <cell r="E594" t="str">
            <v>Rutkowski</v>
          </cell>
          <cell r="F594" t="str">
            <v>01</v>
          </cell>
          <cell r="G594" t="str">
            <v>N</v>
          </cell>
          <cell r="H594" t="str">
            <v>N</v>
          </cell>
          <cell r="I594" t="str">
            <v>N</v>
          </cell>
          <cell r="J594" t="str">
            <v>Rates</v>
          </cell>
          <cell r="K594" t="str">
            <v/>
          </cell>
          <cell r="L594" t="str">
            <v>Fully</v>
          </cell>
          <cell r="M594" t="str">
            <v>Savoca</v>
          </cell>
          <cell r="N594" t="str">
            <v>0</v>
          </cell>
          <cell r="O594" t="str">
            <v>09</v>
          </cell>
          <cell r="P594" t="str">
            <v>Rutkowski</v>
          </cell>
          <cell r="Q594" t="str">
            <v/>
          </cell>
          <cell r="R594" t="str">
            <v>MD</v>
          </cell>
          <cell r="S594">
            <v>50000</v>
          </cell>
          <cell r="T594" t="str">
            <v>PPO/HMO</v>
          </cell>
          <cell r="U594" t="str">
            <v>BFF6</v>
          </cell>
          <cell r="V594" t="str">
            <v/>
          </cell>
          <cell r="W594" t="str">
            <v/>
          </cell>
          <cell r="X594">
            <v>1</v>
          </cell>
        </row>
        <row r="595">
          <cell r="A595" t="str">
            <v>0KMX</v>
          </cell>
          <cell r="B595" t="str">
            <v>SYSTEMS INTERGRATION &amp; MANAGEMENT</v>
          </cell>
          <cell r="C595" t="str">
            <v/>
          </cell>
          <cell r="D595" t="str">
            <v>Keefer</v>
          </cell>
          <cell r="E595" t="str">
            <v>Johnson</v>
          </cell>
          <cell r="F595" t="str">
            <v>06</v>
          </cell>
          <cell r="G595" t="str">
            <v>N</v>
          </cell>
          <cell r="H595" t="str">
            <v>N</v>
          </cell>
          <cell r="I595" t="str">
            <v>N</v>
          </cell>
          <cell r="J595" t="str">
            <v>Rates</v>
          </cell>
          <cell r="K595" t="str">
            <v/>
          </cell>
          <cell r="L595" t="str">
            <v>Fully</v>
          </cell>
          <cell r="M595" t="str">
            <v>Rand</v>
          </cell>
          <cell r="N595" t="str">
            <v>0</v>
          </cell>
          <cell r="O595" t="str">
            <v>02</v>
          </cell>
          <cell r="P595" t="str">
            <v/>
          </cell>
          <cell r="Q595" t="str">
            <v/>
          </cell>
          <cell r="R595" t="str">
            <v>DC</v>
          </cell>
          <cell r="S595">
            <v>50000</v>
          </cell>
          <cell r="T595" t="str">
            <v>HMO, POS, PPO RX</v>
          </cell>
          <cell r="U595" t="str">
            <v>BFFC</v>
          </cell>
          <cell r="V595" t="str">
            <v>Y</v>
          </cell>
          <cell r="W595" t="str">
            <v>6/1/2005</v>
          </cell>
          <cell r="X595">
            <v>1</v>
          </cell>
        </row>
        <row r="596">
          <cell r="A596" t="str">
            <v>6D53</v>
          </cell>
          <cell r="B596" t="str">
            <v>Systems Support Alternatives, Inc.</v>
          </cell>
          <cell r="C596" t="str">
            <v/>
          </cell>
          <cell r="D596" t="str">
            <v>Keefer</v>
          </cell>
          <cell r="E596" t="str">
            <v>Newman</v>
          </cell>
          <cell r="F596" t="str">
            <v>06</v>
          </cell>
          <cell r="G596" t="str">
            <v>N</v>
          </cell>
          <cell r="H596" t="str">
            <v>N</v>
          </cell>
          <cell r="I596" t="str">
            <v>N</v>
          </cell>
          <cell r="J596" t="str">
            <v>Rates</v>
          </cell>
          <cell r="K596" t="str">
            <v/>
          </cell>
          <cell r="L596" t="str">
            <v>Fully</v>
          </cell>
          <cell r="M596" t="str">
            <v>Dodds</v>
          </cell>
          <cell r="N596" t="str">
            <v/>
          </cell>
          <cell r="O596" t="str">
            <v>02</v>
          </cell>
          <cell r="P596" t="str">
            <v>LaTouche</v>
          </cell>
          <cell r="Q596" t="str">
            <v/>
          </cell>
          <cell r="R596" t="str">
            <v>MD</v>
          </cell>
          <cell r="S596">
            <v>50000</v>
          </cell>
          <cell r="T596" t="str">
            <v>HMO POS PPO</v>
          </cell>
          <cell r="U596" t="str">
            <v>CFF5</v>
          </cell>
          <cell r="V596" t="str">
            <v/>
          </cell>
          <cell r="W596" t="str">
            <v/>
          </cell>
          <cell r="X596">
            <v>1</v>
          </cell>
        </row>
        <row r="597">
          <cell r="A597" t="str">
            <v>6D58</v>
          </cell>
          <cell r="B597" t="str">
            <v>Sytech Corp.</v>
          </cell>
          <cell r="C597" t="str">
            <v/>
          </cell>
          <cell r="D597" t="str">
            <v>Keefer</v>
          </cell>
          <cell r="E597" t="str">
            <v>Anderson</v>
          </cell>
          <cell r="F597" t="str">
            <v>10</v>
          </cell>
          <cell r="G597" t="str">
            <v>N</v>
          </cell>
          <cell r="H597" t="str">
            <v/>
          </cell>
          <cell r="I597" t="str">
            <v>N</v>
          </cell>
          <cell r="J597" t="str">
            <v>Rates</v>
          </cell>
          <cell r="K597" t="str">
            <v/>
          </cell>
          <cell r="L597" t="str">
            <v>Fully</v>
          </cell>
          <cell r="M597" t="str">
            <v>Savoca</v>
          </cell>
          <cell r="N597" t="str">
            <v/>
          </cell>
          <cell r="O597" t="str">
            <v>06</v>
          </cell>
          <cell r="P597" t="str">
            <v/>
          </cell>
          <cell r="Q597" t="str">
            <v/>
          </cell>
          <cell r="R597" t="str">
            <v>VA</v>
          </cell>
          <cell r="S597">
            <v>50000</v>
          </cell>
          <cell r="T597" t="str">
            <v>PPO HMO POS OA Rx</v>
          </cell>
          <cell r="U597" t="str">
            <v>BFF5/CFF5</v>
          </cell>
          <cell r="V597" t="str">
            <v>Y</v>
          </cell>
          <cell r="W597" t="str">
            <v>10/1/2002</v>
          </cell>
          <cell r="X597">
            <v>1</v>
          </cell>
        </row>
        <row r="598">
          <cell r="A598" t="str">
            <v>UX20</v>
          </cell>
          <cell r="B598" t="str">
            <v xml:space="preserve">TAC Technologies                                  </v>
          </cell>
          <cell r="C598" t="str">
            <v/>
          </cell>
          <cell r="D598" t="str">
            <v>McCourt</v>
          </cell>
          <cell r="E598" t="str">
            <v>Mugo</v>
          </cell>
          <cell r="F598" t="str">
            <v>11</v>
          </cell>
          <cell r="G598" t="str">
            <v>N</v>
          </cell>
          <cell r="H598" t="str">
            <v/>
          </cell>
          <cell r="I598" t="str">
            <v>N</v>
          </cell>
          <cell r="J598" t="str">
            <v>Rates</v>
          </cell>
          <cell r="K598" t="str">
            <v/>
          </cell>
          <cell r="L598" t="str">
            <v>Fully</v>
          </cell>
          <cell r="M598" t="str">
            <v>Savoca</v>
          </cell>
          <cell r="N598" t="str">
            <v/>
          </cell>
          <cell r="O598" t="str">
            <v>07</v>
          </cell>
          <cell r="P598" t="str">
            <v/>
          </cell>
          <cell r="Q598" t="str">
            <v/>
          </cell>
          <cell r="R598" t="str">
            <v>VA</v>
          </cell>
          <cell r="S598">
            <v>50000</v>
          </cell>
          <cell r="T598" t="str">
            <v>PPO</v>
          </cell>
          <cell r="U598" t="str">
            <v>BFF5</v>
          </cell>
          <cell r="V598" t="str">
            <v/>
          </cell>
          <cell r="W598" t="str">
            <v/>
          </cell>
          <cell r="X598">
            <v>1</v>
          </cell>
        </row>
        <row r="599">
          <cell r="A599" t="str">
            <v>0C9Y</v>
          </cell>
          <cell r="B599" t="str">
            <v>Tara Thai</v>
          </cell>
          <cell r="C599" t="str">
            <v/>
          </cell>
          <cell r="D599" t="str">
            <v>Keefer</v>
          </cell>
          <cell r="E599" t="str">
            <v>LaTouche</v>
          </cell>
          <cell r="F599" t="str">
            <v>04</v>
          </cell>
          <cell r="G599" t="str">
            <v>N</v>
          </cell>
          <cell r="H599" t="str">
            <v>N</v>
          </cell>
          <cell r="I599" t="str">
            <v>N</v>
          </cell>
          <cell r="J599" t="str">
            <v>Rates</v>
          </cell>
          <cell r="K599" t="str">
            <v/>
          </cell>
          <cell r="L599" t="str">
            <v>Fully</v>
          </cell>
          <cell r="M599" t="str">
            <v>Cosby</v>
          </cell>
          <cell r="N599" t="str">
            <v/>
          </cell>
          <cell r="O599" t="str">
            <v>12</v>
          </cell>
          <cell r="P599" t="str">
            <v/>
          </cell>
          <cell r="Q599" t="str">
            <v/>
          </cell>
          <cell r="R599" t="str">
            <v>VA</v>
          </cell>
          <cell r="S599">
            <v>50000</v>
          </cell>
          <cell r="T599" t="str">
            <v>HMO/PPO</v>
          </cell>
          <cell r="U599" t="str">
            <v>BFF5/CFF5</v>
          </cell>
          <cell r="V599" t="str">
            <v/>
          </cell>
          <cell r="W599" t="str">
            <v/>
          </cell>
          <cell r="X599">
            <v>1</v>
          </cell>
        </row>
        <row r="600">
          <cell r="A600" t="str">
            <v>4F51</v>
          </cell>
          <cell r="B600" t="str">
            <v>Targus Information Corporation</v>
          </cell>
          <cell r="C600" t="str">
            <v/>
          </cell>
          <cell r="D600" t="str">
            <v>Keefer</v>
          </cell>
          <cell r="E600" t="str">
            <v>Anderson</v>
          </cell>
          <cell r="F600" t="str">
            <v>04</v>
          </cell>
          <cell r="G600" t="str">
            <v>N</v>
          </cell>
          <cell r="H600" t="str">
            <v/>
          </cell>
          <cell r="I600" t="str">
            <v>N</v>
          </cell>
          <cell r="J600" t="str">
            <v>Rates</v>
          </cell>
          <cell r="K600" t="str">
            <v/>
          </cell>
          <cell r="L600" t="str">
            <v>Fully</v>
          </cell>
          <cell r="M600" t="str">
            <v>Savoca</v>
          </cell>
          <cell r="N600" t="str">
            <v>0</v>
          </cell>
          <cell r="O600" t="str">
            <v>12</v>
          </cell>
          <cell r="P600" t="str">
            <v/>
          </cell>
          <cell r="Q600" t="str">
            <v/>
          </cell>
          <cell r="R600" t="str">
            <v>VA</v>
          </cell>
          <cell r="S600">
            <v>50000</v>
          </cell>
          <cell r="T600" t="str">
            <v>PPO Rx</v>
          </cell>
          <cell r="U600" t="str">
            <v>BFF6</v>
          </cell>
          <cell r="V600" t="str">
            <v/>
          </cell>
          <cell r="W600" t="str">
            <v/>
          </cell>
          <cell r="X600">
            <v>1</v>
          </cell>
        </row>
        <row r="601">
          <cell r="A601" t="str">
            <v>4L34</v>
          </cell>
          <cell r="B601" t="str">
            <v>Tate Access Floors, Inc.</v>
          </cell>
          <cell r="C601" t="str">
            <v/>
          </cell>
          <cell r="D601" t="str">
            <v>Keefer</v>
          </cell>
          <cell r="E601" t="str">
            <v>Anderson</v>
          </cell>
          <cell r="F601" t="str">
            <v>07</v>
          </cell>
          <cell r="G601" t="str">
            <v>N</v>
          </cell>
          <cell r="H601" t="str">
            <v/>
          </cell>
          <cell r="I601" t="str">
            <v>N</v>
          </cell>
          <cell r="J601" t="str">
            <v>Rates</v>
          </cell>
          <cell r="K601" t="str">
            <v/>
          </cell>
          <cell r="L601" t="str">
            <v>Fully</v>
          </cell>
          <cell r="M601" t="str">
            <v>Heinze</v>
          </cell>
          <cell r="N601" t="str">
            <v>0</v>
          </cell>
          <cell r="O601" t="str">
            <v>03</v>
          </cell>
          <cell r="P601" t="str">
            <v>Morrison</v>
          </cell>
          <cell r="Q601" t="str">
            <v/>
          </cell>
          <cell r="R601" t="str">
            <v>MD</v>
          </cell>
          <cell r="S601">
            <v>50000</v>
          </cell>
          <cell r="T601" t="str">
            <v>HMO 3 HMO 14 POS 4</v>
          </cell>
          <cell r="U601" t="str">
            <v>BFF5/CFF5</v>
          </cell>
          <cell r="V601" t="str">
            <v/>
          </cell>
          <cell r="W601" t="str">
            <v/>
          </cell>
          <cell r="X601">
            <v>1</v>
          </cell>
        </row>
        <row r="602">
          <cell r="A602" t="str">
            <v>TX59</v>
          </cell>
          <cell r="B602" t="str">
            <v xml:space="preserve">Tate, Incorporated                                </v>
          </cell>
          <cell r="C602" t="str">
            <v/>
          </cell>
          <cell r="D602" t="str">
            <v>Keefer</v>
          </cell>
          <cell r="E602" t="str">
            <v>Burba</v>
          </cell>
          <cell r="F602" t="str">
            <v>03</v>
          </cell>
          <cell r="G602" t="str">
            <v>N</v>
          </cell>
          <cell r="H602" t="str">
            <v/>
          </cell>
          <cell r="I602" t="str">
            <v>N</v>
          </cell>
          <cell r="J602" t="str">
            <v>Rates</v>
          </cell>
          <cell r="K602" t="str">
            <v/>
          </cell>
          <cell r="L602" t="str">
            <v>Fully</v>
          </cell>
          <cell r="M602" t="str">
            <v>Wise</v>
          </cell>
          <cell r="N602" t="str">
            <v/>
          </cell>
          <cell r="O602" t="str">
            <v>11</v>
          </cell>
          <cell r="P602" t="str">
            <v/>
          </cell>
          <cell r="Q602" t="str">
            <v/>
          </cell>
          <cell r="R602" t="str">
            <v>MD</v>
          </cell>
          <cell r="S602">
            <v>50000</v>
          </cell>
          <cell r="T602" t="str">
            <v>PPO</v>
          </cell>
          <cell r="U602" t="str">
            <v>BFF5</v>
          </cell>
          <cell r="V602" t="str">
            <v/>
          </cell>
          <cell r="W602" t="str">
            <v/>
          </cell>
          <cell r="X602">
            <v>1</v>
          </cell>
        </row>
        <row r="603">
          <cell r="A603" t="str">
            <v>MR49</v>
          </cell>
          <cell r="B603" t="str">
            <v>Tax Notes/Tax Analysis</v>
          </cell>
          <cell r="C603" t="str">
            <v/>
          </cell>
          <cell r="D603" t="str">
            <v>Keefer</v>
          </cell>
          <cell r="E603" t="str">
            <v>Padrutt</v>
          </cell>
          <cell r="F603" t="str">
            <v>01</v>
          </cell>
          <cell r="G603" t="str">
            <v>N</v>
          </cell>
          <cell r="H603" t="str">
            <v/>
          </cell>
          <cell r="I603" t="str">
            <v>N</v>
          </cell>
          <cell r="J603" t="str">
            <v>Rates</v>
          </cell>
          <cell r="K603" t="str">
            <v/>
          </cell>
          <cell r="L603" t="str">
            <v>Fully</v>
          </cell>
          <cell r="M603" t="str">
            <v>Dodds</v>
          </cell>
          <cell r="N603" t="str">
            <v>0</v>
          </cell>
          <cell r="O603" t="str">
            <v>09</v>
          </cell>
          <cell r="P603" t="str">
            <v>Padrutt</v>
          </cell>
          <cell r="Q603" t="str">
            <v/>
          </cell>
          <cell r="R603" t="str">
            <v>VA</v>
          </cell>
          <cell r="S603">
            <v>50000</v>
          </cell>
          <cell r="T603" t="str">
            <v>HMO/OA</v>
          </cell>
          <cell r="U603" t="str">
            <v>CFF5</v>
          </cell>
          <cell r="V603" t="str">
            <v/>
          </cell>
          <cell r="W603" t="str">
            <v/>
          </cell>
          <cell r="X603">
            <v>1</v>
          </cell>
        </row>
        <row r="604">
          <cell r="A604" t="str">
            <v>WL76</v>
          </cell>
          <cell r="B604" t="str">
            <v>Teaching Company (The)</v>
          </cell>
          <cell r="C604" t="str">
            <v/>
          </cell>
          <cell r="D604" t="str">
            <v>McCourt</v>
          </cell>
          <cell r="E604" t="str">
            <v>Quade</v>
          </cell>
          <cell r="F604" t="str">
            <v>02</v>
          </cell>
          <cell r="G604" t="str">
            <v>N</v>
          </cell>
          <cell r="H604" t="str">
            <v>N</v>
          </cell>
          <cell r="I604" t="str">
            <v>N</v>
          </cell>
          <cell r="J604" t="str">
            <v>Rates</v>
          </cell>
          <cell r="K604" t="str">
            <v/>
          </cell>
          <cell r="L604" t="str">
            <v>Fully</v>
          </cell>
          <cell r="M604" t="str">
            <v>Savoca</v>
          </cell>
          <cell r="N604" t="str">
            <v/>
          </cell>
          <cell r="O604" t="str">
            <v>10</v>
          </cell>
          <cell r="P604" t="str">
            <v>Morrison</v>
          </cell>
          <cell r="Q604" t="str">
            <v/>
          </cell>
          <cell r="R604" t="str">
            <v>VA</v>
          </cell>
          <cell r="S604">
            <v>50000</v>
          </cell>
          <cell r="T604" t="str">
            <v>PPO</v>
          </cell>
          <cell r="U604" t="str">
            <v>BFF5</v>
          </cell>
          <cell r="V604" t="str">
            <v/>
          </cell>
          <cell r="W604" t="str">
            <v/>
          </cell>
          <cell r="X604">
            <v>1</v>
          </cell>
        </row>
        <row r="605">
          <cell r="A605" t="str">
            <v>PX19</v>
          </cell>
          <cell r="B605" t="str">
            <v>Team Video Services , L.L.C.</v>
          </cell>
          <cell r="C605" t="str">
            <v/>
          </cell>
          <cell r="D605" t="str">
            <v>Keefer</v>
          </cell>
          <cell r="E605" t="str">
            <v>Johnson</v>
          </cell>
          <cell r="F605" t="str">
            <v>03</v>
          </cell>
          <cell r="G605" t="str">
            <v>N</v>
          </cell>
          <cell r="H605" t="str">
            <v>N</v>
          </cell>
          <cell r="I605" t="str">
            <v>N</v>
          </cell>
          <cell r="J605" t="str">
            <v>Rates</v>
          </cell>
          <cell r="K605" t="str">
            <v/>
          </cell>
          <cell r="L605" t="str">
            <v>Fully</v>
          </cell>
          <cell r="M605" t="str">
            <v>Bradshaw</v>
          </cell>
          <cell r="N605" t="str">
            <v>0</v>
          </cell>
          <cell r="O605" t="str">
            <v>11</v>
          </cell>
          <cell r="P605" t="str">
            <v>Abdelrazaq</v>
          </cell>
          <cell r="Q605" t="str">
            <v/>
          </cell>
          <cell r="R605" t="str">
            <v>DC</v>
          </cell>
          <cell r="S605">
            <v>50000</v>
          </cell>
          <cell r="T605" t="str">
            <v>POS/PPO/HMO</v>
          </cell>
          <cell r="U605" t="str">
            <v>CFF7</v>
          </cell>
          <cell r="V605" t="str">
            <v/>
          </cell>
          <cell r="W605" t="str">
            <v/>
          </cell>
          <cell r="X605">
            <v>1</v>
          </cell>
        </row>
        <row r="606">
          <cell r="A606" t="str">
            <v>0M28</v>
          </cell>
          <cell r="B606" t="str">
            <v xml:space="preserve">Technology Management Association (TMA)           </v>
          </cell>
          <cell r="C606" t="str">
            <v/>
          </cell>
          <cell r="D606" t="str">
            <v>Keefer</v>
          </cell>
          <cell r="E606" t="str">
            <v>Burba</v>
          </cell>
          <cell r="F606" t="str">
            <v>05</v>
          </cell>
          <cell r="G606" t="str">
            <v>N</v>
          </cell>
          <cell r="H606" t="str">
            <v/>
          </cell>
          <cell r="I606" t="str">
            <v>N</v>
          </cell>
          <cell r="J606" t="str">
            <v>Rates</v>
          </cell>
          <cell r="K606" t="str">
            <v/>
          </cell>
          <cell r="L606" t="str">
            <v>Fully</v>
          </cell>
          <cell r="M606" t="str">
            <v>Cosby</v>
          </cell>
          <cell r="N606" t="str">
            <v/>
          </cell>
          <cell r="O606" t="str">
            <v>01</v>
          </cell>
          <cell r="P606" t="str">
            <v/>
          </cell>
          <cell r="Q606" t="str">
            <v/>
          </cell>
          <cell r="R606" t="str">
            <v>VA</v>
          </cell>
          <cell r="S606">
            <v>50000</v>
          </cell>
          <cell r="T606" t="str">
            <v>HMO/PPO/PPO</v>
          </cell>
          <cell r="U606" t="str">
            <v>BFF5/CFF5</v>
          </cell>
          <cell r="V606" t="str">
            <v>Y</v>
          </cell>
          <cell r="W606" t="str">
            <v>5/1/2005</v>
          </cell>
          <cell r="X606">
            <v>1</v>
          </cell>
        </row>
        <row r="607">
          <cell r="A607" t="str">
            <v>7L65</v>
          </cell>
          <cell r="B607" t="str">
            <v xml:space="preserve">Ted Britt Ford Sales, Inc                         </v>
          </cell>
          <cell r="C607" t="str">
            <v/>
          </cell>
          <cell r="D607" t="str">
            <v>Keefer</v>
          </cell>
          <cell r="E607" t="str">
            <v>Burba</v>
          </cell>
          <cell r="F607" t="str">
            <v>02</v>
          </cell>
          <cell r="G607" t="str">
            <v>N</v>
          </cell>
          <cell r="H607" t="str">
            <v/>
          </cell>
          <cell r="I607" t="str">
            <v>N</v>
          </cell>
          <cell r="J607" t="str">
            <v>Rates</v>
          </cell>
          <cell r="K607" t="str">
            <v/>
          </cell>
          <cell r="L607" t="str">
            <v>Fully</v>
          </cell>
          <cell r="M607" t="str">
            <v>Housman</v>
          </cell>
          <cell r="N607" t="str">
            <v/>
          </cell>
          <cell r="O607" t="str">
            <v>10</v>
          </cell>
          <cell r="P607" t="str">
            <v/>
          </cell>
          <cell r="Q607" t="str">
            <v/>
          </cell>
          <cell r="R607" t="str">
            <v>VA</v>
          </cell>
          <cell r="S607">
            <v>50000</v>
          </cell>
          <cell r="T607" t="str">
            <v>PPO/HMO</v>
          </cell>
          <cell r="U607" t="str">
            <v>BFF6/CFF6</v>
          </cell>
          <cell r="V607" t="str">
            <v>Y</v>
          </cell>
          <cell r="W607" t="str">
            <v>2/1/2005</v>
          </cell>
          <cell r="X607">
            <v>1</v>
          </cell>
        </row>
        <row r="608">
          <cell r="A608" t="str">
            <v>00KT</v>
          </cell>
          <cell r="B608" t="str">
            <v xml:space="preserve">Telarix                                           </v>
          </cell>
          <cell r="C608" t="str">
            <v/>
          </cell>
          <cell r="D608" t="str">
            <v>Keefer</v>
          </cell>
          <cell r="E608" t="str">
            <v>Burba</v>
          </cell>
          <cell r="F608" t="str">
            <v>07</v>
          </cell>
          <cell r="G608" t="str">
            <v>N</v>
          </cell>
          <cell r="H608" t="str">
            <v/>
          </cell>
          <cell r="I608" t="str">
            <v>N</v>
          </cell>
          <cell r="J608" t="str">
            <v>Rates</v>
          </cell>
          <cell r="K608" t="str">
            <v/>
          </cell>
          <cell r="L608" t="str">
            <v>Fully</v>
          </cell>
          <cell r="M608" t="str">
            <v>Henton-Davis</v>
          </cell>
          <cell r="N608" t="str">
            <v/>
          </cell>
          <cell r="O608" t="str">
            <v>03</v>
          </cell>
          <cell r="P608" t="str">
            <v/>
          </cell>
          <cell r="Q608" t="str">
            <v/>
          </cell>
          <cell r="R608" t="str">
            <v>VA</v>
          </cell>
          <cell r="S608">
            <v>50000</v>
          </cell>
          <cell r="T608" t="str">
            <v>HMO/OA/PPO</v>
          </cell>
          <cell r="U608" t="str">
            <v>BFF5/CFF5</v>
          </cell>
          <cell r="V608" t="str">
            <v/>
          </cell>
          <cell r="W608" t="str">
            <v/>
          </cell>
          <cell r="X608">
            <v>1</v>
          </cell>
        </row>
        <row r="609">
          <cell r="A609" t="str">
            <v>019J</v>
          </cell>
          <cell r="B609" t="str">
            <v xml:space="preserve">TeleScience International, Inc.                   </v>
          </cell>
          <cell r="C609" t="str">
            <v/>
          </cell>
          <cell r="D609" t="str">
            <v>McCourt</v>
          </cell>
          <cell r="E609" t="str">
            <v>Mugo</v>
          </cell>
          <cell r="F609" t="str">
            <v>10</v>
          </cell>
          <cell r="G609" t="str">
            <v>N</v>
          </cell>
          <cell r="H609" t="str">
            <v>N</v>
          </cell>
          <cell r="I609" t="str">
            <v>N</v>
          </cell>
          <cell r="J609" t="str">
            <v>Rates</v>
          </cell>
          <cell r="K609" t="str">
            <v/>
          </cell>
          <cell r="L609" t="str">
            <v>Fully</v>
          </cell>
          <cell r="M609" t="str">
            <v>Henton-Davis</v>
          </cell>
          <cell r="N609" t="str">
            <v/>
          </cell>
          <cell r="O609" t="str">
            <v>06</v>
          </cell>
          <cell r="P609" t="str">
            <v>Mugo</v>
          </cell>
          <cell r="Q609" t="str">
            <v/>
          </cell>
          <cell r="R609" t="str">
            <v>VA</v>
          </cell>
          <cell r="S609">
            <v>50000</v>
          </cell>
          <cell r="T609" t="str">
            <v>PPO/Blue Pref</v>
          </cell>
          <cell r="U609" t="str">
            <v>BFF5</v>
          </cell>
          <cell r="V609" t="str">
            <v>Y</v>
          </cell>
          <cell r="W609" t="str">
            <v>10/1/2004</v>
          </cell>
          <cell r="X609">
            <v>1</v>
          </cell>
        </row>
        <row r="610">
          <cell r="A610" t="str">
            <v>6T08</v>
          </cell>
          <cell r="B610" t="str">
            <v xml:space="preserve">Thompson, Cobb, Bazilio and Assoicates, P.C.      </v>
          </cell>
          <cell r="C610" t="str">
            <v/>
          </cell>
          <cell r="D610" t="str">
            <v>McCourt</v>
          </cell>
          <cell r="E610" t="str">
            <v>Rutkowski</v>
          </cell>
          <cell r="F610" t="str">
            <v>10</v>
          </cell>
          <cell r="G610" t="str">
            <v>N</v>
          </cell>
          <cell r="H610" t="str">
            <v/>
          </cell>
          <cell r="I610" t="str">
            <v>N</v>
          </cell>
          <cell r="J610" t="str">
            <v>Rates</v>
          </cell>
          <cell r="K610" t="str">
            <v/>
          </cell>
          <cell r="L610" t="str">
            <v>Fully</v>
          </cell>
          <cell r="M610" t="str">
            <v>Henton-Davis</v>
          </cell>
          <cell r="N610" t="str">
            <v/>
          </cell>
          <cell r="O610" t="str">
            <v>06</v>
          </cell>
          <cell r="P610" t="str">
            <v>Rutkowski</v>
          </cell>
          <cell r="Q610" t="str">
            <v/>
          </cell>
          <cell r="R610" t="str">
            <v>DC</v>
          </cell>
          <cell r="S610">
            <v>50000</v>
          </cell>
          <cell r="T610" t="str">
            <v>POE: HMO/Preferred/Choice</v>
          </cell>
          <cell r="U610" t="str">
            <v>BFF5/CFF5</v>
          </cell>
          <cell r="V610" t="str">
            <v/>
          </cell>
          <cell r="W610" t="str">
            <v/>
          </cell>
          <cell r="X610">
            <v>1</v>
          </cell>
        </row>
        <row r="611">
          <cell r="A611" t="str">
            <v>06QY</v>
          </cell>
          <cell r="B611" t="str">
            <v>Toner Charge</v>
          </cell>
          <cell r="C611" t="str">
            <v/>
          </cell>
          <cell r="D611" t="str">
            <v>Keefer</v>
          </cell>
          <cell r="E611" t="str">
            <v>LaTouche</v>
          </cell>
          <cell r="F611" t="str">
            <v>11</v>
          </cell>
          <cell r="G611" t="str">
            <v>N</v>
          </cell>
          <cell r="H611" t="str">
            <v/>
          </cell>
          <cell r="I611" t="str">
            <v>N</v>
          </cell>
          <cell r="J611" t="str">
            <v>Rates</v>
          </cell>
          <cell r="K611" t="str">
            <v/>
          </cell>
          <cell r="L611" t="str">
            <v>Fully</v>
          </cell>
          <cell r="M611" t="str">
            <v/>
          </cell>
          <cell r="N611" t="str">
            <v/>
          </cell>
          <cell r="O611" t="str">
            <v>07</v>
          </cell>
          <cell r="P611" t="str">
            <v>LaTouche</v>
          </cell>
          <cell r="Q611" t="str">
            <v/>
          </cell>
          <cell r="R611" t="str">
            <v>VA</v>
          </cell>
          <cell r="S611">
            <v>50000</v>
          </cell>
          <cell r="T611" t="str">
            <v>HMO/OA/PPO</v>
          </cell>
          <cell r="U611" t="str">
            <v>BFF7/CFF7</v>
          </cell>
          <cell r="V611" t="str">
            <v/>
          </cell>
          <cell r="W611" t="str">
            <v/>
          </cell>
          <cell r="X611">
            <v>1</v>
          </cell>
        </row>
        <row r="612">
          <cell r="A612" t="str">
            <v>UB70</v>
          </cell>
          <cell r="B612" t="str">
            <v xml:space="preserve">Total Resource Management                         </v>
          </cell>
          <cell r="C612" t="str">
            <v/>
          </cell>
          <cell r="D612" t="str">
            <v>Keefer</v>
          </cell>
          <cell r="E612" t="str">
            <v>Taylor</v>
          </cell>
          <cell r="F612" t="str">
            <v>06</v>
          </cell>
          <cell r="G612" t="str">
            <v>N</v>
          </cell>
          <cell r="H612" t="str">
            <v/>
          </cell>
          <cell r="I612" t="str">
            <v>N</v>
          </cell>
          <cell r="J612" t="str">
            <v>Rates</v>
          </cell>
          <cell r="K612" t="str">
            <v/>
          </cell>
          <cell r="L612" t="str">
            <v>Fully</v>
          </cell>
          <cell r="M612" t="str">
            <v>Swears</v>
          </cell>
          <cell r="N612" t="str">
            <v/>
          </cell>
          <cell r="O612" t="str">
            <v>02</v>
          </cell>
          <cell r="P612" t="str">
            <v/>
          </cell>
          <cell r="Q612" t="str">
            <v/>
          </cell>
          <cell r="R612" t="str">
            <v>VA</v>
          </cell>
          <cell r="S612">
            <v>50000</v>
          </cell>
          <cell r="T612" t="str">
            <v>PPO</v>
          </cell>
          <cell r="U612" t="str">
            <v>BFF5</v>
          </cell>
          <cell r="V612" t="str">
            <v/>
          </cell>
          <cell r="W612" t="str">
            <v/>
          </cell>
          <cell r="X612">
            <v>1</v>
          </cell>
        </row>
        <row r="613">
          <cell r="A613" t="str">
            <v>5498</v>
          </cell>
          <cell r="B613" t="str">
            <v>Transit Employees Health And Welfare Fund</v>
          </cell>
          <cell r="C613" t="str">
            <v/>
          </cell>
          <cell r="D613" t="str">
            <v>McCourt</v>
          </cell>
          <cell r="E613" t="str">
            <v>Rutkowski</v>
          </cell>
          <cell r="F613" t="str">
            <v>01</v>
          </cell>
          <cell r="G613" t="str">
            <v>Y</v>
          </cell>
          <cell r="H613" t="str">
            <v>N</v>
          </cell>
          <cell r="I613" t="str">
            <v>N</v>
          </cell>
          <cell r="J613" t="str">
            <v>CPC Ra</v>
          </cell>
          <cell r="K613" t="str">
            <v/>
          </cell>
          <cell r="L613" t="str">
            <v>ASO</v>
          </cell>
          <cell r="M613" t="str">
            <v>Phillips</v>
          </cell>
          <cell r="N613" t="str">
            <v>6</v>
          </cell>
          <cell r="O613" t="str">
            <v>10</v>
          </cell>
          <cell r="P613" t="str">
            <v>Rutkowski</v>
          </cell>
          <cell r="Q613" t="str">
            <v/>
          </cell>
          <cell r="R613" t="str">
            <v>DC</v>
          </cell>
          <cell r="S613">
            <v>250000</v>
          </cell>
          <cell r="T613" t="str">
            <v>PPO HMO</v>
          </cell>
          <cell r="U613" t="str">
            <v>BBS8</v>
          </cell>
          <cell r="V613" t="str">
            <v/>
          </cell>
          <cell r="W613" t="str">
            <v/>
          </cell>
          <cell r="X613">
            <v>1</v>
          </cell>
        </row>
        <row r="614">
          <cell r="A614" t="str">
            <v>3M10</v>
          </cell>
          <cell r="B614" t="str">
            <v>Tribles, Inc.</v>
          </cell>
          <cell r="C614" t="str">
            <v/>
          </cell>
          <cell r="D614" t="str">
            <v>Keefer</v>
          </cell>
          <cell r="E614" t="str">
            <v>Burba</v>
          </cell>
          <cell r="F614" t="str">
            <v>01</v>
          </cell>
          <cell r="G614" t="str">
            <v>N</v>
          </cell>
          <cell r="H614" t="str">
            <v/>
          </cell>
          <cell r="I614" t="str">
            <v>N</v>
          </cell>
          <cell r="J614" t="str">
            <v>Rates</v>
          </cell>
          <cell r="K614" t="str">
            <v/>
          </cell>
          <cell r="L614" t="str">
            <v>Fully</v>
          </cell>
          <cell r="M614" t="str">
            <v>Guessford-Kline</v>
          </cell>
          <cell r="N614" t="str">
            <v/>
          </cell>
          <cell r="O614" t="str">
            <v>09</v>
          </cell>
          <cell r="P614" t="str">
            <v/>
          </cell>
          <cell r="Q614" t="str">
            <v/>
          </cell>
          <cell r="R614" t="str">
            <v>MD</v>
          </cell>
          <cell r="S614">
            <v>50000</v>
          </cell>
          <cell r="T614" t="str">
            <v>HMO/PPO/POS</v>
          </cell>
          <cell r="U614" t="str">
            <v>BFF6/CFF6</v>
          </cell>
          <cell r="V614" t="str">
            <v/>
          </cell>
          <cell r="W614" t="str">
            <v/>
          </cell>
          <cell r="X614">
            <v>1</v>
          </cell>
        </row>
        <row r="615">
          <cell r="A615" t="str">
            <v>0KMP</v>
          </cell>
          <cell r="B615" t="str">
            <v xml:space="preserve">Trinity Technology Group, Inc.                    </v>
          </cell>
          <cell r="C615" t="str">
            <v/>
          </cell>
          <cell r="D615" t="str">
            <v>McCourt</v>
          </cell>
          <cell r="E615" t="str">
            <v>Mugo</v>
          </cell>
          <cell r="F615" t="str">
            <v>03</v>
          </cell>
          <cell r="G615" t="str">
            <v>N</v>
          </cell>
          <cell r="H615" t="str">
            <v/>
          </cell>
          <cell r="I615" t="str">
            <v>N</v>
          </cell>
          <cell r="J615" t="str">
            <v>Rates</v>
          </cell>
          <cell r="K615" t="str">
            <v/>
          </cell>
          <cell r="L615" t="str">
            <v>Fully</v>
          </cell>
          <cell r="M615" t="str">
            <v>Rand</v>
          </cell>
          <cell r="N615" t="str">
            <v/>
          </cell>
          <cell r="O615" t="str">
            <v>11</v>
          </cell>
          <cell r="P615" t="str">
            <v/>
          </cell>
          <cell r="Q615" t="str">
            <v/>
          </cell>
          <cell r="R615" t="str">
            <v>VA</v>
          </cell>
          <cell r="S615">
            <v>0</v>
          </cell>
          <cell r="T615" t="str">
            <v>POE: Dual Option POE package</v>
          </cell>
          <cell r="U615" t="str">
            <v>CFF5</v>
          </cell>
          <cell r="V615" t="str">
            <v>Y</v>
          </cell>
          <cell r="W615" t="str">
            <v>3/1/2005</v>
          </cell>
          <cell r="X615">
            <v>1</v>
          </cell>
        </row>
        <row r="616">
          <cell r="A616" t="str">
            <v>0C9T</v>
          </cell>
          <cell r="B616" t="str">
            <v>Tri-State Drywall, Inc.</v>
          </cell>
          <cell r="C616" t="str">
            <v/>
          </cell>
          <cell r="D616" t="str">
            <v>Keefer</v>
          </cell>
          <cell r="E616" t="str">
            <v>Newman</v>
          </cell>
          <cell r="F616" t="str">
            <v>01</v>
          </cell>
          <cell r="G616" t="str">
            <v>N</v>
          </cell>
          <cell r="H616" t="str">
            <v/>
          </cell>
          <cell r="I616" t="str">
            <v>N</v>
          </cell>
          <cell r="J616" t="str">
            <v>Rates</v>
          </cell>
          <cell r="K616" t="str">
            <v/>
          </cell>
          <cell r="L616" t="str">
            <v>Fully</v>
          </cell>
          <cell r="M616" t="str">
            <v>Cosby</v>
          </cell>
          <cell r="N616" t="str">
            <v/>
          </cell>
          <cell r="O616" t="str">
            <v>09</v>
          </cell>
          <cell r="P616" t="str">
            <v/>
          </cell>
          <cell r="Q616" t="str">
            <v/>
          </cell>
          <cell r="R616" t="str">
            <v>MD</v>
          </cell>
          <cell r="S616">
            <v>50000</v>
          </cell>
          <cell r="T616" t="str">
            <v>HMO Rx</v>
          </cell>
          <cell r="U616" t="str">
            <v>CFF6</v>
          </cell>
          <cell r="V616" t="str">
            <v>Y</v>
          </cell>
          <cell r="W616" t="str">
            <v>1/1/2005</v>
          </cell>
          <cell r="X616">
            <v>1</v>
          </cell>
        </row>
        <row r="617">
          <cell r="A617" t="str">
            <v>7H35</v>
          </cell>
          <cell r="B617" t="str">
            <v xml:space="preserve">Triton Services, Inc.                             </v>
          </cell>
          <cell r="C617" t="str">
            <v/>
          </cell>
          <cell r="D617" t="str">
            <v>Keefer</v>
          </cell>
          <cell r="E617" t="str">
            <v>Newman</v>
          </cell>
          <cell r="F617" t="str">
            <v>02</v>
          </cell>
          <cell r="G617" t="str">
            <v>N</v>
          </cell>
          <cell r="H617" t="str">
            <v/>
          </cell>
          <cell r="I617" t="str">
            <v>N</v>
          </cell>
          <cell r="J617" t="str">
            <v>Rates</v>
          </cell>
          <cell r="K617" t="str">
            <v/>
          </cell>
          <cell r="L617" t="str">
            <v>Fully</v>
          </cell>
          <cell r="M617" t="str">
            <v>Wise</v>
          </cell>
          <cell r="N617" t="str">
            <v/>
          </cell>
          <cell r="O617" t="str">
            <v>10</v>
          </cell>
          <cell r="P617" t="str">
            <v/>
          </cell>
          <cell r="Q617" t="str">
            <v/>
          </cell>
          <cell r="R617" t="str">
            <v>MD</v>
          </cell>
          <cell r="S617">
            <v>50000</v>
          </cell>
          <cell r="T617" t="str">
            <v>HMO/PPO</v>
          </cell>
          <cell r="U617" t="str">
            <v>BFF6/CFF6</v>
          </cell>
          <cell r="V617" t="str">
            <v>Y</v>
          </cell>
          <cell r="W617" t="str">
            <v>2/1/2004</v>
          </cell>
          <cell r="X617">
            <v>1</v>
          </cell>
        </row>
        <row r="618">
          <cell r="A618" t="str">
            <v>4R40</v>
          </cell>
          <cell r="B618" t="str">
            <v xml:space="preserve">Trout Unlimited Inc.                              </v>
          </cell>
          <cell r="C618" t="str">
            <v/>
          </cell>
          <cell r="D618" t="str">
            <v>McCourt</v>
          </cell>
          <cell r="E618" t="str">
            <v>Slack</v>
          </cell>
          <cell r="F618" t="str">
            <v>08</v>
          </cell>
          <cell r="G618" t="str">
            <v>N</v>
          </cell>
          <cell r="H618" t="str">
            <v/>
          </cell>
          <cell r="I618" t="str">
            <v>N</v>
          </cell>
          <cell r="J618" t="str">
            <v>Rates</v>
          </cell>
          <cell r="K618" t="str">
            <v/>
          </cell>
          <cell r="L618" t="str">
            <v>Fully</v>
          </cell>
          <cell r="M618" t="str">
            <v>Henton-Davis</v>
          </cell>
          <cell r="N618" t="str">
            <v/>
          </cell>
          <cell r="O618" t="str">
            <v>04</v>
          </cell>
          <cell r="P618" t="str">
            <v>Slack</v>
          </cell>
          <cell r="Q618" t="str">
            <v/>
          </cell>
          <cell r="R618" t="str">
            <v>VA</v>
          </cell>
          <cell r="S618">
            <v>50000</v>
          </cell>
          <cell r="T618" t="str">
            <v>PPO</v>
          </cell>
          <cell r="U618" t="str">
            <v>BFF5</v>
          </cell>
          <cell r="V618" t="str">
            <v/>
          </cell>
          <cell r="W618" t="str">
            <v/>
          </cell>
          <cell r="X618">
            <v>1</v>
          </cell>
        </row>
        <row r="619">
          <cell r="A619" t="str">
            <v>YA78</v>
          </cell>
          <cell r="B619" t="str">
            <v>TW &amp; Company</v>
          </cell>
          <cell r="C619" t="str">
            <v/>
          </cell>
          <cell r="D619" t="str">
            <v>McCourt</v>
          </cell>
          <cell r="E619" t="str">
            <v>Slack</v>
          </cell>
          <cell r="F619" t="str">
            <v>12</v>
          </cell>
          <cell r="G619" t="str">
            <v>N</v>
          </cell>
          <cell r="H619" t="str">
            <v/>
          </cell>
          <cell r="I619" t="str">
            <v>N</v>
          </cell>
          <cell r="J619" t="str">
            <v>Rates</v>
          </cell>
          <cell r="K619" t="str">
            <v/>
          </cell>
          <cell r="L619" t="str">
            <v>Fully</v>
          </cell>
          <cell r="M619" t="str">
            <v>Savoca</v>
          </cell>
          <cell r="N619" t="str">
            <v/>
          </cell>
          <cell r="O619" t="str">
            <v>08</v>
          </cell>
          <cell r="P619" t="str">
            <v>Slack</v>
          </cell>
          <cell r="Q619" t="str">
            <v/>
          </cell>
          <cell r="R619" t="str">
            <v>DC</v>
          </cell>
          <cell r="S619">
            <v>50000</v>
          </cell>
          <cell r="T619" t="str">
            <v>HMO/PPO</v>
          </cell>
          <cell r="U619" t="str">
            <v>CFF5</v>
          </cell>
          <cell r="V619" t="str">
            <v/>
          </cell>
          <cell r="W619" t="str">
            <v/>
          </cell>
          <cell r="X619">
            <v>1</v>
          </cell>
        </row>
        <row r="620">
          <cell r="A620" t="str">
            <v>3D53</v>
          </cell>
          <cell r="B620" t="str">
            <v>TWD &amp; Associates Inc,.</v>
          </cell>
          <cell r="C620" t="str">
            <v/>
          </cell>
          <cell r="D620" t="str">
            <v>Keefer</v>
          </cell>
          <cell r="E620" t="str">
            <v>Newman</v>
          </cell>
          <cell r="F620" t="str">
            <v>10</v>
          </cell>
          <cell r="G620" t="str">
            <v>N</v>
          </cell>
          <cell r="H620" t="str">
            <v/>
          </cell>
          <cell r="I620" t="str">
            <v>N</v>
          </cell>
          <cell r="J620" t="str">
            <v>Rates</v>
          </cell>
          <cell r="K620" t="str">
            <v/>
          </cell>
          <cell r="L620" t="str">
            <v>Fully</v>
          </cell>
          <cell r="M620" t="str">
            <v>Chopper</v>
          </cell>
          <cell r="N620" t="str">
            <v>0</v>
          </cell>
          <cell r="O620" t="str">
            <v>06</v>
          </cell>
          <cell r="P620" t="str">
            <v>King, R.</v>
          </cell>
          <cell r="Q620" t="str">
            <v/>
          </cell>
          <cell r="R620" t="str">
            <v>VA</v>
          </cell>
          <cell r="S620">
            <v>50000</v>
          </cell>
          <cell r="T620" t="str">
            <v>PPO/HMO/POS</v>
          </cell>
          <cell r="U620" t="str">
            <v>BFF5/CFF5</v>
          </cell>
          <cell r="V620" t="str">
            <v/>
          </cell>
          <cell r="W620" t="str">
            <v/>
          </cell>
          <cell r="X620">
            <v>1</v>
          </cell>
        </row>
        <row r="621">
          <cell r="A621" t="str">
            <v>0D63</v>
          </cell>
          <cell r="B621" t="str">
            <v>U.S. Institute of Peace</v>
          </cell>
          <cell r="C621" t="str">
            <v/>
          </cell>
          <cell r="D621" t="str">
            <v>McCourt</v>
          </cell>
          <cell r="E621" t="str">
            <v>Rutkowski</v>
          </cell>
          <cell r="F621" t="str">
            <v>03</v>
          </cell>
          <cell r="G621" t="str">
            <v>N</v>
          </cell>
          <cell r="H621" t="str">
            <v/>
          </cell>
          <cell r="I621" t="str">
            <v>N</v>
          </cell>
          <cell r="J621" t="str">
            <v>Rates</v>
          </cell>
          <cell r="K621" t="str">
            <v/>
          </cell>
          <cell r="L621" t="str">
            <v>Fully</v>
          </cell>
          <cell r="M621" t="str">
            <v>Savoca</v>
          </cell>
          <cell r="N621" t="str">
            <v/>
          </cell>
          <cell r="O621" t="str">
            <v>11</v>
          </cell>
          <cell r="P621" t="str">
            <v>Rutkowski</v>
          </cell>
          <cell r="Q621" t="str">
            <v/>
          </cell>
          <cell r="R621" t="str">
            <v>DC</v>
          </cell>
          <cell r="S621">
            <v>50000</v>
          </cell>
          <cell r="T621" t="str">
            <v>POS</v>
          </cell>
          <cell r="U621" t="str">
            <v>BFF5</v>
          </cell>
          <cell r="V621" t="str">
            <v/>
          </cell>
          <cell r="W621" t="str">
            <v/>
          </cell>
          <cell r="X621">
            <v>1</v>
          </cell>
        </row>
        <row r="622">
          <cell r="A622" t="str">
            <v>MP88</v>
          </cell>
          <cell r="B622" t="str">
            <v>UFCW</v>
          </cell>
          <cell r="C622" t="str">
            <v/>
          </cell>
          <cell r="D622" t="str">
            <v>McCourt</v>
          </cell>
          <cell r="E622" t="str">
            <v>Rutkowski</v>
          </cell>
          <cell r="F622" t="str">
            <v>01</v>
          </cell>
          <cell r="G622" t="str">
            <v>N</v>
          </cell>
          <cell r="H622" t="str">
            <v/>
          </cell>
          <cell r="I622" t="str">
            <v>N</v>
          </cell>
          <cell r="J622" t="str">
            <v>Rates</v>
          </cell>
          <cell r="K622" t="str">
            <v/>
          </cell>
          <cell r="L622" t="str">
            <v>Fully</v>
          </cell>
          <cell r="M622" t="str">
            <v>Phillips</v>
          </cell>
          <cell r="N622" t="str">
            <v/>
          </cell>
          <cell r="O622" t="str">
            <v>09</v>
          </cell>
          <cell r="P622" t="str">
            <v>Rutkowski</v>
          </cell>
          <cell r="Q622" t="str">
            <v/>
          </cell>
          <cell r="R622" t="str">
            <v>DC</v>
          </cell>
          <cell r="S622">
            <v>50000</v>
          </cell>
          <cell r="T622" t="str">
            <v>HMO</v>
          </cell>
          <cell r="U622" t="str">
            <v>CFF5</v>
          </cell>
          <cell r="V622" t="str">
            <v/>
          </cell>
          <cell r="W622" t="str">
            <v/>
          </cell>
          <cell r="X622">
            <v>1</v>
          </cell>
        </row>
        <row r="623">
          <cell r="A623" t="str">
            <v>3F77</v>
          </cell>
          <cell r="B623" t="str">
            <v>Unified Industries, Inc</v>
          </cell>
          <cell r="C623" t="str">
            <v/>
          </cell>
          <cell r="D623" t="str">
            <v>Keefer</v>
          </cell>
          <cell r="E623" t="str">
            <v>Padrutt</v>
          </cell>
          <cell r="F623" t="str">
            <v>03</v>
          </cell>
          <cell r="G623" t="str">
            <v>N</v>
          </cell>
          <cell r="H623" t="str">
            <v/>
          </cell>
          <cell r="I623" t="str">
            <v>N</v>
          </cell>
          <cell r="J623" t="str">
            <v>Rates</v>
          </cell>
          <cell r="K623" t="str">
            <v/>
          </cell>
          <cell r="L623" t="str">
            <v>Fully</v>
          </cell>
          <cell r="M623" t="str">
            <v>Savoca</v>
          </cell>
          <cell r="N623" t="str">
            <v>0</v>
          </cell>
          <cell r="O623" t="str">
            <v>11</v>
          </cell>
          <cell r="P623" t="str">
            <v>Padrutt</v>
          </cell>
          <cell r="Q623" t="str">
            <v/>
          </cell>
          <cell r="R623" t="str">
            <v>VA</v>
          </cell>
          <cell r="S623">
            <v>50000</v>
          </cell>
          <cell r="T623" t="str">
            <v>HMO/PPO/POS</v>
          </cell>
          <cell r="U623" t="str">
            <v>BFF6/CFF6</v>
          </cell>
          <cell r="V623" t="str">
            <v/>
          </cell>
          <cell r="W623" t="str">
            <v/>
          </cell>
          <cell r="X623">
            <v>1</v>
          </cell>
        </row>
        <row r="624">
          <cell r="A624" t="str">
            <v>7L44</v>
          </cell>
          <cell r="B624" t="str">
            <v>United Cerebral Palsy of Washington</v>
          </cell>
          <cell r="C624" t="str">
            <v/>
          </cell>
          <cell r="D624" t="str">
            <v>Keefer</v>
          </cell>
          <cell r="E624" t="str">
            <v>Padrutt</v>
          </cell>
          <cell r="F624" t="str">
            <v>01</v>
          </cell>
          <cell r="G624" t="str">
            <v>N</v>
          </cell>
          <cell r="H624" t="str">
            <v>N</v>
          </cell>
          <cell r="I624" t="str">
            <v>N</v>
          </cell>
          <cell r="J624" t="str">
            <v>Rates</v>
          </cell>
          <cell r="K624" t="str">
            <v>0</v>
          </cell>
          <cell r="L624" t="str">
            <v>Fully</v>
          </cell>
          <cell r="M624" t="str">
            <v>Grabarek</v>
          </cell>
          <cell r="N624" t="str">
            <v/>
          </cell>
          <cell r="O624" t="str">
            <v>09</v>
          </cell>
          <cell r="P624" t="str">
            <v>Padrutt</v>
          </cell>
          <cell r="Q624" t="str">
            <v/>
          </cell>
          <cell r="R624" t="str">
            <v>DC</v>
          </cell>
          <cell r="S624">
            <v>50000</v>
          </cell>
          <cell r="T624" t="str">
            <v>POS HMO PPO RX</v>
          </cell>
          <cell r="U624" t="str">
            <v>CFF5 BFF5</v>
          </cell>
          <cell r="V624" t="str">
            <v>Y</v>
          </cell>
          <cell r="W624" t="str">
            <v>1/1/2005</v>
          </cell>
          <cell r="X624">
            <v>1</v>
          </cell>
        </row>
        <row r="625">
          <cell r="A625" t="str">
            <v>3M18</v>
          </cell>
          <cell r="B625" t="str">
            <v>United Communications Group</v>
          </cell>
          <cell r="C625" t="str">
            <v/>
          </cell>
          <cell r="D625" t="str">
            <v>McCourt</v>
          </cell>
          <cell r="E625" t="str">
            <v>Slack</v>
          </cell>
          <cell r="F625" t="str">
            <v>05</v>
          </cell>
          <cell r="G625" t="str">
            <v>N</v>
          </cell>
          <cell r="H625" t="str">
            <v/>
          </cell>
          <cell r="I625" t="str">
            <v>N</v>
          </cell>
          <cell r="J625" t="str">
            <v>Rates</v>
          </cell>
          <cell r="K625" t="str">
            <v/>
          </cell>
          <cell r="L625" t="str">
            <v>Fully</v>
          </cell>
          <cell r="M625" t="str">
            <v>Dunn</v>
          </cell>
          <cell r="N625" t="str">
            <v>0</v>
          </cell>
          <cell r="O625" t="str">
            <v>01</v>
          </cell>
          <cell r="P625" t="str">
            <v>Slack</v>
          </cell>
          <cell r="Q625" t="str">
            <v/>
          </cell>
          <cell r="R625" t="str">
            <v>MD</v>
          </cell>
          <cell r="S625">
            <v>100000</v>
          </cell>
          <cell r="T625" t="str">
            <v>PPO/POS/HMO</v>
          </cell>
          <cell r="U625" t="str">
            <v>BFF7/CFF7</v>
          </cell>
          <cell r="V625" t="str">
            <v/>
          </cell>
          <cell r="W625" t="str">
            <v/>
          </cell>
          <cell r="X625">
            <v>1</v>
          </cell>
        </row>
        <row r="626">
          <cell r="A626" t="str">
            <v>WA97</v>
          </cell>
          <cell r="B626" t="str">
            <v xml:space="preserve">United Educators Management Company               </v>
          </cell>
          <cell r="C626" t="str">
            <v/>
          </cell>
          <cell r="D626" t="str">
            <v>Keefer</v>
          </cell>
          <cell r="E626" t="str">
            <v>LaTouche</v>
          </cell>
          <cell r="F626" t="str">
            <v>12</v>
          </cell>
          <cell r="G626" t="str">
            <v>N</v>
          </cell>
          <cell r="H626" t="str">
            <v/>
          </cell>
          <cell r="I626" t="str">
            <v>N</v>
          </cell>
          <cell r="J626" t="str">
            <v>Rates</v>
          </cell>
          <cell r="K626" t="str">
            <v/>
          </cell>
          <cell r="L626" t="str">
            <v>Fully</v>
          </cell>
          <cell r="M626" t="str">
            <v>Henton-Davis</v>
          </cell>
          <cell r="N626" t="str">
            <v/>
          </cell>
          <cell r="O626" t="str">
            <v>08</v>
          </cell>
          <cell r="P626" t="str">
            <v>LaTouche</v>
          </cell>
          <cell r="Q626" t="str">
            <v/>
          </cell>
          <cell r="R626" t="str">
            <v>MD</v>
          </cell>
          <cell r="S626">
            <v>50000</v>
          </cell>
          <cell r="T626" t="str">
            <v>POS/PPO/HMO</v>
          </cell>
          <cell r="U626" t="str">
            <v>BFF5/CFF5</v>
          </cell>
          <cell r="V626" t="str">
            <v/>
          </cell>
          <cell r="W626" t="str">
            <v/>
          </cell>
          <cell r="X626">
            <v>1</v>
          </cell>
        </row>
        <row r="627">
          <cell r="A627" t="str">
            <v>3G68</v>
          </cell>
          <cell r="B627" t="str">
            <v>United Nations Foundation</v>
          </cell>
          <cell r="C627" t="str">
            <v/>
          </cell>
          <cell r="D627" t="str">
            <v>McCourt</v>
          </cell>
          <cell r="E627" t="str">
            <v>Rutkowski</v>
          </cell>
          <cell r="F627" t="str">
            <v>04</v>
          </cell>
          <cell r="G627" t="str">
            <v>N</v>
          </cell>
          <cell r="H627" t="str">
            <v/>
          </cell>
          <cell r="I627" t="str">
            <v>N</v>
          </cell>
          <cell r="J627" t="str">
            <v>Rates</v>
          </cell>
          <cell r="K627" t="str">
            <v/>
          </cell>
          <cell r="L627" t="str">
            <v>Fully</v>
          </cell>
          <cell r="M627" t="str">
            <v>Dodds</v>
          </cell>
          <cell r="N627" t="str">
            <v>0</v>
          </cell>
          <cell r="O627" t="str">
            <v>12</v>
          </cell>
          <cell r="P627" t="str">
            <v>Rutkowski</v>
          </cell>
          <cell r="Q627" t="str">
            <v/>
          </cell>
          <cell r="R627" t="str">
            <v>DC</v>
          </cell>
          <cell r="S627">
            <v>50000</v>
          </cell>
          <cell r="T627" t="str">
            <v>HMO/POS/PPO</v>
          </cell>
          <cell r="U627" t="str">
            <v>BFF5/CFF5</v>
          </cell>
          <cell r="V627" t="str">
            <v/>
          </cell>
          <cell r="W627" t="str">
            <v/>
          </cell>
          <cell r="X627">
            <v>1</v>
          </cell>
        </row>
        <row r="628">
          <cell r="A628" t="str">
            <v>4L32</v>
          </cell>
          <cell r="B628" t="str">
            <v>United Press International</v>
          </cell>
          <cell r="C628" t="str">
            <v/>
          </cell>
          <cell r="D628" t="str">
            <v>McCourt</v>
          </cell>
          <cell r="E628" t="str">
            <v>Mugo</v>
          </cell>
          <cell r="F628" t="str">
            <v>06</v>
          </cell>
          <cell r="G628" t="str">
            <v>N</v>
          </cell>
          <cell r="H628" t="str">
            <v/>
          </cell>
          <cell r="I628" t="str">
            <v>N</v>
          </cell>
          <cell r="J628" t="str">
            <v>Rates</v>
          </cell>
          <cell r="K628" t="str">
            <v/>
          </cell>
          <cell r="L628" t="str">
            <v>Fully</v>
          </cell>
          <cell r="M628" t="str">
            <v>Dodds</v>
          </cell>
          <cell r="N628" t="str">
            <v>0</v>
          </cell>
          <cell r="O628" t="str">
            <v>02</v>
          </cell>
          <cell r="P628" t="str">
            <v>Batist</v>
          </cell>
          <cell r="Q628" t="str">
            <v/>
          </cell>
          <cell r="R628" t="str">
            <v>DC</v>
          </cell>
          <cell r="S628">
            <v>50000</v>
          </cell>
          <cell r="T628" t="str">
            <v>PPO</v>
          </cell>
          <cell r="U628" t="str">
            <v>BFF5</v>
          </cell>
          <cell r="V628" t="str">
            <v/>
          </cell>
          <cell r="W628" t="str">
            <v/>
          </cell>
          <cell r="X628">
            <v>1</v>
          </cell>
        </row>
        <row r="629">
          <cell r="A629" t="str">
            <v>7H88</v>
          </cell>
          <cell r="B629" t="str">
            <v>United States Service Industries</v>
          </cell>
          <cell r="C629" t="str">
            <v/>
          </cell>
          <cell r="D629" t="str">
            <v>Keefer</v>
          </cell>
          <cell r="E629" t="str">
            <v>Anderson</v>
          </cell>
          <cell r="F629" t="str">
            <v>10</v>
          </cell>
          <cell r="G629" t="str">
            <v/>
          </cell>
          <cell r="H629" t="str">
            <v/>
          </cell>
          <cell r="I629" t="str">
            <v/>
          </cell>
          <cell r="J629" t="str">
            <v>Rates</v>
          </cell>
          <cell r="K629" t="str">
            <v/>
          </cell>
          <cell r="L629" t="str">
            <v>Fully</v>
          </cell>
          <cell r="M629" t="str">
            <v>Henton-Davis</v>
          </cell>
          <cell r="N629" t="str">
            <v/>
          </cell>
          <cell r="O629" t="str">
            <v>06</v>
          </cell>
          <cell r="P629" t="str">
            <v/>
          </cell>
          <cell r="Q629" t="str">
            <v/>
          </cell>
          <cell r="R629" t="str">
            <v>DC</v>
          </cell>
          <cell r="S629">
            <v>50000</v>
          </cell>
          <cell r="T629" t="str">
            <v>HMO OA PPO Rx</v>
          </cell>
          <cell r="U629" t="str">
            <v>BFF5 CFF5</v>
          </cell>
          <cell r="V629" t="str">
            <v>Y</v>
          </cell>
          <cell r="W629" t="str">
            <v>10/1/2004</v>
          </cell>
          <cell r="X629">
            <v>1</v>
          </cell>
        </row>
        <row r="630">
          <cell r="A630" t="str">
            <v>3M91</v>
          </cell>
          <cell r="B630" t="str">
            <v>United States Telecom Association</v>
          </cell>
          <cell r="C630" t="str">
            <v/>
          </cell>
          <cell r="D630" t="str">
            <v>Keefer</v>
          </cell>
          <cell r="E630" t="str">
            <v>Burba</v>
          </cell>
          <cell r="F630" t="str">
            <v>01</v>
          </cell>
          <cell r="G630" t="str">
            <v>N</v>
          </cell>
          <cell r="H630" t="str">
            <v/>
          </cell>
          <cell r="I630" t="str">
            <v>N</v>
          </cell>
          <cell r="J630" t="str">
            <v>Rates</v>
          </cell>
          <cell r="K630" t="str">
            <v/>
          </cell>
          <cell r="L630" t="str">
            <v>Fully</v>
          </cell>
          <cell r="M630" t="str">
            <v>Guessford-Kline</v>
          </cell>
          <cell r="N630" t="str">
            <v/>
          </cell>
          <cell r="O630" t="str">
            <v>09</v>
          </cell>
          <cell r="P630" t="str">
            <v/>
          </cell>
          <cell r="Q630" t="str">
            <v/>
          </cell>
          <cell r="R630" t="str">
            <v>DC</v>
          </cell>
          <cell r="S630">
            <v>50000</v>
          </cell>
          <cell r="T630" t="str">
            <v>HMO/PPO</v>
          </cell>
          <cell r="U630" t="str">
            <v>BFF5/CFF5</v>
          </cell>
          <cell r="V630" t="str">
            <v/>
          </cell>
          <cell r="W630" t="str">
            <v/>
          </cell>
          <cell r="X630">
            <v>1</v>
          </cell>
        </row>
        <row r="631">
          <cell r="A631" t="str">
            <v>BVZ7</v>
          </cell>
          <cell r="B631" t="str">
            <v>Unity Acquisition Company</v>
          </cell>
          <cell r="C631" t="str">
            <v/>
          </cell>
          <cell r="D631" t="str">
            <v>Keefer</v>
          </cell>
          <cell r="E631" t="str">
            <v>Anderson</v>
          </cell>
          <cell r="F631" t="str">
            <v>01</v>
          </cell>
          <cell r="G631" t="str">
            <v/>
          </cell>
          <cell r="H631" t="str">
            <v/>
          </cell>
          <cell r="I631" t="str">
            <v/>
          </cell>
          <cell r="J631" t="str">
            <v>Rates</v>
          </cell>
          <cell r="K631" t="str">
            <v/>
          </cell>
          <cell r="L631" t="str">
            <v>Fully</v>
          </cell>
          <cell r="M631" t="str">
            <v>Rand</v>
          </cell>
          <cell r="N631" t="str">
            <v/>
          </cell>
          <cell r="O631" t="str">
            <v>09</v>
          </cell>
          <cell r="P631" t="str">
            <v/>
          </cell>
          <cell r="Q631" t="str">
            <v/>
          </cell>
          <cell r="R631" t="str">
            <v>MD</v>
          </cell>
          <cell r="S631">
            <v>50000</v>
          </cell>
          <cell r="T631" t="str">
            <v>PPO17 Rx</v>
          </cell>
          <cell r="U631" t="str">
            <v>BFF5</v>
          </cell>
          <cell r="V631" t="str">
            <v>Y</v>
          </cell>
          <cell r="W631" t="str">
            <v>1/1/2005</v>
          </cell>
          <cell r="X631">
            <v>1</v>
          </cell>
        </row>
        <row r="632">
          <cell r="A632" t="str">
            <v>PN02</v>
          </cell>
          <cell r="B632" t="str">
            <v>Universal Hi-Tech Development   Inc.</v>
          </cell>
          <cell r="C632" t="str">
            <v/>
          </cell>
          <cell r="D632" t="str">
            <v>Keefer</v>
          </cell>
          <cell r="E632" t="str">
            <v>Johnson</v>
          </cell>
          <cell r="F632" t="str">
            <v>11</v>
          </cell>
          <cell r="G632" t="str">
            <v>N</v>
          </cell>
          <cell r="H632" t="str">
            <v>N</v>
          </cell>
          <cell r="I632" t="str">
            <v>N</v>
          </cell>
          <cell r="J632" t="str">
            <v>Rates</v>
          </cell>
          <cell r="K632" t="str">
            <v/>
          </cell>
          <cell r="L632" t="str">
            <v>Fully</v>
          </cell>
          <cell r="M632" t="str">
            <v>Dodds</v>
          </cell>
          <cell r="N632" t="str">
            <v>0</v>
          </cell>
          <cell r="O632" t="str">
            <v>07</v>
          </cell>
          <cell r="P632" t="str">
            <v>Montgomery</v>
          </cell>
          <cell r="Q632" t="str">
            <v/>
          </cell>
          <cell r="R632" t="str">
            <v>MD</v>
          </cell>
          <cell r="S632">
            <v>50000</v>
          </cell>
          <cell r="T632" t="str">
            <v>POS</v>
          </cell>
          <cell r="U632" t="str">
            <v>BFF6</v>
          </cell>
          <cell r="V632" t="str">
            <v/>
          </cell>
          <cell r="W632" t="str">
            <v/>
          </cell>
          <cell r="X632">
            <v>1</v>
          </cell>
        </row>
        <row r="633">
          <cell r="A633" t="str">
            <v>UV52</v>
          </cell>
          <cell r="B633" t="str">
            <v xml:space="preserve">Universal Title, LLC                              </v>
          </cell>
          <cell r="C633" t="str">
            <v/>
          </cell>
          <cell r="D633" t="str">
            <v>Keefer</v>
          </cell>
          <cell r="E633" t="str">
            <v>Burba</v>
          </cell>
          <cell r="F633" t="str">
            <v>11</v>
          </cell>
          <cell r="G633" t="str">
            <v>N</v>
          </cell>
          <cell r="H633" t="str">
            <v/>
          </cell>
          <cell r="I633" t="str">
            <v>N</v>
          </cell>
          <cell r="J633" t="str">
            <v>Rates</v>
          </cell>
          <cell r="K633" t="str">
            <v/>
          </cell>
          <cell r="L633" t="str">
            <v>Fully</v>
          </cell>
          <cell r="M633" t="str">
            <v>Henton-Davis</v>
          </cell>
          <cell r="N633" t="str">
            <v/>
          </cell>
          <cell r="O633" t="str">
            <v>07</v>
          </cell>
          <cell r="P633" t="str">
            <v/>
          </cell>
          <cell r="Q633" t="str">
            <v/>
          </cell>
          <cell r="R633" t="str">
            <v>MD</v>
          </cell>
          <cell r="S633">
            <v>50000</v>
          </cell>
          <cell r="T633" t="str">
            <v>POS/HMO/PPO</v>
          </cell>
          <cell r="U633" t="str">
            <v>BFF5/CFF5</v>
          </cell>
          <cell r="V633" t="str">
            <v/>
          </cell>
          <cell r="W633" t="str">
            <v/>
          </cell>
          <cell r="X633">
            <v>1</v>
          </cell>
        </row>
        <row r="634">
          <cell r="A634" t="str">
            <v>MD55</v>
          </cell>
          <cell r="B634" t="str">
            <v>University Club of Washington (The)</v>
          </cell>
          <cell r="C634" t="str">
            <v/>
          </cell>
          <cell r="D634" t="str">
            <v>McCourt</v>
          </cell>
          <cell r="E634" t="str">
            <v>Slack</v>
          </cell>
          <cell r="F634" t="str">
            <v>09</v>
          </cell>
          <cell r="G634" t="str">
            <v>N</v>
          </cell>
          <cell r="H634" t="str">
            <v>N</v>
          </cell>
          <cell r="I634" t="str">
            <v>N</v>
          </cell>
          <cell r="J634" t="str">
            <v>Rates</v>
          </cell>
          <cell r="K634" t="str">
            <v/>
          </cell>
          <cell r="L634" t="str">
            <v>Fully</v>
          </cell>
          <cell r="M634" t="str">
            <v>Guessford-Kline</v>
          </cell>
          <cell r="N634" t="str">
            <v>0</v>
          </cell>
          <cell r="O634" t="str">
            <v>05</v>
          </cell>
          <cell r="P634" t="str">
            <v>Slack</v>
          </cell>
          <cell r="Q634" t="str">
            <v/>
          </cell>
          <cell r="R634" t="str">
            <v>DC</v>
          </cell>
          <cell r="S634">
            <v>50000</v>
          </cell>
          <cell r="T634" t="str">
            <v>POS/HMO</v>
          </cell>
          <cell r="U634" t="str">
            <v>CFF6</v>
          </cell>
          <cell r="V634" t="str">
            <v/>
          </cell>
          <cell r="W634" t="str">
            <v/>
          </cell>
          <cell r="X634">
            <v>1</v>
          </cell>
        </row>
        <row r="635">
          <cell r="A635" t="str">
            <v>QR40</v>
          </cell>
          <cell r="B635" t="str">
            <v>University Research Co., LLC</v>
          </cell>
          <cell r="C635" t="str">
            <v/>
          </cell>
          <cell r="D635" t="str">
            <v>Keefer</v>
          </cell>
          <cell r="E635" t="str">
            <v>Burba</v>
          </cell>
          <cell r="F635" t="str">
            <v>12</v>
          </cell>
          <cell r="G635" t="str">
            <v>N</v>
          </cell>
          <cell r="H635" t="str">
            <v/>
          </cell>
          <cell r="I635" t="str">
            <v>N</v>
          </cell>
          <cell r="J635" t="str">
            <v>Rates</v>
          </cell>
          <cell r="K635" t="str">
            <v/>
          </cell>
          <cell r="L635" t="str">
            <v>Fully</v>
          </cell>
          <cell r="M635" t="str">
            <v>Swears</v>
          </cell>
          <cell r="N635" t="str">
            <v/>
          </cell>
          <cell r="O635" t="str">
            <v>08</v>
          </cell>
          <cell r="P635" t="str">
            <v>Padrutt</v>
          </cell>
          <cell r="Q635" t="str">
            <v/>
          </cell>
          <cell r="R635" t="str">
            <v>MD</v>
          </cell>
          <cell r="S635">
            <v>50000</v>
          </cell>
          <cell r="T635" t="str">
            <v>PPO/POS/HMO</v>
          </cell>
          <cell r="U635" t="str">
            <v>BFF6/CFF6</v>
          </cell>
          <cell r="V635" t="str">
            <v>Y</v>
          </cell>
          <cell r="W635" t="str">
            <v>12/1/2002</v>
          </cell>
          <cell r="X635">
            <v>1</v>
          </cell>
        </row>
        <row r="636">
          <cell r="A636" t="str">
            <v>WV51</v>
          </cell>
          <cell r="B636" t="str">
            <v xml:space="preserve">US Civilian Research &amp; Development Foundation     </v>
          </cell>
          <cell r="C636" t="str">
            <v/>
          </cell>
          <cell r="D636" t="str">
            <v>Keefer</v>
          </cell>
          <cell r="E636" t="str">
            <v>LaTouche</v>
          </cell>
          <cell r="F636" t="str">
            <v>01</v>
          </cell>
          <cell r="G636" t="str">
            <v>N</v>
          </cell>
          <cell r="H636" t="str">
            <v/>
          </cell>
          <cell r="I636" t="str">
            <v>N</v>
          </cell>
          <cell r="J636" t="str">
            <v>Rates</v>
          </cell>
          <cell r="K636" t="str">
            <v/>
          </cell>
          <cell r="L636" t="str">
            <v>Fully</v>
          </cell>
          <cell r="M636" t="str">
            <v>Swears</v>
          </cell>
          <cell r="N636" t="str">
            <v/>
          </cell>
          <cell r="O636" t="str">
            <v>09</v>
          </cell>
          <cell r="P636" t="str">
            <v>LaTouche</v>
          </cell>
          <cell r="Q636" t="str">
            <v/>
          </cell>
          <cell r="R636" t="str">
            <v>VA</v>
          </cell>
          <cell r="S636">
            <v>50000</v>
          </cell>
          <cell r="T636" t="str">
            <v>PPO/OA</v>
          </cell>
          <cell r="U636" t="str">
            <v>BFF5/CFF5</v>
          </cell>
          <cell r="V636" t="str">
            <v/>
          </cell>
          <cell r="W636" t="str">
            <v/>
          </cell>
          <cell r="X636">
            <v>1</v>
          </cell>
        </row>
        <row r="637">
          <cell r="A637" t="str">
            <v>6T03</v>
          </cell>
          <cell r="B637" t="str">
            <v>US Holocaust Museum</v>
          </cell>
          <cell r="C637" t="str">
            <v/>
          </cell>
          <cell r="D637" t="str">
            <v>Keefer</v>
          </cell>
          <cell r="E637" t="str">
            <v>Anderson</v>
          </cell>
          <cell r="F637" t="str">
            <v>10</v>
          </cell>
          <cell r="G637" t="str">
            <v>N</v>
          </cell>
          <cell r="H637" t="str">
            <v/>
          </cell>
          <cell r="I637" t="str">
            <v>N</v>
          </cell>
          <cell r="J637" t="str">
            <v>Rates</v>
          </cell>
          <cell r="K637" t="str">
            <v/>
          </cell>
          <cell r="L637" t="str">
            <v>Fully</v>
          </cell>
          <cell r="M637" t="str">
            <v>Henton-Davis</v>
          </cell>
          <cell r="N637" t="str">
            <v/>
          </cell>
          <cell r="O637" t="str">
            <v>06</v>
          </cell>
          <cell r="P637" t="str">
            <v/>
          </cell>
          <cell r="Q637" t="str">
            <v/>
          </cell>
          <cell r="R637" t="str">
            <v>DC</v>
          </cell>
          <cell r="S637">
            <v>50000</v>
          </cell>
          <cell r="T637" t="str">
            <v>PPO HMO Rx D</v>
          </cell>
          <cell r="U637" t="str">
            <v>BFF6/CFF6</v>
          </cell>
          <cell r="V637" t="str">
            <v>Y</v>
          </cell>
          <cell r="W637" t="str">
            <v>11/1/2002</v>
          </cell>
          <cell r="X637">
            <v>1</v>
          </cell>
        </row>
        <row r="638">
          <cell r="A638" t="str">
            <v>6P87</v>
          </cell>
          <cell r="B638" t="str">
            <v>US Public Interest Research Group</v>
          </cell>
          <cell r="C638" t="str">
            <v/>
          </cell>
          <cell r="D638" t="str">
            <v>Keefer</v>
          </cell>
          <cell r="E638" t="str">
            <v>Anderson</v>
          </cell>
          <cell r="F638" t="str">
            <v>03</v>
          </cell>
          <cell r="G638" t="str">
            <v>N</v>
          </cell>
          <cell r="H638" t="str">
            <v/>
          </cell>
          <cell r="I638" t="str">
            <v>N</v>
          </cell>
          <cell r="J638" t="str">
            <v>Rates</v>
          </cell>
          <cell r="K638" t="str">
            <v/>
          </cell>
          <cell r="L638" t="str">
            <v>Fully</v>
          </cell>
          <cell r="M638" t="str">
            <v>Dodds</v>
          </cell>
          <cell r="N638" t="str">
            <v/>
          </cell>
          <cell r="O638" t="str">
            <v>11</v>
          </cell>
          <cell r="P638" t="str">
            <v/>
          </cell>
          <cell r="Q638" t="str">
            <v/>
          </cell>
          <cell r="R638" t="str">
            <v>DC</v>
          </cell>
          <cell r="S638">
            <v>50000</v>
          </cell>
          <cell r="T638" t="str">
            <v>PPO HMO Rx</v>
          </cell>
          <cell r="U638" t="str">
            <v>BFF5/CFF5</v>
          </cell>
          <cell r="V638" t="str">
            <v/>
          </cell>
          <cell r="W638" t="str">
            <v/>
          </cell>
          <cell r="X638">
            <v>1</v>
          </cell>
        </row>
        <row r="639">
          <cell r="A639" t="str">
            <v>4S27</v>
          </cell>
          <cell r="B639" t="str">
            <v>USEC Corporation</v>
          </cell>
          <cell r="C639" t="str">
            <v/>
          </cell>
          <cell r="D639" t="str">
            <v>Keefer</v>
          </cell>
          <cell r="E639" t="str">
            <v>Newman</v>
          </cell>
          <cell r="F639" t="str">
            <v>01</v>
          </cell>
          <cell r="G639" t="str">
            <v>N</v>
          </cell>
          <cell r="H639" t="str">
            <v/>
          </cell>
          <cell r="I639" t="str">
            <v>N</v>
          </cell>
          <cell r="J639" t="str">
            <v>Rates</v>
          </cell>
          <cell r="K639" t="str">
            <v/>
          </cell>
          <cell r="L639" t="str">
            <v>Fully</v>
          </cell>
          <cell r="M639" t="str">
            <v>Savoca</v>
          </cell>
          <cell r="N639" t="str">
            <v>0</v>
          </cell>
          <cell r="O639" t="str">
            <v>09</v>
          </cell>
          <cell r="P639" t="str">
            <v>King, R.</v>
          </cell>
          <cell r="Q639" t="str">
            <v/>
          </cell>
          <cell r="R639" t="str">
            <v>MD</v>
          </cell>
          <cell r="S639">
            <v>75000</v>
          </cell>
          <cell r="T639" t="str">
            <v>PPO POS HMO</v>
          </cell>
          <cell r="U639" t="str">
            <v>BFF7/CFF7</v>
          </cell>
          <cell r="V639" t="str">
            <v/>
          </cell>
          <cell r="W639" t="str">
            <v/>
          </cell>
          <cell r="X639">
            <v>1</v>
          </cell>
        </row>
        <row r="640">
          <cell r="A640" t="str">
            <v>7L38</v>
          </cell>
          <cell r="B640" t="str">
            <v>USProtect Corporation</v>
          </cell>
          <cell r="C640" t="str">
            <v/>
          </cell>
          <cell r="D640" t="str">
            <v>Keefer</v>
          </cell>
          <cell r="E640" t="str">
            <v>Anderson</v>
          </cell>
          <cell r="F640" t="str">
            <v>01</v>
          </cell>
          <cell r="G640" t="str">
            <v/>
          </cell>
          <cell r="H640" t="str">
            <v/>
          </cell>
          <cell r="I640" t="str">
            <v/>
          </cell>
          <cell r="J640" t="str">
            <v>Rates</v>
          </cell>
          <cell r="K640" t="str">
            <v/>
          </cell>
          <cell r="L640" t="str">
            <v>Fully</v>
          </cell>
          <cell r="M640" t="str">
            <v>Housman</v>
          </cell>
          <cell r="N640" t="str">
            <v/>
          </cell>
          <cell r="O640" t="str">
            <v>09</v>
          </cell>
          <cell r="P640" t="str">
            <v/>
          </cell>
          <cell r="Q640" t="str">
            <v/>
          </cell>
          <cell r="R640" t="str">
            <v>MD</v>
          </cell>
          <cell r="S640">
            <v>50000</v>
          </cell>
          <cell r="T640" t="str">
            <v>PPO Rx</v>
          </cell>
          <cell r="U640" t="str">
            <v>BFF7</v>
          </cell>
          <cell r="V640" t="str">
            <v>Y</v>
          </cell>
          <cell r="W640" t="str">
            <v>1/1/2005</v>
          </cell>
          <cell r="X640">
            <v>1</v>
          </cell>
        </row>
        <row r="641">
          <cell r="A641" t="str">
            <v>UP37</v>
          </cell>
          <cell r="B641" t="str">
            <v xml:space="preserve">Van Scoyoc Assoc., Inc.                           </v>
          </cell>
          <cell r="C641" t="str">
            <v/>
          </cell>
          <cell r="D641" t="str">
            <v>Keefer</v>
          </cell>
          <cell r="E641" t="str">
            <v>Anderson</v>
          </cell>
          <cell r="F641" t="str">
            <v>09</v>
          </cell>
          <cell r="G641" t="str">
            <v>N</v>
          </cell>
          <cell r="H641" t="str">
            <v/>
          </cell>
          <cell r="I641" t="str">
            <v>N</v>
          </cell>
          <cell r="J641" t="str">
            <v>Rates</v>
          </cell>
          <cell r="K641" t="str">
            <v/>
          </cell>
          <cell r="L641" t="str">
            <v>Fully</v>
          </cell>
          <cell r="M641" t="str">
            <v>Swears</v>
          </cell>
          <cell r="N641" t="str">
            <v/>
          </cell>
          <cell r="O641" t="str">
            <v>05</v>
          </cell>
          <cell r="P641" t="str">
            <v/>
          </cell>
          <cell r="Q641" t="str">
            <v/>
          </cell>
          <cell r="R641" t="str">
            <v>DC</v>
          </cell>
          <cell r="S641">
            <v>50000</v>
          </cell>
          <cell r="T641" t="str">
            <v>PPO HMO Rx</v>
          </cell>
          <cell r="U641" t="str">
            <v>BFF5/CFF5</v>
          </cell>
          <cell r="V641" t="str">
            <v>Y</v>
          </cell>
          <cell r="W641" t="str">
            <v>9/1/2002</v>
          </cell>
          <cell r="X641">
            <v>1</v>
          </cell>
        </row>
        <row r="642">
          <cell r="A642" t="str">
            <v>SE49</v>
          </cell>
          <cell r="B642" t="str">
            <v xml:space="preserve">Vanguard Realty Group                             </v>
          </cell>
          <cell r="C642" t="str">
            <v/>
          </cell>
          <cell r="D642" t="str">
            <v>Keefer</v>
          </cell>
          <cell r="E642" t="str">
            <v>Johnson</v>
          </cell>
          <cell r="F642" t="str">
            <v>09</v>
          </cell>
          <cell r="G642" t="str">
            <v>N</v>
          </cell>
          <cell r="H642" t="str">
            <v>N</v>
          </cell>
          <cell r="I642" t="str">
            <v>N</v>
          </cell>
          <cell r="J642" t="str">
            <v>Rates</v>
          </cell>
          <cell r="K642" t="str">
            <v/>
          </cell>
          <cell r="L642" t="str">
            <v>Fully</v>
          </cell>
          <cell r="M642" t="str">
            <v>Guessford-Kline</v>
          </cell>
          <cell r="N642" t="str">
            <v>0</v>
          </cell>
          <cell r="O642" t="str">
            <v>05</v>
          </cell>
          <cell r="P642" t="str">
            <v/>
          </cell>
          <cell r="Q642" t="str">
            <v/>
          </cell>
          <cell r="R642" t="str">
            <v>MD</v>
          </cell>
          <cell r="S642">
            <v>50000</v>
          </cell>
          <cell r="T642" t="str">
            <v>PPO/Blue Pref/HMO</v>
          </cell>
          <cell r="U642" t="str">
            <v>BFF5/CFF5</v>
          </cell>
          <cell r="V642" t="str">
            <v/>
          </cell>
          <cell r="W642" t="str">
            <v/>
          </cell>
          <cell r="X642">
            <v>1</v>
          </cell>
        </row>
        <row r="643">
          <cell r="A643" t="str">
            <v>XM75</v>
          </cell>
          <cell r="B643" t="str">
            <v>Veridyne, Inc. (formally Shepard Patterson)</v>
          </cell>
          <cell r="C643" t="str">
            <v/>
          </cell>
          <cell r="D643" t="str">
            <v>Keefer</v>
          </cell>
          <cell r="E643" t="str">
            <v>Anderson</v>
          </cell>
          <cell r="F643" t="str">
            <v>01</v>
          </cell>
          <cell r="G643" t="str">
            <v>N</v>
          </cell>
          <cell r="H643" t="str">
            <v/>
          </cell>
          <cell r="I643" t="str">
            <v>N</v>
          </cell>
          <cell r="J643" t="str">
            <v>Rates</v>
          </cell>
          <cell r="K643" t="str">
            <v/>
          </cell>
          <cell r="L643" t="str">
            <v>Fully</v>
          </cell>
          <cell r="M643" t="str">
            <v>Dodds</v>
          </cell>
          <cell r="N643" t="str">
            <v>0</v>
          </cell>
          <cell r="O643" t="str">
            <v>09</v>
          </cell>
          <cell r="P643" t="str">
            <v>Ryan</v>
          </cell>
          <cell r="Q643" t="str">
            <v/>
          </cell>
          <cell r="R643" t="str">
            <v>MD</v>
          </cell>
          <cell r="S643">
            <v>50000</v>
          </cell>
          <cell r="T643" t="str">
            <v>PPO HMO POS Rx</v>
          </cell>
          <cell r="U643" t="str">
            <v>BFF5/CFF5</v>
          </cell>
          <cell r="V643" t="str">
            <v>Y</v>
          </cell>
          <cell r="W643" t="str">
            <v>9/1/2000</v>
          </cell>
          <cell r="X643">
            <v>1</v>
          </cell>
        </row>
        <row r="644">
          <cell r="A644" t="str">
            <v>UH58</v>
          </cell>
          <cell r="B644" t="str">
            <v>Verizon</v>
          </cell>
          <cell r="C644" t="str">
            <v/>
          </cell>
          <cell r="D644" t="str">
            <v>McCourt</v>
          </cell>
          <cell r="E644" t="str">
            <v>Rutkowski</v>
          </cell>
          <cell r="F644" t="str">
            <v>01</v>
          </cell>
          <cell r="G644" t="str">
            <v>N</v>
          </cell>
          <cell r="H644" t="str">
            <v/>
          </cell>
          <cell r="I644" t="str">
            <v>N</v>
          </cell>
          <cell r="J644" t="str">
            <v>CPC Ra</v>
          </cell>
          <cell r="K644" t="str">
            <v/>
          </cell>
          <cell r="L644" t="str">
            <v>ASO</v>
          </cell>
          <cell r="M644" t="str">
            <v>Bradshaw</v>
          </cell>
          <cell r="N644" t="str">
            <v>06</v>
          </cell>
          <cell r="O644" t="str">
            <v>05</v>
          </cell>
          <cell r="P644" t="str">
            <v>Rutkowski</v>
          </cell>
          <cell r="Q644" t="str">
            <v/>
          </cell>
          <cell r="R644" t="str">
            <v>MD</v>
          </cell>
          <cell r="S644">
            <v>250000</v>
          </cell>
          <cell r="T644" t="str">
            <v>HMO</v>
          </cell>
          <cell r="U644" t="str">
            <v>BBD8</v>
          </cell>
          <cell r="V644" t="str">
            <v/>
          </cell>
          <cell r="W644" t="str">
            <v/>
          </cell>
          <cell r="X644">
            <v>1</v>
          </cell>
        </row>
        <row r="645">
          <cell r="A645" t="str">
            <v>3M36</v>
          </cell>
          <cell r="B645" t="str">
            <v>Versar, Inc.</v>
          </cell>
          <cell r="C645" t="str">
            <v/>
          </cell>
          <cell r="D645" t="str">
            <v>Keefer</v>
          </cell>
          <cell r="E645" t="str">
            <v>Anderson</v>
          </cell>
          <cell r="F645" t="str">
            <v>01</v>
          </cell>
          <cell r="G645" t="str">
            <v>N</v>
          </cell>
          <cell r="H645" t="str">
            <v/>
          </cell>
          <cell r="I645" t="str">
            <v>N</v>
          </cell>
          <cell r="J645" t="str">
            <v>Rates</v>
          </cell>
          <cell r="K645" t="str">
            <v/>
          </cell>
          <cell r="L645" t="str">
            <v>Fully</v>
          </cell>
          <cell r="M645" t="str">
            <v>Engel</v>
          </cell>
          <cell r="N645" t="str">
            <v>0</v>
          </cell>
          <cell r="O645" t="str">
            <v>09</v>
          </cell>
          <cell r="P645" t="str">
            <v>Ryan</v>
          </cell>
          <cell r="Q645" t="str">
            <v/>
          </cell>
          <cell r="R645" t="str">
            <v>VA</v>
          </cell>
          <cell r="S645">
            <v>75000</v>
          </cell>
          <cell r="T645" t="str">
            <v>PPO POS HMO Rx</v>
          </cell>
          <cell r="U645" t="str">
            <v>BFF7/CFF7</v>
          </cell>
          <cell r="V645" t="str">
            <v/>
          </cell>
          <cell r="W645" t="str">
            <v/>
          </cell>
          <cell r="X645">
            <v>1</v>
          </cell>
        </row>
        <row r="646">
          <cell r="A646" t="str">
            <v>4K83</v>
          </cell>
          <cell r="B646" t="str">
            <v xml:space="preserve">Vertex Solutions, Inc.                            </v>
          </cell>
          <cell r="C646" t="str">
            <v/>
          </cell>
          <cell r="D646" t="str">
            <v>McCourt</v>
          </cell>
          <cell r="E646" t="str">
            <v>Quade</v>
          </cell>
          <cell r="F646" t="str">
            <v>06</v>
          </cell>
          <cell r="G646" t="str">
            <v>N</v>
          </cell>
          <cell r="H646" t="str">
            <v/>
          </cell>
          <cell r="I646" t="str">
            <v>N</v>
          </cell>
          <cell r="J646" t="str">
            <v>Rates</v>
          </cell>
          <cell r="K646" t="str">
            <v/>
          </cell>
          <cell r="L646" t="str">
            <v>Fully</v>
          </cell>
          <cell r="M646" t="str">
            <v>Swears</v>
          </cell>
          <cell r="N646" t="str">
            <v/>
          </cell>
          <cell r="O646" t="str">
            <v>02</v>
          </cell>
          <cell r="P646" t="str">
            <v/>
          </cell>
          <cell r="Q646" t="str">
            <v/>
          </cell>
          <cell r="R646" t="str">
            <v>VA</v>
          </cell>
          <cell r="S646">
            <v>50000</v>
          </cell>
          <cell r="T646" t="str">
            <v>PPO Rx</v>
          </cell>
          <cell r="U646" t="str">
            <v>BFF5</v>
          </cell>
          <cell r="V646" t="str">
            <v/>
          </cell>
          <cell r="W646" t="str">
            <v/>
          </cell>
          <cell r="X646">
            <v>1</v>
          </cell>
        </row>
        <row r="647">
          <cell r="A647" t="str">
            <v>QJ56</v>
          </cell>
          <cell r="B647" t="str">
            <v>Victory Van Corp</v>
          </cell>
          <cell r="C647" t="str">
            <v/>
          </cell>
          <cell r="D647" t="str">
            <v>McCourt</v>
          </cell>
          <cell r="E647" t="str">
            <v>Slack</v>
          </cell>
          <cell r="F647" t="str">
            <v>05</v>
          </cell>
          <cell r="G647" t="str">
            <v>N</v>
          </cell>
          <cell r="H647" t="str">
            <v/>
          </cell>
          <cell r="I647" t="str">
            <v>N</v>
          </cell>
          <cell r="J647" t="str">
            <v>Rates</v>
          </cell>
          <cell r="K647" t="str">
            <v/>
          </cell>
          <cell r="L647" t="str">
            <v>Fully</v>
          </cell>
          <cell r="M647" t="str">
            <v>Guessford-Kline</v>
          </cell>
          <cell r="N647" t="str">
            <v/>
          </cell>
          <cell r="O647" t="str">
            <v>01</v>
          </cell>
          <cell r="P647" t="str">
            <v>Slack</v>
          </cell>
          <cell r="Q647" t="str">
            <v/>
          </cell>
          <cell r="R647" t="str">
            <v>VA</v>
          </cell>
          <cell r="S647">
            <v>50000</v>
          </cell>
          <cell r="T647" t="str">
            <v>HMO/PPO</v>
          </cell>
          <cell r="U647" t="str">
            <v>BFF5/CFF5</v>
          </cell>
          <cell r="V647" t="str">
            <v>Y</v>
          </cell>
          <cell r="W647" t="str">
            <v>5/1/2003</v>
          </cell>
          <cell r="X647">
            <v>1</v>
          </cell>
        </row>
        <row r="648">
          <cell r="A648" t="str">
            <v>NZ50</v>
          </cell>
          <cell r="B648" t="str">
            <v>Virginia Management Incorporated</v>
          </cell>
          <cell r="C648" t="str">
            <v/>
          </cell>
          <cell r="D648" t="str">
            <v>McCourt</v>
          </cell>
          <cell r="E648" t="str">
            <v>Rutkowski</v>
          </cell>
          <cell r="F648" t="str">
            <v>06</v>
          </cell>
          <cell r="G648" t="str">
            <v>N</v>
          </cell>
          <cell r="H648" t="str">
            <v>N</v>
          </cell>
          <cell r="I648" t="str">
            <v>N</v>
          </cell>
          <cell r="J648" t="str">
            <v>Rates</v>
          </cell>
          <cell r="K648" t="str">
            <v/>
          </cell>
          <cell r="L648" t="str">
            <v>Fully</v>
          </cell>
          <cell r="M648" t="str">
            <v>Swears</v>
          </cell>
          <cell r="N648" t="str">
            <v>0</v>
          </cell>
          <cell r="O648" t="str">
            <v>02</v>
          </cell>
          <cell r="P648" t="str">
            <v>Rutkowski</v>
          </cell>
          <cell r="Q648" t="str">
            <v/>
          </cell>
          <cell r="R648" t="str">
            <v>VA</v>
          </cell>
          <cell r="S648">
            <v>50000</v>
          </cell>
          <cell r="T648" t="str">
            <v>POS</v>
          </cell>
          <cell r="U648" t="str">
            <v>BFF6/CFF6</v>
          </cell>
          <cell r="V648" t="str">
            <v/>
          </cell>
          <cell r="W648" t="str">
            <v/>
          </cell>
          <cell r="X648">
            <v>1</v>
          </cell>
        </row>
        <row r="649">
          <cell r="A649" t="str">
            <v>QJ54</v>
          </cell>
          <cell r="B649" t="str">
            <v>Virtual Technology Corporation</v>
          </cell>
          <cell r="C649" t="str">
            <v/>
          </cell>
          <cell r="D649" t="str">
            <v>McCourt</v>
          </cell>
          <cell r="E649" t="str">
            <v>Slack</v>
          </cell>
          <cell r="F649" t="str">
            <v>01</v>
          </cell>
          <cell r="G649" t="str">
            <v>N</v>
          </cell>
          <cell r="H649" t="str">
            <v>N</v>
          </cell>
          <cell r="I649" t="str">
            <v>N</v>
          </cell>
          <cell r="J649" t="str">
            <v>Rates</v>
          </cell>
          <cell r="K649" t="str">
            <v/>
          </cell>
          <cell r="L649" t="str">
            <v>Fully</v>
          </cell>
          <cell r="M649" t="str">
            <v>Savoca</v>
          </cell>
          <cell r="N649" t="str">
            <v>0</v>
          </cell>
          <cell r="O649" t="str">
            <v>09</v>
          </cell>
          <cell r="P649" t="str">
            <v>Slack</v>
          </cell>
          <cell r="Q649" t="str">
            <v/>
          </cell>
          <cell r="R649" t="str">
            <v>VA</v>
          </cell>
          <cell r="S649">
            <v>50000</v>
          </cell>
          <cell r="T649" t="str">
            <v>HMO/POS/PPO</v>
          </cell>
          <cell r="U649" t="str">
            <v>BFF5/CFF5</v>
          </cell>
          <cell r="V649" t="str">
            <v/>
          </cell>
          <cell r="W649" t="str">
            <v/>
          </cell>
          <cell r="X649">
            <v>1</v>
          </cell>
        </row>
        <row r="650">
          <cell r="A650" t="str">
            <v>TJ30</v>
          </cell>
          <cell r="B650" t="str">
            <v>Vocus, Inc.</v>
          </cell>
          <cell r="C650" t="str">
            <v/>
          </cell>
          <cell r="D650" t="str">
            <v>Keefer</v>
          </cell>
          <cell r="E650" t="str">
            <v>Burba</v>
          </cell>
          <cell r="F650" t="str">
            <v>04</v>
          </cell>
          <cell r="G650" t="str">
            <v>N</v>
          </cell>
          <cell r="H650" t="str">
            <v/>
          </cell>
          <cell r="I650" t="str">
            <v>N</v>
          </cell>
          <cell r="J650" t="str">
            <v>Rates</v>
          </cell>
          <cell r="K650" t="str">
            <v/>
          </cell>
          <cell r="L650" t="str">
            <v>Fully</v>
          </cell>
          <cell r="M650" t="str">
            <v>Swears</v>
          </cell>
          <cell r="N650" t="str">
            <v>0</v>
          </cell>
          <cell r="O650" t="str">
            <v>12</v>
          </cell>
          <cell r="P650" t="str">
            <v>Padrutt</v>
          </cell>
          <cell r="Q650" t="str">
            <v/>
          </cell>
          <cell r="R650" t="str">
            <v>MD</v>
          </cell>
          <cell r="S650">
            <v>50000</v>
          </cell>
          <cell r="T650" t="str">
            <v>HMO/PPO</v>
          </cell>
          <cell r="U650" t="str">
            <v>BFF5/CFF5</v>
          </cell>
          <cell r="V650" t="str">
            <v/>
          </cell>
          <cell r="W650" t="str">
            <v/>
          </cell>
          <cell r="X650">
            <v>1</v>
          </cell>
        </row>
        <row r="651">
          <cell r="A651" t="str">
            <v>3S11</v>
          </cell>
          <cell r="B651" t="str">
            <v>Vytex Windows</v>
          </cell>
          <cell r="C651" t="str">
            <v/>
          </cell>
          <cell r="D651" t="str">
            <v>McCourt</v>
          </cell>
          <cell r="E651" t="str">
            <v>Mugo</v>
          </cell>
          <cell r="F651" t="str">
            <v>02</v>
          </cell>
          <cell r="G651" t="str">
            <v>N</v>
          </cell>
          <cell r="H651" t="str">
            <v/>
          </cell>
          <cell r="I651" t="str">
            <v>N</v>
          </cell>
          <cell r="J651" t="str">
            <v>Rates</v>
          </cell>
          <cell r="K651" t="str">
            <v/>
          </cell>
          <cell r="L651" t="str">
            <v>Fully</v>
          </cell>
          <cell r="M651" t="str">
            <v>Guessford-Kline</v>
          </cell>
          <cell r="N651" t="str">
            <v>0</v>
          </cell>
          <cell r="O651" t="str">
            <v>10</v>
          </cell>
          <cell r="P651" t="str">
            <v>Elbashir</v>
          </cell>
          <cell r="Q651" t="str">
            <v/>
          </cell>
          <cell r="R651" t="str">
            <v>MD</v>
          </cell>
          <cell r="S651">
            <v>50000</v>
          </cell>
          <cell r="T651" t="str">
            <v>HMO/POS/PPO</v>
          </cell>
          <cell r="U651" t="str">
            <v>BFF5/CFF5</v>
          </cell>
          <cell r="V651" t="str">
            <v/>
          </cell>
          <cell r="W651" t="str">
            <v/>
          </cell>
          <cell r="X651">
            <v>1</v>
          </cell>
        </row>
        <row r="652">
          <cell r="A652" t="str">
            <v>0KMV</v>
          </cell>
          <cell r="B652" t="str">
            <v xml:space="preserve">W &amp; W Electric Company, Inc.                      </v>
          </cell>
          <cell r="C652" t="str">
            <v/>
          </cell>
          <cell r="D652" t="str">
            <v>Keefer</v>
          </cell>
          <cell r="E652" t="str">
            <v>Burba</v>
          </cell>
          <cell r="F652" t="str">
            <v>05</v>
          </cell>
          <cell r="G652" t="str">
            <v>N</v>
          </cell>
          <cell r="H652" t="str">
            <v/>
          </cell>
          <cell r="I652" t="str">
            <v>N</v>
          </cell>
          <cell r="J652" t="str">
            <v>Rates</v>
          </cell>
          <cell r="K652" t="str">
            <v/>
          </cell>
          <cell r="L652" t="str">
            <v>Fully</v>
          </cell>
          <cell r="M652" t="str">
            <v>Rand</v>
          </cell>
          <cell r="N652" t="str">
            <v/>
          </cell>
          <cell r="O652" t="str">
            <v>01</v>
          </cell>
          <cell r="P652" t="str">
            <v/>
          </cell>
          <cell r="Q652" t="str">
            <v/>
          </cell>
          <cell r="R652" t="str">
            <v>MD</v>
          </cell>
          <cell r="S652">
            <v>50000</v>
          </cell>
          <cell r="T652" t="str">
            <v>PPO/OA</v>
          </cell>
          <cell r="U652" t="str">
            <v>BFF5/CFF5</v>
          </cell>
          <cell r="V652" t="str">
            <v>Y</v>
          </cell>
          <cell r="W652" t="str">
            <v>5/1/2005</v>
          </cell>
          <cell r="X652">
            <v>1</v>
          </cell>
        </row>
        <row r="653">
          <cell r="A653" t="str">
            <v>7G40</v>
          </cell>
          <cell r="B653" t="str">
            <v>W.M. Schlosser Company, Inc</v>
          </cell>
          <cell r="C653" t="str">
            <v/>
          </cell>
          <cell r="D653" t="str">
            <v>McCourt</v>
          </cell>
          <cell r="E653" t="str">
            <v>Rutkowski</v>
          </cell>
          <cell r="F653" t="str">
            <v>04</v>
          </cell>
          <cell r="G653" t="str">
            <v>N</v>
          </cell>
          <cell r="H653" t="str">
            <v>N</v>
          </cell>
          <cell r="I653" t="str">
            <v>N</v>
          </cell>
          <cell r="J653" t="str">
            <v>Rates</v>
          </cell>
          <cell r="K653" t="str">
            <v/>
          </cell>
          <cell r="L653" t="str">
            <v>Fully</v>
          </cell>
          <cell r="M653" t="str">
            <v>Chopper</v>
          </cell>
          <cell r="N653" t="str">
            <v>0</v>
          </cell>
          <cell r="O653" t="str">
            <v>12</v>
          </cell>
          <cell r="P653" t="str">
            <v>Rutkowski</v>
          </cell>
          <cell r="Q653" t="str">
            <v/>
          </cell>
          <cell r="R653" t="str">
            <v>MD</v>
          </cell>
          <cell r="S653">
            <v>50000</v>
          </cell>
          <cell r="T653" t="str">
            <v>HMO/POS/PPO</v>
          </cell>
          <cell r="U653" t="str">
            <v>BFF5/CFF5</v>
          </cell>
          <cell r="V653" t="str">
            <v/>
          </cell>
          <cell r="W653" t="str">
            <v/>
          </cell>
          <cell r="X653">
            <v>1</v>
          </cell>
        </row>
        <row r="654">
          <cell r="A654" t="str">
            <v>BWY3</v>
          </cell>
          <cell r="B654" t="str">
            <v>Walker &amp; Company</v>
          </cell>
          <cell r="C654" t="str">
            <v/>
          </cell>
          <cell r="D654" t="str">
            <v>Keefer</v>
          </cell>
          <cell r="E654" t="str">
            <v>Taylor</v>
          </cell>
          <cell r="F654" t="str">
            <v>03</v>
          </cell>
          <cell r="G654" t="str">
            <v>N</v>
          </cell>
          <cell r="H654" t="str">
            <v/>
          </cell>
          <cell r="I654" t="str">
            <v/>
          </cell>
          <cell r="J654" t="str">
            <v>Rates</v>
          </cell>
          <cell r="K654" t="str">
            <v/>
          </cell>
          <cell r="L654" t="str">
            <v>Fully</v>
          </cell>
          <cell r="M654" t="str">
            <v>Henton-Davis</v>
          </cell>
          <cell r="N654" t="str">
            <v/>
          </cell>
          <cell r="O654" t="str">
            <v>11</v>
          </cell>
          <cell r="P654" t="str">
            <v/>
          </cell>
          <cell r="Q654" t="str">
            <v/>
          </cell>
          <cell r="R654" t="str">
            <v>DC</v>
          </cell>
          <cell r="S654">
            <v>50000</v>
          </cell>
          <cell r="T654" t="str">
            <v>HMO PPO POS Rx</v>
          </cell>
          <cell r="U654" t="str">
            <v>BFF5 CFF5</v>
          </cell>
          <cell r="V654" t="str">
            <v>Y</v>
          </cell>
          <cell r="W654" t="str">
            <v>3/1/2004</v>
          </cell>
          <cell r="X654">
            <v>1</v>
          </cell>
        </row>
        <row r="655">
          <cell r="A655" t="str">
            <v>7L41</v>
          </cell>
          <cell r="B655" t="str">
            <v>Walker &amp; Dunlop</v>
          </cell>
          <cell r="C655" t="str">
            <v/>
          </cell>
          <cell r="D655" t="str">
            <v>Keefer</v>
          </cell>
          <cell r="E655" t="str">
            <v>LaTouche</v>
          </cell>
          <cell r="F655" t="str">
            <v>02</v>
          </cell>
          <cell r="G655" t="str">
            <v>N</v>
          </cell>
          <cell r="H655" t="str">
            <v>N</v>
          </cell>
          <cell r="I655" t="str">
            <v>N</v>
          </cell>
          <cell r="J655" t="str">
            <v>Rates</v>
          </cell>
          <cell r="K655" t="str">
            <v/>
          </cell>
          <cell r="L655" t="str">
            <v>Fully</v>
          </cell>
          <cell r="M655" t="str">
            <v>Warren</v>
          </cell>
          <cell r="N655" t="str">
            <v/>
          </cell>
          <cell r="O655" t="str">
            <v>10</v>
          </cell>
          <cell r="P655" t="str">
            <v>LaTouche</v>
          </cell>
          <cell r="Q655" t="str">
            <v/>
          </cell>
          <cell r="R655" t="str">
            <v>MD</v>
          </cell>
          <cell r="S655">
            <v>50000</v>
          </cell>
          <cell r="T655" t="str">
            <v>HMO/PPO/PPO</v>
          </cell>
          <cell r="U655" t="str">
            <v>BFF5/CFF5</v>
          </cell>
          <cell r="V655" t="str">
            <v/>
          </cell>
          <cell r="W655" t="str">
            <v/>
          </cell>
          <cell r="X655">
            <v>1</v>
          </cell>
        </row>
        <row r="656">
          <cell r="A656" t="str">
            <v>NP84</v>
          </cell>
          <cell r="B656" t="str">
            <v xml:space="preserve">Walsh,Colucci,Stackhouse, Emri Ch &amp; Lubeley, P.C. </v>
          </cell>
          <cell r="C656" t="str">
            <v/>
          </cell>
          <cell r="D656" t="str">
            <v>McCourt</v>
          </cell>
          <cell r="E656" t="str">
            <v>Mugo</v>
          </cell>
          <cell r="F656" t="str">
            <v>03</v>
          </cell>
          <cell r="G656" t="str">
            <v/>
          </cell>
          <cell r="H656" t="str">
            <v/>
          </cell>
          <cell r="I656" t="str">
            <v/>
          </cell>
          <cell r="J656" t="str">
            <v>Rates</v>
          </cell>
          <cell r="K656" t="str">
            <v/>
          </cell>
          <cell r="L656" t="str">
            <v>Fully</v>
          </cell>
          <cell r="M656" t="str">
            <v>Savoca</v>
          </cell>
          <cell r="N656" t="str">
            <v>03</v>
          </cell>
          <cell r="O656" t="str">
            <v>11</v>
          </cell>
          <cell r="P656" t="str">
            <v/>
          </cell>
          <cell r="Q656" t="str">
            <v/>
          </cell>
          <cell r="R656" t="str">
            <v>VA</v>
          </cell>
          <cell r="S656">
            <v>50000</v>
          </cell>
          <cell r="T656" t="str">
            <v>PPO/Blue Pref</v>
          </cell>
          <cell r="U656" t="str">
            <v>BFF5</v>
          </cell>
          <cell r="V656" t="str">
            <v/>
          </cell>
          <cell r="W656" t="str">
            <v/>
          </cell>
          <cell r="X656">
            <v>1</v>
          </cell>
        </row>
        <row r="657">
          <cell r="A657" t="str">
            <v>WB36</v>
          </cell>
          <cell r="B657" t="str">
            <v>Washington Center (The)</v>
          </cell>
          <cell r="C657" t="str">
            <v/>
          </cell>
          <cell r="D657" t="str">
            <v>Keefer</v>
          </cell>
          <cell r="E657" t="str">
            <v>Johnson</v>
          </cell>
          <cell r="F657" t="str">
            <v>12</v>
          </cell>
          <cell r="G657" t="str">
            <v>N</v>
          </cell>
          <cell r="H657" t="str">
            <v/>
          </cell>
          <cell r="I657" t="str">
            <v>N</v>
          </cell>
          <cell r="J657" t="str">
            <v>Rates</v>
          </cell>
          <cell r="K657" t="str">
            <v/>
          </cell>
          <cell r="L657" t="str">
            <v>Fully</v>
          </cell>
          <cell r="M657" t="str">
            <v>Savoca</v>
          </cell>
          <cell r="N657" t="str">
            <v/>
          </cell>
          <cell r="O657" t="str">
            <v>08</v>
          </cell>
          <cell r="P657" t="str">
            <v/>
          </cell>
          <cell r="Q657" t="str">
            <v/>
          </cell>
          <cell r="R657" t="str">
            <v>DC</v>
          </cell>
          <cell r="S657">
            <v>50000</v>
          </cell>
          <cell r="T657" t="str">
            <v>PPO/OA/HMO</v>
          </cell>
          <cell r="U657" t="str">
            <v>BFF5/CFF5</v>
          </cell>
          <cell r="V657" t="str">
            <v/>
          </cell>
          <cell r="W657" t="str">
            <v/>
          </cell>
          <cell r="X657">
            <v>1</v>
          </cell>
        </row>
        <row r="658">
          <cell r="A658" t="str">
            <v>UV55</v>
          </cell>
          <cell r="B658" t="str">
            <v>Washington Convention Center</v>
          </cell>
          <cell r="C658" t="str">
            <v/>
          </cell>
          <cell r="D658" t="str">
            <v>McCourt</v>
          </cell>
          <cell r="E658" t="str">
            <v>Rutkowski</v>
          </cell>
          <cell r="F658" t="str">
            <v>10</v>
          </cell>
          <cell r="G658" t="str">
            <v>N</v>
          </cell>
          <cell r="H658" t="str">
            <v>N</v>
          </cell>
          <cell r="I658" t="str">
            <v>N</v>
          </cell>
          <cell r="J658" t="str">
            <v>Rates</v>
          </cell>
          <cell r="K658" t="str">
            <v/>
          </cell>
          <cell r="L658" t="str">
            <v>Fully</v>
          </cell>
          <cell r="M658" t="str">
            <v>Wise</v>
          </cell>
          <cell r="N658" t="str">
            <v>0</v>
          </cell>
          <cell r="O658" t="str">
            <v>06</v>
          </cell>
          <cell r="P658" t="str">
            <v>Rutkowski</v>
          </cell>
          <cell r="Q658" t="str">
            <v/>
          </cell>
          <cell r="R658" t="str">
            <v>DC</v>
          </cell>
          <cell r="S658">
            <v>50000</v>
          </cell>
          <cell r="T658" t="str">
            <v>PPO/HMO/POS</v>
          </cell>
          <cell r="U658" t="str">
            <v>BFF6/CFF6</v>
          </cell>
          <cell r="V658" t="str">
            <v/>
          </cell>
          <cell r="W658" t="str">
            <v/>
          </cell>
          <cell r="X658">
            <v>1</v>
          </cell>
        </row>
        <row r="659">
          <cell r="A659" t="str">
            <v>TD95</v>
          </cell>
          <cell r="B659" t="str">
            <v>Washington Gas (TD95, XM80 &amp; XM85)</v>
          </cell>
          <cell r="C659" t="str">
            <v/>
          </cell>
          <cell r="D659" t="str">
            <v>Keefer</v>
          </cell>
          <cell r="E659" t="str">
            <v>LaTouche</v>
          </cell>
          <cell r="F659" t="str">
            <v>01</v>
          </cell>
          <cell r="G659" t="str">
            <v>N</v>
          </cell>
          <cell r="H659" t="str">
            <v>N</v>
          </cell>
          <cell r="I659" t="str">
            <v>N</v>
          </cell>
          <cell r="J659" t="str">
            <v>CPC Mo</v>
          </cell>
          <cell r="K659" t="str">
            <v>1901000</v>
          </cell>
          <cell r="L659" t="str">
            <v>ASO</v>
          </cell>
          <cell r="M659" t="str">
            <v>Lewis</v>
          </cell>
          <cell r="N659" t="str">
            <v>3</v>
          </cell>
          <cell r="O659" t="str">
            <v>10</v>
          </cell>
          <cell r="P659" t="str">
            <v>LaTouche</v>
          </cell>
          <cell r="Q659" t="str">
            <v>Smith</v>
          </cell>
          <cell r="R659" t="str">
            <v>VA</v>
          </cell>
          <cell r="S659" t="str">
            <v/>
          </cell>
          <cell r="T659" t="str">
            <v>PPO</v>
          </cell>
          <cell r="U659" t="str">
            <v>BAD7</v>
          </cell>
          <cell r="V659" t="str">
            <v/>
          </cell>
          <cell r="W659" t="str">
            <v/>
          </cell>
          <cell r="X659">
            <v>1</v>
          </cell>
        </row>
        <row r="660">
          <cell r="A660" t="str">
            <v>WE56</v>
          </cell>
          <cell r="B660" t="str">
            <v>Washington Golf &amp; Country Club</v>
          </cell>
          <cell r="C660" t="str">
            <v/>
          </cell>
          <cell r="D660" t="str">
            <v>Keefer</v>
          </cell>
          <cell r="E660" t="str">
            <v>LaTouche</v>
          </cell>
          <cell r="F660" t="str">
            <v>04</v>
          </cell>
          <cell r="G660" t="str">
            <v>N</v>
          </cell>
          <cell r="H660" t="str">
            <v>N</v>
          </cell>
          <cell r="I660" t="str">
            <v>N</v>
          </cell>
          <cell r="J660" t="str">
            <v>Rates</v>
          </cell>
          <cell r="K660" t="str">
            <v/>
          </cell>
          <cell r="L660" t="str">
            <v>Fully</v>
          </cell>
          <cell r="M660" t="str">
            <v>Swears</v>
          </cell>
          <cell r="N660" t="str">
            <v>0</v>
          </cell>
          <cell r="O660" t="str">
            <v>12</v>
          </cell>
          <cell r="P660" t="str">
            <v>LaTouche</v>
          </cell>
          <cell r="Q660" t="str">
            <v/>
          </cell>
          <cell r="R660" t="str">
            <v>VA</v>
          </cell>
          <cell r="S660">
            <v>50000</v>
          </cell>
          <cell r="T660" t="str">
            <v>PPO/HMO/POS</v>
          </cell>
          <cell r="U660" t="str">
            <v>BFF5/CFF5</v>
          </cell>
          <cell r="V660" t="str">
            <v/>
          </cell>
          <cell r="W660" t="str">
            <v/>
          </cell>
          <cell r="X660">
            <v>1</v>
          </cell>
        </row>
        <row r="661">
          <cell r="A661" t="str">
            <v>TD56</v>
          </cell>
          <cell r="B661" t="str">
            <v xml:space="preserve">Washington Management Group                       </v>
          </cell>
          <cell r="C661" t="str">
            <v/>
          </cell>
          <cell r="D661" t="str">
            <v>Keefer</v>
          </cell>
          <cell r="E661" t="str">
            <v>Newman</v>
          </cell>
          <cell r="F661" t="str">
            <v>05</v>
          </cell>
          <cell r="G661" t="str">
            <v>N</v>
          </cell>
          <cell r="H661" t="str">
            <v/>
          </cell>
          <cell r="I661" t="str">
            <v>N</v>
          </cell>
          <cell r="J661" t="str">
            <v>Rates</v>
          </cell>
          <cell r="K661" t="str">
            <v/>
          </cell>
          <cell r="L661" t="str">
            <v>Fully</v>
          </cell>
          <cell r="M661" t="str">
            <v>Savoca</v>
          </cell>
          <cell r="N661" t="str">
            <v/>
          </cell>
          <cell r="O661" t="str">
            <v>01</v>
          </cell>
          <cell r="P661" t="str">
            <v/>
          </cell>
          <cell r="Q661" t="str">
            <v/>
          </cell>
          <cell r="R661" t="str">
            <v>DC</v>
          </cell>
          <cell r="S661">
            <v>50000</v>
          </cell>
          <cell r="T661" t="str">
            <v>PPO/HMO/OA</v>
          </cell>
          <cell r="U661" t="str">
            <v>BFF5 CFF5</v>
          </cell>
          <cell r="V661" t="str">
            <v/>
          </cell>
          <cell r="W661" t="str">
            <v/>
          </cell>
          <cell r="X661">
            <v>1</v>
          </cell>
        </row>
        <row r="662">
          <cell r="A662" t="str">
            <v>CJ48</v>
          </cell>
          <cell r="B662" t="str">
            <v>Washington Opera (The)</v>
          </cell>
          <cell r="C662" t="str">
            <v/>
          </cell>
          <cell r="D662" t="str">
            <v>McCourt</v>
          </cell>
          <cell r="E662" t="str">
            <v>Mugo</v>
          </cell>
          <cell r="F662" t="str">
            <v>03</v>
          </cell>
          <cell r="G662" t="str">
            <v>N</v>
          </cell>
          <cell r="H662" t="str">
            <v/>
          </cell>
          <cell r="I662" t="str">
            <v>N</v>
          </cell>
          <cell r="J662" t="str">
            <v>Rates</v>
          </cell>
          <cell r="K662" t="str">
            <v/>
          </cell>
          <cell r="L662" t="str">
            <v>Fully</v>
          </cell>
          <cell r="M662" t="str">
            <v>Henton-Davis</v>
          </cell>
          <cell r="N662" t="str">
            <v>0</v>
          </cell>
          <cell r="O662" t="str">
            <v>11</v>
          </cell>
          <cell r="P662" t="str">
            <v>Batist</v>
          </cell>
          <cell r="Q662" t="str">
            <v/>
          </cell>
          <cell r="R662" t="str">
            <v>DC</v>
          </cell>
          <cell r="S662">
            <v>50000</v>
          </cell>
          <cell r="T662" t="str">
            <v>PPO/HMO/POS</v>
          </cell>
          <cell r="U662" t="str">
            <v>BFF6/CFF6</v>
          </cell>
          <cell r="V662" t="str">
            <v/>
          </cell>
          <cell r="W662" t="str">
            <v/>
          </cell>
          <cell r="X662">
            <v>1</v>
          </cell>
        </row>
        <row r="663">
          <cell r="A663" t="str">
            <v>WD02</v>
          </cell>
          <cell r="B663" t="str">
            <v>Washington Professional System/Washington Music</v>
          </cell>
          <cell r="C663" t="str">
            <v/>
          </cell>
          <cell r="D663" t="str">
            <v>Keefer</v>
          </cell>
          <cell r="E663" t="str">
            <v>LaTouche</v>
          </cell>
          <cell r="F663" t="str">
            <v>12</v>
          </cell>
          <cell r="G663" t="str">
            <v>N</v>
          </cell>
          <cell r="H663" t="str">
            <v>N</v>
          </cell>
          <cell r="I663" t="str">
            <v>N</v>
          </cell>
          <cell r="J663" t="str">
            <v>Rates</v>
          </cell>
          <cell r="K663" t="str">
            <v/>
          </cell>
          <cell r="L663" t="str">
            <v>Fully</v>
          </cell>
          <cell r="M663" t="str">
            <v>Dodds</v>
          </cell>
          <cell r="N663" t="str">
            <v>0</v>
          </cell>
          <cell r="O663" t="str">
            <v>08</v>
          </cell>
          <cell r="P663" t="str">
            <v>LaTouche</v>
          </cell>
          <cell r="Q663" t="str">
            <v/>
          </cell>
          <cell r="R663" t="str">
            <v>MD</v>
          </cell>
          <cell r="S663">
            <v>50000</v>
          </cell>
          <cell r="T663" t="str">
            <v>PPO/HMO/POS</v>
          </cell>
          <cell r="U663" t="str">
            <v>CFF5</v>
          </cell>
          <cell r="V663" t="str">
            <v/>
          </cell>
          <cell r="W663" t="str">
            <v/>
          </cell>
          <cell r="X663">
            <v>1</v>
          </cell>
        </row>
        <row r="664">
          <cell r="A664" t="str">
            <v>6D46</v>
          </cell>
          <cell r="B664" t="str">
            <v>Washington Savings Bank</v>
          </cell>
          <cell r="C664" t="str">
            <v/>
          </cell>
          <cell r="D664" t="str">
            <v>Keefer</v>
          </cell>
          <cell r="E664" t="str">
            <v>Anderson</v>
          </cell>
          <cell r="F664" t="str">
            <v>01</v>
          </cell>
          <cell r="G664" t="str">
            <v>N</v>
          </cell>
          <cell r="H664" t="str">
            <v/>
          </cell>
          <cell r="I664" t="str">
            <v>N</v>
          </cell>
          <cell r="J664" t="str">
            <v>Rates</v>
          </cell>
          <cell r="K664" t="str">
            <v/>
          </cell>
          <cell r="L664" t="str">
            <v>Fully</v>
          </cell>
          <cell r="M664" t="str">
            <v>Dodds</v>
          </cell>
          <cell r="N664" t="str">
            <v>0</v>
          </cell>
          <cell r="O664" t="str">
            <v>09</v>
          </cell>
          <cell r="P664" t="str">
            <v>Ryan</v>
          </cell>
          <cell r="Q664" t="str">
            <v/>
          </cell>
          <cell r="R664" t="str">
            <v>MD</v>
          </cell>
          <cell r="S664">
            <v>50000</v>
          </cell>
          <cell r="T664" t="str">
            <v>HMO PPO POS</v>
          </cell>
          <cell r="U664" t="str">
            <v>BFF5/CFF5</v>
          </cell>
          <cell r="V664" t="str">
            <v/>
          </cell>
          <cell r="W664" t="str">
            <v/>
          </cell>
          <cell r="X664">
            <v>1</v>
          </cell>
        </row>
        <row r="665">
          <cell r="A665" t="str">
            <v>U926</v>
          </cell>
          <cell r="B665" t="str">
            <v>Washington Sports Entertainment (formerly US Air</v>
          </cell>
          <cell r="C665" t="str">
            <v/>
          </cell>
          <cell r="D665" t="str">
            <v>Keefer</v>
          </cell>
          <cell r="E665" t="str">
            <v>Taylor</v>
          </cell>
          <cell r="F665" t="str">
            <v>01</v>
          </cell>
          <cell r="G665" t="str">
            <v>Y</v>
          </cell>
          <cell r="H665" t="str">
            <v>Y</v>
          </cell>
          <cell r="I665" t="str">
            <v>Y</v>
          </cell>
          <cell r="J665" t="str">
            <v>CPC Mo</v>
          </cell>
          <cell r="K665" t="str">
            <v>340,000</v>
          </cell>
          <cell r="L665" t="str">
            <v>115%</v>
          </cell>
          <cell r="M665" t="str">
            <v>Jordan</v>
          </cell>
          <cell r="N665" t="str">
            <v>3</v>
          </cell>
          <cell r="O665" t="str">
            <v>09</v>
          </cell>
          <cell r="P665" t="str">
            <v>Taylor</v>
          </cell>
          <cell r="Q665" t="str">
            <v>Alves</v>
          </cell>
          <cell r="R665" t="str">
            <v>MD</v>
          </cell>
          <cell r="S665">
            <v>75000</v>
          </cell>
          <cell r="T665" t="str">
            <v>HMO/POS/PPO</v>
          </cell>
          <cell r="U665" t="str">
            <v>BAB7</v>
          </cell>
          <cell r="V665" t="str">
            <v/>
          </cell>
          <cell r="W665" t="str">
            <v/>
          </cell>
          <cell r="X665">
            <v>1</v>
          </cell>
        </row>
        <row r="666">
          <cell r="A666" t="str">
            <v>7J13</v>
          </cell>
          <cell r="B666" t="str">
            <v>Washington Suburban Sanitary Commission</v>
          </cell>
          <cell r="C666" t="str">
            <v/>
          </cell>
          <cell r="D666" t="str">
            <v>Keefer</v>
          </cell>
          <cell r="E666" t="str">
            <v>Newman</v>
          </cell>
          <cell r="F666" t="str">
            <v>01</v>
          </cell>
          <cell r="G666" t="str">
            <v>N</v>
          </cell>
          <cell r="H666" t="str">
            <v/>
          </cell>
          <cell r="I666" t="str">
            <v>N</v>
          </cell>
          <cell r="J666" t="str">
            <v>Rates</v>
          </cell>
          <cell r="K666" t="str">
            <v/>
          </cell>
          <cell r="L666" t="str">
            <v>Fully</v>
          </cell>
          <cell r="M666" t="str">
            <v>Lewis</v>
          </cell>
          <cell r="N666" t="str">
            <v/>
          </cell>
          <cell r="O666" t="str">
            <v>07</v>
          </cell>
          <cell r="P666" t="str">
            <v>Hauff</v>
          </cell>
          <cell r="Q666" t="str">
            <v/>
          </cell>
          <cell r="R666" t="str">
            <v>MD</v>
          </cell>
          <cell r="S666">
            <v>50000</v>
          </cell>
          <cell r="T666" t="str">
            <v>HMO Rx</v>
          </cell>
          <cell r="U666" t="str">
            <v>CFF7</v>
          </cell>
          <cell r="V666" t="str">
            <v/>
          </cell>
          <cell r="W666" t="str">
            <v/>
          </cell>
          <cell r="X666">
            <v>1</v>
          </cell>
        </row>
        <row r="667">
          <cell r="A667" t="str">
            <v>4K80</v>
          </cell>
          <cell r="B667" t="str">
            <v xml:space="preserve">Watergate Dental Assoociates                      </v>
          </cell>
          <cell r="C667" t="str">
            <v/>
          </cell>
          <cell r="D667" t="str">
            <v/>
          </cell>
          <cell r="E667" t="str">
            <v/>
          </cell>
          <cell r="F667" t="str">
            <v>07</v>
          </cell>
          <cell r="G667" t="str">
            <v/>
          </cell>
          <cell r="H667" t="str">
            <v/>
          </cell>
          <cell r="I667" t="str">
            <v/>
          </cell>
          <cell r="J667" t="str">
            <v/>
          </cell>
          <cell r="K667" t="str">
            <v/>
          </cell>
          <cell r="L667" t="str">
            <v>Fully</v>
          </cell>
          <cell r="M667" t="str">
            <v/>
          </cell>
          <cell r="N667" t="str">
            <v/>
          </cell>
          <cell r="O667" t="str">
            <v/>
          </cell>
          <cell r="P667" t="str">
            <v/>
          </cell>
          <cell r="Q667" t="str">
            <v/>
          </cell>
          <cell r="R667" t="str">
            <v>DC</v>
          </cell>
          <cell r="S667">
            <v>0</v>
          </cell>
          <cell r="T667" t="str">
            <v>POE: HMO/Blue Preferred</v>
          </cell>
          <cell r="U667" t="str">
            <v>CFF5</v>
          </cell>
          <cell r="V667" t="str">
            <v/>
          </cell>
          <cell r="W667" t="str">
            <v/>
          </cell>
          <cell r="X667">
            <v>1</v>
          </cell>
        </row>
        <row r="668">
          <cell r="A668" t="str">
            <v>0EFL</v>
          </cell>
          <cell r="B668" t="str">
            <v>WDG Architecture</v>
          </cell>
          <cell r="C668" t="str">
            <v/>
          </cell>
          <cell r="D668" t="str">
            <v>Keefer</v>
          </cell>
          <cell r="E668" t="str">
            <v>Taylor</v>
          </cell>
          <cell r="F668" t="str">
            <v>01</v>
          </cell>
          <cell r="G668" t="str">
            <v>N</v>
          </cell>
          <cell r="H668" t="str">
            <v/>
          </cell>
          <cell r="I668" t="str">
            <v/>
          </cell>
          <cell r="J668" t="str">
            <v>Rates</v>
          </cell>
          <cell r="K668" t="str">
            <v/>
          </cell>
          <cell r="L668" t="str">
            <v>Fully</v>
          </cell>
          <cell r="M668" t="str">
            <v>Thomas</v>
          </cell>
          <cell r="N668" t="str">
            <v/>
          </cell>
          <cell r="O668" t="str">
            <v>09</v>
          </cell>
          <cell r="P668" t="str">
            <v/>
          </cell>
          <cell r="Q668" t="str">
            <v/>
          </cell>
          <cell r="R668" t="str">
            <v>DC</v>
          </cell>
          <cell r="S668">
            <v>50000</v>
          </cell>
          <cell r="T668" t="str">
            <v>HMO POS PPO Rx</v>
          </cell>
          <cell r="U668" t="str">
            <v>BFF6 CFF6</v>
          </cell>
          <cell r="V668" t="str">
            <v>Y</v>
          </cell>
          <cell r="W668" t="str">
            <v>1/1/2005</v>
          </cell>
          <cell r="X668">
            <v>1</v>
          </cell>
        </row>
        <row r="669">
          <cell r="A669" t="str">
            <v>WB60</v>
          </cell>
          <cell r="B669" t="str">
            <v>Westat</v>
          </cell>
          <cell r="C669" t="str">
            <v/>
          </cell>
          <cell r="D669" t="str">
            <v>McCourt</v>
          </cell>
          <cell r="E669" t="str">
            <v>Slack</v>
          </cell>
          <cell r="F669" t="str">
            <v>01</v>
          </cell>
          <cell r="G669" t="str">
            <v>N</v>
          </cell>
          <cell r="H669" t="str">
            <v>N</v>
          </cell>
          <cell r="I669" t="str">
            <v>N</v>
          </cell>
          <cell r="J669" t="str">
            <v>Rates</v>
          </cell>
          <cell r="K669" t="str">
            <v/>
          </cell>
          <cell r="L669" t="str">
            <v>Fully</v>
          </cell>
          <cell r="M669" t="str">
            <v>Bradshaw</v>
          </cell>
          <cell r="N669" t="str">
            <v>0</v>
          </cell>
          <cell r="O669" t="str">
            <v>09</v>
          </cell>
          <cell r="P669" t="str">
            <v>Slack</v>
          </cell>
          <cell r="Q669" t="str">
            <v/>
          </cell>
          <cell r="R669" t="str">
            <v>MD</v>
          </cell>
          <cell r="S669">
            <v>100000</v>
          </cell>
          <cell r="T669" t="str">
            <v>PPO/HMO/POS</v>
          </cell>
          <cell r="U669" t="str">
            <v>BFF7</v>
          </cell>
          <cell r="V669" t="str">
            <v/>
          </cell>
          <cell r="W669" t="str">
            <v/>
          </cell>
          <cell r="X669">
            <v>1</v>
          </cell>
        </row>
        <row r="670">
          <cell r="A670" t="str">
            <v>MP89</v>
          </cell>
          <cell r="B670" t="str">
            <v xml:space="preserve">White &amp; Case                                      </v>
          </cell>
          <cell r="C670" t="str">
            <v/>
          </cell>
          <cell r="D670" t="str">
            <v>Keefer</v>
          </cell>
          <cell r="E670" t="str">
            <v>LaTouche</v>
          </cell>
          <cell r="F670" t="str">
            <v>01</v>
          </cell>
          <cell r="G670" t="str">
            <v>N</v>
          </cell>
          <cell r="H670" t="str">
            <v/>
          </cell>
          <cell r="I670" t="str">
            <v>N</v>
          </cell>
          <cell r="J670" t="str">
            <v>Rates</v>
          </cell>
          <cell r="K670" t="str">
            <v/>
          </cell>
          <cell r="L670" t="str">
            <v>Fully</v>
          </cell>
          <cell r="M670" t="str">
            <v>Guessford-Kline</v>
          </cell>
          <cell r="N670" t="str">
            <v/>
          </cell>
          <cell r="O670" t="str">
            <v>09</v>
          </cell>
          <cell r="P670" t="str">
            <v>LaTouche</v>
          </cell>
          <cell r="Q670" t="str">
            <v/>
          </cell>
          <cell r="R670" t="str">
            <v>DC</v>
          </cell>
          <cell r="S670">
            <v>50000</v>
          </cell>
          <cell r="T670" t="str">
            <v>HMO</v>
          </cell>
          <cell r="U670" t="str">
            <v>CFF5</v>
          </cell>
          <cell r="V670" t="str">
            <v/>
          </cell>
          <cell r="W670" t="str">
            <v/>
          </cell>
          <cell r="X670">
            <v>1</v>
          </cell>
        </row>
        <row r="671">
          <cell r="A671" t="str">
            <v>6L01</v>
          </cell>
          <cell r="B671" t="str">
            <v>Wholistic Habilitative Services, Inc.</v>
          </cell>
          <cell r="C671" t="str">
            <v/>
          </cell>
          <cell r="D671" t="str">
            <v>McCourt</v>
          </cell>
          <cell r="E671" t="str">
            <v>Slack</v>
          </cell>
          <cell r="F671" t="str">
            <v>01</v>
          </cell>
          <cell r="G671" t="str">
            <v>N</v>
          </cell>
          <cell r="H671" t="str">
            <v/>
          </cell>
          <cell r="I671" t="str">
            <v>N</v>
          </cell>
          <cell r="J671" t="str">
            <v>Rates</v>
          </cell>
          <cell r="K671" t="str">
            <v/>
          </cell>
          <cell r="L671" t="str">
            <v>Fully</v>
          </cell>
          <cell r="M671" t="str">
            <v>Dodds</v>
          </cell>
          <cell r="N671" t="str">
            <v>0</v>
          </cell>
          <cell r="O671" t="str">
            <v>09</v>
          </cell>
          <cell r="P671" t="str">
            <v>Slack</v>
          </cell>
          <cell r="Q671" t="str">
            <v/>
          </cell>
          <cell r="R671" t="str">
            <v>DC</v>
          </cell>
          <cell r="S671">
            <v>50000</v>
          </cell>
          <cell r="T671" t="str">
            <v>HMO</v>
          </cell>
          <cell r="U671" t="str">
            <v>CFF5</v>
          </cell>
          <cell r="V671" t="str">
            <v/>
          </cell>
          <cell r="W671" t="str">
            <v/>
          </cell>
          <cell r="X671">
            <v>1</v>
          </cell>
        </row>
        <row r="672">
          <cell r="A672" t="str">
            <v>NU90</v>
          </cell>
          <cell r="B672" t="str">
            <v>Widmeyer Baker Group, Inc. (The)</v>
          </cell>
          <cell r="C672" t="str">
            <v/>
          </cell>
          <cell r="D672" t="str">
            <v>Keefer</v>
          </cell>
          <cell r="E672" t="str">
            <v>Johnson</v>
          </cell>
          <cell r="F672" t="str">
            <v>03</v>
          </cell>
          <cell r="G672" t="str">
            <v>N</v>
          </cell>
          <cell r="H672" t="str">
            <v>N</v>
          </cell>
          <cell r="I672" t="str">
            <v>N</v>
          </cell>
          <cell r="J672" t="str">
            <v>Rates</v>
          </cell>
          <cell r="K672" t="str">
            <v/>
          </cell>
          <cell r="L672" t="str">
            <v>Fully</v>
          </cell>
          <cell r="M672" t="str">
            <v>Savoca</v>
          </cell>
          <cell r="N672" t="str">
            <v>0</v>
          </cell>
          <cell r="O672" t="str">
            <v>11</v>
          </cell>
          <cell r="P672" t="str">
            <v>Kochert</v>
          </cell>
          <cell r="Q672" t="str">
            <v/>
          </cell>
          <cell r="R672" t="str">
            <v>DC</v>
          </cell>
          <cell r="S672">
            <v>50000</v>
          </cell>
          <cell r="T672" t="str">
            <v>POS/ADV/PPO</v>
          </cell>
          <cell r="U672" t="str">
            <v>BFF5</v>
          </cell>
          <cell r="V672" t="str">
            <v/>
          </cell>
          <cell r="W672" t="str">
            <v/>
          </cell>
          <cell r="X672">
            <v>1</v>
          </cell>
        </row>
        <row r="673">
          <cell r="A673" t="str">
            <v>6L03</v>
          </cell>
          <cell r="B673" t="str">
            <v>Wilderness Society</v>
          </cell>
          <cell r="C673" t="str">
            <v/>
          </cell>
          <cell r="D673" t="str">
            <v>Keefer</v>
          </cell>
          <cell r="E673" t="str">
            <v>Johnson</v>
          </cell>
          <cell r="F673" t="str">
            <v>01</v>
          </cell>
          <cell r="G673" t="str">
            <v>N</v>
          </cell>
          <cell r="H673" t="str">
            <v/>
          </cell>
          <cell r="I673" t="str">
            <v>N</v>
          </cell>
          <cell r="J673" t="str">
            <v>Rates</v>
          </cell>
          <cell r="K673" t="str">
            <v/>
          </cell>
          <cell r="L673" t="str">
            <v>Fully</v>
          </cell>
          <cell r="M673" t="str">
            <v>Dodds</v>
          </cell>
          <cell r="N673" t="str">
            <v>0</v>
          </cell>
          <cell r="O673" t="str">
            <v>09</v>
          </cell>
          <cell r="P673" t="str">
            <v/>
          </cell>
          <cell r="Q673" t="str">
            <v/>
          </cell>
          <cell r="R673" t="str">
            <v>MD</v>
          </cell>
          <cell r="S673">
            <v>50000</v>
          </cell>
          <cell r="T673" t="str">
            <v>PPO</v>
          </cell>
          <cell r="U673" t="str">
            <v>BFF6</v>
          </cell>
          <cell r="V673" t="str">
            <v/>
          </cell>
          <cell r="W673" t="str">
            <v/>
          </cell>
          <cell r="X673">
            <v>1</v>
          </cell>
        </row>
        <row r="674">
          <cell r="A674" t="str">
            <v>1B17</v>
          </cell>
          <cell r="B674" t="str">
            <v>William C. Smith</v>
          </cell>
          <cell r="C674" t="str">
            <v/>
          </cell>
          <cell r="D674" t="str">
            <v>McCourt</v>
          </cell>
          <cell r="E674" t="str">
            <v>Slack</v>
          </cell>
          <cell r="F674" t="str">
            <v>10</v>
          </cell>
          <cell r="G674" t="str">
            <v>N</v>
          </cell>
          <cell r="H674" t="str">
            <v>N</v>
          </cell>
          <cell r="I674" t="str">
            <v>N</v>
          </cell>
          <cell r="J674" t="str">
            <v>Rates</v>
          </cell>
          <cell r="K674" t="str">
            <v/>
          </cell>
          <cell r="L674" t="str">
            <v>Fully</v>
          </cell>
          <cell r="M674" t="str">
            <v>Greenwell</v>
          </cell>
          <cell r="N674" t="str">
            <v>0</v>
          </cell>
          <cell r="O674" t="str">
            <v>06</v>
          </cell>
          <cell r="P674" t="str">
            <v>Slack</v>
          </cell>
          <cell r="Q674" t="str">
            <v/>
          </cell>
          <cell r="R674" t="str">
            <v>DC</v>
          </cell>
          <cell r="S674">
            <v>50000</v>
          </cell>
          <cell r="T674" t="str">
            <v>POS/HMO</v>
          </cell>
          <cell r="U674" t="str">
            <v>BFF7/CFF7</v>
          </cell>
          <cell r="V674" t="str">
            <v/>
          </cell>
          <cell r="W674" t="str">
            <v/>
          </cell>
          <cell r="X674">
            <v>1</v>
          </cell>
        </row>
        <row r="675">
          <cell r="A675" t="str">
            <v>NA00</v>
          </cell>
          <cell r="B675" t="str">
            <v>Williams &amp; Jensen</v>
          </cell>
          <cell r="C675" t="str">
            <v/>
          </cell>
          <cell r="D675" t="str">
            <v>Keefer</v>
          </cell>
          <cell r="E675" t="str">
            <v>Johnson</v>
          </cell>
          <cell r="F675" t="str">
            <v>05</v>
          </cell>
          <cell r="G675" t="str">
            <v>N</v>
          </cell>
          <cell r="H675" t="str">
            <v>N</v>
          </cell>
          <cell r="I675" t="str">
            <v>N</v>
          </cell>
          <cell r="J675" t="str">
            <v>Rates</v>
          </cell>
          <cell r="K675" t="str">
            <v/>
          </cell>
          <cell r="L675" t="str">
            <v>Fully</v>
          </cell>
          <cell r="M675" t="str">
            <v>Dodds</v>
          </cell>
          <cell r="N675" t="str">
            <v>0</v>
          </cell>
          <cell r="O675" t="str">
            <v>01</v>
          </cell>
          <cell r="P675" t="str">
            <v>LaTouche</v>
          </cell>
          <cell r="Q675" t="str">
            <v/>
          </cell>
          <cell r="R675" t="str">
            <v>DC</v>
          </cell>
          <cell r="S675">
            <v>50000</v>
          </cell>
          <cell r="T675" t="str">
            <v>PPO</v>
          </cell>
          <cell r="U675" t="str">
            <v>BFF5</v>
          </cell>
          <cell r="V675" t="str">
            <v/>
          </cell>
          <cell r="W675" t="str">
            <v/>
          </cell>
          <cell r="X675">
            <v>1</v>
          </cell>
        </row>
        <row r="676">
          <cell r="A676" t="str">
            <v>7841</v>
          </cell>
          <cell r="B676" t="str">
            <v>Wilmer Cutler &amp; Pickering</v>
          </cell>
          <cell r="C676" t="str">
            <v/>
          </cell>
          <cell r="D676" t="str">
            <v>Keefer</v>
          </cell>
          <cell r="E676" t="str">
            <v>Taylor</v>
          </cell>
          <cell r="F676" t="str">
            <v>01</v>
          </cell>
          <cell r="G676" t="str">
            <v>N</v>
          </cell>
          <cell r="H676" t="str">
            <v>N</v>
          </cell>
          <cell r="I676" t="str">
            <v>N</v>
          </cell>
          <cell r="J676" t="str">
            <v>Rates</v>
          </cell>
          <cell r="K676" t="str">
            <v/>
          </cell>
          <cell r="L676" t="str">
            <v>Fully</v>
          </cell>
          <cell r="M676" t="str">
            <v>Lewis</v>
          </cell>
          <cell r="N676" t="str">
            <v>0</v>
          </cell>
          <cell r="O676" t="str">
            <v>08</v>
          </cell>
          <cell r="P676" t="str">
            <v>Taylor</v>
          </cell>
          <cell r="Q676" t="str">
            <v/>
          </cell>
          <cell r="R676" t="str">
            <v>DC</v>
          </cell>
          <cell r="S676">
            <v>100000</v>
          </cell>
          <cell r="T676" t="str">
            <v>PPO/HMO</v>
          </cell>
          <cell r="U676" t="str">
            <v>BFF8/CFF8</v>
          </cell>
          <cell r="V676" t="str">
            <v/>
          </cell>
          <cell r="W676" t="str">
            <v/>
          </cell>
          <cell r="X676">
            <v>1</v>
          </cell>
        </row>
        <row r="677">
          <cell r="A677" t="str">
            <v>SG22</v>
          </cell>
          <cell r="B677" t="str">
            <v xml:space="preserve">Wisnewski Blair &amp; Associates, Ltd.                </v>
          </cell>
          <cell r="C677" t="str">
            <v/>
          </cell>
          <cell r="D677" t="str">
            <v>McCourt</v>
          </cell>
          <cell r="E677" t="str">
            <v>Quade</v>
          </cell>
          <cell r="F677" t="str">
            <v>05</v>
          </cell>
          <cell r="G677" t="str">
            <v>N</v>
          </cell>
          <cell r="H677" t="str">
            <v/>
          </cell>
          <cell r="I677" t="str">
            <v>N</v>
          </cell>
          <cell r="J677" t="str">
            <v>Rates</v>
          </cell>
          <cell r="K677" t="str">
            <v/>
          </cell>
          <cell r="L677" t="str">
            <v>Fully</v>
          </cell>
          <cell r="M677" t="str">
            <v>Guessford-Kline</v>
          </cell>
          <cell r="N677" t="str">
            <v/>
          </cell>
          <cell r="O677" t="str">
            <v>01</v>
          </cell>
          <cell r="P677" t="str">
            <v/>
          </cell>
          <cell r="Q677" t="str">
            <v/>
          </cell>
          <cell r="R677" t="str">
            <v>VA</v>
          </cell>
          <cell r="S677">
            <v>50000</v>
          </cell>
          <cell r="T677" t="str">
            <v>PPO</v>
          </cell>
          <cell r="U677" t="str">
            <v>BFF5</v>
          </cell>
          <cell r="V677" t="str">
            <v/>
          </cell>
          <cell r="W677" t="str">
            <v/>
          </cell>
          <cell r="X677">
            <v>1</v>
          </cell>
        </row>
        <row r="678">
          <cell r="A678" t="str">
            <v>R330</v>
          </cell>
          <cell r="B678" t="str">
            <v>WMATA</v>
          </cell>
          <cell r="C678" t="str">
            <v/>
          </cell>
          <cell r="D678" t="str">
            <v>Keefer</v>
          </cell>
          <cell r="E678" t="str">
            <v>Taylor</v>
          </cell>
          <cell r="F678" t="str">
            <v>06</v>
          </cell>
          <cell r="G678" t="str">
            <v>Y</v>
          </cell>
          <cell r="H678" t="str">
            <v>N</v>
          </cell>
          <cell r="I678" t="str">
            <v>N</v>
          </cell>
          <cell r="J678" t="str">
            <v>CPC Ra</v>
          </cell>
          <cell r="K678" t="str">
            <v/>
          </cell>
          <cell r="L678" t="str">
            <v>100%</v>
          </cell>
          <cell r="M678" t="str">
            <v>Phillips</v>
          </cell>
          <cell r="N678" t="str">
            <v>11</v>
          </cell>
          <cell r="O678" t="str">
            <v>03</v>
          </cell>
          <cell r="P678" t="str">
            <v>Thacker</v>
          </cell>
          <cell r="Q678" t="str">
            <v/>
          </cell>
          <cell r="R678" t="str">
            <v>DC</v>
          </cell>
          <cell r="S678">
            <v>75000</v>
          </cell>
          <cell r="T678" t="str">
            <v>Indem Rx D</v>
          </cell>
          <cell r="U678" t="str">
            <v>BBB7</v>
          </cell>
          <cell r="V678" t="str">
            <v/>
          </cell>
          <cell r="W678" t="str">
            <v/>
          </cell>
          <cell r="X678">
            <v>1</v>
          </cell>
        </row>
        <row r="679">
          <cell r="A679" t="str">
            <v>6D69</v>
          </cell>
          <cell r="B679" t="str">
            <v>World Wide Retail Exchange</v>
          </cell>
          <cell r="C679" t="str">
            <v/>
          </cell>
          <cell r="D679" t="str">
            <v>Keefer</v>
          </cell>
          <cell r="E679" t="str">
            <v>Anderson</v>
          </cell>
          <cell r="F679" t="str">
            <v>08</v>
          </cell>
          <cell r="G679" t="str">
            <v>N</v>
          </cell>
          <cell r="H679" t="str">
            <v/>
          </cell>
          <cell r="I679" t="str">
            <v>N</v>
          </cell>
          <cell r="J679" t="str">
            <v>Rates</v>
          </cell>
          <cell r="K679" t="str">
            <v/>
          </cell>
          <cell r="L679" t="str">
            <v>Fully</v>
          </cell>
          <cell r="M679" t="str">
            <v>Henton-Davis</v>
          </cell>
          <cell r="N679" t="str">
            <v/>
          </cell>
          <cell r="O679" t="str">
            <v>04</v>
          </cell>
          <cell r="P679" t="str">
            <v>Padrutt</v>
          </cell>
          <cell r="Q679" t="str">
            <v/>
          </cell>
          <cell r="R679" t="str">
            <v>VA</v>
          </cell>
          <cell r="S679">
            <v>50000</v>
          </cell>
          <cell r="T679" t="str">
            <v>PPO POS HMO</v>
          </cell>
          <cell r="U679" t="str">
            <v>BFF5/CFF5</v>
          </cell>
          <cell r="V679" t="str">
            <v>Y</v>
          </cell>
          <cell r="W679" t="str">
            <v>8/1/2003</v>
          </cell>
          <cell r="X679">
            <v>1</v>
          </cell>
        </row>
        <row r="680">
          <cell r="A680" t="str">
            <v>6D43</v>
          </cell>
          <cell r="B680" t="str">
            <v>World Wildlife Fund</v>
          </cell>
          <cell r="C680" t="str">
            <v/>
          </cell>
          <cell r="D680" t="str">
            <v>Keefer</v>
          </cell>
          <cell r="E680" t="str">
            <v>LaTouche</v>
          </cell>
          <cell r="F680" t="str">
            <v>01</v>
          </cell>
          <cell r="G680" t="str">
            <v>N</v>
          </cell>
          <cell r="H680" t="str">
            <v>N</v>
          </cell>
          <cell r="I680" t="str">
            <v>N</v>
          </cell>
          <cell r="J680" t="str">
            <v>CPC Mo</v>
          </cell>
          <cell r="K680" t="str">
            <v>170600</v>
          </cell>
          <cell r="L680" t="str">
            <v>125%</v>
          </cell>
          <cell r="M680" t="str">
            <v>Greenwell</v>
          </cell>
          <cell r="N680" t="str">
            <v>0</v>
          </cell>
          <cell r="O680" t="str">
            <v>08</v>
          </cell>
          <cell r="P680" t="str">
            <v>LaTouche</v>
          </cell>
          <cell r="Q680" t="str">
            <v>Hornung</v>
          </cell>
          <cell r="R680" t="str">
            <v>DC</v>
          </cell>
          <cell r="S680">
            <v>50000</v>
          </cell>
          <cell r="T680" t="str">
            <v>HMO/POS/PPO</v>
          </cell>
          <cell r="U680" t="str">
            <v>BFF7/CFF7</v>
          </cell>
          <cell r="V680" t="str">
            <v/>
          </cell>
          <cell r="W680" t="str">
            <v/>
          </cell>
          <cell r="X680">
            <v>1</v>
          </cell>
        </row>
        <row r="681">
          <cell r="A681" t="str">
            <v>QW16</v>
          </cell>
          <cell r="B681" t="str">
            <v>Worldwide Assistance Services, Inc.</v>
          </cell>
          <cell r="C681" t="str">
            <v/>
          </cell>
          <cell r="D681" t="str">
            <v>Keefer</v>
          </cell>
          <cell r="E681" t="str">
            <v>Newman</v>
          </cell>
          <cell r="F681" t="str">
            <v>09</v>
          </cell>
          <cell r="G681" t="str">
            <v>N</v>
          </cell>
          <cell r="H681" t="str">
            <v/>
          </cell>
          <cell r="I681" t="str">
            <v>N</v>
          </cell>
          <cell r="J681" t="str">
            <v>Rates</v>
          </cell>
          <cell r="K681" t="str">
            <v/>
          </cell>
          <cell r="L681" t="str">
            <v>Fully</v>
          </cell>
          <cell r="M681" t="str">
            <v>Dodds</v>
          </cell>
          <cell r="N681" t="str">
            <v/>
          </cell>
          <cell r="O681" t="str">
            <v>05</v>
          </cell>
          <cell r="P681" t="str">
            <v/>
          </cell>
          <cell r="Q681" t="str">
            <v/>
          </cell>
          <cell r="R681" t="str">
            <v>DC</v>
          </cell>
          <cell r="S681">
            <v>50000</v>
          </cell>
          <cell r="T681" t="str">
            <v>POS/HMO/PPO</v>
          </cell>
          <cell r="U681" t="str">
            <v>BFF5/CFF5</v>
          </cell>
          <cell r="V681" t="str">
            <v/>
          </cell>
          <cell r="W681" t="str">
            <v/>
          </cell>
          <cell r="X681">
            <v>1</v>
          </cell>
        </row>
        <row r="682">
          <cell r="A682" t="str">
            <v>6D62</v>
          </cell>
          <cell r="B682" t="str">
            <v>Young Design, Inc.</v>
          </cell>
          <cell r="C682" t="str">
            <v/>
          </cell>
          <cell r="D682" t="str">
            <v>Keefer</v>
          </cell>
          <cell r="E682" t="str">
            <v>Anderson</v>
          </cell>
          <cell r="F682" t="str">
            <v>12</v>
          </cell>
          <cell r="G682" t="str">
            <v>N</v>
          </cell>
          <cell r="H682" t="str">
            <v/>
          </cell>
          <cell r="I682" t="str">
            <v>N</v>
          </cell>
          <cell r="J682" t="str">
            <v>Rates</v>
          </cell>
          <cell r="K682" t="str">
            <v/>
          </cell>
          <cell r="L682" t="str">
            <v>Fully</v>
          </cell>
          <cell r="M682" t="str">
            <v>Dodds</v>
          </cell>
          <cell r="N682" t="str">
            <v/>
          </cell>
          <cell r="O682" t="str">
            <v>08</v>
          </cell>
          <cell r="P682" t="str">
            <v/>
          </cell>
          <cell r="Q682" t="str">
            <v/>
          </cell>
          <cell r="R682" t="str">
            <v>VA</v>
          </cell>
          <cell r="S682">
            <v>50000</v>
          </cell>
          <cell r="T682" t="str">
            <v>PPO OA HMO</v>
          </cell>
          <cell r="U682" t="str">
            <v>BFF6/CFF6</v>
          </cell>
          <cell r="V682" t="str">
            <v>Y</v>
          </cell>
          <cell r="W682" t="str">
            <v>12/1/2002</v>
          </cell>
          <cell r="X682">
            <v>1</v>
          </cell>
        </row>
        <row r="683">
          <cell r="A683" t="str">
            <v>WF02</v>
          </cell>
          <cell r="B683" t="str">
            <v>ZeniMax Media, Inc.</v>
          </cell>
          <cell r="C683" t="str">
            <v/>
          </cell>
          <cell r="D683" t="str">
            <v>Keefer</v>
          </cell>
          <cell r="E683" t="str">
            <v>Anderson</v>
          </cell>
          <cell r="F683" t="str">
            <v>01</v>
          </cell>
          <cell r="G683" t="str">
            <v>N</v>
          </cell>
          <cell r="H683" t="str">
            <v/>
          </cell>
          <cell r="I683" t="str">
            <v>N</v>
          </cell>
          <cell r="J683" t="str">
            <v>Rates</v>
          </cell>
          <cell r="K683" t="str">
            <v/>
          </cell>
          <cell r="L683" t="str">
            <v>Fully</v>
          </cell>
          <cell r="M683" t="str">
            <v>Savoca</v>
          </cell>
          <cell r="N683" t="str">
            <v>0</v>
          </cell>
          <cell r="O683" t="str">
            <v>09</v>
          </cell>
          <cell r="P683" t="str">
            <v>Ryan</v>
          </cell>
          <cell r="Q683" t="str">
            <v/>
          </cell>
          <cell r="R683" t="str">
            <v>MD</v>
          </cell>
          <cell r="S683">
            <v>50000</v>
          </cell>
          <cell r="T683" t="str">
            <v>HMO PPO POS Rx</v>
          </cell>
          <cell r="U683" t="str">
            <v>BFF5/CFF5</v>
          </cell>
          <cell r="V683" t="str">
            <v/>
          </cell>
          <cell r="W683" t="str">
            <v/>
          </cell>
          <cell r="X683">
            <v>1</v>
          </cell>
        </row>
        <row r="684">
          <cell r="A684" t="str">
            <v>BWY6</v>
          </cell>
          <cell r="B684" t="str">
            <v>ZGS Broadcast Holdings</v>
          </cell>
          <cell r="C684" t="str">
            <v/>
          </cell>
          <cell r="D684" t="str">
            <v>Keefer</v>
          </cell>
          <cell r="E684" t="str">
            <v>Anderson</v>
          </cell>
          <cell r="F684" t="str">
            <v>07</v>
          </cell>
          <cell r="G684" t="str">
            <v/>
          </cell>
          <cell r="H684" t="str">
            <v/>
          </cell>
          <cell r="I684" t="str">
            <v/>
          </cell>
          <cell r="J684" t="str">
            <v/>
          </cell>
          <cell r="K684" t="str">
            <v/>
          </cell>
          <cell r="L684" t="str">
            <v>Fully</v>
          </cell>
          <cell r="M684" t="str">
            <v>Savoca</v>
          </cell>
          <cell r="N684" t="str">
            <v/>
          </cell>
          <cell r="O684" t="str">
            <v>03</v>
          </cell>
          <cell r="P684" t="str">
            <v/>
          </cell>
          <cell r="Q684" t="str">
            <v/>
          </cell>
          <cell r="R684" t="str">
            <v>VA</v>
          </cell>
          <cell r="S684">
            <v>50000</v>
          </cell>
          <cell r="T684" t="str">
            <v>HMO 6 PPO 6 PPO 8</v>
          </cell>
          <cell r="U684" t="str">
            <v>BFF5 CFF5</v>
          </cell>
          <cell r="V684" t="str">
            <v>Y</v>
          </cell>
          <cell r="W684" t="str">
            <v>7/1/2004</v>
          </cell>
          <cell r="X684">
            <v>1</v>
          </cell>
        </row>
        <row r="685">
          <cell r="A685" t="str">
            <v>YB94</v>
          </cell>
          <cell r="B685" t="str">
            <v xml:space="preserve">Z-Tech Corporation                                </v>
          </cell>
          <cell r="C685" t="str">
            <v/>
          </cell>
          <cell r="D685" t="str">
            <v>Keefer</v>
          </cell>
          <cell r="E685" t="str">
            <v>Johnson</v>
          </cell>
          <cell r="F685" t="str">
            <v>10</v>
          </cell>
          <cell r="G685" t="str">
            <v>N</v>
          </cell>
          <cell r="H685" t="str">
            <v/>
          </cell>
          <cell r="I685" t="str">
            <v>N</v>
          </cell>
          <cell r="J685" t="str">
            <v>Rates</v>
          </cell>
          <cell r="K685" t="str">
            <v/>
          </cell>
          <cell r="L685" t="str">
            <v>Fully</v>
          </cell>
          <cell r="M685" t="str">
            <v>Wise</v>
          </cell>
          <cell r="N685" t="str">
            <v/>
          </cell>
          <cell r="O685" t="str">
            <v>06</v>
          </cell>
          <cell r="P685" t="str">
            <v/>
          </cell>
          <cell r="Q685" t="str">
            <v/>
          </cell>
          <cell r="R685" t="str">
            <v>MD</v>
          </cell>
          <cell r="S685">
            <v>50000</v>
          </cell>
          <cell r="T685" t="str">
            <v>PPO</v>
          </cell>
          <cell r="U685" t="str">
            <v>BFF5</v>
          </cell>
          <cell r="V685" t="str">
            <v/>
          </cell>
          <cell r="W685" t="str">
            <v/>
          </cell>
          <cell r="X685">
            <v>1</v>
          </cell>
        </row>
        <row r="686">
          <cell r="A686" t="str">
            <v>0EG1</v>
          </cell>
          <cell r="B686" t="str">
            <v>Zuckerman Gravely</v>
          </cell>
          <cell r="C686" t="str">
            <v/>
          </cell>
          <cell r="D686" t="str">
            <v>Keefer</v>
          </cell>
          <cell r="E686" t="str">
            <v>Anderson</v>
          </cell>
          <cell r="F686" t="str">
            <v>06</v>
          </cell>
          <cell r="G686" t="str">
            <v/>
          </cell>
          <cell r="H686" t="str">
            <v/>
          </cell>
          <cell r="I686" t="str">
            <v/>
          </cell>
          <cell r="J686" t="str">
            <v>Rates</v>
          </cell>
          <cell r="K686" t="str">
            <v/>
          </cell>
          <cell r="L686" t="str">
            <v>Fully</v>
          </cell>
          <cell r="M686" t="str">
            <v>Thomas</v>
          </cell>
          <cell r="N686" t="str">
            <v/>
          </cell>
          <cell r="O686" t="str">
            <v>02</v>
          </cell>
          <cell r="P686" t="str">
            <v/>
          </cell>
          <cell r="Q686" t="str">
            <v/>
          </cell>
          <cell r="R686" t="str">
            <v>MD</v>
          </cell>
          <cell r="S686">
            <v>0</v>
          </cell>
          <cell r="T686" t="str">
            <v>HMO OA Rx</v>
          </cell>
          <cell r="U686" t="str">
            <v>CFF5</v>
          </cell>
          <cell r="V686" t="str">
            <v>Y</v>
          </cell>
          <cell r="W686" t="str">
            <v>6/1/2005</v>
          </cell>
          <cell r="X686">
            <v>1</v>
          </cell>
        </row>
      </sheetData>
      <sheetData sheetId="22" refreshError="1">
        <row r="2">
          <cell r="A2" t="str">
            <v>ADVANCED ENGINEERING &amp; PLANNING CORP</v>
          </cell>
          <cell r="B2" t="str">
            <v>WE54</v>
          </cell>
          <cell r="C2">
            <v>179</v>
          </cell>
          <cell r="D2">
            <v>92</v>
          </cell>
          <cell r="E2">
            <v>271</v>
          </cell>
          <cell r="F2">
            <v>253.45</v>
          </cell>
          <cell r="G2">
            <v>87.21</v>
          </cell>
          <cell r="H2">
            <v>340.66</v>
          </cell>
          <cell r="I2">
            <v>681.32</v>
          </cell>
        </row>
        <row r="3">
          <cell r="A3" t="str">
            <v>AHOLD/GIANT</v>
          </cell>
          <cell r="B3" t="str">
            <v>63697</v>
          </cell>
          <cell r="C3">
            <v>4323</v>
          </cell>
          <cell r="D3">
            <v>2954</v>
          </cell>
          <cell r="E3">
            <v>7277</v>
          </cell>
          <cell r="F3">
            <v>5928.47</v>
          </cell>
          <cell r="G3">
            <v>2993.96</v>
          </cell>
          <cell r="H3">
            <v>8922.43</v>
          </cell>
          <cell r="I3">
            <v>17844.86</v>
          </cell>
        </row>
        <row r="4">
          <cell r="A4" t="str">
            <v>ALLEGIS/MAXIM INTERNAL</v>
          </cell>
          <cell r="B4" t="str">
            <v>40117</v>
          </cell>
          <cell r="C4">
            <v>4299</v>
          </cell>
          <cell r="D4">
            <v>3418</v>
          </cell>
          <cell r="E4">
            <v>7717</v>
          </cell>
          <cell r="F4">
            <v>2435.69</v>
          </cell>
          <cell r="G4">
            <v>1778.87</v>
          </cell>
          <cell r="H4">
            <v>4214.5600000000004</v>
          </cell>
          <cell r="I4">
            <v>8429.1200000000008</v>
          </cell>
        </row>
        <row r="5">
          <cell r="A5" t="str">
            <v>American Federation of Teachers</v>
          </cell>
          <cell r="B5" t="str">
            <v>3499</v>
          </cell>
          <cell r="C5">
            <v>136</v>
          </cell>
          <cell r="D5">
            <v>217</v>
          </cell>
          <cell r="E5">
            <v>353</v>
          </cell>
          <cell r="F5">
            <v>224.49</v>
          </cell>
          <cell r="G5">
            <v>232.79</v>
          </cell>
          <cell r="H5">
            <v>457.28</v>
          </cell>
          <cell r="I5">
            <v>914.56</v>
          </cell>
        </row>
        <row r="6">
          <cell r="A6" t="str">
            <v>American Nurses Association</v>
          </cell>
          <cell r="B6" t="str">
            <v>0F19</v>
          </cell>
          <cell r="C6">
            <v>39</v>
          </cell>
          <cell r="D6">
            <v>131</v>
          </cell>
          <cell r="E6">
            <v>170</v>
          </cell>
          <cell r="F6">
            <v>61.18</v>
          </cell>
          <cell r="G6">
            <v>129.97</v>
          </cell>
          <cell r="H6">
            <v>191.15</v>
          </cell>
          <cell r="I6">
            <v>382.3</v>
          </cell>
        </row>
        <row r="7">
          <cell r="A7" t="str">
            <v>ANNE ARUNDEL CO BD OF ED</v>
          </cell>
          <cell r="B7" t="str">
            <v>07319</v>
          </cell>
          <cell r="C7">
            <v>2349</v>
          </cell>
          <cell r="D7">
            <v>6323</v>
          </cell>
          <cell r="E7">
            <v>8672</v>
          </cell>
          <cell r="F7">
            <v>5350.32</v>
          </cell>
          <cell r="G7">
            <v>9419.25</v>
          </cell>
          <cell r="H7">
            <v>14769.57</v>
          </cell>
          <cell r="I7">
            <v>29539.14</v>
          </cell>
        </row>
        <row r="8">
          <cell r="A8" t="str">
            <v>ANNE ARUNDEL COUNTY PUBLIC SCHOOLS</v>
          </cell>
          <cell r="B8" t="str">
            <v>3V86</v>
          </cell>
          <cell r="C8">
            <v>491</v>
          </cell>
          <cell r="D8">
            <v>1271</v>
          </cell>
          <cell r="E8">
            <v>1762</v>
          </cell>
          <cell r="F8">
            <v>864.05</v>
          </cell>
          <cell r="G8">
            <v>1534.96</v>
          </cell>
          <cell r="H8">
            <v>2399.0100000000002</v>
          </cell>
          <cell r="I8">
            <v>4798.0200000000004</v>
          </cell>
        </row>
        <row r="9">
          <cell r="A9" t="str">
            <v>ARBITRON</v>
          </cell>
          <cell r="B9" t="str">
            <v>63840</v>
          </cell>
          <cell r="C9">
            <v>374</v>
          </cell>
          <cell r="D9">
            <v>477</v>
          </cell>
          <cell r="E9">
            <v>851</v>
          </cell>
          <cell r="F9">
            <v>376.43</v>
          </cell>
          <cell r="G9">
            <v>416.75</v>
          </cell>
          <cell r="H9">
            <v>793.18</v>
          </cell>
          <cell r="I9">
            <v>1586.36</v>
          </cell>
        </row>
        <row r="10">
          <cell r="A10" t="str">
            <v>ARINC</v>
          </cell>
          <cell r="B10" t="str">
            <v>61841</v>
          </cell>
          <cell r="C10">
            <v>1172</v>
          </cell>
          <cell r="D10">
            <v>599</v>
          </cell>
          <cell r="E10">
            <v>1771</v>
          </cell>
          <cell r="F10">
            <v>1484.93</v>
          </cell>
          <cell r="G10">
            <v>515.49</v>
          </cell>
          <cell r="H10">
            <v>2000.42</v>
          </cell>
          <cell r="I10">
            <v>4000.84</v>
          </cell>
        </row>
        <row r="11">
          <cell r="A11" t="str">
            <v>AVALON BAY COMMUNITIES, INC.</v>
          </cell>
          <cell r="B11" t="str">
            <v>TD96</v>
          </cell>
          <cell r="C11" t="str">
            <v/>
          </cell>
          <cell r="E11">
            <v>1401</v>
          </cell>
          <cell r="F11" t="str">
            <v/>
          </cell>
          <cell r="H11">
            <v>1401</v>
          </cell>
          <cell r="I11">
            <v>2802</v>
          </cell>
        </row>
        <row r="12">
          <cell r="A12" t="str">
            <v>BALTIMORE CO ENTITES</v>
          </cell>
          <cell r="B12" t="str">
            <v>07320</v>
          </cell>
          <cell r="C12">
            <v>4233</v>
          </cell>
          <cell r="D12">
            <v>3119</v>
          </cell>
          <cell r="E12">
            <v>7352</v>
          </cell>
          <cell r="F12">
            <v>9383.8799999999992</v>
          </cell>
          <cell r="G12">
            <v>6060.57</v>
          </cell>
          <cell r="H12">
            <v>15444.45</v>
          </cell>
          <cell r="I12">
            <v>30888.9</v>
          </cell>
        </row>
        <row r="13">
          <cell r="A13" t="str">
            <v>BALTIMORE LIFE</v>
          </cell>
          <cell r="B13" t="str">
            <v>28286</v>
          </cell>
          <cell r="C13">
            <v>111</v>
          </cell>
          <cell r="D13">
            <v>121</v>
          </cell>
          <cell r="E13">
            <v>232</v>
          </cell>
          <cell r="F13">
            <v>280.73</v>
          </cell>
          <cell r="G13">
            <v>196.52</v>
          </cell>
          <cell r="H13">
            <v>477.25</v>
          </cell>
          <cell r="I13">
            <v>954.5</v>
          </cell>
        </row>
        <row r="14">
          <cell r="A14" t="str">
            <v>BAY BUSINESS SOLUTIONS</v>
          </cell>
          <cell r="B14" t="str">
            <v>49213</v>
          </cell>
          <cell r="C14">
            <v>283</v>
          </cell>
          <cell r="D14">
            <v>53</v>
          </cell>
          <cell r="E14">
            <v>336</v>
          </cell>
          <cell r="F14">
            <v>274.3</v>
          </cell>
          <cell r="G14">
            <v>32.53</v>
          </cell>
          <cell r="H14">
            <v>306.83</v>
          </cell>
          <cell r="I14">
            <v>613.66</v>
          </cell>
        </row>
        <row r="15">
          <cell r="A15" t="str">
            <v>BIEDERLACK OF AMERICA CORP</v>
          </cell>
          <cell r="B15" t="str">
            <v>51149</v>
          </cell>
          <cell r="C15">
            <v>156</v>
          </cell>
          <cell r="D15">
            <v>134</v>
          </cell>
          <cell r="E15">
            <v>290</v>
          </cell>
          <cell r="F15">
            <v>193.88</v>
          </cell>
          <cell r="G15">
            <v>148.76</v>
          </cell>
          <cell r="H15">
            <v>342.64</v>
          </cell>
          <cell r="I15">
            <v>685.28</v>
          </cell>
        </row>
        <row r="16">
          <cell r="A16" t="str">
            <v>BOARD OF CHILD CARE</v>
          </cell>
          <cell r="C16">
            <v>78</v>
          </cell>
          <cell r="D16">
            <v>203</v>
          </cell>
          <cell r="E16">
            <v>281</v>
          </cell>
          <cell r="F16">
            <v>68.010000000000005</v>
          </cell>
          <cell r="G16">
            <v>113.29</v>
          </cell>
          <cell r="H16">
            <v>181.3</v>
          </cell>
          <cell r="I16">
            <v>362.6</v>
          </cell>
        </row>
        <row r="17">
          <cell r="A17" t="str">
            <v>CALVERT CO ENTITIES   RETRO</v>
          </cell>
          <cell r="B17" t="str">
            <v>08262</v>
          </cell>
          <cell r="C17">
            <v>530</v>
          </cell>
          <cell r="D17">
            <v>1539</v>
          </cell>
          <cell r="E17">
            <v>2069</v>
          </cell>
          <cell r="F17">
            <v>875.8</v>
          </cell>
          <cell r="G17">
            <v>1766.28</v>
          </cell>
          <cell r="H17">
            <v>2642.08</v>
          </cell>
          <cell r="I17">
            <v>5284.16</v>
          </cell>
        </row>
        <row r="18">
          <cell r="A18" t="str">
            <v>CALVERT COUNTY COMMISSIONERS</v>
          </cell>
          <cell r="B18" t="str">
            <v>4N01</v>
          </cell>
          <cell r="C18">
            <v>146</v>
          </cell>
          <cell r="D18">
            <v>125</v>
          </cell>
          <cell r="E18">
            <v>271</v>
          </cell>
          <cell r="F18">
            <v>185.53</v>
          </cell>
          <cell r="G18">
            <v>124.77</v>
          </cell>
          <cell r="H18">
            <v>310.3</v>
          </cell>
          <cell r="I18">
            <v>620.6</v>
          </cell>
        </row>
        <row r="19">
          <cell r="A19" t="str">
            <v>CALVERT COUNTY PUBLIC SCHOOLS</v>
          </cell>
          <cell r="B19" t="str">
            <v>7J67</v>
          </cell>
          <cell r="C19">
            <v>27</v>
          </cell>
          <cell r="D19">
            <v>71</v>
          </cell>
          <cell r="E19">
            <v>98</v>
          </cell>
          <cell r="F19">
            <v>34.83</v>
          </cell>
          <cell r="G19">
            <v>56.27</v>
          </cell>
          <cell r="H19">
            <v>91.1</v>
          </cell>
          <cell r="I19">
            <v>182.2</v>
          </cell>
        </row>
        <row r="20">
          <cell r="A20" t="str">
            <v>CAMBREX BIOWHITTAKER</v>
          </cell>
          <cell r="E20">
            <v>704</v>
          </cell>
          <cell r="H20">
            <v>704</v>
          </cell>
          <cell r="I20">
            <v>1408</v>
          </cell>
        </row>
        <row r="21">
          <cell r="A21" t="str">
            <v>CARROLL CO GOVT</v>
          </cell>
          <cell r="B21" t="str">
            <v>59765</v>
          </cell>
          <cell r="C21">
            <v>589</v>
          </cell>
          <cell r="D21">
            <v>557</v>
          </cell>
          <cell r="E21">
            <v>1146</v>
          </cell>
          <cell r="F21">
            <v>970.08</v>
          </cell>
          <cell r="G21">
            <v>747.66</v>
          </cell>
          <cell r="H21">
            <v>1717.74</v>
          </cell>
          <cell r="I21">
            <v>3435.48</v>
          </cell>
        </row>
        <row r="22">
          <cell r="A22" t="str">
            <v>CECIL CO BD OF ED</v>
          </cell>
          <cell r="B22" t="str">
            <v>28209</v>
          </cell>
          <cell r="C22">
            <v>433</v>
          </cell>
          <cell r="D22">
            <v>934</v>
          </cell>
          <cell r="E22">
            <v>1367</v>
          </cell>
          <cell r="F22">
            <v>831.17</v>
          </cell>
          <cell r="G22">
            <v>1183.56</v>
          </cell>
          <cell r="H22">
            <v>2014.73</v>
          </cell>
          <cell r="I22">
            <v>4029.46</v>
          </cell>
        </row>
        <row r="23">
          <cell r="A23" t="str">
            <v>Centre Group</v>
          </cell>
          <cell r="B23" t="str">
            <v>U926</v>
          </cell>
          <cell r="C23">
            <v>187</v>
          </cell>
          <cell r="D23">
            <v>140</v>
          </cell>
          <cell r="E23">
            <v>327</v>
          </cell>
          <cell r="F23">
            <v>195.21</v>
          </cell>
          <cell r="G23">
            <v>95.32</v>
          </cell>
          <cell r="H23">
            <v>290.52999999999997</v>
          </cell>
          <cell r="I23">
            <v>581.05999999999995</v>
          </cell>
        </row>
        <row r="24">
          <cell r="A24" t="str">
            <v>CHARLES CO COMM</v>
          </cell>
          <cell r="B24" t="str">
            <v>08174</v>
          </cell>
          <cell r="C24">
            <v>466</v>
          </cell>
          <cell r="D24">
            <v>253</v>
          </cell>
          <cell r="E24">
            <v>719</v>
          </cell>
          <cell r="F24">
            <v>647.92999999999995</v>
          </cell>
          <cell r="G24">
            <v>315.66000000000003</v>
          </cell>
          <cell r="H24">
            <v>963.59</v>
          </cell>
          <cell r="I24">
            <v>1927.18</v>
          </cell>
        </row>
        <row r="25">
          <cell r="A25" t="str">
            <v>CHARLES COUNTY GOVERNMENT</v>
          </cell>
          <cell r="B25" t="str">
            <v>4N00</v>
          </cell>
          <cell r="C25">
            <v>146</v>
          </cell>
          <cell r="D25">
            <v>176</v>
          </cell>
          <cell r="E25">
            <v>322</v>
          </cell>
          <cell r="F25">
            <v>135.41</v>
          </cell>
          <cell r="G25">
            <v>154.06</v>
          </cell>
          <cell r="H25">
            <v>289.47000000000003</v>
          </cell>
          <cell r="I25">
            <v>578.94000000000005</v>
          </cell>
        </row>
        <row r="26">
          <cell r="A26" t="str">
            <v>CHARLES COUNTY PUBLIC SCHOOLS 1</v>
          </cell>
          <cell r="B26" t="str">
            <v>4N02</v>
          </cell>
          <cell r="C26">
            <v>248</v>
          </cell>
          <cell r="D26">
            <v>603</v>
          </cell>
          <cell r="E26">
            <v>851</v>
          </cell>
          <cell r="F26">
            <v>230.56</v>
          </cell>
          <cell r="G26">
            <v>457.76</v>
          </cell>
          <cell r="H26">
            <v>688.32</v>
          </cell>
          <cell r="I26">
            <v>1376.64</v>
          </cell>
        </row>
        <row r="27">
          <cell r="A27" t="str">
            <v>CHESAPEAKE PUBLISHING</v>
          </cell>
          <cell r="B27" t="str">
            <v>17940</v>
          </cell>
          <cell r="C27">
            <v>116</v>
          </cell>
          <cell r="D27">
            <v>142</v>
          </cell>
          <cell r="E27">
            <v>258</v>
          </cell>
          <cell r="F27">
            <v>153.16</v>
          </cell>
          <cell r="G27">
            <v>132.30000000000001</v>
          </cell>
          <cell r="H27">
            <v>285.45999999999998</v>
          </cell>
          <cell r="I27">
            <v>570.91999999999996</v>
          </cell>
        </row>
        <row r="28">
          <cell r="A28" t="str">
            <v>CHOICE HOTELS INTERNATIONAL, INC. 2</v>
          </cell>
          <cell r="B28" t="str">
            <v>NJ52</v>
          </cell>
          <cell r="C28">
            <v>577</v>
          </cell>
          <cell r="D28">
            <v>707</v>
          </cell>
          <cell r="E28">
            <v>1284</v>
          </cell>
          <cell r="F28">
            <v>574.66999999999996</v>
          </cell>
          <cell r="G28">
            <v>567.41</v>
          </cell>
          <cell r="H28">
            <v>1142.08</v>
          </cell>
          <cell r="I28">
            <v>2284.16</v>
          </cell>
        </row>
        <row r="29">
          <cell r="A29" t="str">
            <v>COLUMBIA NATIONAL</v>
          </cell>
          <cell r="E29">
            <v>350</v>
          </cell>
          <cell r="H29">
            <v>350</v>
          </cell>
          <cell r="I29">
            <v>700</v>
          </cell>
        </row>
        <row r="30">
          <cell r="A30" t="str">
            <v>Communication Workers of America</v>
          </cell>
          <cell r="B30" t="str">
            <v>R189</v>
          </cell>
          <cell r="C30" t="str">
            <v/>
          </cell>
          <cell r="E30">
            <v>1492</v>
          </cell>
          <cell r="F30" t="str">
            <v/>
          </cell>
          <cell r="H30">
            <v>1492</v>
          </cell>
          <cell r="I30">
            <v>2984</v>
          </cell>
        </row>
        <row r="31">
          <cell r="A31" t="str">
            <v>CORVIS</v>
          </cell>
          <cell r="B31" t="str">
            <v>61500</v>
          </cell>
          <cell r="C31">
            <v>0</v>
          </cell>
          <cell r="D31">
            <v>0</v>
          </cell>
          <cell r="E31">
            <v>156</v>
          </cell>
          <cell r="F31" t="str">
            <v/>
          </cell>
          <cell r="G31" t="str">
            <v/>
          </cell>
          <cell r="H31">
            <v>156</v>
          </cell>
          <cell r="I31">
            <v>312</v>
          </cell>
        </row>
        <row r="32">
          <cell r="A32" t="str">
            <v>CRESTLINE HOTELS AND RESORTS 2</v>
          </cell>
          <cell r="B32" t="str">
            <v>XM70</v>
          </cell>
          <cell r="C32">
            <v>677</v>
          </cell>
          <cell r="D32">
            <v>853</v>
          </cell>
          <cell r="E32">
            <v>1530</v>
          </cell>
          <cell r="F32">
            <v>768.01</v>
          </cell>
          <cell r="G32">
            <v>688.51</v>
          </cell>
          <cell r="H32">
            <v>1456.52</v>
          </cell>
          <cell r="I32">
            <v>2913.04</v>
          </cell>
        </row>
        <row r="33">
          <cell r="A33" t="str">
            <v>DANIEL G SCHUSTER INC</v>
          </cell>
          <cell r="B33" t="str">
            <v>55220</v>
          </cell>
          <cell r="C33">
            <v>328</v>
          </cell>
          <cell r="D33">
            <v>30</v>
          </cell>
          <cell r="E33">
            <v>358</v>
          </cell>
          <cell r="F33">
            <v>334.78</v>
          </cell>
          <cell r="G33">
            <v>22</v>
          </cell>
          <cell r="H33">
            <v>356.78</v>
          </cell>
          <cell r="I33">
            <v>713.56</v>
          </cell>
        </row>
        <row r="34">
          <cell r="A34" t="str">
            <v>DIAMOND COMICS</v>
          </cell>
          <cell r="C34">
            <v>228</v>
          </cell>
          <cell r="D34">
            <v>158</v>
          </cell>
          <cell r="E34">
            <v>386</v>
          </cell>
          <cell r="F34">
            <v>198.46</v>
          </cell>
          <cell r="G34">
            <v>116.18</v>
          </cell>
          <cell r="H34">
            <v>314.94</v>
          </cell>
          <cell r="I34">
            <v>629.88</v>
          </cell>
        </row>
        <row r="35">
          <cell r="A35" t="str">
            <v>DIGEX</v>
          </cell>
          <cell r="E35">
            <v>436</v>
          </cell>
          <cell r="H35">
            <v>436</v>
          </cell>
          <cell r="I35">
            <v>872</v>
          </cell>
        </row>
        <row r="36">
          <cell r="A36" t="str">
            <v>Dimensions Health Corporation</v>
          </cell>
          <cell r="B36" t="str">
            <v>R802</v>
          </cell>
          <cell r="C36">
            <v>161</v>
          </cell>
          <cell r="D36">
            <v>539</v>
          </cell>
          <cell r="E36">
            <v>700</v>
          </cell>
          <cell r="F36">
            <v>313.77</v>
          </cell>
          <cell r="G36">
            <v>809.16</v>
          </cell>
          <cell r="H36">
            <v>1122.93</v>
          </cell>
          <cell r="I36">
            <v>2245.86</v>
          </cell>
        </row>
        <row r="37">
          <cell r="A37" t="str">
            <v>DRAPER COMMUNICATIONS</v>
          </cell>
          <cell r="B37" t="str">
            <v>29216</v>
          </cell>
          <cell r="C37">
            <v>88</v>
          </cell>
          <cell r="D37">
            <v>64</v>
          </cell>
          <cell r="E37">
            <v>152</v>
          </cell>
          <cell r="F37">
            <v>79.489999999999995</v>
          </cell>
          <cell r="G37">
            <v>42.39</v>
          </cell>
          <cell r="H37">
            <v>121.88</v>
          </cell>
          <cell r="I37">
            <v>243.76</v>
          </cell>
        </row>
        <row r="38">
          <cell r="A38" t="str">
            <v>DUNBAR ARMORED</v>
          </cell>
          <cell r="B38" t="str">
            <v>29032</v>
          </cell>
          <cell r="C38">
            <v>970</v>
          </cell>
          <cell r="D38">
            <v>394</v>
          </cell>
          <cell r="E38">
            <v>1364</v>
          </cell>
          <cell r="F38">
            <v>1117.32</v>
          </cell>
          <cell r="G38">
            <v>294.8</v>
          </cell>
          <cell r="H38">
            <v>1412.12</v>
          </cell>
          <cell r="I38">
            <v>2824.24</v>
          </cell>
        </row>
        <row r="39">
          <cell r="A39" t="str">
            <v>DUTY FREE AMERICAS</v>
          </cell>
          <cell r="E39">
            <v>1500</v>
          </cell>
          <cell r="H39">
            <v>1500</v>
          </cell>
          <cell r="I39">
            <v>3000</v>
          </cell>
        </row>
        <row r="40">
          <cell r="A40" t="str">
            <v>EA ENGINEERING</v>
          </cell>
          <cell r="B40" t="str">
            <v>44713</v>
          </cell>
          <cell r="C40">
            <v>201</v>
          </cell>
          <cell r="D40">
            <v>93</v>
          </cell>
          <cell r="E40">
            <v>294</v>
          </cell>
          <cell r="F40">
            <v>214.68</v>
          </cell>
          <cell r="G40">
            <v>65.23</v>
          </cell>
          <cell r="H40">
            <v>279.91000000000003</v>
          </cell>
          <cell r="I40">
            <v>559.82000000000005</v>
          </cell>
        </row>
        <row r="41">
          <cell r="A41" t="str">
            <v>EAI CORPORATION</v>
          </cell>
          <cell r="E41">
            <v>393</v>
          </cell>
          <cell r="H41">
            <v>393</v>
          </cell>
          <cell r="I41">
            <v>786</v>
          </cell>
        </row>
        <row r="42">
          <cell r="A42" t="str">
            <v>EDUCATE</v>
          </cell>
          <cell r="B42" t="str">
            <v>65575</v>
          </cell>
          <cell r="C42">
            <v>302</v>
          </cell>
          <cell r="D42">
            <v>1233</v>
          </cell>
          <cell r="E42">
            <v>1535</v>
          </cell>
          <cell r="F42">
            <v>246.42</v>
          </cell>
          <cell r="G42">
            <v>893.52</v>
          </cell>
          <cell r="H42">
            <v>1139.94</v>
          </cell>
          <cell r="I42">
            <v>2279.88</v>
          </cell>
        </row>
        <row r="43">
          <cell r="A43" t="str">
            <v>ENTERPRISE FOUNDATION</v>
          </cell>
          <cell r="B43" t="str">
            <v>27413</v>
          </cell>
          <cell r="E43">
            <v>368</v>
          </cell>
          <cell r="H43">
            <v>368</v>
          </cell>
          <cell r="I43">
            <v>736</v>
          </cell>
        </row>
        <row r="44">
          <cell r="A44" t="str">
            <v>Episcopal Diocese of Washington</v>
          </cell>
          <cell r="B44" t="str">
            <v>R446</v>
          </cell>
          <cell r="C44">
            <v>146</v>
          </cell>
          <cell r="D44">
            <v>143</v>
          </cell>
          <cell r="E44">
            <v>289</v>
          </cell>
          <cell r="F44">
            <v>314.3</v>
          </cell>
          <cell r="G44">
            <v>230.23</v>
          </cell>
          <cell r="H44">
            <v>544.53</v>
          </cell>
          <cell r="I44">
            <v>1089.06</v>
          </cell>
        </row>
        <row r="45">
          <cell r="A45" t="str">
            <v>ESMEC MEDICAL RETRO</v>
          </cell>
          <cell r="B45" t="str">
            <v>08266</v>
          </cell>
          <cell r="C45">
            <v>216</v>
          </cell>
          <cell r="D45">
            <v>567</v>
          </cell>
          <cell r="E45">
            <v>783</v>
          </cell>
          <cell r="F45">
            <v>408.6</v>
          </cell>
          <cell r="G45">
            <v>778.94</v>
          </cell>
          <cell r="H45">
            <v>1187.54</v>
          </cell>
          <cell r="I45">
            <v>2375.08</v>
          </cell>
        </row>
        <row r="46">
          <cell r="A46" t="str">
            <v>EVAPCO</v>
          </cell>
          <cell r="B46" t="str">
            <v>09136</v>
          </cell>
          <cell r="C46">
            <v>651</v>
          </cell>
          <cell r="D46">
            <v>102</v>
          </cell>
          <cell r="E46">
            <v>753</v>
          </cell>
          <cell r="F46">
            <v>585.21</v>
          </cell>
          <cell r="G46">
            <v>78.010000000000005</v>
          </cell>
          <cell r="H46">
            <v>663.22</v>
          </cell>
          <cell r="I46">
            <v>1326.44</v>
          </cell>
        </row>
        <row r="47">
          <cell r="A47" t="str">
            <v>FIELDSTONE MORTGAGE COMPANY</v>
          </cell>
          <cell r="B47" t="str">
            <v>62874</v>
          </cell>
          <cell r="C47">
            <v>432</v>
          </cell>
          <cell r="D47">
            <v>557</v>
          </cell>
          <cell r="E47">
            <v>989</v>
          </cell>
          <cell r="F47">
            <v>383.66</v>
          </cell>
          <cell r="G47">
            <v>387.16</v>
          </cell>
          <cell r="H47">
            <v>770.82</v>
          </cell>
          <cell r="I47">
            <v>1541.64</v>
          </cell>
        </row>
        <row r="48">
          <cell r="A48" t="str">
            <v>FOREST CITY ENTERPRISES, INC.</v>
          </cell>
          <cell r="B48" t="str">
            <v>NJ54</v>
          </cell>
          <cell r="C48">
            <v>338</v>
          </cell>
          <cell r="D48">
            <v>270</v>
          </cell>
          <cell r="E48">
            <v>608</v>
          </cell>
          <cell r="F48">
            <v>420.99</v>
          </cell>
          <cell r="G48">
            <v>232.83</v>
          </cell>
          <cell r="H48">
            <v>653.82000000000005</v>
          </cell>
          <cell r="I48">
            <v>1307.6400000000001</v>
          </cell>
        </row>
        <row r="49">
          <cell r="A49" t="str">
            <v>FREDERICK CO P S</v>
          </cell>
          <cell r="B49" t="str">
            <v>57887</v>
          </cell>
          <cell r="C49">
            <v>1558</v>
          </cell>
          <cell r="D49">
            <v>4151</v>
          </cell>
          <cell r="E49">
            <v>5709</v>
          </cell>
          <cell r="F49">
            <v>2836.92</v>
          </cell>
          <cell r="G49">
            <v>5088.6400000000003</v>
          </cell>
          <cell r="H49">
            <v>7925.56</v>
          </cell>
          <cell r="I49">
            <v>15851.12</v>
          </cell>
        </row>
        <row r="50">
          <cell r="A50" t="str">
            <v>FTI CONSULTING</v>
          </cell>
          <cell r="B50" t="str">
            <v>63835</v>
          </cell>
          <cell r="C50">
            <v>643</v>
          </cell>
          <cell r="D50">
            <v>382</v>
          </cell>
          <cell r="E50">
            <v>1025</v>
          </cell>
          <cell r="F50">
            <v>546.08000000000004</v>
          </cell>
          <cell r="G50">
            <v>238.6</v>
          </cell>
          <cell r="H50">
            <v>784.68</v>
          </cell>
          <cell r="I50">
            <v>1569.36</v>
          </cell>
        </row>
        <row r="51">
          <cell r="A51" t="str">
            <v>GBMC</v>
          </cell>
          <cell r="B51" t="str">
            <v>61838</v>
          </cell>
          <cell r="C51">
            <v>333</v>
          </cell>
          <cell r="D51">
            <v>1524</v>
          </cell>
          <cell r="E51">
            <v>1857</v>
          </cell>
          <cell r="F51">
            <v>424.03</v>
          </cell>
          <cell r="G51">
            <v>1443.8</v>
          </cell>
          <cell r="H51">
            <v>1867.83</v>
          </cell>
          <cell r="I51">
            <v>3735.66</v>
          </cell>
        </row>
        <row r="52">
          <cell r="A52" t="str">
            <v>George Washington University</v>
          </cell>
          <cell r="B52" t="str">
            <v>R182</v>
          </cell>
          <cell r="C52">
            <v>1535</v>
          </cell>
          <cell r="D52">
            <v>1493</v>
          </cell>
          <cell r="E52">
            <v>3028</v>
          </cell>
          <cell r="F52">
            <v>2304.9299999999998</v>
          </cell>
          <cell r="G52">
            <v>1546.45</v>
          </cell>
          <cell r="H52">
            <v>3851.38</v>
          </cell>
          <cell r="I52">
            <v>7702.76</v>
          </cell>
        </row>
        <row r="53">
          <cell r="A53" t="str">
            <v>GEORGETOWN UNIVERSITY HOSPITAL</v>
          </cell>
          <cell r="B53" t="str">
            <v>3D00</v>
          </cell>
          <cell r="C53">
            <v>599</v>
          </cell>
          <cell r="D53">
            <v>1563</v>
          </cell>
          <cell r="E53">
            <v>2162</v>
          </cell>
          <cell r="F53">
            <v>627.78</v>
          </cell>
          <cell r="G53">
            <v>1137.75</v>
          </cell>
          <cell r="H53">
            <v>1765.53</v>
          </cell>
          <cell r="I53">
            <v>3531.06</v>
          </cell>
        </row>
        <row r="54">
          <cell r="A54" t="str">
            <v>GTS DURATEK</v>
          </cell>
          <cell r="B54" t="str">
            <v>59327</v>
          </cell>
          <cell r="C54">
            <v>705</v>
          </cell>
          <cell r="D54">
            <v>236</v>
          </cell>
          <cell r="E54">
            <v>941</v>
          </cell>
          <cell r="F54">
            <v>956.21</v>
          </cell>
          <cell r="G54">
            <v>214.48</v>
          </cell>
          <cell r="H54">
            <v>1170.69</v>
          </cell>
          <cell r="I54">
            <v>2341.38</v>
          </cell>
        </row>
        <row r="55">
          <cell r="A55" t="str">
            <v>H&amp;S BAKERY</v>
          </cell>
          <cell r="B55" t="str">
            <v>10058</v>
          </cell>
          <cell r="C55">
            <v>1307</v>
          </cell>
          <cell r="D55">
            <v>348</v>
          </cell>
          <cell r="E55">
            <v>1655</v>
          </cell>
          <cell r="F55">
            <v>1530.89</v>
          </cell>
          <cell r="G55">
            <v>338.96</v>
          </cell>
          <cell r="H55">
            <v>1869.85</v>
          </cell>
          <cell r="I55">
            <v>3739.7</v>
          </cell>
        </row>
        <row r="56">
          <cell r="A56" t="str">
            <v>HANLEY WOOD</v>
          </cell>
          <cell r="B56" t="str">
            <v>61846</v>
          </cell>
          <cell r="C56">
            <v>224</v>
          </cell>
          <cell r="D56">
            <v>276</v>
          </cell>
          <cell r="E56">
            <v>500</v>
          </cell>
          <cell r="F56">
            <v>236.83</v>
          </cell>
          <cell r="G56">
            <v>186.35</v>
          </cell>
          <cell r="H56">
            <v>423.18</v>
          </cell>
          <cell r="I56">
            <v>846.36</v>
          </cell>
        </row>
        <row r="57">
          <cell r="A57" t="str">
            <v>HARFORD CO BD &amp; GOVT RETRO</v>
          </cell>
          <cell r="B57" t="str">
            <v>10383</v>
          </cell>
          <cell r="C57">
            <v>980</v>
          </cell>
          <cell r="D57">
            <v>796</v>
          </cell>
          <cell r="E57">
            <v>1776</v>
          </cell>
          <cell r="F57">
            <v>1409.27</v>
          </cell>
          <cell r="G57">
            <v>1045.03</v>
          </cell>
          <cell r="H57">
            <v>2454.3000000000002</v>
          </cell>
          <cell r="I57">
            <v>4908.6000000000004</v>
          </cell>
        </row>
        <row r="58">
          <cell r="A58" t="str">
            <v>HARFORD COUNTY GOVERNMENT</v>
          </cell>
          <cell r="B58" t="str">
            <v>7J55</v>
          </cell>
          <cell r="C58">
            <v>123</v>
          </cell>
          <cell r="D58">
            <v>104</v>
          </cell>
          <cell r="E58">
            <v>227</v>
          </cell>
          <cell r="F58">
            <v>189.82</v>
          </cell>
          <cell r="G58">
            <v>134.62</v>
          </cell>
          <cell r="H58">
            <v>324.44</v>
          </cell>
          <cell r="I58">
            <v>648.88</v>
          </cell>
        </row>
        <row r="59">
          <cell r="A59" t="str">
            <v>Henry M. Jackson</v>
          </cell>
          <cell r="B59" t="str">
            <v>C414</v>
          </cell>
          <cell r="C59">
            <v>420</v>
          </cell>
          <cell r="D59">
            <v>679</v>
          </cell>
          <cell r="E59">
            <v>1099</v>
          </cell>
          <cell r="F59">
            <v>422.4</v>
          </cell>
          <cell r="G59">
            <v>449.96</v>
          </cell>
          <cell r="H59">
            <v>872.36</v>
          </cell>
          <cell r="I59">
            <v>1744.72</v>
          </cell>
        </row>
        <row r="60">
          <cell r="A60" t="str">
            <v>HOMEWOOD RETIREMENT</v>
          </cell>
          <cell r="B60" t="str">
            <v>50951</v>
          </cell>
          <cell r="C60">
            <v>83</v>
          </cell>
          <cell r="D60">
            <v>565</v>
          </cell>
          <cell r="E60">
            <v>648</v>
          </cell>
          <cell r="F60">
            <v>119.77</v>
          </cell>
          <cell r="G60">
            <v>597.42999999999995</v>
          </cell>
          <cell r="H60">
            <v>717.2</v>
          </cell>
          <cell r="I60">
            <v>1434.4</v>
          </cell>
        </row>
        <row r="61">
          <cell r="A61" t="str">
            <v>HOWARD CO GOVT</v>
          </cell>
          <cell r="B61" t="str">
            <v>10989</v>
          </cell>
          <cell r="C61">
            <v>500</v>
          </cell>
          <cell r="D61">
            <v>404</v>
          </cell>
          <cell r="E61">
            <v>904</v>
          </cell>
          <cell r="F61">
            <v>925.83</v>
          </cell>
          <cell r="G61">
            <v>641.89</v>
          </cell>
          <cell r="H61">
            <v>1567.72</v>
          </cell>
          <cell r="I61">
            <v>3135.44</v>
          </cell>
        </row>
        <row r="62">
          <cell r="A62" t="str">
            <v>HOWARD UNIVERSITY AND HOSPITAL</v>
          </cell>
          <cell r="B62" t="str">
            <v>UH77</v>
          </cell>
          <cell r="C62">
            <v>2592</v>
          </cell>
          <cell r="D62">
            <v>4046</v>
          </cell>
          <cell r="E62">
            <v>6638</v>
          </cell>
          <cell r="F62">
            <v>5221.78</v>
          </cell>
          <cell r="G62">
            <v>6063.96</v>
          </cell>
          <cell r="H62">
            <v>11285.74</v>
          </cell>
          <cell r="I62">
            <v>22571.48</v>
          </cell>
        </row>
        <row r="63">
          <cell r="A63" t="str">
            <v>ICF CONSULTING</v>
          </cell>
          <cell r="B63" t="str">
            <v>PK60</v>
          </cell>
          <cell r="C63">
            <v>399</v>
          </cell>
          <cell r="D63">
            <v>282</v>
          </cell>
          <cell r="E63">
            <v>681</v>
          </cell>
          <cell r="F63">
            <v>375.58</v>
          </cell>
          <cell r="G63">
            <v>182.39</v>
          </cell>
          <cell r="H63">
            <v>557.97</v>
          </cell>
          <cell r="I63">
            <v>1115.94</v>
          </cell>
        </row>
        <row r="64">
          <cell r="A64" t="str">
            <v>Int'l Brotherhood of Electrical Workers</v>
          </cell>
          <cell r="B64" t="str">
            <v>6776</v>
          </cell>
          <cell r="C64">
            <v>456</v>
          </cell>
          <cell r="D64">
            <v>472</v>
          </cell>
          <cell r="E64">
            <v>928</v>
          </cell>
          <cell r="F64">
            <v>1200.27</v>
          </cell>
          <cell r="G64">
            <v>999.38</v>
          </cell>
          <cell r="H64">
            <v>2199.65</v>
          </cell>
          <cell r="I64">
            <v>4399.3</v>
          </cell>
        </row>
        <row r="65">
          <cell r="A65" t="str">
            <v>Intelsat</v>
          </cell>
          <cell r="B65" t="str">
            <v>R348</v>
          </cell>
          <cell r="C65">
            <v>783</v>
          </cell>
          <cell r="D65">
            <v>334</v>
          </cell>
          <cell r="E65">
            <v>1117</v>
          </cell>
          <cell r="F65">
            <v>1295.76</v>
          </cell>
          <cell r="G65">
            <v>445.7</v>
          </cell>
          <cell r="H65">
            <v>1741.46</v>
          </cell>
          <cell r="I65">
            <v>3482.92</v>
          </cell>
        </row>
        <row r="66">
          <cell r="A66" t="str">
            <v>INTERNATIONAL CODE COUNCIL</v>
          </cell>
          <cell r="B66" t="str">
            <v>64778</v>
          </cell>
          <cell r="C66">
            <v>172</v>
          </cell>
          <cell r="D66">
            <v>170</v>
          </cell>
          <cell r="E66">
            <v>342</v>
          </cell>
          <cell r="F66">
            <v>277.19</v>
          </cell>
          <cell r="G66">
            <v>155.02000000000001</v>
          </cell>
          <cell r="H66">
            <v>432.21</v>
          </cell>
          <cell r="I66">
            <v>864.42</v>
          </cell>
        </row>
        <row r="67">
          <cell r="A67" t="str">
            <v>ISKY</v>
          </cell>
          <cell r="B67" t="str">
            <v>58510</v>
          </cell>
          <cell r="C67">
            <v>67</v>
          </cell>
          <cell r="D67">
            <v>164</v>
          </cell>
          <cell r="E67">
            <v>231</v>
          </cell>
          <cell r="F67">
            <v>75.94</v>
          </cell>
          <cell r="G67">
            <v>154.99</v>
          </cell>
          <cell r="H67">
            <v>230.93</v>
          </cell>
          <cell r="I67">
            <v>461.86</v>
          </cell>
        </row>
        <row r="68">
          <cell r="A68" t="str">
            <v>JOHNS HOPKINS UNIVERSITY</v>
          </cell>
          <cell r="C68">
            <v>3435</v>
          </cell>
          <cell r="D68">
            <v>4743</v>
          </cell>
          <cell r="E68">
            <v>8178</v>
          </cell>
          <cell r="F68">
            <v>6105.17</v>
          </cell>
          <cell r="G68">
            <v>6271.81</v>
          </cell>
          <cell r="H68">
            <v>12376.98</v>
          </cell>
          <cell r="I68">
            <v>24753.96</v>
          </cell>
        </row>
        <row r="69">
          <cell r="A69" t="str">
            <v>JOSEPH A BANKS</v>
          </cell>
          <cell r="B69" t="str">
            <v>50349</v>
          </cell>
          <cell r="C69">
            <v>932</v>
          </cell>
          <cell r="D69">
            <v>462</v>
          </cell>
          <cell r="E69">
            <v>1394</v>
          </cell>
          <cell r="F69">
            <v>1612.36</v>
          </cell>
          <cell r="G69">
            <v>483.44</v>
          </cell>
          <cell r="H69">
            <v>2095.8000000000002</v>
          </cell>
          <cell r="I69">
            <v>4191.6000000000004</v>
          </cell>
        </row>
        <row r="70">
          <cell r="A70" t="str">
            <v>Kiplinger Washington Editors, Inc.</v>
          </cell>
          <cell r="B70" t="str">
            <v>R153</v>
          </cell>
          <cell r="E70">
            <v>1362</v>
          </cell>
          <cell r="H70">
            <v>1362</v>
          </cell>
          <cell r="I70">
            <v>2724</v>
          </cell>
        </row>
        <row r="71">
          <cell r="A71" t="str">
            <v>KNORR BRAKE</v>
          </cell>
          <cell r="B71" t="str">
            <v>33512</v>
          </cell>
          <cell r="C71">
            <v>126</v>
          </cell>
          <cell r="D71">
            <v>33</v>
          </cell>
          <cell r="E71">
            <v>159</v>
          </cell>
          <cell r="F71">
            <v>173.48</v>
          </cell>
          <cell r="G71">
            <v>34.25</v>
          </cell>
          <cell r="H71">
            <v>207.73</v>
          </cell>
          <cell r="I71">
            <v>415.46</v>
          </cell>
        </row>
        <row r="72">
          <cell r="A72" t="str">
            <v>LEGG MASON</v>
          </cell>
          <cell r="B72" t="str">
            <v>56202</v>
          </cell>
          <cell r="C72">
            <v>1850</v>
          </cell>
          <cell r="D72">
            <v>1153</v>
          </cell>
          <cell r="E72">
            <v>3003</v>
          </cell>
          <cell r="F72">
            <v>2215.7600000000002</v>
          </cell>
          <cell r="G72">
            <v>928.74</v>
          </cell>
          <cell r="H72">
            <v>3144.5</v>
          </cell>
          <cell r="I72">
            <v>6289</v>
          </cell>
        </row>
        <row r="73">
          <cell r="A73" t="str">
            <v>LIFEBRIDGE/NORTHWEST</v>
          </cell>
          <cell r="B73" t="str">
            <v>27710</v>
          </cell>
          <cell r="C73">
            <v>890</v>
          </cell>
          <cell r="D73">
            <v>3097</v>
          </cell>
          <cell r="E73">
            <v>3987</v>
          </cell>
          <cell r="F73">
            <v>1056.33</v>
          </cell>
          <cell r="G73">
            <v>2793.3</v>
          </cell>
          <cell r="H73">
            <v>3849.63</v>
          </cell>
          <cell r="I73">
            <v>7699.26</v>
          </cell>
        </row>
        <row r="74">
          <cell r="A74" t="str">
            <v>LOYOLA COLLEGE</v>
          </cell>
          <cell r="B74" t="str">
            <v>7J56</v>
          </cell>
          <cell r="C74">
            <v>56</v>
          </cell>
          <cell r="D74">
            <v>60</v>
          </cell>
          <cell r="E74">
            <v>116</v>
          </cell>
          <cell r="F74">
            <v>74.58</v>
          </cell>
          <cell r="G74">
            <v>58.15</v>
          </cell>
          <cell r="H74">
            <v>132.72999999999999</v>
          </cell>
          <cell r="I74">
            <v>265.45999999999998</v>
          </cell>
        </row>
        <row r="75">
          <cell r="A75" t="str">
            <v>LOYOLA COLLEGE RETRO</v>
          </cell>
          <cell r="B75" t="str">
            <v>C1387</v>
          </cell>
          <cell r="C75">
            <v>238</v>
          </cell>
          <cell r="D75">
            <v>253</v>
          </cell>
          <cell r="E75">
            <v>491</v>
          </cell>
          <cell r="F75">
            <v>377.79</v>
          </cell>
          <cell r="G75">
            <v>297.91000000000003</v>
          </cell>
          <cell r="H75">
            <v>675.7</v>
          </cell>
          <cell r="I75">
            <v>1351.4</v>
          </cell>
        </row>
        <row r="76">
          <cell r="A76" t="str">
            <v>MARYLAND NATIONAL CAPITAL PARK &amp; PLANNIN</v>
          </cell>
          <cell r="B76" t="str">
            <v>PP28</v>
          </cell>
          <cell r="E76">
            <v>1296</v>
          </cell>
          <cell r="H76">
            <v>1296</v>
          </cell>
          <cell r="I76">
            <v>2592</v>
          </cell>
        </row>
        <row r="77">
          <cell r="A77" t="str">
            <v>Medlantic Healthcare</v>
          </cell>
          <cell r="B77" t="str">
            <v>0Y08</v>
          </cell>
          <cell r="C77">
            <v>1496</v>
          </cell>
          <cell r="D77">
            <v>3879</v>
          </cell>
          <cell r="E77">
            <v>5375</v>
          </cell>
          <cell r="F77">
            <v>1814.3</v>
          </cell>
          <cell r="G77">
            <v>3542.53</v>
          </cell>
          <cell r="H77">
            <v>5356.83</v>
          </cell>
          <cell r="I77">
            <v>10713.66</v>
          </cell>
        </row>
        <row r="78">
          <cell r="A78" t="str">
            <v>MEDSTAR</v>
          </cell>
          <cell r="B78" t="str">
            <v>61864</v>
          </cell>
          <cell r="C78">
            <v>1495</v>
          </cell>
          <cell r="D78">
            <v>5917</v>
          </cell>
          <cell r="E78">
            <v>7412</v>
          </cell>
          <cell r="F78">
            <v>1889.28</v>
          </cell>
          <cell r="G78">
            <v>5364.93</v>
          </cell>
          <cell r="H78">
            <v>7254.21</v>
          </cell>
          <cell r="I78">
            <v>14508.42</v>
          </cell>
        </row>
        <row r="79">
          <cell r="A79" t="str">
            <v>MERCANTILE BANK RETRO</v>
          </cell>
          <cell r="B79" t="str">
            <v>07517</v>
          </cell>
          <cell r="C79">
            <v>513</v>
          </cell>
          <cell r="D79">
            <v>963</v>
          </cell>
          <cell r="E79">
            <v>1476</v>
          </cell>
          <cell r="F79">
            <v>1102.6099999999999</v>
          </cell>
          <cell r="G79">
            <v>1529.68</v>
          </cell>
          <cell r="H79">
            <v>2632.29</v>
          </cell>
          <cell r="I79">
            <v>5264.58</v>
          </cell>
        </row>
        <row r="80">
          <cell r="A80" t="str">
            <v>MERCANTILE BANKSHARES</v>
          </cell>
          <cell r="B80" t="str">
            <v>7J29</v>
          </cell>
          <cell r="C80">
            <v>238</v>
          </cell>
          <cell r="D80">
            <v>751</v>
          </cell>
          <cell r="E80">
            <v>989</v>
          </cell>
          <cell r="F80">
            <v>294.87</v>
          </cell>
          <cell r="G80">
            <v>629.63</v>
          </cell>
          <cell r="H80">
            <v>924.5</v>
          </cell>
          <cell r="I80">
            <v>1849</v>
          </cell>
        </row>
        <row r="81">
          <cell r="A81" t="str">
            <v>MERCY MEDICAL GROUP</v>
          </cell>
          <cell r="B81" t="str">
            <v>7J66</v>
          </cell>
          <cell r="C81">
            <v>417</v>
          </cell>
          <cell r="D81">
            <v>1682</v>
          </cell>
          <cell r="E81">
            <v>2099</v>
          </cell>
          <cell r="F81">
            <v>531.11</v>
          </cell>
          <cell r="G81">
            <v>1597.85</v>
          </cell>
          <cell r="H81">
            <v>2128.96</v>
          </cell>
          <cell r="I81">
            <v>4257.92</v>
          </cell>
        </row>
        <row r="82">
          <cell r="A82" t="str">
            <v>METROPOLITAN WASHINGTON AIRPORTS AUTHORI</v>
          </cell>
          <cell r="B82" t="str">
            <v>UU61</v>
          </cell>
          <cell r="C82">
            <v>1051</v>
          </cell>
          <cell r="D82">
            <v>267</v>
          </cell>
          <cell r="E82">
            <v>1318</v>
          </cell>
          <cell r="F82">
            <v>1698.98</v>
          </cell>
          <cell r="G82">
            <v>306.89999999999998</v>
          </cell>
          <cell r="H82">
            <v>2005.88</v>
          </cell>
          <cell r="I82">
            <v>4011.76</v>
          </cell>
        </row>
        <row r="83">
          <cell r="A83" t="str">
            <v>MILES &amp; STOCKBRIDGE</v>
          </cell>
          <cell r="B83" t="str">
            <v>27117</v>
          </cell>
          <cell r="C83">
            <v>136</v>
          </cell>
          <cell r="D83">
            <v>218</v>
          </cell>
          <cell r="E83">
            <v>354</v>
          </cell>
          <cell r="F83">
            <v>187.83</v>
          </cell>
          <cell r="G83">
            <v>200.77</v>
          </cell>
          <cell r="H83">
            <v>388.6</v>
          </cell>
          <cell r="I83">
            <v>777.2</v>
          </cell>
        </row>
        <row r="84">
          <cell r="A84" t="str">
            <v>MILLENNIUM AMERICA HOLDINGS INC</v>
          </cell>
          <cell r="B84" t="str">
            <v>10427</v>
          </cell>
          <cell r="C84">
            <v>392</v>
          </cell>
          <cell r="D84">
            <v>23</v>
          </cell>
          <cell r="E84">
            <v>415</v>
          </cell>
          <cell r="F84">
            <v>685.01</v>
          </cell>
          <cell r="G84">
            <v>25</v>
          </cell>
          <cell r="H84">
            <v>710.01</v>
          </cell>
          <cell r="I84">
            <v>1420.02</v>
          </cell>
        </row>
        <row r="85">
          <cell r="A85" t="str">
            <v>MONTGOMERY COUNTY GOVERNMENT</v>
          </cell>
          <cell r="B85" t="str">
            <v>PG50</v>
          </cell>
          <cell r="C85" t="str">
            <v/>
          </cell>
          <cell r="E85">
            <v>1231</v>
          </cell>
          <cell r="F85" t="str">
            <v/>
          </cell>
          <cell r="H85">
            <v>1231</v>
          </cell>
          <cell r="I85">
            <v>2462</v>
          </cell>
        </row>
        <row r="86">
          <cell r="A86" t="str">
            <v>MONTGOMERY COUNTY GOVERNMENT POS</v>
          </cell>
          <cell r="B86" t="str">
            <v>PG52</v>
          </cell>
          <cell r="C86" t="str">
            <v/>
          </cell>
          <cell r="E86">
            <v>7772</v>
          </cell>
          <cell r="F86" t="str">
            <v/>
          </cell>
          <cell r="H86">
            <v>7772</v>
          </cell>
          <cell r="I86">
            <v>15544</v>
          </cell>
        </row>
        <row r="87">
          <cell r="A87" t="str">
            <v>National Geographic Society</v>
          </cell>
          <cell r="B87" t="str">
            <v>R138</v>
          </cell>
          <cell r="C87">
            <v>381</v>
          </cell>
          <cell r="D87">
            <v>548</v>
          </cell>
          <cell r="E87">
            <v>929</v>
          </cell>
          <cell r="F87">
            <v>480.51</v>
          </cell>
          <cell r="G87">
            <v>461.7</v>
          </cell>
          <cell r="H87">
            <v>942.21</v>
          </cell>
          <cell r="I87">
            <v>1884.42</v>
          </cell>
        </row>
        <row r="88">
          <cell r="A88" t="str">
            <v>NORSK HYDRO ALUMINUM</v>
          </cell>
          <cell r="B88" t="str">
            <v>54863</v>
          </cell>
          <cell r="C88">
            <v>1537</v>
          </cell>
          <cell r="D88">
            <v>465</v>
          </cell>
          <cell r="E88">
            <v>2002</v>
          </cell>
          <cell r="F88">
            <v>2094.0500000000002</v>
          </cell>
          <cell r="G88">
            <v>491.45</v>
          </cell>
          <cell r="H88">
            <v>2585.5</v>
          </cell>
          <cell r="I88">
            <v>5171</v>
          </cell>
        </row>
        <row r="89">
          <cell r="A89" t="str">
            <v>Organization of American States</v>
          </cell>
          <cell r="B89" t="str">
            <v>R390</v>
          </cell>
          <cell r="C89" t="str">
            <v/>
          </cell>
          <cell r="E89">
            <v>910</v>
          </cell>
          <cell r="H89">
            <v>910</v>
          </cell>
          <cell r="I89">
            <v>1820</v>
          </cell>
        </row>
        <row r="90">
          <cell r="A90" t="str">
            <v>PACKAGING SERVICES</v>
          </cell>
          <cell r="B90" t="str">
            <v>59863</v>
          </cell>
          <cell r="C90">
            <v>210</v>
          </cell>
          <cell r="D90">
            <v>49</v>
          </cell>
          <cell r="E90">
            <v>259</v>
          </cell>
          <cell r="F90">
            <v>224.1</v>
          </cell>
          <cell r="G90">
            <v>41.4</v>
          </cell>
          <cell r="H90">
            <v>265.5</v>
          </cell>
          <cell r="I90">
            <v>531</v>
          </cell>
        </row>
        <row r="91">
          <cell r="A91" t="str">
            <v>PEROT SYSTEMS GOVERNMENT SERVICES, INC.</v>
          </cell>
          <cell r="B91" t="str">
            <v>3M14</v>
          </cell>
          <cell r="C91" t="str">
            <v/>
          </cell>
          <cell r="E91">
            <v>1109</v>
          </cell>
          <cell r="H91">
            <v>1109</v>
          </cell>
          <cell r="I91">
            <v>2218</v>
          </cell>
        </row>
        <row r="92">
          <cell r="A92" t="str">
            <v>PIPER MARBURY</v>
          </cell>
          <cell r="B92" t="str">
            <v>44491</v>
          </cell>
          <cell r="C92">
            <v>149</v>
          </cell>
          <cell r="D92">
            <v>213</v>
          </cell>
          <cell r="E92">
            <v>362</v>
          </cell>
          <cell r="F92">
            <v>193.85</v>
          </cell>
          <cell r="G92">
            <v>204.76</v>
          </cell>
          <cell r="H92">
            <v>398.61</v>
          </cell>
          <cell r="I92">
            <v>797.22</v>
          </cell>
        </row>
        <row r="93">
          <cell r="A93" t="str">
            <v>PRINCE GEORGES COMMUNITY COLLEGE</v>
          </cell>
          <cell r="B93" t="str">
            <v>NJ51</v>
          </cell>
          <cell r="C93">
            <v>372</v>
          </cell>
          <cell r="D93">
            <v>576</v>
          </cell>
          <cell r="E93">
            <v>948</v>
          </cell>
          <cell r="F93">
            <v>821.44</v>
          </cell>
          <cell r="G93">
            <v>922.81</v>
          </cell>
          <cell r="H93">
            <v>1744.25</v>
          </cell>
          <cell r="I93">
            <v>3488.5</v>
          </cell>
        </row>
        <row r="94">
          <cell r="A94" t="str">
            <v>PRODUCTION GROUP INTERNATIONAL (PGI)</v>
          </cell>
          <cell r="B94" t="str">
            <v>TD97</v>
          </cell>
          <cell r="C94">
            <v>85</v>
          </cell>
          <cell r="D94">
            <v>161</v>
          </cell>
          <cell r="E94">
            <v>246</v>
          </cell>
          <cell r="F94">
            <v>108.87</v>
          </cell>
          <cell r="G94">
            <v>106.64</v>
          </cell>
          <cell r="H94">
            <v>215.51</v>
          </cell>
          <cell r="I94">
            <v>431.02</v>
          </cell>
        </row>
        <row r="95">
          <cell r="A95" t="str">
            <v>PROVIDENCE HOSPITAL</v>
          </cell>
          <cell r="B95" t="str">
            <v>NS45</v>
          </cell>
          <cell r="C95" t="str">
            <v/>
          </cell>
          <cell r="E95">
            <v>616</v>
          </cell>
          <cell r="H95">
            <v>616</v>
          </cell>
          <cell r="I95">
            <v>1232</v>
          </cell>
        </row>
        <row r="96">
          <cell r="A96" t="str">
            <v>PROVIDENT BANK</v>
          </cell>
          <cell r="B96" t="str">
            <v>28964</v>
          </cell>
          <cell r="C96">
            <v>451</v>
          </cell>
          <cell r="D96">
            <v>1080</v>
          </cell>
          <cell r="E96">
            <v>1531</v>
          </cell>
          <cell r="F96">
            <v>494.54</v>
          </cell>
          <cell r="G96">
            <v>799.53</v>
          </cell>
          <cell r="H96">
            <v>1294.07</v>
          </cell>
          <cell r="I96">
            <v>2588.14</v>
          </cell>
        </row>
        <row r="97">
          <cell r="A97" t="str">
            <v>PUBLISHERS CIRCULATION</v>
          </cell>
          <cell r="B97" t="str">
            <v>59542</v>
          </cell>
          <cell r="C97">
            <v>507</v>
          </cell>
          <cell r="D97">
            <v>442</v>
          </cell>
          <cell r="E97">
            <v>949</v>
          </cell>
          <cell r="F97">
            <v>533.17999999999995</v>
          </cell>
          <cell r="G97">
            <v>343.2</v>
          </cell>
          <cell r="H97">
            <v>876.38</v>
          </cell>
          <cell r="I97">
            <v>1752.76</v>
          </cell>
        </row>
        <row r="98">
          <cell r="A98" t="str">
            <v>ROUSE</v>
          </cell>
          <cell r="E98">
            <v>1604</v>
          </cell>
          <cell r="H98">
            <v>1604</v>
          </cell>
          <cell r="I98">
            <v>3208</v>
          </cell>
        </row>
        <row r="99">
          <cell r="A99" t="str">
            <v>RWD TECHNOLOGIES</v>
          </cell>
          <cell r="B99" t="str">
            <v>56808</v>
          </cell>
          <cell r="C99">
            <v>325</v>
          </cell>
          <cell r="D99">
            <v>171</v>
          </cell>
          <cell r="E99">
            <v>496</v>
          </cell>
          <cell r="F99">
            <v>349.42</v>
          </cell>
          <cell r="G99">
            <v>118.65</v>
          </cell>
          <cell r="H99">
            <v>468.07</v>
          </cell>
          <cell r="I99">
            <v>936.14</v>
          </cell>
        </row>
        <row r="100">
          <cell r="A100" t="str">
            <v>SCHLUMBERGER</v>
          </cell>
          <cell r="B100" t="str">
            <v>29962</v>
          </cell>
          <cell r="F100">
            <v>2500</v>
          </cell>
          <cell r="H100">
            <v>2500</v>
          </cell>
          <cell r="I100">
            <v>5000</v>
          </cell>
        </row>
        <row r="101">
          <cell r="A101" t="str">
            <v>SCHMIDT BAKING</v>
          </cell>
          <cell r="B101" t="str">
            <v>08055</v>
          </cell>
          <cell r="C101">
            <v>462</v>
          </cell>
          <cell r="D101">
            <v>103</v>
          </cell>
          <cell r="E101">
            <v>565</v>
          </cell>
          <cell r="F101">
            <v>593.91</v>
          </cell>
          <cell r="G101">
            <v>119.92</v>
          </cell>
          <cell r="H101">
            <v>713.83</v>
          </cell>
          <cell r="I101">
            <v>1427.66</v>
          </cell>
        </row>
        <row r="102">
          <cell r="A102" t="str">
            <v>SFA</v>
          </cell>
          <cell r="B102" t="str">
            <v>31400</v>
          </cell>
          <cell r="C102">
            <v>298</v>
          </cell>
          <cell r="D102">
            <v>83</v>
          </cell>
          <cell r="E102">
            <v>381</v>
          </cell>
          <cell r="F102">
            <v>352.14</v>
          </cell>
          <cell r="G102">
            <v>68.33</v>
          </cell>
          <cell r="H102">
            <v>420.47</v>
          </cell>
          <cell r="I102">
            <v>840.94</v>
          </cell>
        </row>
        <row r="103">
          <cell r="A103" t="str">
            <v>Sheet Metal Workers Assocation</v>
          </cell>
          <cell r="B103" t="str">
            <v>0Y02</v>
          </cell>
          <cell r="C103">
            <v>224</v>
          </cell>
          <cell r="D103">
            <v>194</v>
          </cell>
          <cell r="E103">
            <v>418</v>
          </cell>
          <cell r="F103">
            <v>570.37</v>
          </cell>
          <cell r="G103">
            <v>292.81</v>
          </cell>
          <cell r="H103">
            <v>863.18</v>
          </cell>
          <cell r="I103">
            <v>1726.36</v>
          </cell>
        </row>
        <row r="104">
          <cell r="A104" t="str">
            <v>Sibley Memorial Hospital</v>
          </cell>
          <cell r="B104" t="str">
            <v>D702</v>
          </cell>
          <cell r="C104">
            <v>229</v>
          </cell>
          <cell r="D104">
            <v>783</v>
          </cell>
          <cell r="E104">
            <v>1012</v>
          </cell>
          <cell r="F104">
            <v>318.3</v>
          </cell>
          <cell r="G104">
            <v>816.4</v>
          </cell>
          <cell r="H104">
            <v>1134.7</v>
          </cell>
          <cell r="I104">
            <v>2269.4</v>
          </cell>
        </row>
        <row r="105">
          <cell r="A105" t="str">
            <v>SIERRA MILITARY</v>
          </cell>
          <cell r="B105" t="str">
            <v>56835</v>
          </cell>
          <cell r="C105">
            <v>23</v>
          </cell>
          <cell r="D105">
            <v>20</v>
          </cell>
          <cell r="E105">
            <v>43</v>
          </cell>
          <cell r="F105">
            <v>39.020000000000003</v>
          </cell>
          <cell r="G105">
            <v>22.69</v>
          </cell>
          <cell r="H105">
            <v>61.71</v>
          </cell>
          <cell r="I105">
            <v>123.42</v>
          </cell>
        </row>
        <row r="106">
          <cell r="A106" t="str">
            <v>SPECTERA</v>
          </cell>
          <cell r="B106" t="str">
            <v>28558</v>
          </cell>
          <cell r="C106">
            <v>32</v>
          </cell>
          <cell r="D106">
            <v>135</v>
          </cell>
          <cell r="E106">
            <v>167</v>
          </cell>
          <cell r="F106">
            <v>36.049999999999997</v>
          </cell>
          <cell r="G106">
            <v>125.04</v>
          </cell>
          <cell r="H106">
            <v>161.09</v>
          </cell>
          <cell r="I106">
            <v>322.18</v>
          </cell>
        </row>
        <row r="107">
          <cell r="A107" t="str">
            <v>ST MARYS CO RETRO</v>
          </cell>
          <cell r="B107" t="str">
            <v>10721</v>
          </cell>
          <cell r="C107">
            <v>395</v>
          </cell>
          <cell r="D107">
            <v>316</v>
          </cell>
          <cell r="E107">
            <v>711</v>
          </cell>
          <cell r="F107">
            <v>584.29</v>
          </cell>
          <cell r="G107">
            <v>415.38</v>
          </cell>
          <cell r="H107">
            <v>999.67</v>
          </cell>
          <cell r="I107">
            <v>1999.34</v>
          </cell>
        </row>
        <row r="108">
          <cell r="A108" t="str">
            <v>ST MARYS HOSPITAL</v>
          </cell>
          <cell r="B108" t="str">
            <v>51545</v>
          </cell>
          <cell r="C108">
            <v>0</v>
          </cell>
          <cell r="D108">
            <v>0</v>
          </cell>
          <cell r="E108">
            <v>0</v>
          </cell>
          <cell r="F108">
            <v>350</v>
          </cell>
          <cell r="G108" t="str">
            <v/>
          </cell>
          <cell r="H108">
            <v>350</v>
          </cell>
          <cell r="I108">
            <v>700</v>
          </cell>
        </row>
        <row r="109">
          <cell r="A109" t="str">
            <v>ST. MARY'S COUNTY COMMISSIONERS</v>
          </cell>
          <cell r="B109" t="str">
            <v>7J60</v>
          </cell>
          <cell r="C109">
            <v>15</v>
          </cell>
          <cell r="D109">
            <v>19</v>
          </cell>
          <cell r="E109">
            <v>34</v>
          </cell>
          <cell r="F109">
            <v>10.7</v>
          </cell>
          <cell r="G109">
            <v>15.96</v>
          </cell>
          <cell r="H109">
            <v>26.96</v>
          </cell>
          <cell r="I109">
            <v>53.92</v>
          </cell>
        </row>
        <row r="110">
          <cell r="A110" t="str">
            <v>ST. MARY'S COUNTY PUBLIC SCHOOLS</v>
          </cell>
          <cell r="B110" t="str">
            <v>7J61</v>
          </cell>
          <cell r="C110">
            <v>32</v>
          </cell>
          <cell r="D110">
            <v>85</v>
          </cell>
          <cell r="E110">
            <v>117</v>
          </cell>
          <cell r="F110">
            <v>26.63</v>
          </cell>
          <cell r="G110">
            <v>54.86</v>
          </cell>
          <cell r="H110">
            <v>81.489999999999995</v>
          </cell>
          <cell r="I110">
            <v>162.97999999999999</v>
          </cell>
        </row>
        <row r="111">
          <cell r="A111" t="str">
            <v>SYLVAN</v>
          </cell>
          <cell r="B111" t="str">
            <v>27304</v>
          </cell>
          <cell r="C111">
            <v>234</v>
          </cell>
          <cell r="D111">
            <v>296</v>
          </cell>
          <cell r="E111">
            <v>530</v>
          </cell>
          <cell r="F111">
            <v>206.06</v>
          </cell>
          <cell r="G111">
            <v>207.24</v>
          </cell>
          <cell r="H111">
            <v>413.3</v>
          </cell>
          <cell r="I111">
            <v>826.6</v>
          </cell>
        </row>
        <row r="112">
          <cell r="A112" t="str">
            <v>T ROWE PRICE</v>
          </cell>
          <cell r="C112">
            <v>793</v>
          </cell>
          <cell r="D112">
            <v>735</v>
          </cell>
          <cell r="E112">
            <v>1528</v>
          </cell>
          <cell r="F112">
            <v>737.22</v>
          </cell>
          <cell r="G112">
            <v>584.29999999999995</v>
          </cell>
          <cell r="H112">
            <v>1321.52</v>
          </cell>
          <cell r="I112">
            <v>2643.04</v>
          </cell>
        </row>
        <row r="113">
          <cell r="A113" t="str">
            <v>The American University</v>
          </cell>
          <cell r="B113" t="str">
            <v>0Y10</v>
          </cell>
          <cell r="C113">
            <v>715</v>
          </cell>
          <cell r="D113">
            <v>751</v>
          </cell>
          <cell r="E113">
            <v>1466</v>
          </cell>
          <cell r="F113">
            <v>1270.42</v>
          </cell>
          <cell r="G113">
            <v>864.2</v>
          </cell>
          <cell r="H113">
            <v>2134.62</v>
          </cell>
          <cell r="I113">
            <v>4269.24</v>
          </cell>
        </row>
        <row r="114">
          <cell r="A114" t="str">
            <v>TOWN &amp; COUNTRY</v>
          </cell>
          <cell r="B114" t="str">
            <v>61840</v>
          </cell>
          <cell r="C114">
            <v>184</v>
          </cell>
          <cell r="D114">
            <v>175</v>
          </cell>
          <cell r="E114">
            <v>359</v>
          </cell>
          <cell r="F114">
            <v>236.69</v>
          </cell>
          <cell r="G114">
            <v>160.44</v>
          </cell>
          <cell r="H114">
            <v>397.13</v>
          </cell>
          <cell r="I114">
            <v>794.26</v>
          </cell>
        </row>
        <row r="115">
          <cell r="A115" t="str">
            <v>TOWNE PARK</v>
          </cell>
          <cell r="B115" t="str">
            <v>61448</v>
          </cell>
          <cell r="C115">
            <v>407</v>
          </cell>
          <cell r="D115">
            <v>90</v>
          </cell>
          <cell r="E115">
            <v>497</v>
          </cell>
          <cell r="F115">
            <v>259.91000000000003</v>
          </cell>
          <cell r="G115">
            <v>50.44</v>
          </cell>
          <cell r="H115">
            <v>310.35000000000002</v>
          </cell>
          <cell r="I115">
            <v>620.70000000000005</v>
          </cell>
        </row>
        <row r="116">
          <cell r="A116" t="str">
            <v>Transit Employees Hlth &amp; Welfare Fund</v>
          </cell>
          <cell r="B116" t="str">
            <v>5498</v>
          </cell>
          <cell r="C116">
            <v>4344</v>
          </cell>
          <cell r="D116">
            <v>763</v>
          </cell>
          <cell r="E116">
            <v>5107</v>
          </cell>
          <cell r="F116">
            <v>8745.25</v>
          </cell>
          <cell r="G116">
            <v>964.16</v>
          </cell>
          <cell r="H116">
            <v>9709.41</v>
          </cell>
          <cell r="I116">
            <v>19418.82</v>
          </cell>
        </row>
        <row r="117">
          <cell r="A117" t="str">
            <v>US INTERNETWORKING</v>
          </cell>
          <cell r="E117">
            <v>317</v>
          </cell>
          <cell r="H117">
            <v>317</v>
          </cell>
          <cell r="I117">
            <v>634</v>
          </cell>
        </row>
        <row r="118">
          <cell r="A118" t="str">
            <v>VERIZON</v>
          </cell>
          <cell r="B118" t="str">
            <v>UH58</v>
          </cell>
          <cell r="C118">
            <v>1090</v>
          </cell>
          <cell r="D118">
            <v>1071</v>
          </cell>
          <cell r="E118">
            <v>2161</v>
          </cell>
          <cell r="F118">
            <v>1751.67</v>
          </cell>
          <cell r="G118">
            <v>1368.54</v>
          </cell>
          <cell r="H118">
            <v>3120.21</v>
          </cell>
          <cell r="I118">
            <v>6240.42</v>
          </cell>
        </row>
        <row r="119">
          <cell r="A119" t="str">
            <v>Wash. Metro Area Transit Authority</v>
          </cell>
          <cell r="B119" t="str">
            <v>R330</v>
          </cell>
          <cell r="C119">
            <v>359</v>
          </cell>
          <cell r="D119">
            <v>74</v>
          </cell>
          <cell r="E119">
            <v>433</v>
          </cell>
          <cell r="F119">
            <v>437.11</v>
          </cell>
          <cell r="G119">
            <v>53.43</v>
          </cell>
          <cell r="H119">
            <v>490.54</v>
          </cell>
          <cell r="I119">
            <v>981.08</v>
          </cell>
        </row>
        <row r="120">
          <cell r="A120" t="str">
            <v>WASHINGTON CO BD OF ED</v>
          </cell>
          <cell r="B120" t="str">
            <v>28795</v>
          </cell>
          <cell r="C120">
            <v>994</v>
          </cell>
          <cell r="D120">
            <v>2192</v>
          </cell>
          <cell r="E120">
            <v>3186</v>
          </cell>
          <cell r="F120">
            <v>2101.69</v>
          </cell>
          <cell r="G120">
            <v>3201.38</v>
          </cell>
          <cell r="H120">
            <v>5303.07</v>
          </cell>
          <cell r="I120">
            <v>10606.14</v>
          </cell>
        </row>
        <row r="121">
          <cell r="A121" t="str">
            <v>WASHINGTON CO GOVT</v>
          </cell>
          <cell r="B121" t="str">
            <v>60930</v>
          </cell>
          <cell r="C121">
            <v>510</v>
          </cell>
          <cell r="D121">
            <v>277</v>
          </cell>
          <cell r="E121">
            <v>787</v>
          </cell>
          <cell r="F121">
            <v>651.76</v>
          </cell>
          <cell r="G121">
            <v>270.81</v>
          </cell>
          <cell r="H121">
            <v>922.57</v>
          </cell>
          <cell r="I121">
            <v>1845.14</v>
          </cell>
        </row>
        <row r="122">
          <cell r="A122" t="str">
            <v>WICOMICO ENTITIES RETRO</v>
          </cell>
          <cell r="B122" t="str">
            <v>58397</v>
          </cell>
          <cell r="C122">
            <v>289</v>
          </cell>
          <cell r="D122">
            <v>88</v>
          </cell>
          <cell r="E122">
            <v>377</v>
          </cell>
          <cell r="F122">
            <v>355.34</v>
          </cell>
          <cell r="G122">
            <v>81.12</v>
          </cell>
          <cell r="H122">
            <v>436.46</v>
          </cell>
          <cell r="I122">
            <v>872.92</v>
          </cell>
        </row>
        <row r="123">
          <cell r="A123" t="str">
            <v>WILKINS ROGERS</v>
          </cell>
          <cell r="B123" t="str">
            <v>27094</v>
          </cell>
          <cell r="C123">
            <v>91</v>
          </cell>
          <cell r="D123">
            <v>16</v>
          </cell>
          <cell r="E123">
            <v>107</v>
          </cell>
          <cell r="F123">
            <v>146.85</v>
          </cell>
          <cell r="G123">
            <v>23.42</v>
          </cell>
          <cell r="H123">
            <v>170.27</v>
          </cell>
          <cell r="I123">
            <v>340.54</v>
          </cell>
        </row>
        <row r="124">
          <cell r="A124" t="str">
            <v>WORLD WILDLIFE FUND, INC.</v>
          </cell>
          <cell r="B124" t="str">
            <v>6D43</v>
          </cell>
          <cell r="C124">
            <v>84</v>
          </cell>
          <cell r="D124">
            <v>161</v>
          </cell>
          <cell r="E124">
            <v>245</v>
          </cell>
          <cell r="F124">
            <v>88.68</v>
          </cell>
          <cell r="G124">
            <v>113.51</v>
          </cell>
          <cell r="H124">
            <v>202.19</v>
          </cell>
          <cell r="I124">
            <v>404.38</v>
          </cell>
        </row>
      </sheetData>
      <sheetData sheetId="23" refreshError="1">
        <row r="22">
          <cell r="B22">
            <v>20000</v>
          </cell>
          <cell r="D22">
            <v>16.323999999999998</v>
          </cell>
          <cell r="E22">
            <v>27.281158519999998</v>
          </cell>
          <cell r="H22">
            <v>0.44939293971040606</v>
          </cell>
          <cell r="I22">
            <v>1.137</v>
          </cell>
          <cell r="J22">
            <v>53.980379664311407</v>
          </cell>
          <cell r="K22">
            <v>72.121093049591593</v>
          </cell>
          <cell r="N22">
            <v>35.137748883944184</v>
          </cell>
          <cell r="Q22">
            <v>1.137</v>
          </cell>
          <cell r="R22">
            <v>1.4698783530000001</v>
          </cell>
          <cell r="S22">
            <v>85.219557155138119</v>
          </cell>
          <cell r="T22">
            <v>47.344198419521177</v>
          </cell>
          <cell r="W22">
            <v>0.18161765929614826</v>
          </cell>
          <cell r="X22">
            <v>50.83</v>
          </cell>
          <cell r="AA22">
            <v>1.137</v>
          </cell>
          <cell r="AB22">
            <v>1.2927690000000001</v>
          </cell>
          <cell r="AC22">
            <v>65.711448270000005</v>
          </cell>
          <cell r="AD22">
            <v>-0.22891586786381135</v>
          </cell>
          <cell r="AE22">
            <v>33.0644636700709</v>
          </cell>
          <cell r="AF22">
            <v>103.7122010578031</v>
          </cell>
          <cell r="AG22">
            <v>57.617889476557274</v>
          </cell>
        </row>
        <row r="23">
          <cell r="B23">
            <v>25000</v>
          </cell>
          <cell r="C23">
            <v>5000</v>
          </cell>
          <cell r="D23">
            <v>13.65</v>
          </cell>
          <cell r="E23">
            <v>22.812289500000002</v>
          </cell>
          <cell r="F23">
            <v>-0.16380789022298448</v>
          </cell>
          <cell r="G23">
            <v>-4.4688690199999961</v>
          </cell>
          <cell r="H23">
            <v>0.37692260984186998</v>
          </cell>
          <cell r="I23">
            <v>1.1446000000000001</v>
          </cell>
          <cell r="J23">
            <v>46.732395690826174</v>
          </cell>
          <cell r="K23">
            <v>63.381454503589033</v>
          </cell>
          <cell r="L23">
            <v>-0.12118006225991396</v>
          </cell>
          <cell r="M23">
            <v>-8.7396385460025598</v>
          </cell>
          <cell r="N23">
            <v>29.454883448553822</v>
          </cell>
          <cell r="O23">
            <v>-0.16173106177519203</v>
          </cell>
          <cell r="P23">
            <v>-5.6828654353903616</v>
          </cell>
          <cell r="Q23">
            <v>1.1446000000000001</v>
          </cell>
          <cell r="R23">
            <v>1.4995509445360002</v>
          </cell>
          <cell r="S23">
            <v>72.879012189186525</v>
          </cell>
          <cell r="T23">
            <v>40.488340105103624</v>
          </cell>
          <cell r="U23">
            <v>-0.14480883705469416</v>
          </cell>
          <cell r="V23">
            <v>-12.340544965951594</v>
          </cell>
          <cell r="W23">
            <v>0.14984758175689517</v>
          </cell>
          <cell r="X23">
            <v>43.25</v>
          </cell>
          <cell r="Y23">
            <v>-0.14912453275624626</v>
          </cell>
          <cell r="Z23">
            <v>-7.5799999999999983</v>
          </cell>
          <cell r="AA23">
            <v>1.1446000000000001</v>
          </cell>
          <cell r="AB23">
            <v>1.3101091600000001</v>
          </cell>
          <cell r="AC23">
            <v>56.662221170000002</v>
          </cell>
          <cell r="AD23">
            <v>-0.22251661393391797</v>
          </cell>
          <cell r="AE23">
            <v>28.133740974435696</v>
          </cell>
          <cell r="AF23">
            <v>88.693757834240003</v>
          </cell>
          <cell r="AG23">
            <v>49.27430990791111</v>
          </cell>
        </row>
        <row r="24">
          <cell r="B24">
            <v>30000</v>
          </cell>
          <cell r="C24">
            <v>5000</v>
          </cell>
          <cell r="D24">
            <v>11.689</v>
          </cell>
          <cell r="E24">
            <v>19.53500747</v>
          </cell>
          <cell r="F24">
            <v>-0.14366300366300377</v>
          </cell>
          <cell r="G24">
            <v>-3.2772820300000021</v>
          </cell>
          <cell r="H24">
            <v>0.32204853418286422</v>
          </cell>
          <cell r="I24">
            <v>1.1519999999999999</v>
          </cell>
          <cell r="J24">
            <v>41.383953813451527</v>
          </cell>
          <cell r="K24">
            <v>56.947974629712057</v>
          </cell>
          <cell r="L24">
            <v>-0.10150413751569354</v>
          </cell>
          <cell r="M24">
            <v>-6.4334798738769763</v>
          </cell>
          <cell r="N24">
            <v>25.174986183597088</v>
          </cell>
          <cell r="O24">
            <v>-0.14530348668437421</v>
          </cell>
          <cell r="P24">
            <v>-4.2798972649567339</v>
          </cell>
          <cell r="Q24">
            <v>1.1519999999999999</v>
          </cell>
          <cell r="R24">
            <v>1.5288238079999996</v>
          </cell>
          <cell r="S24">
            <v>63.505395101864551</v>
          </cell>
          <cell r="T24">
            <v>35.280775056591416</v>
          </cell>
          <cell r="U24">
            <v>-0.12861888225088747</v>
          </cell>
          <cell r="V24">
            <v>-9.3736170873219749</v>
          </cell>
          <cell r="W24">
            <v>0.11514756257426617</v>
          </cell>
          <cell r="X24">
            <v>37.51</v>
          </cell>
          <cell r="Y24">
            <v>-0.13271676300578039</v>
          </cell>
          <cell r="Z24">
            <v>-5.740000000000002</v>
          </cell>
          <cell r="AA24">
            <v>1.1519999999999999</v>
          </cell>
          <cell r="AB24">
            <v>1.3271039999999998</v>
          </cell>
          <cell r="AC24">
            <v>49.77967103999999</v>
          </cell>
          <cell r="AD24">
            <v>-0.21613477153945881</v>
          </cell>
          <cell r="AE24">
            <v>24.3999219410655</v>
          </cell>
          <cell r="AF24">
            <v>77.286065838969165</v>
          </cell>
          <cell r="AG24">
            <v>42.936703243871754</v>
          </cell>
        </row>
        <row r="25">
          <cell r="B25">
            <v>35000</v>
          </cell>
          <cell r="C25">
            <v>5000</v>
          </cell>
          <cell r="D25">
            <v>10.17</v>
          </cell>
          <cell r="E25">
            <v>16.996409100000001</v>
          </cell>
          <cell r="F25">
            <v>-0.12995123620497895</v>
          </cell>
          <cell r="G25">
            <v>-2.538598369999999</v>
          </cell>
          <cell r="H25">
            <v>0.2791899856312004</v>
          </cell>
          <cell r="I25">
            <v>1.1540999999999999</v>
          </cell>
          <cell r="J25">
            <v>36.348284621926148</v>
          </cell>
          <cell r="K25">
            <v>50.223855133383786</v>
          </cell>
          <cell r="L25">
            <v>-0.11807477860362792</v>
          </cell>
          <cell r="M25">
            <v>-6.7241194963282709</v>
          </cell>
          <cell r="N25">
            <v>21.844138210031748</v>
          </cell>
          <cell r="O25">
            <v>-0.1323078372029286</v>
          </cell>
          <cell r="P25">
            <v>-3.3308479735653407</v>
          </cell>
          <cell r="Q25">
            <v>1.1540999999999999</v>
          </cell>
          <cell r="R25">
            <v>1.5371998134209997</v>
          </cell>
          <cell r="S25">
            <v>55.40502854832549</v>
          </cell>
          <cell r="T25">
            <v>30.780571415736382</v>
          </cell>
          <cell r="U25">
            <v>-0.12755399034280213</v>
          </cell>
          <cell r="V25">
            <v>-8.100366553539061</v>
          </cell>
          <cell r="W25">
            <v>0.10316160320990142</v>
          </cell>
          <cell r="X25">
            <v>33.08</v>
          </cell>
          <cell r="Y25">
            <v>-0.11810183950946418</v>
          </cell>
          <cell r="Z25">
            <v>-4.43</v>
          </cell>
          <cell r="AA25">
            <v>1.1540999999999999</v>
          </cell>
          <cell r="AB25">
            <v>1.3319468099999998</v>
          </cell>
          <cell r="AC25">
            <v>44.06080047479999</v>
          </cell>
          <cell r="AD25">
            <v>-0.20475087497934985</v>
          </cell>
          <cell r="AE25">
            <v>21.518246275938331</v>
          </cell>
          <cell r="AF25">
            <v>67.427919743312131</v>
          </cell>
          <cell r="AG25">
            <v>37.459955412951182</v>
          </cell>
        </row>
        <row r="26">
          <cell r="B26">
            <v>40000</v>
          </cell>
          <cell r="C26">
            <v>5000</v>
          </cell>
          <cell r="D26">
            <v>8.9670000000000005</v>
          </cell>
          <cell r="E26">
            <v>14.985919410000001</v>
          </cell>
          <cell r="F26">
            <v>-0.11828908554572271</v>
          </cell>
          <cell r="G26">
            <v>-2.01048969</v>
          </cell>
          <cell r="H26">
            <v>0.24494451124734981</v>
          </cell>
          <cell r="I26">
            <v>1.1555</v>
          </cell>
          <cell r="J26">
            <v>32.250519165938655</v>
          </cell>
          <cell r="K26">
            <v>44.683438769239714</v>
          </cell>
          <cell r="L26">
            <v>-0.11031443821725584</v>
          </cell>
          <cell r="M26">
            <v>-5.5404163641440718</v>
          </cell>
          <cell r="N26">
            <v>19.192989529886301</v>
          </cell>
          <cell r="O26">
            <v>-0.12136659522360682</v>
          </cell>
          <cell r="P26">
            <v>-2.6511486801454467</v>
          </cell>
          <cell r="Q26">
            <v>1.1555</v>
          </cell>
          <cell r="R26">
            <v>1.5428007788749998</v>
          </cell>
          <cell r="S26">
            <v>48.858082672819698</v>
          </cell>
          <cell r="T26">
            <v>27.143379262677609</v>
          </cell>
          <cell r="U26">
            <v>-0.11816519270981696</v>
          </cell>
          <cell r="V26">
            <v>-6.5469458755057914</v>
          </cell>
          <cell r="W26">
            <v>9.3427095554110107E-2</v>
          </cell>
          <cell r="X26">
            <v>29.29</v>
          </cell>
          <cell r="Y26">
            <v>-0.11457073760580405</v>
          </cell>
          <cell r="Z26">
            <v>-3.7899999999999991</v>
          </cell>
          <cell r="AA26">
            <v>1.1555</v>
          </cell>
          <cell r="AB26">
            <v>1.3351802499999998</v>
          </cell>
          <cell r="AC26">
            <v>39.107429522499991</v>
          </cell>
          <cell r="AD26">
            <v>-0.19957093313741725</v>
          </cell>
          <cell r="AE26">
            <v>19.052884928120729</v>
          </cell>
          <cell r="AF26">
            <v>59.460286612821577</v>
          </cell>
          <cell r="AG26">
            <v>33.033492562678653</v>
          </cell>
        </row>
        <row r="27">
          <cell r="B27">
            <v>45000</v>
          </cell>
          <cell r="C27">
            <v>5000</v>
          </cell>
          <cell r="D27">
            <v>7.9779999999999998</v>
          </cell>
          <cell r="E27">
            <v>13.333072939999999</v>
          </cell>
          <cell r="F27">
            <v>-0.11029329764692775</v>
          </cell>
          <cell r="G27">
            <v>-1.6528464700000018</v>
          </cell>
          <cell r="H27">
            <v>0.21681949925440386</v>
          </cell>
          <cell r="I27">
            <v>1.1567000000000001</v>
          </cell>
          <cell r="J27">
            <v>28.847990893070172</v>
          </cell>
          <cell r="K27">
            <v>40.062552683866429</v>
          </cell>
          <cell r="L27">
            <v>-0.10341384218965544</v>
          </cell>
          <cell r="M27">
            <v>-4.6208860853732858</v>
          </cell>
          <cell r="N27">
            <v>17.030366302563678</v>
          </cell>
          <cell r="O27">
            <v>-0.11267776830467713</v>
          </cell>
          <cell r="P27">
            <v>-2.1626232273226229</v>
          </cell>
          <cell r="Q27">
            <v>1.1567000000000001</v>
          </cell>
          <cell r="R27">
            <v>1.5476124212630002</v>
          </cell>
          <cell r="S27">
            <v>43.488070607035532</v>
          </cell>
          <cell r="T27">
            <v>24.160039226130849</v>
          </cell>
          <cell r="U27">
            <v>-0.1099104134262634</v>
          </cell>
          <cell r="V27">
            <v>-5.3700120657841666</v>
          </cell>
          <cell r="W27">
            <v>8.5504235094549852E-2</v>
          </cell>
          <cell r="X27">
            <v>26.49</v>
          </cell>
          <cell r="Y27">
            <v>-9.5595766473199117E-2</v>
          </cell>
          <cell r="Z27">
            <v>-2.8000000000000007</v>
          </cell>
          <cell r="AA27">
            <v>1.1567000000000001</v>
          </cell>
          <cell r="AB27">
            <v>1.3379548900000002</v>
          </cell>
          <cell r="AC27">
            <v>35.442425036100005</v>
          </cell>
          <cell r="AD27">
            <v>-0.18500810586970251</v>
          </cell>
          <cell r="AE27">
            <v>17.231509789891366</v>
          </cell>
          <cell r="AF27">
            <v>52.924981928762243</v>
          </cell>
          <cell r="AG27">
            <v>29.402767738201245</v>
          </cell>
        </row>
        <row r="28">
          <cell r="B28">
            <v>50000</v>
          </cell>
          <cell r="C28">
            <v>5000</v>
          </cell>
          <cell r="D28">
            <v>7.1349999999999998</v>
          </cell>
          <cell r="E28">
            <v>11.92422605</v>
          </cell>
          <cell r="F28">
            <v>-0.1056655803459513</v>
          </cell>
          <cell r="G28">
            <v>-1.4088468899999995</v>
          </cell>
          <cell r="H28">
            <v>0.19337710235268893</v>
          </cell>
          <cell r="I28">
            <v>1.1591</v>
          </cell>
          <cell r="J28">
            <v>26.079377651690212</v>
          </cell>
          <cell r="K28">
            <v>36.386994068035904</v>
          </cell>
          <cell r="L28">
            <v>-9.1745492226477765E-2</v>
          </cell>
          <cell r="M28">
            <v>-3.6755586158305249</v>
          </cell>
          <cell r="N28">
            <v>15.238058645420374</v>
          </cell>
          <cell r="O28">
            <v>-0.10524187356284276</v>
          </cell>
          <cell r="P28">
            <v>-1.7923076571433043</v>
          </cell>
          <cell r="Q28">
            <v>1.1591</v>
          </cell>
          <cell r="R28">
            <v>1.557265698071</v>
          </cell>
          <cell r="S28">
            <v>39.1540149556172</v>
          </cell>
          <cell r="T28">
            <v>21.752230530898444</v>
          </cell>
          <cell r="U28">
            <v>-9.9660794119414531E-2</v>
          </cell>
          <cell r="V28">
            <v>-4.3340556514183319</v>
          </cell>
          <cell r="W28">
            <v>7.6044228396760616E-2</v>
          </cell>
          <cell r="X28">
            <v>23.89</v>
          </cell>
          <cell r="Y28">
            <v>-9.8150245375613343E-2</v>
          </cell>
          <cell r="Z28">
            <v>-2.5999999999999979</v>
          </cell>
          <cell r="AA28">
            <v>1.1591</v>
          </cell>
          <cell r="AB28">
            <v>1.34351281</v>
          </cell>
          <cell r="AC28">
            <v>32.0965210309</v>
          </cell>
          <cell r="AD28">
            <v>-0.18024955889497363</v>
          </cell>
          <cell r="AE28">
            <v>15.540232875821244</v>
          </cell>
          <cell r="AF28">
            <v>47.650436200986135</v>
          </cell>
          <cell r="AG28">
            <v>26.472464556103407</v>
          </cell>
        </row>
        <row r="29">
          <cell r="B29">
            <v>55000</v>
          </cell>
          <cell r="C29">
            <v>5000</v>
          </cell>
          <cell r="D29">
            <v>6.4320000000000004</v>
          </cell>
          <cell r="E29">
            <v>10.74935136</v>
          </cell>
          <cell r="F29">
            <v>-9.8528381219341266E-2</v>
          </cell>
          <cell r="G29">
            <v>-1.1748746899999993</v>
          </cell>
          <cell r="H29">
            <v>0.17363350446385151</v>
          </cell>
          <cell r="I29">
            <v>1.1647000000000001</v>
          </cell>
          <cell r="J29">
            <v>24.107130259378589</v>
          </cell>
          <cell r="K29">
            <v>34.002116861018187</v>
          </cell>
          <cell r="L29">
            <v>-6.5542023134928518E-2</v>
          </cell>
          <cell r="M29">
            <v>-2.3848772070177162</v>
          </cell>
          <cell r="N29">
            <v>13.727206562245243</v>
          </cell>
          <cell r="O29">
            <v>-9.9149906056385961E-2</v>
          </cell>
          <cell r="P29">
            <v>-1.5108520831751306</v>
          </cell>
          <cell r="Q29">
            <v>1.1647000000000001</v>
          </cell>
          <cell r="R29">
            <v>1.5799459370230005</v>
          </cell>
          <cell r="S29">
            <v>35.785602987246484</v>
          </cell>
          <cell r="T29">
            <v>19.880890548470269</v>
          </cell>
          <cell r="U29">
            <v>-8.6029797255503859E-2</v>
          </cell>
          <cell r="V29">
            <v>-3.3684119683707152</v>
          </cell>
          <cell r="W29">
            <v>5.2452208593900096E-2</v>
          </cell>
          <cell r="Y29">
            <v>-1</v>
          </cell>
          <cell r="Z29">
            <v>-23.89</v>
          </cell>
          <cell r="AA29">
            <v>1.1647000000000001</v>
          </cell>
          <cell r="AB29">
            <v>1.3565260900000002</v>
          </cell>
          <cell r="AC29">
            <v>0</v>
          </cell>
          <cell r="AD29">
            <v>-1</v>
          </cell>
          <cell r="AE29">
            <v>0</v>
          </cell>
          <cell r="AF29">
            <v>43.551078835478975</v>
          </cell>
          <cell r="AG29">
            <v>24.195043797488317</v>
          </cell>
        </row>
        <row r="30">
          <cell r="B30">
            <v>60000</v>
          </cell>
          <cell r="C30">
            <v>5000</v>
          </cell>
          <cell r="D30">
            <v>5.8529999999999998</v>
          </cell>
          <cell r="E30">
            <v>9.7817091899999991</v>
          </cell>
          <cell r="F30">
            <v>-9.0018656716418066E-2</v>
          </cell>
          <cell r="G30">
            <v>-0.9676421700000013</v>
          </cell>
          <cell r="H30">
            <v>0.15666022094555704</v>
          </cell>
          <cell r="I30">
            <v>1.1778999999999999</v>
          </cell>
          <cell r="J30">
            <v>23.263149297625965</v>
          </cell>
          <cell r="K30">
            <v>33.654598889031796</v>
          </cell>
          <cell r="L30">
            <v>-1.0220480489695816E-2</v>
          </cell>
          <cell r="M30">
            <v>-0.34751797198639167</v>
          </cell>
          <cell r="N30">
            <v>12.440698593786429</v>
          </cell>
          <cell r="O30">
            <v>-9.3719575255549303E-2</v>
          </cell>
          <cell r="P30">
            <v>-1.2865079684588139</v>
          </cell>
          <cell r="Q30">
            <v>1.1778999999999999</v>
          </cell>
          <cell r="R30">
            <v>1.634275482139</v>
          </cell>
          <cell r="S30">
            <v>33.547022342635387</v>
          </cell>
          <cell r="T30">
            <v>18.637234634797437</v>
          </cell>
          <cell r="U30">
            <v>-6.2555342309277284E-2</v>
          </cell>
          <cell r="V30">
            <v>-2.2385806446110976</v>
          </cell>
          <cell r="W30">
            <v>-3.1964887399524855E-3</v>
          </cell>
          <cell r="X30">
            <v>19.829999999999998</v>
          </cell>
          <cell r="Y30" t="e">
            <v>#DIV/0!</v>
          </cell>
          <cell r="Z30">
            <v>19.829999999999998</v>
          </cell>
          <cell r="AA30">
            <v>1.1778999999999999</v>
          </cell>
          <cell r="AB30">
            <v>1.38744841</v>
          </cell>
          <cell r="AC30">
            <v>27.513101970299996</v>
          </cell>
          <cell r="AD30">
            <v>-0.17986455878877794</v>
          </cell>
          <cell r="AE30">
            <v>12.899238925388666</v>
          </cell>
          <cell r="AF30">
            <v>40.826726190987266</v>
          </cell>
          <cell r="AG30">
            <v>22.681514550548481</v>
          </cell>
        </row>
        <row r="31">
          <cell r="B31">
            <v>65000</v>
          </cell>
          <cell r="C31">
            <v>5000</v>
          </cell>
          <cell r="D31">
            <v>5.35</v>
          </cell>
          <cell r="E31">
            <v>8.9410805</v>
          </cell>
          <cell r="F31">
            <v>-8.5938834785579954E-2</v>
          </cell>
          <cell r="G31">
            <v>-0.84062868999999907</v>
          </cell>
          <cell r="H31">
            <v>0.14212327082433918</v>
          </cell>
          <cell r="I31">
            <v>1.1826000000000001</v>
          </cell>
          <cell r="J31">
            <v>21.709079007494189</v>
          </cell>
          <cell r="K31">
            <v>31.688928416392987</v>
          </cell>
          <cell r="L31">
            <v>-5.8407187651237535E-2</v>
          </cell>
          <cell r="M31">
            <v>-1.9656704726388092</v>
          </cell>
          <cell r="N31">
            <v>11.333880538480825</v>
          </cell>
          <cell r="O31">
            <v>-8.8967516330506591E-2</v>
          </cell>
          <cell r="P31">
            <v>-1.1068180553056042</v>
          </cell>
          <cell r="Q31">
            <v>1.1826000000000001</v>
          </cell>
          <cell r="R31">
            <v>1.6539166679760005</v>
          </cell>
          <cell r="S31">
            <v>30.929734993479702</v>
          </cell>
          <cell r="T31">
            <v>17.183186107488723</v>
          </cell>
          <cell r="U31">
            <v>-7.801846978917526E-2</v>
          </cell>
          <cell r="V31">
            <v>-2.617287349155685</v>
          </cell>
          <cell r="W31">
            <v>-2.395768682795052E-2</v>
          </cell>
          <cell r="Y31">
            <v>-1</v>
          </cell>
          <cell r="Z31">
            <v>-19.829999999999998</v>
          </cell>
          <cell r="AA31">
            <v>1.1826000000000001</v>
          </cell>
          <cell r="AB31">
            <v>1.3985427600000002</v>
          </cell>
          <cell r="AC31">
            <v>0</v>
          </cell>
          <cell r="AD31">
            <v>-1</v>
          </cell>
          <cell r="AE31">
            <v>0</v>
          </cell>
          <cell r="AF31">
            <v>37.641487487064801</v>
          </cell>
          <cell r="AG31">
            <v>20.911937492813777</v>
          </cell>
        </row>
        <row r="32">
          <cell r="B32">
            <v>70000</v>
          </cell>
          <cell r="C32">
            <v>5000</v>
          </cell>
          <cell r="D32">
            <v>4.8819999999999997</v>
          </cell>
          <cell r="E32">
            <v>8.1589448600000001</v>
          </cell>
          <cell r="F32">
            <v>-8.747663551401863E-2</v>
          </cell>
          <cell r="G32">
            <v>-0.78213563999999991</v>
          </cell>
          <cell r="H32">
            <v>0.12949855312906638</v>
          </cell>
          <cell r="I32">
            <v>1.1826000000000001</v>
          </cell>
          <cell r="J32">
            <v>19.809849563675275</v>
          </cell>
          <cell r="K32">
            <v>28.916569606471299</v>
          </cell>
          <cell r="L32">
            <v>-8.7486669586703925E-2</v>
          </cell>
          <cell r="M32">
            <v>-2.7723588099216876</v>
          </cell>
          <cell r="N32">
            <v>10.371009853238792</v>
          </cell>
          <cell r="O32">
            <v>-8.4955076240030181E-2</v>
          </cell>
          <cell r="P32">
            <v>-0.96287068524203256</v>
          </cell>
          <cell r="Q32">
            <v>1.1826000000000001</v>
          </cell>
          <cell r="R32">
            <v>1.6539166679760005</v>
          </cell>
          <cell r="S32">
            <v>28.302096999024702</v>
          </cell>
          <cell r="T32">
            <v>15.72338722168039</v>
          </cell>
          <cell r="U32">
            <v>-8.4955076240030292E-2</v>
          </cell>
          <cell r="V32">
            <v>-2.6276379944550001</v>
          </cell>
          <cell r="W32">
            <v>-2.1249844494316661E-2</v>
          </cell>
          <cell r="X32">
            <v>16.72</v>
          </cell>
          <cell r="Y32" t="e">
            <v>#DIV/0!</v>
          </cell>
          <cell r="Z32">
            <v>16.72</v>
          </cell>
          <cell r="AA32">
            <v>1.1826000000000001</v>
          </cell>
          <cell r="AB32">
            <v>1.3985427600000002</v>
          </cell>
          <cell r="AC32">
            <v>23.383634947200001</v>
          </cell>
          <cell r="AD32">
            <v>-0.17378436841602907</v>
          </cell>
          <cell r="AE32">
            <v>10.876211539712481</v>
          </cell>
          <cell r="AF32">
            <v>34.443652047813067</v>
          </cell>
          <cell r="AG32">
            <v>19.135362248785036</v>
          </cell>
        </row>
        <row r="33">
          <cell r="B33">
            <v>75000</v>
          </cell>
          <cell r="C33">
            <v>5000</v>
          </cell>
          <cell r="D33">
            <v>4.4980000000000002</v>
          </cell>
          <cell r="E33">
            <v>7.5171925399999999</v>
          </cell>
          <cell r="F33">
            <v>-7.8656288406390829E-2</v>
          </cell>
          <cell r="G33">
            <v>-0.64175232000000015</v>
          </cell>
          <cell r="H33">
            <v>0.11832747537814721</v>
          </cell>
          <cell r="I33">
            <v>1.1891</v>
          </cell>
          <cell r="J33">
            <v>18.780068764363723</v>
          </cell>
          <cell r="K33">
            <v>27.753510876210203</v>
          </cell>
          <cell r="L33">
            <v>-4.022118619494941E-2</v>
          </cell>
          <cell r="M33">
            <v>-1.1630587302610955</v>
          </cell>
          <cell r="N33">
            <v>9.5225351200860207</v>
          </cell>
          <cell r="O33">
            <v>-8.1812161511716108E-2</v>
          </cell>
          <cell r="P33">
            <v>-0.84847473315277178</v>
          </cell>
          <cell r="Q33">
            <v>1.1891</v>
          </cell>
          <cell r="R33">
            <v>1.6813384209710001</v>
          </cell>
          <cell r="S33">
            <v>26.417496868036434</v>
          </cell>
          <cell r="T33">
            <v>14.676387148909129</v>
          </cell>
          <cell r="U33">
            <v>-6.6588710054001021E-2</v>
          </cell>
          <cell r="V33">
            <v>-1.8846001309882681</v>
          </cell>
          <cell r="W33">
            <v>-4.8138558546082066E-2</v>
          </cell>
          <cell r="X33">
            <v>15.48</v>
          </cell>
          <cell r="Y33">
            <v>-7.4162679425837208E-2</v>
          </cell>
          <cell r="Z33">
            <v>-1.2399999999999984</v>
          </cell>
          <cell r="AA33">
            <v>1.1891</v>
          </cell>
          <cell r="AB33">
            <v>1.41395881</v>
          </cell>
          <cell r="AC33">
            <v>21.8880823788</v>
          </cell>
          <cell r="AD33">
            <v>-0.17145509704656192</v>
          </cell>
          <cell r="AE33">
            <v>10.069602549925193</v>
          </cell>
          <cell r="AF33">
            <v>32.150093688400339</v>
          </cell>
          <cell r="AG33">
            <v>17.861163160222411</v>
          </cell>
        </row>
        <row r="34">
          <cell r="B34">
            <v>80000</v>
          </cell>
          <cell r="C34">
            <v>5000</v>
          </cell>
          <cell r="I34">
            <v>1.1891</v>
          </cell>
          <cell r="N34">
            <v>8.7717826864237711</v>
          </cell>
          <cell r="O34">
            <v>-7.8839555243926274E-2</v>
          </cell>
          <cell r="P34">
            <v>-0.75075243366224953</v>
          </cell>
          <cell r="Q34">
            <v>1.1891</v>
          </cell>
          <cell r="R34">
            <v>1.6813384209710001</v>
          </cell>
          <cell r="S34">
            <v>24.334753164302626</v>
          </cell>
          <cell r="T34">
            <v>13.519307313501459</v>
          </cell>
          <cell r="U34">
            <v>-7.8839555243926274E-2</v>
          </cell>
          <cell r="V34">
            <v>-2.0827437037338079</v>
          </cell>
          <cell r="AF34">
            <v>29.615394600956297</v>
          </cell>
          <cell r="AG34">
            <v>16.452997000531276</v>
          </cell>
        </row>
        <row r="35">
          <cell r="B35">
            <v>85000</v>
          </cell>
          <cell r="C35">
            <v>5000</v>
          </cell>
          <cell r="I35">
            <v>1.1891</v>
          </cell>
          <cell r="N35">
            <v>8.1013733765712139</v>
          </cell>
          <cell r="O35">
            <v>-7.642794330622904E-2</v>
          </cell>
          <cell r="P35">
            <v>-0.6704093098525572</v>
          </cell>
          <cell r="Q35">
            <v>1.1891</v>
          </cell>
          <cell r="R35">
            <v>1.6813384209710001</v>
          </cell>
          <cell r="S35">
            <v>22.474898029090227</v>
          </cell>
          <cell r="T35">
            <v>12.486054460605681</v>
          </cell>
          <cell r="U35">
            <v>-7.642794330622904E-2</v>
          </cell>
          <cell r="V35">
            <v>-1.8598551352123991</v>
          </cell>
          <cell r="AF35">
            <v>27.351950901402809</v>
          </cell>
          <cell r="AG35">
            <v>15.195528278557116</v>
          </cell>
        </row>
        <row r="36">
          <cell r="B36">
            <v>90000</v>
          </cell>
          <cell r="C36">
            <v>5000</v>
          </cell>
          <cell r="I36">
            <v>1.1891</v>
          </cell>
          <cell r="N36">
            <v>7.5059677775616356</v>
          </cell>
          <cell r="O36">
            <v>-7.3494402903520384E-2</v>
          </cell>
          <cell r="P36">
            <v>-0.59540559900957835</v>
          </cell>
          <cell r="Q36">
            <v>1.1891</v>
          </cell>
          <cell r="R36">
            <v>1.6813384209710001</v>
          </cell>
          <cell r="S36">
            <v>20.823118818124733</v>
          </cell>
          <cell r="T36">
            <v>11.56839934340263</v>
          </cell>
          <cell r="U36">
            <v>-7.3494402903520384E-2</v>
          </cell>
          <cell r="V36">
            <v>-1.6517792109654934</v>
          </cell>
          <cell r="AF36">
            <v>25.341735601657803</v>
          </cell>
          <cell r="AG36">
            <v>14.078742000921</v>
          </cell>
        </row>
        <row r="37">
          <cell r="B37">
            <v>95000</v>
          </cell>
          <cell r="C37">
            <v>5000</v>
          </cell>
          <cell r="D37">
            <v>3.5</v>
          </cell>
          <cell r="E37">
            <v>5.8493050000000002</v>
          </cell>
          <cell r="F37">
            <v>-0.22187638950644728</v>
          </cell>
          <cell r="G37">
            <v>-1.6678875399999997</v>
          </cell>
          <cell r="H37">
            <v>9.1842811773018465E-2</v>
          </cell>
          <cell r="I37">
            <v>1.1891</v>
          </cell>
          <cell r="J37">
            <v>14.612984321655079</v>
          </cell>
          <cell r="K37">
            <v>21.595274386052282</v>
          </cell>
          <cell r="L37">
            <v>-0.22189035893965581</v>
          </cell>
          <cell r="M37">
            <v>-6.1582364901579218</v>
          </cell>
          <cell r="N37">
            <v>6.9685129887595156</v>
          </cell>
          <cell r="O37">
            <v>-7.1603663208998691E-2</v>
          </cell>
          <cell r="P37">
            <v>-0.53745478880211994</v>
          </cell>
          <cell r="Q37">
            <v>1.1891</v>
          </cell>
          <cell r="R37">
            <v>1.6813384209710001</v>
          </cell>
          <cell r="S37">
            <v>19.332107231310765</v>
          </cell>
          <cell r="T37">
            <v>10.740059572950425</v>
          </cell>
          <cell r="U37">
            <v>-7.1603663208998802E-2</v>
          </cell>
          <cell r="V37">
            <v>-7.0853896367256688</v>
          </cell>
          <cell r="W37">
            <v>-0.1047991849644303</v>
          </cell>
          <cell r="X37">
            <v>12.23</v>
          </cell>
          <cell r="Y37">
            <v>-0.2099483204134367</v>
          </cell>
          <cell r="Z37">
            <v>-3.25</v>
          </cell>
          <cell r="AA37">
            <v>1.1891</v>
          </cell>
          <cell r="AB37">
            <v>1.41395881</v>
          </cell>
          <cell r="AC37">
            <v>17.292716246299999</v>
          </cell>
          <cell r="AD37">
            <v>-0.10549243083587478</v>
          </cell>
          <cell r="AE37">
            <v>7.9555064073375394</v>
          </cell>
          <cell r="AF37">
            <v>23.527174500505204</v>
          </cell>
          <cell r="AG37">
            <v>13.070652500280669</v>
          </cell>
        </row>
        <row r="38">
          <cell r="B38">
            <v>100000</v>
          </cell>
          <cell r="C38">
            <v>5000</v>
          </cell>
          <cell r="D38">
            <v>2.9910000000000001</v>
          </cell>
          <cell r="E38">
            <v>4.9986489299999999</v>
          </cell>
          <cell r="F38">
            <v>-0.14542857142857146</v>
          </cell>
          <cell r="G38">
            <v>-0.85065607000000032</v>
          </cell>
          <cell r="H38">
            <v>7.8437969603723762E-2</v>
          </cell>
          <cell r="I38">
            <v>1.1891</v>
          </cell>
          <cell r="J38">
            <v>12.487790614191507</v>
          </cell>
          <cell r="K38">
            <v>18.454623318798706</v>
          </cell>
          <cell r="L38">
            <v>-0.14543232982869736</v>
          </cell>
          <cell r="M38">
            <v>-3.1406510672535752</v>
          </cell>
          <cell r="N38">
            <v>6.4811222546205807</v>
          </cell>
          <cell r="O38">
            <v>-6.9941856307811356E-2</v>
          </cell>
          <cell r="P38">
            <v>-0.48739073413893497</v>
          </cell>
          <cell r="Q38">
            <v>1.1891</v>
          </cell>
          <cell r="R38">
            <v>1.6813384209710001</v>
          </cell>
          <cell r="S38">
            <v>17.97998376521123</v>
          </cell>
          <cell r="T38">
            <v>9.988879869561794</v>
          </cell>
          <cell r="U38">
            <v>-6.9941856307811134E-2</v>
          </cell>
          <cell r="V38">
            <v>-1.3521234660995347</v>
          </cell>
          <cell r="W38">
            <v>-2.571927616122005E-2</v>
          </cell>
          <cell r="X38">
            <v>10.67</v>
          </cell>
          <cell r="Y38">
            <v>-0.12755519215044975</v>
          </cell>
          <cell r="Z38">
            <v>-1.5600000000000005</v>
          </cell>
          <cell r="AA38">
            <v>1.1891</v>
          </cell>
          <cell r="AB38">
            <v>1.41395881</v>
          </cell>
          <cell r="AC38">
            <v>15.086940502699999</v>
          </cell>
          <cell r="AD38">
            <v>-0.16090355254429467</v>
          </cell>
          <cell r="AE38">
            <v>6.9407402588954659</v>
          </cell>
          <cell r="AF38">
            <v>21.881640242262069</v>
          </cell>
          <cell r="AG38">
            <v>12.156466801256705</v>
          </cell>
        </row>
        <row r="39">
          <cell r="B39">
            <v>125000</v>
          </cell>
          <cell r="C39">
            <v>25000</v>
          </cell>
          <cell r="D39">
            <v>2.121</v>
          </cell>
          <cell r="E39">
            <v>3.5446788300000001</v>
          </cell>
          <cell r="F39">
            <v>-0.29087261785356067</v>
          </cell>
          <cell r="G39">
            <v>-1.4539700999999998</v>
          </cell>
          <cell r="H39">
            <v>5.3972458436453277E-2</v>
          </cell>
          <cell r="I39">
            <v>1.2101</v>
          </cell>
          <cell r="J39">
            <v>9.7008887805366584</v>
          </cell>
          <cell r="K39">
            <v>14.911822724533529</v>
          </cell>
          <cell r="L39">
            <v>-0.1919736064542874</v>
          </cell>
          <cell r="M39">
            <v>-3.5428005942651772</v>
          </cell>
          <cell r="N39">
            <v>4.6265998287267669</v>
          </cell>
          <cell r="O39">
            <v>-0.28614217615964133</v>
          </cell>
          <cell r="P39">
            <v>-1.8545224258938138</v>
          </cell>
          <cell r="Q39">
            <v>1.2101</v>
          </cell>
          <cell r="R39">
            <v>1.7720002663009999</v>
          </cell>
          <cell r="S39">
            <v>13.527254612143786</v>
          </cell>
          <cell r="T39">
            <v>7.515141451190992</v>
          </cell>
          <cell r="U39">
            <v>-0.247649231012258</v>
          </cell>
          <cell r="V39">
            <v>-4.4527291530674447</v>
          </cell>
          <cell r="W39">
            <v>-9.2850360279015165E-2</v>
          </cell>
          <cell r="X39">
            <v>7.88</v>
          </cell>
          <cell r="Y39">
            <v>-0.26148078725398316</v>
          </cell>
          <cell r="Z39">
            <v>-2.79</v>
          </cell>
          <cell r="AA39">
            <v>1.2101</v>
          </cell>
          <cell r="AB39">
            <v>1.46434201</v>
          </cell>
          <cell r="AC39">
            <v>11.539015038799999</v>
          </cell>
          <cell r="AD39">
            <v>-0.1469802728159556</v>
          </cell>
          <cell r="AE39">
            <v>5.1258700318740642</v>
          </cell>
          <cell r="AF39">
            <v>16.462668862978987</v>
          </cell>
          <cell r="AG39">
            <v>9.1459271460994369</v>
          </cell>
        </row>
        <row r="40">
          <cell r="B40">
            <v>150000</v>
          </cell>
          <cell r="C40">
            <v>25000</v>
          </cell>
          <cell r="D40">
            <v>1.55</v>
          </cell>
          <cell r="E40">
            <v>2.5904065000000003</v>
          </cell>
          <cell r="F40">
            <v>-0.26921263554926911</v>
          </cell>
          <cell r="G40">
            <v>-0.95427232999999978</v>
          </cell>
          <cell r="H40">
            <v>3.824039829211355E-2</v>
          </cell>
          <cell r="I40">
            <v>1.2291000000000001</v>
          </cell>
          <cell r="J40">
            <v>7.6889341709041314</v>
          </cell>
          <cell r="K40">
            <v>12.240485322697646</v>
          </cell>
          <cell r="L40">
            <v>-0.17914224512881927</v>
          </cell>
          <cell r="M40">
            <v>-2.6713374018358831</v>
          </cell>
          <cell r="N40">
            <v>3.4174122236242632</v>
          </cell>
          <cell r="O40">
            <v>-0.26135556345171751</v>
          </cell>
          <cell r="P40">
            <v>-1.2091876051025037</v>
          </cell>
          <cell r="Q40">
            <v>1.2291000000000001</v>
          </cell>
          <cell r="R40">
            <v>1.8567851581710004</v>
          </cell>
          <cell r="S40">
            <v>10.469910488693186</v>
          </cell>
          <cell r="T40">
            <v>5.8166169381628814</v>
          </cell>
          <cell r="U40">
            <v>-0.22601364512692312</v>
          </cell>
          <cell r="V40">
            <v>-3.0573441234505996</v>
          </cell>
          <cell r="W40">
            <v>-0.14464907128488336</v>
          </cell>
          <cell r="X40">
            <v>6.18</v>
          </cell>
          <cell r="Y40">
            <v>-0.21573604060913709</v>
          </cell>
          <cell r="Z40">
            <v>-1.7000000000000002</v>
          </cell>
          <cell r="AA40">
            <v>1.2291000000000001</v>
          </cell>
          <cell r="AB40">
            <v>1.5106868100000002</v>
          </cell>
          <cell r="AC40">
            <v>9.3360444858000005</v>
          </cell>
          <cell r="AD40">
            <v>-0.1082975832618327</v>
          </cell>
          <cell r="AE40">
            <v>4.0200351265205221</v>
          </cell>
          <cell r="AF40">
            <v>12.741881064739609</v>
          </cell>
          <cell r="AG40">
            <v>7.0788228137442264</v>
          </cell>
        </row>
        <row r="41">
          <cell r="B41">
            <v>175000</v>
          </cell>
          <cell r="C41">
            <v>25000</v>
          </cell>
          <cell r="I41">
            <v>1.2291000000000001</v>
          </cell>
          <cell r="N41">
            <v>2.6052127195514667</v>
          </cell>
          <cell r="O41">
            <v>-0.23766506670109455</v>
          </cell>
          <cell r="P41">
            <v>-0.81219950407279651</v>
          </cell>
          <cell r="Q41">
            <v>1.2291000000000001</v>
          </cell>
          <cell r="R41">
            <v>1.8567851581710004</v>
          </cell>
          <cell r="S41">
            <v>7.9815785140434299</v>
          </cell>
          <cell r="T41">
            <v>4.4342102855796828</v>
          </cell>
          <cell r="U41">
            <v>-0.23766506670109466</v>
          </cell>
          <cell r="V41">
            <v>-2.4883319746497561</v>
          </cell>
          <cell r="AF41">
            <v>9.7135810515908556</v>
          </cell>
          <cell r="AG41">
            <v>5.3964339175504756</v>
          </cell>
        </row>
        <row r="42">
          <cell r="B42">
            <v>200000</v>
          </cell>
          <cell r="C42">
            <v>25000</v>
          </cell>
          <cell r="D42">
            <v>0.88500000000000001</v>
          </cell>
          <cell r="E42">
            <v>1.4790385500000001</v>
          </cell>
          <cell r="F42">
            <v>-0.42903225806451617</v>
          </cell>
          <cell r="G42">
            <v>-1.1113679500000002</v>
          </cell>
          <cell r="H42">
            <v>2.0671858448124161E-2</v>
          </cell>
          <cell r="I42">
            <v>1.2601</v>
          </cell>
          <cell r="J42">
            <v>4.9992554613214066</v>
          </cell>
          <cell r="K42">
            <v>8.4169835569131628</v>
          </cell>
          <cell r="L42">
            <v>-0.31236520979233795</v>
          </cell>
          <cell r="M42">
            <v>-3.8235017657844832</v>
          </cell>
          <cell r="N42">
            <v>2.0282708899192099</v>
          </cell>
          <cell r="O42">
            <v>-0.22145670689477803</v>
          </cell>
          <cell r="P42">
            <v>-0.57694182963225682</v>
          </cell>
          <cell r="Q42">
            <v>1.2601</v>
          </cell>
          <cell r="R42">
            <v>2.0008523178009998</v>
          </cell>
          <cell r="S42">
            <v>6.6961463435181932</v>
          </cell>
          <cell r="T42">
            <v>3.7200813019545516</v>
          </cell>
          <cell r="U42">
            <v>-0.36043900750158364</v>
          </cell>
          <cell r="V42">
            <v>-3.7737641451749928</v>
          </cell>
          <cell r="W42">
            <v>-0.20444820900019289</v>
          </cell>
          <cell r="X42">
            <v>4.18</v>
          </cell>
          <cell r="Y42">
            <v>-0.3236245954692557</v>
          </cell>
          <cell r="Z42">
            <v>-2</v>
          </cell>
          <cell r="AA42">
            <v>1.2601</v>
          </cell>
          <cell r="AB42">
            <v>1.58785201</v>
          </cell>
          <cell r="AC42">
            <v>6.6372214017999998</v>
          </cell>
          <cell r="AD42">
            <v>-8.7998288411411663E-3</v>
          </cell>
          <cell r="AE42">
            <v>2.7190528849281201</v>
          </cell>
          <cell r="AF42">
            <v>8.1492101000616408</v>
          </cell>
          <cell r="AG42">
            <v>4.5273389444786893</v>
          </cell>
        </row>
        <row r="43">
          <cell r="B43">
            <v>250000</v>
          </cell>
          <cell r="C43">
            <v>50000</v>
          </cell>
          <cell r="D43">
            <v>0.55299999999999994</v>
          </cell>
          <cell r="E43">
            <v>0.92419018999999991</v>
          </cell>
          <cell r="F43">
            <v>-0.37514124293785323</v>
          </cell>
          <cell r="G43">
            <v>-0.55484836000000015</v>
          </cell>
          <cell r="H43">
            <v>1.2248894918552803E-2</v>
          </cell>
          <cell r="I43">
            <v>1.3205</v>
          </cell>
          <cell r="J43">
            <v>3.9900034652377467</v>
          </cell>
          <cell r="K43">
            <v>7.4635194957623607</v>
          </cell>
          <cell r="L43">
            <v>-0.11327859377457006</v>
          </cell>
          <cell r="M43">
            <v>-0.95346406115080207</v>
          </cell>
          <cell r="N43">
            <v>1.305479895044577</v>
          </cell>
          <cell r="O43">
            <v>-0.35635821549626601</v>
          </cell>
          <cell r="P43">
            <v>-0.72279099487463294</v>
          </cell>
          <cell r="Q43">
            <v>1.3205</v>
          </cell>
          <cell r="R43">
            <v>2.3025825901250001</v>
          </cell>
          <cell r="S43">
            <v>4.9598592088449607</v>
          </cell>
          <cell r="T43">
            <v>2.7554773382472004</v>
          </cell>
          <cell r="U43">
            <v>-0.25929647376269516</v>
          </cell>
          <cell r="V43">
            <v>-1.7362871346732325</v>
          </cell>
          <cell r="W43">
            <v>-0.33545303771751778</v>
          </cell>
          <cell r="Y43">
            <v>-1</v>
          </cell>
          <cell r="Z43">
            <v>-4.18</v>
          </cell>
          <cell r="AA43">
            <v>1.3205</v>
          </cell>
          <cell r="AB43">
            <v>1.74372025</v>
          </cell>
          <cell r="AC43">
            <v>0</v>
          </cell>
          <cell r="AD43">
            <v>-1</v>
          </cell>
          <cell r="AE43">
            <v>0</v>
          </cell>
          <cell r="AF43">
            <v>6.0361486571643175</v>
          </cell>
          <cell r="AG43">
            <v>3.3534159206468428</v>
          </cell>
        </row>
        <row r="44">
          <cell r="B44">
            <v>275000</v>
          </cell>
          <cell r="S44">
            <v>4.9598592088449607</v>
          </cell>
          <cell r="T44">
            <v>2.7554773382472004</v>
          </cell>
          <cell r="U44">
            <v>-0.25929647376269516</v>
          </cell>
          <cell r="V44">
            <v>-1.7362871346732325</v>
          </cell>
          <cell r="W44">
            <v>-0.33545303771751778</v>
          </cell>
          <cell r="Y44">
            <v>-1</v>
          </cell>
          <cell r="Z44">
            <v>-4.18</v>
          </cell>
          <cell r="AA44">
            <v>1.3205</v>
          </cell>
          <cell r="AB44">
            <v>1.74372025</v>
          </cell>
          <cell r="AC44">
            <v>0</v>
          </cell>
          <cell r="AD44">
            <v>-1</v>
          </cell>
          <cell r="AE44">
            <v>0</v>
          </cell>
          <cell r="AF44">
            <v>6.0361486571643175</v>
          </cell>
          <cell r="AG44">
            <v>3.3534159206468428</v>
          </cell>
        </row>
        <row r="45">
          <cell r="B45">
            <v>300000</v>
          </cell>
          <cell r="C45">
            <v>50000</v>
          </cell>
          <cell r="D45">
            <v>0.28140783055849727</v>
          </cell>
          <cell r="E45">
            <v>0.47029720866427738</v>
          </cell>
          <cell r="F45">
            <v>-0.49112508036438107</v>
          </cell>
          <cell r="G45">
            <v>-0.45389298133572253</v>
          </cell>
          <cell r="H45">
            <v>7.4743111729290617E-3</v>
          </cell>
          <cell r="I45">
            <v>1.5324</v>
          </cell>
          <cell r="J45">
            <v>4.429040733110579</v>
          </cell>
          <cell r="K45">
            <v>11.579063458067063</v>
          </cell>
          <cell r="L45">
            <v>0.55142134547131905</v>
          </cell>
          <cell r="M45">
            <v>4.1155439623047023</v>
          </cell>
          <cell r="N45">
            <v>0.86307926628757237</v>
          </cell>
          <cell r="O45">
            <v>-0.33887969507328064</v>
          </cell>
          <cell r="P45">
            <v>-0.44240062875700459</v>
          </cell>
          <cell r="Q45">
            <v>1.5324</v>
          </cell>
          <cell r="R45">
            <v>3.5984579322239996</v>
          </cell>
          <cell r="S45">
            <v>3.2235720741717282</v>
          </cell>
          <cell r="T45">
            <v>1.7908733745398489</v>
          </cell>
          <cell r="U45">
            <v>-0.35006782684010396</v>
          </cell>
          <cell r="V45">
            <v>-1.7362871346732325</v>
          </cell>
          <cell r="W45">
            <v>-0.72160338477755859</v>
          </cell>
          <cell r="X45">
            <v>2.2599999999999998</v>
          </cell>
          <cell r="Y45" t="e">
            <v>#DIV/0!</v>
          </cell>
          <cell r="Z45">
            <v>2.2599999999999998</v>
          </cell>
          <cell r="AA45">
            <v>1.5324</v>
          </cell>
          <cell r="AB45">
            <v>2.3482497599999999</v>
          </cell>
          <cell r="AC45">
            <v>5.3070444575999991</v>
          </cell>
          <cell r="AD45">
            <v>0.64632411979297943</v>
          </cell>
          <cell r="AE45">
            <v>1.4701099329994143</v>
          </cell>
          <cell r="AF45">
            <v>3.9230872142669937</v>
          </cell>
          <cell r="AG45">
            <v>2.1794928968149963</v>
          </cell>
        </row>
        <row r="46">
          <cell r="B46">
            <v>500000</v>
          </cell>
          <cell r="C46">
            <v>200000</v>
          </cell>
          <cell r="D46">
            <v>0.16</v>
          </cell>
          <cell r="E46">
            <v>0.26739679999999999</v>
          </cell>
          <cell r="F46">
            <v>-0.43143017846214404</v>
          </cell>
          <cell r="G46">
            <v>-0.20290040866427739</v>
          </cell>
          <cell r="H46">
            <v>1.3549171709935162E-3</v>
          </cell>
          <cell r="I46">
            <v>1.5324</v>
          </cell>
          <cell r="J46">
            <v>2.5153241486098592</v>
          </cell>
          <cell r="K46">
            <v>6.5730894056749349</v>
          </cell>
          <cell r="L46">
            <v>-0.43232978820100487</v>
          </cell>
          <cell r="M46">
            <v>-5.0059740523921281</v>
          </cell>
          <cell r="N46">
            <v>0.22856345992272245</v>
          </cell>
          <cell r="O46">
            <v>-0.73517674580938597</v>
          </cell>
          <cell r="P46">
            <v>-0.63451580636484994</v>
          </cell>
          <cell r="Q46">
            <v>1.5324</v>
          </cell>
          <cell r="R46">
            <v>3.5984579322239996</v>
          </cell>
          <cell r="S46">
            <v>1.3570853923695465</v>
          </cell>
          <cell r="T46">
            <v>0.7539363290941925</v>
          </cell>
          <cell r="U46">
            <v>-0.57901192802762469</v>
          </cell>
          <cell r="V46">
            <v>-1.8664866818021817</v>
          </cell>
          <cell r="W46">
            <v>-0.79353918551634262</v>
          </cell>
          <cell r="X46">
            <v>0.93</v>
          </cell>
          <cell r="Y46">
            <v>-0.58849557522123885</v>
          </cell>
          <cell r="Z46">
            <v>-1.3299999999999996</v>
          </cell>
          <cell r="AA46">
            <v>1.5324</v>
          </cell>
          <cell r="AB46">
            <v>2.3482497599999999</v>
          </cell>
          <cell r="AC46">
            <v>2.1838722767999998</v>
          </cell>
          <cell r="AD46">
            <v>0.60923718513161318</v>
          </cell>
          <cell r="AE46">
            <v>0.60495674234046704</v>
          </cell>
          <cell r="AF46">
            <v>1.6515729225137381</v>
          </cell>
          <cell r="AG46">
            <v>0.91754051250763224</v>
          </cell>
        </row>
        <row r="47">
          <cell r="B47" t="str">
            <v>Unlimited</v>
          </cell>
          <cell r="I47">
            <v>1.5324</v>
          </cell>
          <cell r="S47">
            <v>1.3570853923695465</v>
          </cell>
          <cell r="T47">
            <v>0.7539363290941925</v>
          </cell>
          <cell r="AF47">
            <v>1.6515729225137381</v>
          </cell>
          <cell r="AG47">
            <v>0.91754051250763224</v>
          </cell>
        </row>
      </sheetData>
      <sheetData sheetId="24" refreshError="1">
        <row r="3">
          <cell r="C3" t="str">
            <v>7J68</v>
          </cell>
          <cell r="D3">
            <v>0</v>
          </cell>
          <cell r="E3">
            <v>0</v>
          </cell>
          <cell r="F3">
            <v>0</v>
          </cell>
          <cell r="G3">
            <v>7533</v>
          </cell>
          <cell r="H3">
            <v>0</v>
          </cell>
          <cell r="I3">
            <v>0</v>
          </cell>
          <cell r="J3">
            <v>0</v>
          </cell>
          <cell r="K3">
            <v>0</v>
          </cell>
        </row>
        <row r="4">
          <cell r="C4" t="str">
            <v>WE54</v>
          </cell>
          <cell r="D4">
            <v>147926.48000000001</v>
          </cell>
          <cell r="E4">
            <v>211494.97884982327</v>
          </cell>
          <cell r="F4">
            <v>5298</v>
          </cell>
          <cell r="G4">
            <v>4890.6319999999996</v>
          </cell>
          <cell r="H4">
            <v>27.921192902982256</v>
          </cell>
          <cell r="I4">
            <v>43.244917804043176</v>
          </cell>
          <cell r="J4">
            <v>0.42973035557814465</v>
          </cell>
          <cell r="K4">
            <v>0.54882056630983689</v>
          </cell>
        </row>
        <row r="5">
          <cell r="C5" t="str">
            <v>QU09</v>
          </cell>
          <cell r="D5">
            <v>0</v>
          </cell>
          <cell r="E5">
            <v>0</v>
          </cell>
          <cell r="F5">
            <v>0</v>
          </cell>
          <cell r="G5">
            <v>0</v>
          </cell>
          <cell r="H5">
            <v>0</v>
          </cell>
          <cell r="I5">
            <v>0</v>
          </cell>
          <cell r="J5">
            <v>0</v>
          </cell>
          <cell r="K5">
            <v>0</v>
          </cell>
        </row>
        <row r="6">
          <cell r="C6" t="str">
            <v>3499</v>
          </cell>
          <cell r="D6">
            <v>137008.67000000001</v>
          </cell>
          <cell r="E6">
            <v>177498.31084799996</v>
          </cell>
          <cell r="F6">
            <v>9250</v>
          </cell>
          <cell r="G6">
            <v>9537.5479999999989</v>
          </cell>
          <cell r="H6">
            <v>14.811748108108107</v>
          </cell>
          <cell r="I6">
            <v>18.610476282583321</v>
          </cell>
          <cell r="J6">
            <v>0.29552612143450463</v>
          </cell>
          <cell r="K6">
            <v>0.25646724118915776</v>
          </cell>
        </row>
        <row r="7">
          <cell r="C7" t="str">
            <v>0F19</v>
          </cell>
          <cell r="D7">
            <v>91536.59</v>
          </cell>
          <cell r="E7">
            <v>103349.05129708852</v>
          </cell>
          <cell r="F7">
            <v>3815</v>
          </cell>
          <cell r="G7">
            <v>3858.4519999999998</v>
          </cell>
          <cell r="H7">
            <v>23.99386369593709</v>
          </cell>
          <cell r="I7">
            <v>26.785107420563616</v>
          </cell>
          <cell r="J7">
            <v>0.12904633324322567</v>
          </cell>
          <cell r="K7">
            <v>0.11633156543683998</v>
          </cell>
        </row>
        <row r="8">
          <cell r="C8" t="str">
            <v>3V86</v>
          </cell>
          <cell r="D8">
            <v>124607.34</v>
          </cell>
          <cell r="E8">
            <v>132481.60000000001</v>
          </cell>
          <cell r="F8">
            <v>42019</v>
          </cell>
          <cell r="G8">
            <v>43739</v>
          </cell>
          <cell r="H8">
            <v>2.9654998929055902</v>
          </cell>
          <cell r="I8">
            <v>3.0289124122636544</v>
          </cell>
          <cell r="J8">
            <v>6.3192585605310159E-2</v>
          </cell>
          <cell r="K8">
            <v>2.1383416505853514E-2</v>
          </cell>
        </row>
        <row r="9">
          <cell r="C9" t="str">
            <v>7L25</v>
          </cell>
          <cell r="D9">
            <v>0</v>
          </cell>
          <cell r="E9">
            <v>0</v>
          </cell>
          <cell r="F9">
            <v>0</v>
          </cell>
          <cell r="G9">
            <v>0</v>
          </cell>
          <cell r="H9">
            <v>0</v>
          </cell>
          <cell r="I9">
            <v>0</v>
          </cell>
          <cell r="J9">
            <v>0</v>
          </cell>
          <cell r="K9">
            <v>0</v>
          </cell>
        </row>
        <row r="10">
          <cell r="C10" t="str">
            <v>R12A</v>
          </cell>
          <cell r="D10">
            <v>0</v>
          </cell>
          <cell r="E10">
            <v>0</v>
          </cell>
          <cell r="F10">
            <v>85882</v>
          </cell>
          <cell r="G10">
            <v>88070.383999999991</v>
          </cell>
          <cell r="H10">
            <v>0</v>
          </cell>
          <cell r="I10">
            <v>0</v>
          </cell>
          <cell r="J10">
            <v>0</v>
          </cell>
          <cell r="K10">
            <v>0</v>
          </cell>
        </row>
        <row r="11">
          <cell r="C11" t="str">
            <v>R12B</v>
          </cell>
          <cell r="D11">
            <v>0</v>
          </cell>
          <cell r="E11">
            <v>0</v>
          </cell>
          <cell r="F11">
            <v>53996</v>
          </cell>
          <cell r="G11">
            <v>54492.791999999987</v>
          </cell>
          <cell r="H11">
            <v>0</v>
          </cell>
          <cell r="I11">
            <v>0</v>
          </cell>
          <cell r="J11">
            <v>0</v>
          </cell>
          <cell r="K11">
            <v>0</v>
          </cell>
        </row>
        <row r="12">
          <cell r="C12" t="str">
            <v>TD96</v>
          </cell>
          <cell r="D12">
            <v>295837.8</v>
          </cell>
          <cell r="E12">
            <v>372868.37</v>
          </cell>
          <cell r="F12">
            <v>34071</v>
          </cell>
          <cell r="G12">
            <v>34185</v>
          </cell>
          <cell r="H12">
            <v>8.6829796601215108</v>
          </cell>
          <cell r="I12">
            <v>10.907367851396812</v>
          </cell>
          <cell r="J12">
            <v>0.26038109396432785</v>
          </cell>
          <cell r="K12">
            <v>0.25617798018015536</v>
          </cell>
        </row>
        <row r="13">
          <cell r="C13" t="str">
            <v>7J62</v>
          </cell>
          <cell r="D13">
            <v>7315.9</v>
          </cell>
          <cell r="E13">
            <v>8881.65</v>
          </cell>
          <cell r="F13">
            <v>807</v>
          </cell>
          <cell r="G13">
            <v>880</v>
          </cell>
          <cell r="H13">
            <v>9.0655514250309785</v>
          </cell>
          <cell r="I13">
            <v>10.092784090909092</v>
          </cell>
          <cell r="J13">
            <v>0.21402014789704649</v>
          </cell>
          <cell r="K13">
            <v>0.11331165835558688</v>
          </cell>
        </row>
        <row r="14">
          <cell r="C14" t="str">
            <v>4N01</v>
          </cell>
          <cell r="D14">
            <v>45894.7</v>
          </cell>
          <cell r="E14">
            <v>57818.666499999992</v>
          </cell>
          <cell r="F14">
            <v>7394</v>
          </cell>
          <cell r="G14">
            <v>7738.152</v>
          </cell>
          <cell r="H14">
            <v>6.2070192047606172</v>
          </cell>
          <cell r="I14">
            <v>7.4718959384617918</v>
          </cell>
          <cell r="J14">
            <v>0.25981140523851298</v>
          </cell>
          <cell r="K14">
            <v>0.20378166910310958</v>
          </cell>
        </row>
        <row r="15">
          <cell r="C15" t="str">
            <v>7J67</v>
          </cell>
          <cell r="D15">
            <v>2964.44</v>
          </cell>
          <cell r="E15">
            <v>17536.798200000005</v>
          </cell>
          <cell r="F15">
            <v>469</v>
          </cell>
          <cell r="G15">
            <v>3139.2880000000005</v>
          </cell>
          <cell r="H15">
            <v>6.3207675906183374</v>
          </cell>
          <cell r="I15">
            <v>5.586234267133185</v>
          </cell>
          <cell r="J15">
            <v>4.9157204058776713</v>
          </cell>
          <cell r="K15">
            <v>-0.11620951299892612</v>
          </cell>
        </row>
        <row r="16">
          <cell r="C16" t="str">
            <v>7J53</v>
          </cell>
          <cell r="D16">
            <v>0</v>
          </cell>
          <cell r="E16">
            <v>0</v>
          </cell>
          <cell r="F16">
            <v>61554</v>
          </cell>
          <cell r="G16">
            <v>60256.083999999995</v>
          </cell>
          <cell r="H16">
            <v>0</v>
          </cell>
          <cell r="I16">
            <v>0</v>
          </cell>
          <cell r="J16">
            <v>0</v>
          </cell>
          <cell r="K16">
            <v>0</v>
          </cell>
        </row>
        <row r="17">
          <cell r="C17" t="str">
            <v>NP50</v>
          </cell>
          <cell r="D17">
            <v>0</v>
          </cell>
          <cell r="E17">
            <v>0</v>
          </cell>
          <cell r="F17">
            <v>0</v>
          </cell>
          <cell r="G17">
            <v>0</v>
          </cell>
          <cell r="H17">
            <v>0</v>
          </cell>
          <cell r="I17">
            <v>0</v>
          </cell>
          <cell r="J17">
            <v>0</v>
          </cell>
          <cell r="K17">
            <v>0</v>
          </cell>
        </row>
        <row r="18">
          <cell r="C18" t="str">
            <v>U926</v>
          </cell>
          <cell r="D18">
            <v>143002.22</v>
          </cell>
          <cell r="E18">
            <v>179878.46</v>
          </cell>
          <cell r="F18">
            <v>7144</v>
          </cell>
          <cell r="G18">
            <v>7174</v>
          </cell>
          <cell r="H18">
            <v>20.017108062709966</v>
          </cell>
          <cell r="I18">
            <v>25.073663228324499</v>
          </cell>
          <cell r="J18">
            <v>0.25787180087134276</v>
          </cell>
          <cell r="K18">
            <v>0.2526116734631827</v>
          </cell>
        </row>
        <row r="19">
          <cell r="C19" t="str">
            <v>4N00</v>
          </cell>
          <cell r="D19">
            <v>44941.98</v>
          </cell>
          <cell r="E19">
            <v>63743.994000000013</v>
          </cell>
          <cell r="F19">
            <v>6618</v>
          </cell>
          <cell r="G19">
            <v>7463.496000000001</v>
          </cell>
          <cell r="H19">
            <v>6.7908703535811439</v>
          </cell>
          <cell r="I19">
            <v>8.5407688300496183</v>
          </cell>
          <cell r="J19">
            <v>0.41836194132968774</v>
          </cell>
          <cell r="K19">
            <v>0.25768397647963792</v>
          </cell>
        </row>
        <row r="20">
          <cell r="C20" t="str">
            <v>TM30</v>
          </cell>
          <cell r="D20">
            <v>0</v>
          </cell>
          <cell r="E20">
            <v>0</v>
          </cell>
          <cell r="F20">
            <v>0</v>
          </cell>
          <cell r="G20">
            <v>0</v>
          </cell>
          <cell r="H20">
            <v>0</v>
          </cell>
          <cell r="I20">
            <v>0</v>
          </cell>
          <cell r="J20">
            <v>0</v>
          </cell>
          <cell r="K20">
            <v>0</v>
          </cell>
        </row>
        <row r="21">
          <cell r="C21" t="str">
            <v>4N02</v>
          </cell>
          <cell r="D21">
            <v>65694.42</v>
          </cell>
          <cell r="E21">
            <v>97188.934200000003</v>
          </cell>
          <cell r="F21">
            <v>20857</v>
          </cell>
          <cell r="G21">
            <v>21346.367999999995</v>
          </cell>
          <cell r="H21">
            <v>3.1497540394112296</v>
          </cell>
          <cell r="I21">
            <v>4.5529494385180671</v>
          </cell>
          <cell r="J21">
            <v>0.47940927402966627</v>
          </cell>
          <cell r="K21">
            <v>0.44549364221757815</v>
          </cell>
        </row>
        <row r="22">
          <cell r="C22" t="str">
            <v>1A20</v>
          </cell>
          <cell r="D22">
            <v>0</v>
          </cell>
          <cell r="E22">
            <v>0</v>
          </cell>
          <cell r="F22">
            <v>76382</v>
          </cell>
          <cell r="G22">
            <v>83035.09599999999</v>
          </cell>
          <cell r="H22">
            <v>0</v>
          </cell>
          <cell r="I22">
            <v>0</v>
          </cell>
          <cell r="J22">
            <v>0</v>
          </cell>
          <cell r="K22">
            <v>0</v>
          </cell>
        </row>
        <row r="23">
          <cell r="C23" t="str">
            <v>NJ52</v>
          </cell>
          <cell r="D23">
            <v>132729.60000000001</v>
          </cell>
          <cell r="E23">
            <v>181342.8</v>
          </cell>
          <cell r="F23">
            <v>26741</v>
          </cell>
          <cell r="G23">
            <v>29349</v>
          </cell>
          <cell r="H23">
            <v>4.9635241763584013</v>
          </cell>
          <cell r="I23">
            <v>6.1788408463661471</v>
          </cell>
          <cell r="J23">
            <v>0.36625741356863917</v>
          </cell>
          <cell r="K23">
            <v>0.2448495518156999</v>
          </cell>
        </row>
        <row r="24">
          <cell r="C24" t="str">
            <v>7S72</v>
          </cell>
          <cell r="D24">
            <v>0</v>
          </cell>
          <cell r="E24">
            <v>0</v>
          </cell>
          <cell r="F24">
            <v>1142</v>
          </cell>
          <cell r="G24">
            <v>1079.4079999999999</v>
          </cell>
          <cell r="H24">
            <v>0</v>
          </cell>
          <cell r="I24">
            <v>0</v>
          </cell>
          <cell r="J24">
            <v>0</v>
          </cell>
          <cell r="K24">
            <v>0</v>
          </cell>
        </row>
        <row r="25">
          <cell r="C25" t="str">
            <v>R189</v>
          </cell>
          <cell r="D25">
            <v>152389.09</v>
          </cell>
          <cell r="E25">
            <v>166607.87</v>
          </cell>
          <cell r="F25">
            <v>32213</v>
          </cell>
          <cell r="G25">
            <v>31602</v>
          </cell>
          <cell r="H25">
            <v>4.7306705367398258</v>
          </cell>
          <cell r="I25">
            <v>5.2720672742231507</v>
          </cell>
          <cell r="J25">
            <v>9.3305760930785686E-2</v>
          </cell>
          <cell r="K25">
            <v>0.11444397433274478</v>
          </cell>
        </row>
        <row r="26">
          <cell r="C26" t="str">
            <v>7J01</v>
          </cell>
          <cell r="D26">
            <v>0</v>
          </cell>
          <cell r="E26">
            <v>0</v>
          </cell>
          <cell r="F26">
            <v>0</v>
          </cell>
          <cell r="G26">
            <v>0</v>
          </cell>
          <cell r="H26">
            <v>0</v>
          </cell>
          <cell r="I26">
            <v>0</v>
          </cell>
          <cell r="J26">
            <v>0</v>
          </cell>
          <cell r="K26">
            <v>0</v>
          </cell>
        </row>
        <row r="27">
          <cell r="C27" t="str">
            <v>XM70</v>
          </cell>
          <cell r="D27">
            <v>218087.82</v>
          </cell>
          <cell r="E27">
            <v>331935.98899999994</v>
          </cell>
          <cell r="F27">
            <v>29405</v>
          </cell>
          <cell r="G27">
            <v>32711.26400000001</v>
          </cell>
          <cell r="H27">
            <v>7.4166917190953923</v>
          </cell>
          <cell r="I27">
            <v>10.147452235413461</v>
          </cell>
          <cell r="J27">
            <v>0.52202901106535848</v>
          </cell>
          <cell r="K27">
            <v>0.36819118546983876</v>
          </cell>
        </row>
        <row r="28">
          <cell r="C28" t="str">
            <v>MR63</v>
          </cell>
          <cell r="D28">
            <v>0</v>
          </cell>
          <cell r="E28">
            <v>0</v>
          </cell>
          <cell r="F28">
            <v>16</v>
          </cell>
          <cell r="G28">
            <v>0</v>
          </cell>
          <cell r="H28">
            <v>0</v>
          </cell>
          <cell r="I28">
            <v>0</v>
          </cell>
          <cell r="J28">
            <v>0</v>
          </cell>
          <cell r="K28">
            <v>0</v>
          </cell>
        </row>
        <row r="29">
          <cell r="C29" t="str">
            <v>7B75</v>
          </cell>
          <cell r="D29">
            <v>14050.86</v>
          </cell>
          <cell r="E29">
            <v>17581.84</v>
          </cell>
          <cell r="F29">
            <v>1096</v>
          </cell>
          <cell r="G29">
            <v>1245</v>
          </cell>
          <cell r="H29">
            <v>12.820127737226274</v>
          </cell>
          <cell r="I29">
            <v>14.12195983935743</v>
          </cell>
          <cell r="J29">
            <v>0.25129992043191685</v>
          </cell>
          <cell r="K29">
            <v>0.10154595405090849</v>
          </cell>
        </row>
        <row r="30">
          <cell r="C30" t="str">
            <v>R802</v>
          </cell>
          <cell r="D30">
            <v>139463.31</v>
          </cell>
          <cell r="E30">
            <v>180242.64</v>
          </cell>
          <cell r="F30">
            <v>14252</v>
          </cell>
          <cell r="G30">
            <v>15943</v>
          </cell>
          <cell r="H30">
            <v>9.7855255402750512</v>
          </cell>
          <cell r="I30">
            <v>11.305440632252401</v>
          </cell>
          <cell r="J30">
            <v>0.29240185106749572</v>
          </cell>
          <cell r="K30">
            <v>0.15532278626443885</v>
          </cell>
        </row>
        <row r="31">
          <cell r="C31" t="str">
            <v>R446</v>
          </cell>
          <cell r="D31">
            <v>39968.65</v>
          </cell>
          <cell r="E31">
            <v>59868.44</v>
          </cell>
          <cell r="F31">
            <v>5385</v>
          </cell>
          <cell r="G31">
            <v>5210</v>
          </cell>
          <cell r="H31">
            <v>7.4222191272051985</v>
          </cell>
          <cell r="I31">
            <v>11.491063339731289</v>
          </cell>
          <cell r="J31">
            <v>0.49788496734315579</v>
          </cell>
          <cell r="K31">
            <v>0.54819780213875124</v>
          </cell>
        </row>
        <row r="32">
          <cell r="C32" t="str">
            <v>R304</v>
          </cell>
          <cell r="D32">
            <v>0</v>
          </cell>
          <cell r="E32">
            <v>0</v>
          </cell>
          <cell r="F32">
            <v>0</v>
          </cell>
          <cell r="G32">
            <v>0</v>
          </cell>
          <cell r="H32">
            <v>0</v>
          </cell>
          <cell r="I32">
            <v>0</v>
          </cell>
          <cell r="J32">
            <v>0</v>
          </cell>
          <cell r="K32">
            <v>0</v>
          </cell>
        </row>
        <row r="33">
          <cell r="C33" t="str">
            <v>F49N</v>
          </cell>
          <cell r="D33">
            <v>0</v>
          </cell>
          <cell r="E33">
            <v>0</v>
          </cell>
          <cell r="F33">
            <v>198988</v>
          </cell>
          <cell r="G33">
            <v>200807</v>
          </cell>
          <cell r="H33">
            <v>0</v>
          </cell>
          <cell r="I33">
            <v>0</v>
          </cell>
          <cell r="J33">
            <v>0</v>
          </cell>
          <cell r="K33">
            <v>0</v>
          </cell>
        </row>
        <row r="34">
          <cell r="C34" t="str">
            <v>F70N</v>
          </cell>
          <cell r="D34">
            <v>0</v>
          </cell>
          <cell r="E34">
            <v>0</v>
          </cell>
          <cell r="F34">
            <v>227356</v>
          </cell>
          <cell r="G34">
            <v>245788</v>
          </cell>
          <cell r="H34">
            <v>0</v>
          </cell>
          <cell r="I34">
            <v>0</v>
          </cell>
          <cell r="J34">
            <v>0</v>
          </cell>
          <cell r="K34">
            <v>0</v>
          </cell>
        </row>
        <row r="35">
          <cell r="C35" t="str">
            <v>R131</v>
          </cell>
          <cell r="D35">
            <v>0</v>
          </cell>
          <cell r="E35">
            <v>0</v>
          </cell>
          <cell r="F35">
            <v>0</v>
          </cell>
          <cell r="G35">
            <v>0</v>
          </cell>
          <cell r="H35">
            <v>0</v>
          </cell>
          <cell r="I35">
            <v>0</v>
          </cell>
          <cell r="J35">
            <v>0</v>
          </cell>
          <cell r="K35">
            <v>0</v>
          </cell>
        </row>
        <row r="36">
          <cell r="C36" t="str">
            <v>7J09</v>
          </cell>
          <cell r="D36">
            <v>0</v>
          </cell>
          <cell r="E36">
            <v>0</v>
          </cell>
          <cell r="F36">
            <v>0</v>
          </cell>
          <cell r="G36">
            <v>0</v>
          </cell>
          <cell r="H36">
            <v>0</v>
          </cell>
          <cell r="I36">
            <v>0</v>
          </cell>
          <cell r="J36">
            <v>0</v>
          </cell>
          <cell r="K36">
            <v>0</v>
          </cell>
        </row>
        <row r="37">
          <cell r="C37" t="str">
            <v>NJ54</v>
          </cell>
          <cell r="D37">
            <v>249054.26</v>
          </cell>
          <cell r="E37">
            <v>345908.73</v>
          </cell>
          <cell r="F37">
            <v>19075</v>
          </cell>
          <cell r="G37">
            <v>18860</v>
          </cell>
          <cell r="H37">
            <v>13.056579816513764</v>
          </cell>
          <cell r="I37">
            <v>18.340865853658535</v>
          </cell>
          <cell r="J37">
            <v>0.38888903165117483</v>
          </cell>
          <cell r="K37">
            <v>0.40472207204380473</v>
          </cell>
        </row>
        <row r="38">
          <cell r="C38" t="str">
            <v>UV60</v>
          </cell>
          <cell r="D38">
            <v>0</v>
          </cell>
          <cell r="E38">
            <v>0</v>
          </cell>
          <cell r="F38">
            <v>373595</v>
          </cell>
          <cell r="G38">
            <v>371882</v>
          </cell>
          <cell r="H38">
            <v>0</v>
          </cell>
          <cell r="I38">
            <v>0</v>
          </cell>
          <cell r="J38">
            <v>0</v>
          </cell>
          <cell r="K38">
            <v>0</v>
          </cell>
        </row>
        <row r="39">
          <cell r="C39" t="str">
            <v>R182</v>
          </cell>
          <cell r="D39">
            <v>217746.54</v>
          </cell>
          <cell r="E39">
            <v>308724.53000000003</v>
          </cell>
          <cell r="F39">
            <v>54934</v>
          </cell>
          <cell r="G39">
            <v>51087</v>
          </cell>
          <cell r="H39">
            <v>3.9637845414497392</v>
          </cell>
          <cell r="I39">
            <v>6.0431133164993058</v>
          </cell>
          <cell r="J39">
            <v>0.41781600754712356</v>
          </cell>
          <cell r="K39">
            <v>0.52458168533274008</v>
          </cell>
        </row>
        <row r="40">
          <cell r="C40" t="str">
            <v>3D00</v>
          </cell>
          <cell r="D40">
            <v>164943.25</v>
          </cell>
          <cell r="E40">
            <v>240256.41</v>
          </cell>
          <cell r="F40">
            <v>49004</v>
          </cell>
          <cell r="G40">
            <v>49868</v>
          </cell>
          <cell r="H40">
            <v>3.365914007019835</v>
          </cell>
          <cell r="I40">
            <v>4.8178473169166587</v>
          </cell>
          <cell r="J40">
            <v>0.45660043681690499</v>
          </cell>
          <cell r="K40">
            <v>0.43136375643249392</v>
          </cell>
        </row>
        <row r="41">
          <cell r="C41" t="str">
            <v>0094</v>
          </cell>
          <cell r="D41">
            <v>0</v>
          </cell>
          <cell r="E41">
            <v>0</v>
          </cell>
          <cell r="F41">
            <v>0</v>
          </cell>
          <cell r="G41">
            <v>0</v>
          </cell>
          <cell r="H41">
            <v>0</v>
          </cell>
          <cell r="I41">
            <v>0</v>
          </cell>
          <cell r="J41">
            <v>0</v>
          </cell>
          <cell r="K41">
            <v>0</v>
          </cell>
        </row>
        <row r="42">
          <cell r="C42" t="str">
            <v>07TB</v>
          </cell>
          <cell r="D42">
            <v>0</v>
          </cell>
          <cell r="E42">
            <v>0</v>
          </cell>
          <cell r="F42">
            <v>0</v>
          </cell>
          <cell r="G42">
            <v>25029</v>
          </cell>
          <cell r="H42">
            <v>0</v>
          </cell>
          <cell r="I42">
            <v>0</v>
          </cell>
          <cell r="J42">
            <v>0</v>
          </cell>
          <cell r="K42">
            <v>0</v>
          </cell>
        </row>
        <row r="43">
          <cell r="C43" t="str">
            <v>7J55</v>
          </cell>
          <cell r="D43">
            <v>13335.25</v>
          </cell>
          <cell r="E43">
            <v>31718.83</v>
          </cell>
          <cell r="F43">
            <v>3068</v>
          </cell>
          <cell r="G43">
            <v>6234.152</v>
          </cell>
          <cell r="H43">
            <v>4.3465612777053453</v>
          </cell>
          <cell r="I43">
            <v>5.0879141220810791</v>
          </cell>
          <cell r="J43">
            <v>1.3785703305149886</v>
          </cell>
          <cell r="K43">
            <v>0.17056077137997039</v>
          </cell>
        </row>
        <row r="44">
          <cell r="C44" t="str">
            <v>C414</v>
          </cell>
          <cell r="D44">
            <v>296282.17</v>
          </cell>
          <cell r="E44">
            <v>242363.70845000001</v>
          </cell>
          <cell r="F44">
            <v>24556</v>
          </cell>
          <cell r="G44">
            <v>25337.78</v>
          </cell>
          <cell r="H44">
            <v>12.065571347124939</v>
          </cell>
          <cell r="I44">
            <v>9.5653095279065461</v>
          </cell>
          <cell r="J44">
            <v>-0.18198348402133002</v>
          </cell>
          <cell r="K44">
            <v>-0.20722282826781935</v>
          </cell>
        </row>
        <row r="45">
          <cell r="C45" t="str">
            <v>4N03</v>
          </cell>
          <cell r="D45">
            <v>0</v>
          </cell>
          <cell r="E45">
            <v>0</v>
          </cell>
          <cell r="F45">
            <v>0</v>
          </cell>
          <cell r="G45">
            <v>0</v>
          </cell>
          <cell r="H45">
            <v>0</v>
          </cell>
          <cell r="I45">
            <v>0</v>
          </cell>
          <cell r="J45">
            <v>0</v>
          </cell>
          <cell r="K45">
            <v>0</v>
          </cell>
        </row>
        <row r="46">
          <cell r="C46" t="str">
            <v>UH77</v>
          </cell>
          <cell r="D46">
            <v>449750.16</v>
          </cell>
          <cell r="E46">
            <v>507824.7</v>
          </cell>
          <cell r="F46">
            <v>144729</v>
          </cell>
          <cell r="G46">
            <v>144086</v>
          </cell>
          <cell r="H46">
            <v>3.1075331136123379</v>
          </cell>
          <cell r="I46">
            <v>3.5244555335008267</v>
          </cell>
          <cell r="J46">
            <v>0.12912622421301667</v>
          </cell>
          <cell r="K46">
            <v>0.1341650771353613</v>
          </cell>
        </row>
        <row r="47">
          <cell r="C47" t="str">
            <v>PK60</v>
          </cell>
          <cell r="D47">
            <v>117596.49</v>
          </cell>
          <cell r="E47">
            <v>147536.69</v>
          </cell>
          <cell r="F47">
            <v>13275</v>
          </cell>
          <cell r="G47">
            <v>16173</v>
          </cell>
          <cell r="H47">
            <v>8.8584926553672307</v>
          </cell>
          <cell r="I47">
            <v>9.1224070982501715</v>
          </cell>
          <cell r="J47">
            <v>0.25460113647949911</v>
          </cell>
          <cell r="K47">
            <v>2.9792251701313832E-2</v>
          </cell>
        </row>
        <row r="48">
          <cell r="C48" t="str">
            <v>R348</v>
          </cell>
          <cell r="D48">
            <v>151532.24</v>
          </cell>
          <cell r="E48">
            <v>195636.91</v>
          </cell>
          <cell r="F48">
            <v>35701</v>
          </cell>
          <cell r="G48">
            <v>34897</v>
          </cell>
          <cell r="H48">
            <v>4.2444816671801915</v>
          </cell>
          <cell r="I48">
            <v>5.6061240221222475</v>
          </cell>
          <cell r="J48">
            <v>0.29105799531505672</v>
          </cell>
          <cell r="K48">
            <v>0.32080297706802408</v>
          </cell>
        </row>
        <row r="49">
          <cell r="C49" t="str">
            <v>6776</v>
          </cell>
          <cell r="D49">
            <v>50309.8</v>
          </cell>
          <cell r="E49">
            <v>58767.77392</v>
          </cell>
          <cell r="F49">
            <v>17878</v>
          </cell>
          <cell r="G49">
            <v>17695.02</v>
          </cell>
          <cell r="H49">
            <v>2.8140619756124843</v>
          </cell>
          <cell r="I49">
            <v>3.3211476404095621</v>
          </cell>
          <cell r="J49">
            <v>0.1681178203848952</v>
          </cell>
          <cell r="K49">
            <v>0.18019704938684233</v>
          </cell>
        </row>
        <row r="50">
          <cell r="C50" t="str">
            <v>R467</v>
          </cell>
          <cell r="D50">
            <v>0</v>
          </cell>
          <cell r="E50">
            <v>0</v>
          </cell>
          <cell r="F50">
            <v>27671</v>
          </cell>
          <cell r="G50">
            <v>28087</v>
          </cell>
          <cell r="H50">
            <v>0</v>
          </cell>
          <cell r="I50">
            <v>0</v>
          </cell>
          <cell r="J50">
            <v>0</v>
          </cell>
          <cell r="K50">
            <v>0</v>
          </cell>
        </row>
        <row r="51">
          <cell r="C51" t="str">
            <v>7S45</v>
          </cell>
          <cell r="D51">
            <v>0</v>
          </cell>
          <cell r="E51">
            <v>0</v>
          </cell>
          <cell r="F51">
            <v>9833</v>
          </cell>
          <cell r="G51">
            <v>788</v>
          </cell>
          <cell r="H51">
            <v>0</v>
          </cell>
          <cell r="I51">
            <v>0</v>
          </cell>
          <cell r="J51">
            <v>0</v>
          </cell>
          <cell r="K51">
            <v>0</v>
          </cell>
        </row>
        <row r="52">
          <cell r="C52" t="str">
            <v>7J07</v>
          </cell>
          <cell r="D52">
            <v>11693.2</v>
          </cell>
          <cell r="E52">
            <v>13939.2</v>
          </cell>
          <cell r="F52">
            <v>9991</v>
          </cell>
          <cell r="G52">
            <v>9631</v>
          </cell>
          <cell r="H52">
            <v>1.1703733360024022</v>
          </cell>
          <cell r="I52">
            <v>1.4473263420205589</v>
          </cell>
          <cell r="J52">
            <v>0.19207744672117144</v>
          </cell>
          <cell r="K52">
            <v>0.23663646248481185</v>
          </cell>
        </row>
        <row r="53">
          <cell r="C53" t="str">
            <v>R153</v>
          </cell>
          <cell r="D53">
            <v>9287.33</v>
          </cell>
          <cell r="E53">
            <v>0</v>
          </cell>
          <cell r="F53">
            <v>3059</v>
          </cell>
          <cell r="G53">
            <v>0</v>
          </cell>
          <cell r="H53">
            <v>3.0360673422687152</v>
          </cell>
          <cell r="I53">
            <v>0</v>
          </cell>
          <cell r="J53">
            <v>-1</v>
          </cell>
          <cell r="K53">
            <v>-1</v>
          </cell>
        </row>
        <row r="54">
          <cell r="C54" t="str">
            <v>7J56</v>
          </cell>
          <cell r="D54">
            <v>30119.02</v>
          </cell>
          <cell r="E54">
            <v>47570.395500000013</v>
          </cell>
          <cell r="F54">
            <v>2126</v>
          </cell>
          <cell r="G54">
            <v>2413.3279999999995</v>
          </cell>
          <cell r="H54">
            <v>14.166989651928503</v>
          </cell>
          <cell r="I54">
            <v>19.711533409466107</v>
          </cell>
          <cell r="J54">
            <v>0.57941378902766494</v>
          </cell>
          <cell r="K54">
            <v>0.39137063651224202</v>
          </cell>
        </row>
        <row r="55">
          <cell r="C55" t="str">
            <v>PP28</v>
          </cell>
          <cell r="D55">
            <v>162395.14000000001</v>
          </cell>
          <cell r="E55">
            <v>248749.29</v>
          </cell>
          <cell r="F55">
            <v>31111</v>
          </cell>
          <cell r="G55">
            <v>31716</v>
          </cell>
          <cell r="H55">
            <v>5.2198624280801011</v>
          </cell>
          <cell r="I55">
            <v>7.8430221339387041</v>
          </cell>
          <cell r="J55">
            <v>0.53175329015387973</v>
          </cell>
          <cell r="K55">
            <v>0.50253426062483753</v>
          </cell>
        </row>
        <row r="56">
          <cell r="C56" t="str">
            <v>0Y08</v>
          </cell>
          <cell r="D56">
            <v>428032.61</v>
          </cell>
          <cell r="E56">
            <v>664524.93000000005</v>
          </cell>
          <cell r="F56">
            <v>129617</v>
          </cell>
          <cell r="G56">
            <v>132825</v>
          </cell>
          <cell r="H56">
            <v>3.3022875857333531</v>
          </cell>
          <cell r="I56">
            <v>5.0030109542631278</v>
          </cell>
          <cell r="J56">
            <v>0.55251005291395883</v>
          </cell>
          <cell r="K56">
            <v>0.51501370621907472</v>
          </cell>
        </row>
        <row r="57">
          <cell r="C57" t="str">
            <v>7J29</v>
          </cell>
          <cell r="D57">
            <v>382578.97</v>
          </cell>
          <cell r="E57">
            <v>365508.01</v>
          </cell>
          <cell r="F57">
            <v>20517</v>
          </cell>
          <cell r="G57">
            <v>21775</v>
          </cell>
          <cell r="H57">
            <v>18.646925476434177</v>
          </cell>
          <cell r="I57">
            <v>16.785672101033299</v>
          </cell>
          <cell r="J57">
            <v>-4.4620748495401985E-2</v>
          </cell>
          <cell r="K57">
            <v>-9.9815563576586053E-2</v>
          </cell>
        </row>
        <row r="58">
          <cell r="C58" t="str">
            <v>7J66</v>
          </cell>
          <cell r="D58">
            <v>117391.12</v>
          </cell>
          <cell r="E58">
            <v>268394.12320000003</v>
          </cell>
          <cell r="F58">
            <v>23642</v>
          </cell>
          <cell r="G58">
            <v>48175.351999999999</v>
          </cell>
          <cell r="H58">
            <v>4.965363336435157</v>
          </cell>
          <cell r="I58">
            <v>5.5711917413701517</v>
          </cell>
          <cell r="J58">
            <v>1.2863238991160495</v>
          </cell>
          <cell r="K58">
            <v>0.12201089102372609</v>
          </cell>
        </row>
        <row r="59">
          <cell r="C59" t="str">
            <v>UU61</v>
          </cell>
          <cell r="D59">
            <v>322727.61</v>
          </cell>
          <cell r="E59">
            <v>519794.86</v>
          </cell>
          <cell r="F59">
            <v>30219</v>
          </cell>
          <cell r="G59">
            <v>31032</v>
          </cell>
          <cell r="H59">
            <v>10.679625732155268</v>
          </cell>
          <cell r="I59">
            <v>16.750285511729832</v>
          </cell>
          <cell r="J59">
            <v>0.61063027734131592</v>
          </cell>
          <cell r="K59">
            <v>0.56843375712094701</v>
          </cell>
        </row>
        <row r="60">
          <cell r="C60" t="str">
            <v>PK55</v>
          </cell>
          <cell r="D60">
            <v>0</v>
          </cell>
          <cell r="E60">
            <v>0</v>
          </cell>
          <cell r="F60">
            <v>26073</v>
          </cell>
          <cell r="G60">
            <v>0</v>
          </cell>
          <cell r="H60">
            <v>0</v>
          </cell>
          <cell r="I60">
            <v>0</v>
          </cell>
          <cell r="J60">
            <v>0</v>
          </cell>
          <cell r="K60">
            <v>0</v>
          </cell>
        </row>
        <row r="61">
          <cell r="C61" t="str">
            <v>PG50</v>
          </cell>
          <cell r="D61">
            <v>178407.21</v>
          </cell>
          <cell r="E61">
            <v>164390.51999999999</v>
          </cell>
          <cell r="F61">
            <v>188024</v>
          </cell>
          <cell r="G61">
            <v>199315</v>
          </cell>
          <cell r="H61">
            <v>0.94885339105646094</v>
          </cell>
          <cell r="I61">
            <v>0.82477746281012487</v>
          </cell>
          <cell r="J61">
            <v>-7.8565714917014695E-2</v>
          </cell>
          <cell r="K61">
            <v>-0.1307640668366995</v>
          </cell>
        </row>
        <row r="62">
          <cell r="C62" t="str">
            <v>PG52</v>
          </cell>
          <cell r="D62">
            <v>853515.92</v>
          </cell>
          <cell r="E62">
            <v>1109842.96</v>
          </cell>
          <cell r="F62">
            <v>0</v>
          </cell>
          <cell r="G62">
            <v>0</v>
          </cell>
          <cell r="H62">
            <v>0</v>
          </cell>
          <cell r="I62">
            <v>0</v>
          </cell>
          <cell r="J62">
            <v>0.30031899112086902</v>
          </cell>
          <cell r="K62">
            <v>0</v>
          </cell>
        </row>
        <row r="63">
          <cell r="C63" t="str">
            <v>PP20</v>
          </cell>
          <cell r="D63">
            <v>0</v>
          </cell>
          <cell r="E63">
            <v>0</v>
          </cell>
          <cell r="F63">
            <v>231824</v>
          </cell>
          <cell r="G63">
            <v>36620</v>
          </cell>
          <cell r="H63">
            <v>0</v>
          </cell>
          <cell r="I63">
            <v>0</v>
          </cell>
          <cell r="J63">
            <v>0</v>
          </cell>
          <cell r="K63">
            <v>0</v>
          </cell>
        </row>
        <row r="64">
          <cell r="C64" t="str">
            <v>0F15</v>
          </cell>
          <cell r="D64">
            <v>-213.59</v>
          </cell>
          <cell r="E64">
            <v>0</v>
          </cell>
          <cell r="F64">
            <v>0</v>
          </cell>
          <cell r="G64">
            <v>0</v>
          </cell>
          <cell r="H64">
            <v>0</v>
          </cell>
          <cell r="I64">
            <v>0</v>
          </cell>
          <cell r="J64">
            <v>-1</v>
          </cell>
          <cell r="K64">
            <v>0</v>
          </cell>
        </row>
        <row r="65">
          <cell r="C65" t="str">
            <v>R138</v>
          </cell>
          <cell r="D65">
            <v>116032.23</v>
          </cell>
          <cell r="E65">
            <v>130278.75</v>
          </cell>
          <cell r="F65">
            <v>24150</v>
          </cell>
          <cell r="G65">
            <v>21793</v>
          </cell>
          <cell r="H65">
            <v>4.8046472049689442</v>
          </cell>
          <cell r="I65">
            <v>5.9780089937135781</v>
          </cell>
          <cell r="J65">
            <v>0.12278071360000586</v>
          </cell>
          <cell r="K65">
            <v>0.24421393261323088</v>
          </cell>
        </row>
        <row r="66">
          <cell r="C66" t="str">
            <v>R390</v>
          </cell>
          <cell r="D66">
            <v>120721.53</v>
          </cell>
          <cell r="E66">
            <v>290578.40000000002</v>
          </cell>
          <cell r="F66">
            <v>23246</v>
          </cell>
          <cell r="G66">
            <v>22692</v>
          </cell>
          <cell r="H66">
            <v>5.1932173277122944</v>
          </cell>
          <cell r="I66">
            <v>12.805323462013043</v>
          </cell>
          <cell r="J66">
            <v>1.407013893876262</v>
          </cell>
          <cell r="K66">
            <v>1.4657784671711434</v>
          </cell>
        </row>
        <row r="67">
          <cell r="C67" t="str">
            <v>P436</v>
          </cell>
          <cell r="D67">
            <v>0</v>
          </cell>
          <cell r="E67">
            <v>0</v>
          </cell>
          <cell r="F67">
            <v>0</v>
          </cell>
          <cell r="G67">
            <v>0</v>
          </cell>
          <cell r="H67">
            <v>0</v>
          </cell>
          <cell r="I67">
            <v>0</v>
          </cell>
          <cell r="J67">
            <v>0</v>
          </cell>
          <cell r="K67">
            <v>0</v>
          </cell>
        </row>
        <row r="68">
          <cell r="C68" t="str">
            <v>0F12</v>
          </cell>
          <cell r="D68">
            <v>0</v>
          </cell>
          <cell r="E68">
            <v>0</v>
          </cell>
          <cell r="F68">
            <v>32361</v>
          </cell>
          <cell r="G68">
            <v>32871.496000000006</v>
          </cell>
          <cell r="H68">
            <v>0</v>
          </cell>
          <cell r="I68">
            <v>0</v>
          </cell>
          <cell r="J68">
            <v>0</v>
          </cell>
          <cell r="K68">
            <v>0</v>
          </cell>
        </row>
        <row r="69">
          <cell r="C69" t="str">
            <v>3M14</v>
          </cell>
          <cell r="D69">
            <v>362963.16</v>
          </cell>
          <cell r="E69">
            <v>0</v>
          </cell>
          <cell r="F69">
            <v>28065</v>
          </cell>
          <cell r="G69">
            <v>2</v>
          </cell>
          <cell r="H69">
            <v>12.932947087119187</v>
          </cell>
          <cell r="I69">
            <v>0</v>
          </cell>
          <cell r="J69">
            <v>-1</v>
          </cell>
          <cell r="K69">
            <v>-1</v>
          </cell>
        </row>
        <row r="70">
          <cell r="C70" t="str">
            <v>NJ51</v>
          </cell>
          <cell r="D70">
            <v>295737.09999999998</v>
          </cell>
          <cell r="E70">
            <v>371374.35</v>
          </cell>
          <cell r="F70">
            <v>15212</v>
          </cell>
          <cell r="G70">
            <v>15683</v>
          </cell>
          <cell r="H70">
            <v>19.441039968445963</v>
          </cell>
          <cell r="I70">
            <v>23.680058024612638</v>
          </cell>
          <cell r="J70">
            <v>0.255758408397188</v>
          </cell>
          <cell r="K70">
            <v>0.218044819775427</v>
          </cell>
        </row>
        <row r="71">
          <cell r="C71" t="str">
            <v>0F27</v>
          </cell>
          <cell r="D71">
            <v>0</v>
          </cell>
          <cell r="E71">
            <v>0</v>
          </cell>
          <cell r="F71">
            <v>383034</v>
          </cell>
          <cell r="G71">
            <v>398538.22400000005</v>
          </cell>
          <cell r="H71">
            <v>0</v>
          </cell>
          <cell r="I71">
            <v>0</v>
          </cell>
          <cell r="J71">
            <v>0</v>
          </cell>
          <cell r="K71">
            <v>0</v>
          </cell>
        </row>
        <row r="72">
          <cell r="C72" t="str">
            <v>TD97</v>
          </cell>
          <cell r="D72">
            <v>107529.44</v>
          </cell>
          <cell r="E72">
            <v>22824.21</v>
          </cell>
          <cell r="F72">
            <v>10838</v>
          </cell>
          <cell r="G72">
            <v>5</v>
          </cell>
          <cell r="H72">
            <v>9.9215205757519804</v>
          </cell>
          <cell r="I72">
            <v>4564.8419999999996</v>
          </cell>
          <cell r="J72">
            <v>-0.78773989709236836</v>
          </cell>
          <cell r="K72">
            <v>459.09499906258242</v>
          </cell>
        </row>
        <row r="73">
          <cell r="C73" t="str">
            <v>NS45</v>
          </cell>
          <cell r="D73">
            <v>82804.210000000006</v>
          </cell>
          <cell r="E73">
            <v>0</v>
          </cell>
          <cell r="F73">
            <v>7660</v>
          </cell>
          <cell r="G73">
            <v>5334</v>
          </cell>
          <cell r="H73">
            <v>10.809949086161879</v>
          </cell>
          <cell r="I73">
            <v>0</v>
          </cell>
          <cell r="J73">
            <v>-1</v>
          </cell>
          <cell r="K73">
            <v>-1</v>
          </cell>
        </row>
        <row r="74">
          <cell r="C74" t="str">
            <v>QU92</v>
          </cell>
          <cell r="D74">
            <v>0</v>
          </cell>
          <cell r="E74">
            <v>0</v>
          </cell>
          <cell r="F74">
            <v>0</v>
          </cell>
          <cell r="G74">
            <v>0</v>
          </cell>
          <cell r="H74">
            <v>0</v>
          </cell>
          <cell r="I74">
            <v>0</v>
          </cell>
          <cell r="J74">
            <v>0</v>
          </cell>
          <cell r="K74">
            <v>0</v>
          </cell>
        </row>
        <row r="75">
          <cell r="C75" t="str">
            <v>UP20</v>
          </cell>
          <cell r="D75">
            <v>0</v>
          </cell>
          <cell r="E75">
            <v>0</v>
          </cell>
          <cell r="F75">
            <v>49807</v>
          </cell>
          <cell r="G75">
            <v>276345</v>
          </cell>
          <cell r="H75">
            <v>0</v>
          </cell>
          <cell r="I75">
            <v>0</v>
          </cell>
          <cell r="J75">
            <v>0</v>
          </cell>
          <cell r="K75">
            <v>0</v>
          </cell>
        </row>
        <row r="76">
          <cell r="C76" t="str">
            <v>UP21</v>
          </cell>
          <cell r="D76">
            <v>0</v>
          </cell>
          <cell r="E76">
            <v>0</v>
          </cell>
          <cell r="F76">
            <v>0</v>
          </cell>
          <cell r="G76">
            <v>0</v>
          </cell>
          <cell r="H76">
            <v>0</v>
          </cell>
          <cell r="I76">
            <v>0</v>
          </cell>
          <cell r="J76">
            <v>0</v>
          </cell>
          <cell r="K76">
            <v>0</v>
          </cell>
        </row>
        <row r="77">
          <cell r="C77" t="str">
            <v>X590</v>
          </cell>
          <cell r="D77">
            <v>0</v>
          </cell>
          <cell r="E77">
            <v>0</v>
          </cell>
          <cell r="F77">
            <v>62653</v>
          </cell>
          <cell r="G77">
            <v>0</v>
          </cell>
          <cell r="H77">
            <v>0</v>
          </cell>
          <cell r="I77">
            <v>0</v>
          </cell>
          <cell r="J77">
            <v>0</v>
          </cell>
          <cell r="K77">
            <v>0</v>
          </cell>
        </row>
        <row r="78">
          <cell r="C78" t="str">
            <v>0Y02</v>
          </cell>
          <cell r="D78">
            <v>107207.98</v>
          </cell>
          <cell r="E78">
            <v>197090.64</v>
          </cell>
          <cell r="F78">
            <v>10651</v>
          </cell>
          <cell r="G78">
            <v>10502</v>
          </cell>
          <cell r="H78">
            <v>10.065531874941321</v>
          </cell>
          <cell r="I78">
            <v>18.76696248333651</v>
          </cell>
          <cell r="J78">
            <v>0.83839523886188339</v>
          </cell>
          <cell r="K78">
            <v>0.86447797458749931</v>
          </cell>
        </row>
        <row r="79">
          <cell r="C79" t="str">
            <v>D702</v>
          </cell>
          <cell r="D79">
            <v>166268.07</v>
          </cell>
          <cell r="E79">
            <v>350369.47402976011</v>
          </cell>
          <cell r="F79">
            <v>20035</v>
          </cell>
          <cell r="G79">
            <v>20689.16</v>
          </cell>
          <cell r="H79">
            <v>8.2988804591964058</v>
          </cell>
          <cell r="I79">
            <v>16.934929887427042</v>
          </cell>
          <cell r="J79">
            <v>1.1072565167188149</v>
          </cell>
          <cell r="K79">
            <v>1.0406282474716932</v>
          </cell>
        </row>
        <row r="80">
          <cell r="C80" t="str">
            <v>7J60</v>
          </cell>
          <cell r="D80">
            <v>5677.51</v>
          </cell>
          <cell r="E80">
            <v>8442.4096000000009</v>
          </cell>
          <cell r="F80">
            <v>612</v>
          </cell>
          <cell r="G80">
            <v>685.10399999999993</v>
          </cell>
          <cell r="H80">
            <v>9.2769771241830075</v>
          </cell>
          <cell r="I80">
            <v>12.322814638361477</v>
          </cell>
          <cell r="J80">
            <v>0.48699158610024473</v>
          </cell>
          <cell r="K80">
            <v>0.32832219735011003</v>
          </cell>
        </row>
        <row r="81">
          <cell r="C81" t="str">
            <v>7J61</v>
          </cell>
          <cell r="D81">
            <v>18357.060000000001</v>
          </cell>
          <cell r="E81">
            <v>29707.004099999987</v>
          </cell>
          <cell r="F81">
            <v>2372</v>
          </cell>
          <cell r="G81">
            <v>3133.72</v>
          </cell>
          <cell r="H81">
            <v>7.7390640809443516</v>
          </cell>
          <cell r="I81">
            <v>9.4797889090282457</v>
          </cell>
          <cell r="J81">
            <v>0.61828768332183826</v>
          </cell>
          <cell r="K81">
            <v>0.22492704671744801</v>
          </cell>
        </row>
        <row r="82">
          <cell r="C82" t="str">
            <v>PK61</v>
          </cell>
          <cell r="D82">
            <v>0</v>
          </cell>
          <cell r="E82">
            <v>0</v>
          </cell>
          <cell r="F82">
            <v>0</v>
          </cell>
          <cell r="G82">
            <v>0</v>
          </cell>
          <cell r="H82">
            <v>0</v>
          </cell>
          <cell r="I82">
            <v>0</v>
          </cell>
          <cell r="J82">
            <v>0</v>
          </cell>
          <cell r="K82">
            <v>0</v>
          </cell>
        </row>
        <row r="83">
          <cell r="C83" t="str">
            <v>7J30</v>
          </cell>
          <cell r="D83">
            <v>31301</v>
          </cell>
          <cell r="E83">
            <v>41871.5</v>
          </cell>
          <cell r="F83">
            <v>6331</v>
          </cell>
          <cell r="G83">
            <v>6862</v>
          </cell>
          <cell r="H83">
            <v>4.9440846627704937</v>
          </cell>
          <cell r="I83">
            <v>6.1019382104342759</v>
          </cell>
          <cell r="J83">
            <v>0.33770486565924429</v>
          </cell>
          <cell r="K83">
            <v>0.23418966838948929</v>
          </cell>
        </row>
        <row r="84">
          <cell r="C84" t="str">
            <v>3D54</v>
          </cell>
          <cell r="D84">
            <v>0</v>
          </cell>
          <cell r="E84">
            <v>0</v>
          </cell>
          <cell r="F84">
            <v>0</v>
          </cell>
          <cell r="G84">
            <v>0</v>
          </cell>
          <cell r="H84">
            <v>0</v>
          </cell>
          <cell r="I84">
            <v>0</v>
          </cell>
          <cell r="J84">
            <v>0</v>
          </cell>
          <cell r="K84">
            <v>0</v>
          </cell>
        </row>
        <row r="85">
          <cell r="C85" t="str">
            <v>0Y10</v>
          </cell>
          <cell r="D85">
            <v>226944.09</v>
          </cell>
          <cell r="E85">
            <v>176193.32</v>
          </cell>
          <cell r="F85">
            <v>25943</v>
          </cell>
          <cell r="G85">
            <v>26088</v>
          </cell>
          <cell r="H85">
            <v>8.7477967081679058</v>
          </cell>
          <cell r="I85">
            <v>6.7538071143820915</v>
          </cell>
          <cell r="J85">
            <v>-0.22362675317960468</v>
          </cell>
          <cell r="K85">
            <v>-0.22794192186976703</v>
          </cell>
        </row>
        <row r="86">
          <cell r="C86" t="str">
            <v>5498</v>
          </cell>
          <cell r="D86">
            <v>549844.92000000004</v>
          </cell>
          <cell r="E86">
            <v>345838.62</v>
          </cell>
          <cell r="F86">
            <v>146525</v>
          </cell>
          <cell r="G86">
            <v>151911</v>
          </cell>
          <cell r="H86">
            <v>3.7525672752090089</v>
          </cell>
          <cell r="I86">
            <v>2.2765870805932416</v>
          </cell>
          <cell r="J86">
            <v>-0.37102516105813999</v>
          </cell>
          <cell r="K86">
            <v>-0.39332544532024649</v>
          </cell>
        </row>
        <row r="87">
          <cell r="C87" t="str">
            <v>7M15</v>
          </cell>
          <cell r="D87">
            <v>0</v>
          </cell>
          <cell r="E87">
            <v>0</v>
          </cell>
          <cell r="F87">
            <v>0</v>
          </cell>
          <cell r="G87">
            <v>0</v>
          </cell>
          <cell r="H87">
            <v>0</v>
          </cell>
          <cell r="I87">
            <v>0</v>
          </cell>
          <cell r="J87">
            <v>0</v>
          </cell>
          <cell r="K87">
            <v>0</v>
          </cell>
        </row>
        <row r="88">
          <cell r="C88" t="str">
            <v>UH58</v>
          </cell>
          <cell r="D88">
            <v>94954.02</v>
          </cell>
          <cell r="E88">
            <v>256579.08</v>
          </cell>
          <cell r="F88">
            <v>44667</v>
          </cell>
          <cell r="G88">
            <v>55213</v>
          </cell>
          <cell r="H88">
            <v>2.1258204043253408</v>
          </cell>
          <cell r="I88">
            <v>4.6470773187473959</v>
          </cell>
          <cell r="J88">
            <v>1.702140256936989</v>
          </cell>
          <cell r="K88">
            <v>1.1860159537899495</v>
          </cell>
        </row>
        <row r="89">
          <cell r="C89" t="str">
            <v>R330</v>
          </cell>
          <cell r="D89">
            <v>223609.55</v>
          </cell>
          <cell r="E89">
            <v>228010.92</v>
          </cell>
          <cell r="F89">
            <v>14476</v>
          </cell>
          <cell r="G89">
            <v>14563</v>
          </cell>
          <cell r="H89">
            <v>15.446915584415583</v>
          </cell>
          <cell r="I89">
            <v>15.656864657007485</v>
          </cell>
          <cell r="J89">
            <v>1.9683282757825049E-2</v>
          </cell>
          <cell r="K89">
            <v>1.3591650154657353E-2</v>
          </cell>
        </row>
        <row r="90">
          <cell r="C90" t="str">
            <v>TD95</v>
          </cell>
          <cell r="D90">
            <v>0</v>
          </cell>
          <cell r="E90">
            <v>0</v>
          </cell>
          <cell r="F90">
            <v>81816</v>
          </cell>
          <cell r="G90">
            <v>85622</v>
          </cell>
          <cell r="H90">
            <v>0</v>
          </cell>
          <cell r="I90">
            <v>0</v>
          </cell>
          <cell r="J90">
            <v>0</v>
          </cell>
          <cell r="K90">
            <v>0</v>
          </cell>
        </row>
        <row r="91">
          <cell r="C91" t="str">
            <v>QU93</v>
          </cell>
          <cell r="D91">
            <v>0</v>
          </cell>
          <cell r="E91">
            <v>0</v>
          </cell>
          <cell r="F91">
            <v>0</v>
          </cell>
          <cell r="G91">
            <v>0</v>
          </cell>
          <cell r="H91">
            <v>0</v>
          </cell>
          <cell r="I91">
            <v>0</v>
          </cell>
          <cell r="J91">
            <v>0</v>
          </cell>
          <cell r="K91">
            <v>0</v>
          </cell>
        </row>
        <row r="92">
          <cell r="C92" t="str">
            <v>6D43</v>
          </cell>
          <cell r="D92">
            <v>142942.66</v>
          </cell>
          <cell r="E92">
            <v>168003.98</v>
          </cell>
          <cell r="F92">
            <v>4455</v>
          </cell>
          <cell r="G92">
            <v>5004</v>
          </cell>
          <cell r="H92">
            <v>32.08589450056116</v>
          </cell>
          <cell r="I92">
            <v>33.573936850519587</v>
          </cell>
          <cell r="J92">
            <v>0.17532428737509176</v>
          </cell>
          <cell r="K92">
            <v>4.6376838580342694E-2</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Input"/>
      <sheetName val="Model Pure Have"/>
      <sheetName val="Model Pure Want"/>
      <sheetName val="Result"/>
      <sheetName val="Factors"/>
      <sheetName val="MHSA Factors"/>
      <sheetName val="Assumptions"/>
      <sheetName val="StandProd"/>
      <sheetName val="Standard Assumptions"/>
      <sheetName val="Prot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
          <cell r="W5" t="str">
            <v>ADV</v>
          </cell>
          <cell r="X5" t="str">
            <v>CMM</v>
          </cell>
          <cell r="Y5" t="str">
            <v>HMO</v>
          </cell>
          <cell r="Z5" t="str">
            <v>POS</v>
          </cell>
          <cell r="AA5" t="str">
            <v>PPO</v>
          </cell>
          <cell r="AG5" t="str">
            <v>ADV</v>
          </cell>
          <cell r="AH5" t="str">
            <v>CMM</v>
          </cell>
          <cell r="AI5" t="str">
            <v>HMO</v>
          </cell>
          <cell r="AJ5" t="str">
            <v>POS</v>
          </cell>
          <cell r="AK5" t="str">
            <v>PPO</v>
          </cell>
          <cell r="AQ5" t="str">
            <v>ADV</v>
          </cell>
          <cell r="AR5" t="str">
            <v>CMM</v>
          </cell>
          <cell r="AS5" t="str">
            <v>HMO</v>
          </cell>
          <cell r="AT5" t="str">
            <v>POS</v>
          </cell>
          <cell r="AU5" t="str">
            <v>PPO</v>
          </cell>
        </row>
        <row r="7">
          <cell r="W7">
            <v>1.1016248967226659E-2</v>
          </cell>
          <cell r="X7">
            <v>1.0403120936280884E-2</v>
          </cell>
          <cell r="Y7">
            <v>7.0739549839228298E-3</v>
          </cell>
          <cell r="Z7">
            <v>6.7943174799258805E-3</v>
          </cell>
          <cell r="AA7">
            <v>8.5503685503685502E-3</v>
          </cell>
          <cell r="AG7">
            <v>61</v>
          </cell>
          <cell r="AH7">
            <v>100</v>
          </cell>
          <cell r="AI7">
            <v>134</v>
          </cell>
          <cell r="AJ7">
            <v>475</v>
          </cell>
          <cell r="AK7">
            <v>469</v>
          </cell>
          <cell r="AQ7">
            <v>5.07</v>
          </cell>
          <cell r="AR7">
            <v>10.43</v>
          </cell>
          <cell r="AS7">
            <v>4.76</v>
          </cell>
          <cell r="AT7">
            <v>5.49</v>
          </cell>
          <cell r="AU7">
            <v>5.8</v>
          </cell>
        </row>
        <row r="8">
          <cell r="W8">
            <v>9.7769209584136596E-2</v>
          </cell>
          <cell r="X8">
            <v>0.12180320762895537</v>
          </cell>
          <cell r="Y8">
            <v>0.12437299035369775</v>
          </cell>
          <cell r="Z8">
            <v>8.3384805435453985E-2</v>
          </cell>
          <cell r="AA8">
            <v>8.58968058968059E-2</v>
          </cell>
          <cell r="AG8">
            <v>327</v>
          </cell>
          <cell r="AH8">
            <v>901</v>
          </cell>
          <cell r="AI8">
            <v>893</v>
          </cell>
          <cell r="AJ8">
            <v>3408</v>
          </cell>
          <cell r="AK8">
            <v>2846</v>
          </cell>
          <cell r="AQ8">
            <v>3.73</v>
          </cell>
          <cell r="AR8">
            <v>5.55</v>
          </cell>
          <cell r="AS8">
            <v>4.29</v>
          </cell>
          <cell r="AT8">
            <v>4.75</v>
          </cell>
          <cell r="AU8">
            <v>4.34</v>
          </cell>
        </row>
        <row r="9">
          <cell r="W9">
            <v>0.11842467639768657</v>
          </cell>
          <cell r="X9">
            <v>0.15804074555700046</v>
          </cell>
          <cell r="Y9">
            <v>0.10958199356913183</v>
          </cell>
          <cell r="Z9">
            <v>0.10809141445336627</v>
          </cell>
          <cell r="AA9">
            <v>0.10319410319410319</v>
          </cell>
          <cell r="AG9">
            <v>195</v>
          </cell>
          <cell r="AH9">
            <v>534</v>
          </cell>
          <cell r="AI9">
            <v>559</v>
          </cell>
          <cell r="AJ9">
            <v>2549</v>
          </cell>
          <cell r="AK9">
            <v>1786</v>
          </cell>
          <cell r="AQ9">
            <v>4.67</v>
          </cell>
          <cell r="AR9">
            <v>4.97</v>
          </cell>
          <cell r="AS9">
            <v>4.16</v>
          </cell>
          <cell r="AT9">
            <v>5.0599999999999996</v>
          </cell>
          <cell r="AU9">
            <v>4.71</v>
          </cell>
        </row>
        <row r="10">
          <cell r="W10">
            <v>6.3481134673643622E-2</v>
          </cell>
          <cell r="X10">
            <v>3.6497615951452102E-2</v>
          </cell>
          <cell r="Y10">
            <v>6.70096463022508E-2</v>
          </cell>
          <cell r="Z10">
            <v>5.5095738109944406E-2</v>
          </cell>
          <cell r="AA10">
            <v>5.0909090909090904E-2</v>
          </cell>
          <cell r="AG10">
            <v>274</v>
          </cell>
          <cell r="AH10">
            <v>249</v>
          </cell>
          <cell r="AI10">
            <v>778</v>
          </cell>
          <cell r="AJ10">
            <v>1715</v>
          </cell>
          <cell r="AK10">
            <v>1507</v>
          </cell>
          <cell r="AQ10">
            <v>2.35</v>
          </cell>
          <cell r="AR10">
            <v>2.68</v>
          </cell>
          <cell r="AS10">
            <v>2.5499999999999998</v>
          </cell>
          <cell r="AT10">
            <v>2.73</v>
          </cell>
          <cell r="AU10">
            <v>2.72</v>
          </cell>
        </row>
        <row r="11">
          <cell r="W11">
            <v>0</v>
          </cell>
          <cell r="X11">
            <v>0</v>
          </cell>
          <cell r="Y11">
            <v>0</v>
          </cell>
          <cell r="Z11">
            <v>0</v>
          </cell>
          <cell r="AA11">
            <v>0</v>
          </cell>
          <cell r="AG11">
            <v>0</v>
          </cell>
          <cell r="AH11">
            <v>1</v>
          </cell>
          <cell r="AI11">
            <v>0</v>
          </cell>
          <cell r="AJ11">
            <v>11</v>
          </cell>
          <cell r="AK11">
            <v>0</v>
          </cell>
          <cell r="AQ11">
            <v>0</v>
          </cell>
          <cell r="AR11">
            <v>0</v>
          </cell>
          <cell r="AS11">
            <v>0</v>
          </cell>
          <cell r="AT11">
            <v>7.55</v>
          </cell>
          <cell r="AU11">
            <v>0</v>
          </cell>
        </row>
        <row r="12">
          <cell r="E12" t="str">
            <v>ADV</v>
          </cell>
          <cell r="F12" t="str">
            <v>CMM</v>
          </cell>
          <cell r="G12" t="str">
            <v>HMO</v>
          </cell>
          <cell r="H12" t="str">
            <v>POS</v>
          </cell>
          <cell r="I12" t="str">
            <v>PPO</v>
          </cell>
          <cell r="W12">
            <v>0</v>
          </cell>
          <cell r="X12">
            <v>0</v>
          </cell>
          <cell r="Y12">
            <v>0</v>
          </cell>
          <cell r="Z12">
            <v>8.6473131562693028E-4</v>
          </cell>
          <cell r="AA12">
            <v>9.828009828009828E-5</v>
          </cell>
          <cell r="AG12">
            <v>0</v>
          </cell>
          <cell r="AH12">
            <v>10</v>
          </cell>
          <cell r="AI12">
            <v>0</v>
          </cell>
          <cell r="AJ12">
            <v>10</v>
          </cell>
          <cell r="AK12">
            <v>10</v>
          </cell>
          <cell r="AQ12">
            <v>0</v>
          </cell>
          <cell r="AR12">
            <v>8.4</v>
          </cell>
          <cell r="AS12">
            <v>1.2078753472641623E-4</v>
          </cell>
          <cell r="AT12">
            <v>13.9</v>
          </cell>
          <cell r="AU12">
            <v>5.5</v>
          </cell>
        </row>
        <row r="13">
          <cell r="E13">
            <v>0.8</v>
          </cell>
          <cell r="F13">
            <v>0</v>
          </cell>
          <cell r="G13">
            <v>1</v>
          </cell>
          <cell r="H13">
            <v>0.7</v>
          </cell>
          <cell r="I13">
            <v>0.6</v>
          </cell>
          <cell r="W13">
            <v>0.29069126962269348</v>
          </cell>
          <cell r="X13">
            <v>0.32674469007368884</v>
          </cell>
          <cell r="Y13">
            <v>0.30803858520900324</v>
          </cell>
          <cell r="Z13">
            <v>0.25423100679431748</v>
          </cell>
          <cell r="AA13">
            <v>0.24864864864864863</v>
          </cell>
          <cell r="AG13">
            <v>857</v>
          </cell>
          <cell r="AH13">
            <v>1795</v>
          </cell>
          <cell r="AI13">
            <v>2364</v>
          </cell>
          <cell r="AJ13">
            <v>8168</v>
          </cell>
          <cell r="AK13">
            <v>6618</v>
          </cell>
        </row>
        <row r="14">
          <cell r="E14">
            <v>0.19999999999999996</v>
          </cell>
          <cell r="F14">
            <v>1</v>
          </cell>
          <cell r="G14">
            <v>0</v>
          </cell>
          <cell r="H14">
            <v>0.30000000000000004</v>
          </cell>
          <cell r="I14">
            <v>0.4</v>
          </cell>
        </row>
        <row r="16">
          <cell r="W16">
            <v>1.239328008812999E-3</v>
          </cell>
          <cell r="X16">
            <v>2.2540095361941919E-3</v>
          </cell>
          <cell r="Y16">
            <v>1.9292604501607716E-3</v>
          </cell>
          <cell r="Z16">
            <v>1.1117974058060531E-3</v>
          </cell>
          <cell r="AA16">
            <v>9.8280098280098278E-4</v>
          </cell>
          <cell r="AG16">
            <v>125</v>
          </cell>
          <cell r="AH16">
            <v>300</v>
          </cell>
          <cell r="AI16">
            <v>269</v>
          </cell>
          <cell r="AJ16">
            <v>1320</v>
          </cell>
          <cell r="AK16">
            <v>1275</v>
          </cell>
        </row>
        <row r="17">
          <cell r="W17">
            <v>3.0294684659873315E-2</v>
          </cell>
          <cell r="X17">
            <v>1.5778066753359344E-2</v>
          </cell>
          <cell r="Y17">
            <v>4.2443729903536974E-2</v>
          </cell>
          <cell r="Z17">
            <v>2.3718344657195797E-2</v>
          </cell>
          <cell r="AA17">
            <v>1.5823095823095823E-2</v>
          </cell>
          <cell r="AG17">
            <v>1713</v>
          </cell>
          <cell r="AH17">
            <v>4959</v>
          </cell>
          <cell r="AI17">
            <v>4768</v>
          </cell>
          <cell r="AJ17">
            <v>22170</v>
          </cell>
          <cell r="AK17">
            <v>15232</v>
          </cell>
        </row>
        <row r="18">
          <cell r="W18">
            <v>5.5218947948223622E-2</v>
          </cell>
          <cell r="X18">
            <v>6.1378413524057221E-2</v>
          </cell>
          <cell r="Y18">
            <v>5.6720257234726693E-2</v>
          </cell>
          <cell r="Z18">
            <v>4.2989499691167388E-2</v>
          </cell>
          <cell r="AA18">
            <v>3.8820638820638825E-2</v>
          </cell>
          <cell r="AG18">
            <v>771</v>
          </cell>
          <cell r="AH18">
            <v>1929</v>
          </cell>
          <cell r="AI18">
            <v>2195</v>
          </cell>
          <cell r="AJ18">
            <v>7958</v>
          </cell>
          <cell r="AK18">
            <v>6420</v>
          </cell>
        </row>
        <row r="19">
          <cell r="W19">
            <v>3.594051225557697E-2</v>
          </cell>
          <cell r="X19">
            <v>1.317728651928912E-2</v>
          </cell>
          <cell r="Y19">
            <v>3.7170418006430866E-2</v>
          </cell>
          <cell r="Z19">
            <v>3.1871525633106856E-2</v>
          </cell>
          <cell r="AA19">
            <v>2.3980343980343981E-2</v>
          </cell>
          <cell r="AG19">
            <v>220</v>
          </cell>
          <cell r="AH19">
            <v>229</v>
          </cell>
          <cell r="AI19">
            <v>691</v>
          </cell>
          <cell r="AJ19">
            <v>1482</v>
          </cell>
          <cell r="AK19">
            <v>1314</v>
          </cell>
        </row>
        <row r="20">
          <cell r="W20">
            <v>4.68190581107133E-3</v>
          </cell>
          <cell r="X20">
            <v>5.1148677936714345E-3</v>
          </cell>
          <cell r="Y20">
            <v>6.3022508038585211E-3</v>
          </cell>
          <cell r="Z20">
            <v>4.2001235330450899E-3</v>
          </cell>
          <cell r="AA20">
            <v>3.832923832923833E-3</v>
          </cell>
          <cell r="AG20">
            <v>678</v>
          </cell>
          <cell r="AH20">
            <v>2632</v>
          </cell>
          <cell r="AI20">
            <v>2105</v>
          </cell>
          <cell r="AJ20">
            <v>8856</v>
          </cell>
          <cell r="AK20">
            <v>8086</v>
          </cell>
        </row>
        <row r="21">
          <cell r="W21">
            <v>0</v>
          </cell>
          <cell r="X21">
            <v>0</v>
          </cell>
          <cell r="Y21">
            <v>1.2861736334405144E-4</v>
          </cell>
          <cell r="Z21">
            <v>2.470660901791229E-4</v>
          </cell>
          <cell r="AA21">
            <v>1.9656019656019656E-4</v>
          </cell>
          <cell r="AG21">
            <v>7</v>
          </cell>
          <cell r="AH21">
            <v>18</v>
          </cell>
          <cell r="AI21">
            <v>29</v>
          </cell>
          <cell r="AJ21">
            <v>130</v>
          </cell>
          <cell r="AK21">
            <v>227</v>
          </cell>
        </row>
        <row r="22">
          <cell r="W22">
            <v>0.12737537868355822</v>
          </cell>
          <cell r="X22">
            <v>9.7702644126571314E-2</v>
          </cell>
          <cell r="Y22">
            <v>0.14469453376205788</v>
          </cell>
          <cell r="Z22">
            <v>0.10413835701050031</v>
          </cell>
          <cell r="AA22">
            <v>8.3636363636363648E-2</v>
          </cell>
          <cell r="AG22">
            <v>3514</v>
          </cell>
          <cell r="AH22">
            <v>10067</v>
          </cell>
          <cell r="AI22">
            <v>10057</v>
          </cell>
          <cell r="AJ22">
            <v>41916</v>
          </cell>
          <cell r="AK22">
            <v>32554</v>
          </cell>
        </row>
        <row r="25">
          <cell r="W25">
            <v>2.6163591297163314E-3</v>
          </cell>
          <cell r="X25">
            <v>3.2943216298222801E-3</v>
          </cell>
          <cell r="Y25">
            <v>2.9581993569131834E-3</v>
          </cell>
          <cell r="Z25">
            <v>3.4589252625077211E-3</v>
          </cell>
          <cell r="AA25">
            <v>4.0294840294840296E-3</v>
          </cell>
          <cell r="AG25">
            <v>193</v>
          </cell>
          <cell r="AH25">
            <v>605</v>
          </cell>
          <cell r="AI25">
            <v>443</v>
          </cell>
          <cell r="AJ25">
            <v>2191</v>
          </cell>
          <cell r="AK25">
            <v>2581</v>
          </cell>
        </row>
        <row r="26">
          <cell r="W26">
            <v>5.7301666207656303E-2</v>
          </cell>
          <cell r="X26">
            <v>5.9962267013437404E-2</v>
          </cell>
          <cell r="Y26">
            <v>5.3956109324758798E-2</v>
          </cell>
          <cell r="Z26">
            <v>6.0469518221124091E-2</v>
          </cell>
          <cell r="AA26">
            <v>8.0388083538083507E-2</v>
          </cell>
          <cell r="AG26">
            <v>2820</v>
          </cell>
          <cell r="AH26">
            <v>13207</v>
          </cell>
          <cell r="AI26">
            <v>6772</v>
          </cell>
          <cell r="AJ26">
            <v>35751</v>
          </cell>
          <cell r="AK26">
            <v>49381</v>
          </cell>
        </row>
        <row r="27">
          <cell r="W27">
            <v>8.5393101074084307E-2</v>
          </cell>
          <cell r="X27">
            <v>6.7071066319895997E-2</v>
          </cell>
          <cell r="Y27">
            <v>7.0933601286173598E-2</v>
          </cell>
          <cell r="Z27">
            <v>7.3193421865348995E-2</v>
          </cell>
          <cell r="AA27">
            <v>7.11497542997543E-2</v>
          </cell>
          <cell r="AG27">
            <v>971</v>
          </cell>
          <cell r="AH27">
            <v>2146</v>
          </cell>
          <cell r="AI27">
            <v>2272</v>
          </cell>
          <cell r="AJ27">
            <v>10342</v>
          </cell>
          <cell r="AK27">
            <v>8100</v>
          </cell>
        </row>
        <row r="28">
          <cell r="W28">
            <v>4.819608923161663E-3</v>
          </cell>
          <cell r="X28">
            <v>2.4273948851322065E-3</v>
          </cell>
          <cell r="Y28">
            <v>4.115755627009646E-3</v>
          </cell>
          <cell r="Z28">
            <v>5.5589870290302656E-3</v>
          </cell>
          <cell r="AA28">
            <v>5.110565110565111E-3</v>
          </cell>
          <cell r="AG28">
            <v>163</v>
          </cell>
          <cell r="AH28">
            <v>268</v>
          </cell>
          <cell r="AI28">
            <v>280</v>
          </cell>
          <cell r="AJ28">
            <v>1257</v>
          </cell>
          <cell r="AK28">
            <v>1595</v>
          </cell>
        </row>
        <row r="29">
          <cell r="W29">
            <v>9.226108510052327E-3</v>
          </cell>
          <cell r="X29">
            <v>9.62288686605982E-3</v>
          </cell>
          <cell r="Y29">
            <v>1.2347266881028938E-2</v>
          </cell>
          <cell r="Z29">
            <v>6.547251389746757E-3</v>
          </cell>
          <cell r="AA29">
            <v>1.1105651105651105E-2</v>
          </cell>
          <cell r="AG29">
            <v>318</v>
          </cell>
          <cell r="AH29">
            <v>2334</v>
          </cell>
          <cell r="AI29">
            <v>758</v>
          </cell>
          <cell r="AJ29">
            <v>8569</v>
          </cell>
          <cell r="AK29">
            <v>9122</v>
          </cell>
        </row>
        <row r="30">
          <cell r="W30">
            <v>6.3E-3</v>
          </cell>
          <cell r="X30">
            <v>6.3E-3</v>
          </cell>
          <cell r="Y30">
            <v>6.3E-3</v>
          </cell>
          <cell r="Z30">
            <v>6.3E-3</v>
          </cell>
          <cell r="AA30">
            <v>6.3E-3</v>
          </cell>
          <cell r="AG30">
            <v>118</v>
          </cell>
          <cell r="AH30">
            <v>233</v>
          </cell>
          <cell r="AI30">
            <v>365</v>
          </cell>
          <cell r="AJ30">
            <v>1134</v>
          </cell>
          <cell r="AK30">
            <v>917</v>
          </cell>
        </row>
        <row r="31">
          <cell r="W31">
            <v>2.0655466813549986E-3</v>
          </cell>
          <cell r="X31">
            <v>3.2943216298222801E-3</v>
          </cell>
          <cell r="Y31">
            <v>4.115755627009646E-3</v>
          </cell>
          <cell r="Z31">
            <v>3.2118591723285981E-3</v>
          </cell>
          <cell r="AA31">
            <v>2.1621621621621622E-3</v>
          </cell>
          <cell r="AG31">
            <v>4583</v>
          </cell>
          <cell r="AH31">
            <v>18793</v>
          </cell>
          <cell r="AI31">
            <v>10890</v>
          </cell>
          <cell r="AJ31">
            <v>59244</v>
          </cell>
          <cell r="AK31">
            <v>71696</v>
          </cell>
        </row>
        <row r="32">
          <cell r="W32">
            <v>0.16772239052602592</v>
          </cell>
          <cell r="X32">
            <v>0.15197225834417</v>
          </cell>
          <cell r="Y32">
            <v>0.15472668810289378</v>
          </cell>
          <cell r="Z32">
            <v>0.15873996294008644</v>
          </cell>
          <cell r="AA32">
            <v>0.18024570024570022</v>
          </cell>
          <cell r="AQ32" t="str">
            <v>ADV</v>
          </cell>
          <cell r="AR32" t="str">
            <v>CMM</v>
          </cell>
          <cell r="AS32" t="str">
            <v>HMO</v>
          </cell>
          <cell r="AT32" t="str">
            <v>POS</v>
          </cell>
          <cell r="AU32" t="str">
            <v>PPO</v>
          </cell>
        </row>
        <row r="34">
          <cell r="AG34">
            <v>4529</v>
          </cell>
          <cell r="AH34">
            <v>11885</v>
          </cell>
          <cell r="AI34">
            <v>7643</v>
          </cell>
          <cell r="AJ34">
            <v>61116</v>
          </cell>
          <cell r="AK34">
            <v>53643</v>
          </cell>
          <cell r="AQ34">
            <v>0.3</v>
          </cell>
          <cell r="AR34">
            <v>0</v>
          </cell>
          <cell r="AS34">
            <v>0.3</v>
          </cell>
          <cell r="AT34">
            <v>0.3</v>
          </cell>
          <cell r="AU34">
            <v>0</v>
          </cell>
        </row>
        <row r="35">
          <cell r="W35">
            <v>1.6937482787110988E-2</v>
          </cell>
          <cell r="X35">
            <v>6.5539661898569565E-2</v>
          </cell>
          <cell r="Y35">
            <v>9.7749196141479096E-3</v>
          </cell>
          <cell r="Z35">
            <v>4.8548486720197653E-2</v>
          </cell>
          <cell r="AA35">
            <v>5.7395577395577393E-2</v>
          </cell>
          <cell r="AG35">
            <v>32850.400000000001</v>
          </cell>
          <cell r="AH35">
            <v>25649</v>
          </cell>
          <cell r="AI35">
            <v>82901.5</v>
          </cell>
          <cell r="AJ35">
            <v>231921</v>
          </cell>
          <cell r="AK35">
            <v>137583</v>
          </cell>
          <cell r="AQ35">
            <v>0.22</v>
          </cell>
          <cell r="AR35">
            <v>0</v>
          </cell>
          <cell r="AS35">
            <v>0.22</v>
          </cell>
          <cell r="AT35">
            <v>0.22</v>
          </cell>
          <cell r="AU35">
            <v>0</v>
          </cell>
        </row>
        <row r="36">
          <cell r="W36">
            <v>9.5565959790691268E-2</v>
          </cell>
          <cell r="X36">
            <v>3.1122670134373646E-2</v>
          </cell>
          <cell r="Y36">
            <v>9.5948553054662378E-2</v>
          </cell>
          <cell r="Z36">
            <v>8.0172946263125391E-2</v>
          </cell>
          <cell r="AA36">
            <v>5.0417690417690418E-2</v>
          </cell>
          <cell r="AG36">
            <v>18316.2</v>
          </cell>
          <cell r="AH36">
            <v>52876</v>
          </cell>
          <cell r="AI36">
            <v>42290.85</v>
          </cell>
          <cell r="AJ36">
            <v>243863</v>
          </cell>
          <cell r="AK36">
            <v>216224</v>
          </cell>
          <cell r="AQ36">
            <v>0.89</v>
          </cell>
          <cell r="AR36">
            <v>0</v>
          </cell>
          <cell r="AS36">
            <v>0.89</v>
          </cell>
          <cell r="AT36">
            <v>0.89</v>
          </cell>
          <cell r="AU36">
            <v>0</v>
          </cell>
        </row>
        <row r="37">
          <cell r="W37">
            <v>9.1021757091710273E-2</v>
          </cell>
          <cell r="X37">
            <v>8.4785435630689202E-2</v>
          </cell>
          <cell r="Y37">
            <v>8.3344051446945344E-2</v>
          </cell>
          <cell r="Z37">
            <v>9.0426189005558988E-2</v>
          </cell>
          <cell r="AA37">
            <v>0.10594594594594595</v>
          </cell>
          <cell r="AG37">
            <v>8200</v>
          </cell>
          <cell r="AH37">
            <v>19507</v>
          </cell>
          <cell r="AI37">
            <v>19742</v>
          </cell>
          <cell r="AJ37">
            <v>89003</v>
          </cell>
          <cell r="AK37">
            <v>78154</v>
          </cell>
          <cell r="AQ37">
            <v>2.95</v>
          </cell>
          <cell r="AR37">
            <v>0</v>
          </cell>
          <cell r="AS37">
            <v>2.54</v>
          </cell>
          <cell r="AT37">
            <v>2.54</v>
          </cell>
          <cell r="AU37">
            <v>0</v>
          </cell>
        </row>
        <row r="38">
          <cell r="W38">
            <v>8.4412007711374276E-2</v>
          </cell>
          <cell r="X38">
            <v>8.3224967490247076E-2</v>
          </cell>
          <cell r="Y38">
            <v>7.9742765273311894E-2</v>
          </cell>
          <cell r="Z38">
            <v>8.424953675108092E-2</v>
          </cell>
          <cell r="AA38">
            <v>8.4422604422604422E-2</v>
          </cell>
          <cell r="AG38">
            <v>374</v>
          </cell>
          <cell r="AH38">
            <v>571</v>
          </cell>
          <cell r="AI38">
            <v>912</v>
          </cell>
          <cell r="AJ38">
            <v>2572</v>
          </cell>
          <cell r="AK38">
            <v>2943</v>
          </cell>
          <cell r="AQ38">
            <v>2.25</v>
          </cell>
          <cell r="AR38">
            <v>0</v>
          </cell>
          <cell r="AS38">
            <v>2.25</v>
          </cell>
          <cell r="AT38">
            <v>2.25</v>
          </cell>
          <cell r="AU38">
            <v>0</v>
          </cell>
        </row>
        <row r="39">
          <cell r="W39">
            <v>5.9212338198843285E-3</v>
          </cell>
          <cell r="X39">
            <v>5.721716514954487E-3</v>
          </cell>
          <cell r="Y39">
            <v>5.9163987138263667E-3</v>
          </cell>
          <cell r="Z39">
            <v>5.6825200741198274E-3</v>
          </cell>
          <cell r="AA39">
            <v>5.5036855036855042E-3</v>
          </cell>
          <cell r="AG39">
            <v>12190</v>
          </cell>
          <cell r="AH39">
            <v>53003</v>
          </cell>
          <cell r="AI39">
            <v>27691</v>
          </cell>
          <cell r="AJ39">
            <v>195195</v>
          </cell>
          <cell r="AK39">
            <v>214220</v>
          </cell>
        </row>
        <row r="40">
          <cell r="W40">
            <v>8.6339851280638938E-2</v>
          </cell>
          <cell r="X40">
            <v>0.12726484612050282</v>
          </cell>
          <cell r="Y40">
            <v>8.1157556270096465E-2</v>
          </cell>
          <cell r="Z40">
            <v>9.7467572575663977E-2</v>
          </cell>
          <cell r="AA40">
            <v>0.15027027027027026</v>
          </cell>
          <cell r="AG40">
            <v>3145</v>
          </cell>
          <cell r="AH40">
            <v>6736</v>
          </cell>
          <cell r="AI40">
            <v>8112</v>
          </cell>
          <cell r="AJ40">
            <v>31341</v>
          </cell>
          <cell r="AK40">
            <v>32282</v>
          </cell>
        </row>
        <row r="41">
          <cell r="W41">
            <v>3.3874965574221975E-2</v>
          </cell>
          <cell r="X41">
            <v>2.5747724317295193E-2</v>
          </cell>
          <cell r="Y41">
            <v>3.6655948553054665E-2</v>
          </cell>
          <cell r="Z41">
            <v>7.6343421865348982E-2</v>
          </cell>
          <cell r="AA41">
            <v>3.3513513513513518E-2</v>
          </cell>
          <cell r="AG41">
            <v>79604.600000000006</v>
          </cell>
          <cell r="AH41">
            <v>170227</v>
          </cell>
          <cell r="AI41">
            <v>189292.35</v>
          </cell>
          <cell r="AJ41">
            <v>855011</v>
          </cell>
          <cell r="AK41">
            <v>735049</v>
          </cell>
        </row>
        <row r="42">
          <cell r="W42">
            <v>0.41407325805563205</v>
          </cell>
          <cell r="X42">
            <v>0.423407022106632</v>
          </cell>
          <cell r="Y42">
            <v>0.39254019292604497</v>
          </cell>
          <cell r="Z42">
            <v>0.48289067325509577</v>
          </cell>
          <cell r="AA42">
            <v>0.48746928746928742</v>
          </cell>
        </row>
        <row r="46">
          <cell r="E46" t="str">
            <v>ADV</v>
          </cell>
          <cell r="F46" t="str">
            <v>CMM</v>
          </cell>
          <cell r="G46" t="str">
            <v>HMO</v>
          </cell>
          <cell r="H46" t="str">
            <v>POS</v>
          </cell>
          <cell r="I46" t="str">
            <v>PPO</v>
          </cell>
          <cell r="N46" t="str">
            <v>ADV</v>
          </cell>
          <cell r="O46" t="str">
            <v>CMM</v>
          </cell>
          <cell r="P46" t="str">
            <v>HMO</v>
          </cell>
          <cell r="Q46" t="str">
            <v>POS</v>
          </cell>
          <cell r="R46" t="str">
            <v>PPO</v>
          </cell>
        </row>
        <row r="49">
          <cell r="N49">
            <v>1</v>
          </cell>
          <cell r="O49">
            <v>1</v>
          </cell>
          <cell r="P49">
            <v>1</v>
          </cell>
          <cell r="Q49">
            <v>1</v>
          </cell>
          <cell r="R49">
            <v>1</v>
          </cell>
        </row>
        <row r="50">
          <cell r="E50">
            <v>0.55500000000000005</v>
          </cell>
          <cell r="F50">
            <v>0.68200000000000005</v>
          </cell>
          <cell r="G50">
            <v>0.55500000000000005</v>
          </cell>
          <cell r="H50">
            <v>0.55500000000000005</v>
          </cell>
          <cell r="I50">
            <v>0.57999999999999996</v>
          </cell>
          <cell r="N50">
            <v>1.5458000000000001</v>
          </cell>
          <cell r="O50">
            <v>1.2</v>
          </cell>
          <cell r="P50">
            <v>1.165</v>
          </cell>
          <cell r="Q50">
            <v>0.93600000000000005</v>
          </cell>
          <cell r="R50">
            <v>0.98380000000000001</v>
          </cell>
        </row>
        <row r="51">
          <cell r="N51">
            <v>1</v>
          </cell>
          <cell r="O51">
            <v>1</v>
          </cell>
          <cell r="P51">
            <v>1</v>
          </cell>
          <cell r="Q51">
            <v>1</v>
          </cell>
          <cell r="R51">
            <v>1</v>
          </cell>
        </row>
        <row r="52">
          <cell r="N52">
            <v>1</v>
          </cell>
          <cell r="O52">
            <v>1</v>
          </cell>
          <cell r="P52">
            <v>1</v>
          </cell>
          <cell r="Q52">
            <v>1</v>
          </cell>
          <cell r="R52">
            <v>1</v>
          </cell>
        </row>
        <row r="53">
          <cell r="N53">
            <v>1</v>
          </cell>
          <cell r="O53">
            <v>1</v>
          </cell>
          <cell r="P53">
            <v>1</v>
          </cell>
          <cell r="Q53">
            <v>1</v>
          </cell>
          <cell r="R53">
            <v>1</v>
          </cell>
        </row>
        <row r="54">
          <cell r="N54">
            <v>1</v>
          </cell>
          <cell r="O54">
            <v>1</v>
          </cell>
          <cell r="P54">
            <v>1</v>
          </cell>
          <cell r="Q54">
            <v>1</v>
          </cell>
          <cell r="R54">
            <v>1</v>
          </cell>
        </row>
        <row r="55">
          <cell r="N55">
            <v>1</v>
          </cell>
          <cell r="O55">
            <v>1</v>
          </cell>
          <cell r="P55">
            <v>1</v>
          </cell>
          <cell r="Q55">
            <v>1</v>
          </cell>
          <cell r="R55">
            <v>1</v>
          </cell>
        </row>
        <row r="58">
          <cell r="F58">
            <v>1.285597381342062</v>
          </cell>
          <cell r="I58">
            <v>1.285597381342062</v>
          </cell>
          <cell r="N58">
            <v>1</v>
          </cell>
          <cell r="O58">
            <v>1</v>
          </cell>
          <cell r="P58">
            <v>1</v>
          </cell>
          <cell r="Q58">
            <v>1</v>
          </cell>
          <cell r="R58">
            <v>1</v>
          </cell>
        </row>
        <row r="59">
          <cell r="E59">
            <v>0.53147667707947266</v>
          </cell>
          <cell r="F59">
            <v>0.64700587705829404</v>
          </cell>
          <cell r="G59">
            <v>0.53147667707947266</v>
          </cell>
          <cell r="H59">
            <v>0.53147667707947266</v>
          </cell>
          <cell r="I59">
            <v>0.57531635516492818</v>
          </cell>
          <cell r="N59">
            <v>1.5458000000000001</v>
          </cell>
          <cell r="O59">
            <v>1.1093999999999999</v>
          </cell>
          <cell r="P59">
            <v>0.96199999999999997</v>
          </cell>
          <cell r="Q59">
            <v>0.93600000000000005</v>
          </cell>
          <cell r="R59">
            <v>0.98380000000000001</v>
          </cell>
        </row>
        <row r="60">
          <cell r="N60">
            <v>1</v>
          </cell>
          <cell r="O60">
            <v>1</v>
          </cell>
          <cell r="P60">
            <v>1</v>
          </cell>
          <cell r="Q60">
            <v>1</v>
          </cell>
          <cell r="R60">
            <v>1</v>
          </cell>
        </row>
        <row r="61">
          <cell r="F61">
            <v>1.0020458265139116</v>
          </cell>
          <cell r="I61">
            <v>1.0020458265139116</v>
          </cell>
          <cell r="N61">
            <v>1</v>
          </cell>
          <cell r="O61">
            <v>1</v>
          </cell>
          <cell r="P61">
            <v>1</v>
          </cell>
          <cell r="Q61">
            <v>1</v>
          </cell>
          <cell r="R61">
            <v>1</v>
          </cell>
        </row>
        <row r="62">
          <cell r="N62">
            <v>1</v>
          </cell>
          <cell r="O62">
            <v>1</v>
          </cell>
          <cell r="P62">
            <v>1</v>
          </cell>
          <cell r="Q62">
            <v>1</v>
          </cell>
          <cell r="R62">
            <v>1</v>
          </cell>
        </row>
        <row r="63">
          <cell r="E63">
            <v>0.7863338788870704</v>
          </cell>
          <cell r="F63">
            <v>0.92954173486088376</v>
          </cell>
          <cell r="G63">
            <v>0.7863338788870704</v>
          </cell>
          <cell r="H63">
            <v>0.7863338788870704</v>
          </cell>
          <cell r="I63">
            <v>0.92954173486088376</v>
          </cell>
          <cell r="N63">
            <v>1</v>
          </cell>
          <cell r="O63">
            <v>1</v>
          </cell>
          <cell r="P63">
            <v>1</v>
          </cell>
          <cell r="Q63">
            <v>1</v>
          </cell>
          <cell r="R63">
            <v>1</v>
          </cell>
        </row>
        <row r="64">
          <cell r="F64">
            <v>1.117266775777414</v>
          </cell>
          <cell r="I64">
            <v>1.117266775777414</v>
          </cell>
          <cell r="N64">
            <v>1</v>
          </cell>
          <cell r="O64">
            <v>1</v>
          </cell>
          <cell r="P64">
            <v>1</v>
          </cell>
          <cell r="Q64">
            <v>1</v>
          </cell>
          <cell r="R64">
            <v>1</v>
          </cell>
        </row>
        <row r="67">
          <cell r="N67">
            <v>1</v>
          </cell>
          <cell r="O67">
            <v>1</v>
          </cell>
          <cell r="P67">
            <v>1</v>
          </cell>
          <cell r="Q67">
            <v>1</v>
          </cell>
          <cell r="R67">
            <v>1</v>
          </cell>
        </row>
        <row r="68">
          <cell r="E68">
            <v>0.55500000000000005</v>
          </cell>
          <cell r="F68">
            <v>0.68200000000000005</v>
          </cell>
          <cell r="G68">
            <v>0.55500000000000005</v>
          </cell>
          <cell r="H68">
            <v>0.55500000000000005</v>
          </cell>
          <cell r="I68">
            <v>0.57999999999999996</v>
          </cell>
          <cell r="N68">
            <v>1.5458000000000001</v>
          </cell>
          <cell r="O68">
            <v>1.2</v>
          </cell>
          <cell r="P68">
            <v>0.96199999999999997</v>
          </cell>
          <cell r="Q68">
            <v>0.93600000000000005</v>
          </cell>
          <cell r="R68">
            <v>0.98380000000000001</v>
          </cell>
        </row>
        <row r="69">
          <cell r="N69">
            <v>1</v>
          </cell>
          <cell r="O69">
            <v>1</v>
          </cell>
          <cell r="P69">
            <v>1</v>
          </cell>
          <cell r="Q69">
            <v>1</v>
          </cell>
          <cell r="R69">
            <v>1</v>
          </cell>
        </row>
        <row r="70">
          <cell r="N70">
            <v>1</v>
          </cell>
          <cell r="O70">
            <v>1</v>
          </cell>
          <cell r="P70">
            <v>1</v>
          </cell>
          <cell r="Q70">
            <v>1</v>
          </cell>
          <cell r="R70">
            <v>1</v>
          </cell>
        </row>
        <row r="71">
          <cell r="N71">
            <v>1</v>
          </cell>
          <cell r="O71">
            <v>1</v>
          </cell>
          <cell r="P71">
            <v>1</v>
          </cell>
          <cell r="Q71">
            <v>1</v>
          </cell>
          <cell r="R71">
            <v>1</v>
          </cell>
        </row>
        <row r="72">
          <cell r="N72">
            <v>1</v>
          </cell>
          <cell r="O72">
            <v>1</v>
          </cell>
          <cell r="P72">
            <v>1</v>
          </cell>
          <cell r="Q72">
            <v>1</v>
          </cell>
          <cell r="R72">
            <v>1</v>
          </cell>
        </row>
        <row r="73">
          <cell r="N73">
            <v>1</v>
          </cell>
          <cell r="O73">
            <v>1</v>
          </cell>
          <cell r="P73">
            <v>1</v>
          </cell>
          <cell r="Q73">
            <v>1</v>
          </cell>
          <cell r="R73">
            <v>1</v>
          </cell>
        </row>
        <row r="76">
          <cell r="N76">
            <v>1</v>
          </cell>
          <cell r="O76">
            <v>1</v>
          </cell>
          <cell r="P76">
            <v>1</v>
          </cell>
          <cell r="Q76">
            <v>1</v>
          </cell>
          <cell r="R76">
            <v>1</v>
          </cell>
        </row>
        <row r="77">
          <cell r="E77">
            <v>0.53147667707947266</v>
          </cell>
          <cell r="F77">
            <v>0.64700587705829404</v>
          </cell>
          <cell r="G77">
            <v>0.53147667707947266</v>
          </cell>
          <cell r="H77">
            <v>0.53147667707947266</v>
          </cell>
          <cell r="I77">
            <v>0.57531635516492818</v>
          </cell>
          <cell r="N77">
            <v>1.5458000000000001</v>
          </cell>
          <cell r="O77">
            <v>1.1093999999999999</v>
          </cell>
          <cell r="P77">
            <v>1.1910000000000001</v>
          </cell>
          <cell r="Q77">
            <v>0.93600000000000005</v>
          </cell>
          <cell r="R77">
            <v>0.98380000000000001</v>
          </cell>
        </row>
        <row r="78">
          <cell r="N78">
            <v>1</v>
          </cell>
          <cell r="O78">
            <v>1</v>
          </cell>
          <cell r="P78">
            <v>1</v>
          </cell>
          <cell r="Q78">
            <v>1</v>
          </cell>
          <cell r="R78">
            <v>1</v>
          </cell>
        </row>
        <row r="79">
          <cell r="N79">
            <v>1</v>
          </cell>
          <cell r="O79">
            <v>1</v>
          </cell>
          <cell r="P79">
            <v>1</v>
          </cell>
          <cell r="Q79">
            <v>1</v>
          </cell>
          <cell r="R79">
            <v>1</v>
          </cell>
        </row>
        <row r="80">
          <cell r="N80">
            <v>1</v>
          </cell>
          <cell r="O80">
            <v>1</v>
          </cell>
          <cell r="P80">
            <v>1</v>
          </cell>
          <cell r="Q80">
            <v>1</v>
          </cell>
          <cell r="R80">
            <v>1</v>
          </cell>
        </row>
        <row r="81">
          <cell r="N81">
            <v>1</v>
          </cell>
          <cell r="O81">
            <v>1</v>
          </cell>
          <cell r="P81">
            <v>1</v>
          </cell>
          <cell r="Q81">
            <v>1</v>
          </cell>
          <cell r="R81">
            <v>1</v>
          </cell>
        </row>
        <row r="82">
          <cell r="N82">
            <v>1</v>
          </cell>
          <cell r="O82">
            <v>1</v>
          </cell>
          <cell r="P82">
            <v>1</v>
          </cell>
          <cell r="Q82">
            <v>1</v>
          </cell>
          <cell r="R82">
            <v>1</v>
          </cell>
        </row>
      </sheetData>
      <sheetData sheetId="8" refreshError="1">
        <row r="47">
          <cell r="C47" t="str">
            <v>MD</v>
          </cell>
          <cell r="F47" t="b">
            <v>0</v>
          </cell>
          <cell r="H47" t="b">
            <v>0</v>
          </cell>
          <cell r="L47" t="str">
            <v>PPO1</v>
          </cell>
          <cell r="M47" t="str">
            <v>PPO1</v>
          </cell>
          <cell r="P47" t="str">
            <v>PPO</v>
          </cell>
          <cell r="Q47" t="str">
            <v>PPO</v>
          </cell>
        </row>
      </sheetData>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Composite Output"/>
      <sheetName val="Benefit Options Output"/>
      <sheetName val="Tier Output"/>
      <sheetName val="Benefit Tiers Output"/>
      <sheetName val="AgeSex"/>
      <sheetName val="DLR"/>
      <sheetName val="Calc"/>
      <sheetName val="SL_Charges"/>
      <sheetName val="Tables"/>
      <sheetName val="Att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Exper"/>
      <sheetName val="Risk.Calc"/>
      <sheetName val="Menus"/>
      <sheetName val="Single Form"/>
      <sheetName val="POE Form"/>
      <sheetName val="DentalNR"/>
      <sheetName val="GeoFact"/>
      <sheetName val="AgeFacs"/>
      <sheetName val="SIC"/>
      <sheetName val="Net.Prems"/>
      <sheetName val="DLR.51-199"/>
      <sheetName val="DLR.200+"/>
      <sheetName val="Prem.Calc"/>
      <sheetName val="SI_UW.Input"/>
      <sheetName val="SI_Calcs"/>
      <sheetName val="SI_Factors @ 100%"/>
      <sheetName val="SI_Mature.Factors"/>
      <sheetName val="SI_1st.Yr"/>
      <sheetName val="SI_Assumptions"/>
      <sheetName val="Change 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Assumptions"/>
      <sheetName val="Actual Summary"/>
      <sheetName val="Sum-enroll"/>
      <sheetName val="Sum-$"/>
      <sheetName val="UWGainLoss"/>
      <sheetName val="FinComPlan"/>
      <sheetName val="FinComP&amp;L"/>
      <sheetName val="Consolidated"/>
      <sheetName val="Indemnity Risk"/>
      <sheetName val="Ind&gt;65"/>
      <sheetName val="Ind&lt;65"/>
      <sheetName val="Sego&lt;50"/>
      <sheetName val="Grp51+"/>
      <sheetName val="CommercialHMO"/>
      <sheetName val="MCare1st"/>
      <sheetName val="Medicaid"/>
      <sheetName val="FEP"/>
      <sheetName val="Elim"/>
      <sheetName val="N-R"/>
      <sheetName val="N-R 51+"/>
      <sheetName val="Nat'l-C"/>
      <sheetName val="Nat'l-NC"/>
      <sheetName val="CareFirst Adm."/>
      <sheetName val="ASO"/>
      <sheetName val="Medicare A"/>
      <sheetName val="HMO Total"/>
      <sheetName val="Taxes"/>
      <sheetName val="Interest-Other"/>
      <sheetName val="OFA Upload"/>
      <sheetName val="N-R w-o tpa&amp;aso"/>
      <sheetName val="N-R 51+w-o ad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2">
          <cell r="AA42">
            <v>1753289.5349827744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Input"/>
      <sheetName val="Risk Calc"/>
      <sheetName val="Exper"/>
      <sheetName val="POE Rates"/>
      <sheetName val="Retention 51-199"/>
      <sheetName val="Retention 200+"/>
      <sheetName val="GeoFact"/>
      <sheetName val="SIC"/>
      <sheetName val="AgeFacs"/>
      <sheetName val="Net Premiums"/>
      <sheetName val="DHMO"/>
      <sheetName val="DentalNR"/>
      <sheetName val="Opt-Out Plus 5"/>
      <sheetName val="Opt-Out Plus 10"/>
      <sheetName val="Opt-Out Plus 15"/>
      <sheetName val="Opt-Out Plus 20"/>
      <sheetName val="Opt-Out 5"/>
      <sheetName val="Opt-Out 10"/>
      <sheetName val="Opt-Out 15"/>
      <sheetName val="Opt-Out 20"/>
      <sheetName val="HMO 5"/>
      <sheetName val="HMO 10"/>
      <sheetName val="HMO 15"/>
      <sheetName val="HMO 20"/>
      <sheetName val="BP1"/>
      <sheetName val="BP2"/>
      <sheetName val="BP6"/>
      <sheetName val="BP7"/>
      <sheetName val="BP8"/>
      <sheetName val="BP9"/>
      <sheetName val="BP10"/>
      <sheetName val="BP11"/>
      <sheetName val="BP13"/>
      <sheetName val="#1"/>
      <sheetName val="#2-#27"/>
      <sheetName val="#3"/>
      <sheetName val="#5"/>
      <sheetName val="#6"/>
      <sheetName val="#7"/>
      <sheetName val="#8"/>
      <sheetName val="#9"/>
      <sheetName val="#10"/>
      <sheetName val="#14"/>
      <sheetName val="#16"/>
      <sheetName val="#19-#26"/>
      <sheetName val="#20"/>
      <sheetName val="#28"/>
      <sheetName val="#34"/>
      <sheetName val="#37"/>
      <sheetName val="#39"/>
      <sheetName val="#40"/>
      <sheetName val="#41"/>
      <sheetName val="#43"/>
      <sheetName val="#44"/>
      <sheetName val="#45"/>
      <sheetName val="Net.Prems"/>
      <sheetName val="Instructions"/>
      <sheetName val="Current Plans and Rates"/>
      <sheetName val="Proposed Plans and Rates"/>
      <sheetName val="Rate Chart"/>
      <sheetName val="Rate Chart - Re Tier"/>
      <sheetName val="Re-Tier Calculation"/>
      <sheetName val="Sheet3"/>
    </sheetNames>
    <sheetDataSet>
      <sheetData sheetId="0"/>
      <sheetData sheetId="1" refreshError="1">
        <row r="31">
          <cell r="I31" t="str">
            <v>N</v>
          </cell>
        </row>
        <row r="32">
          <cell r="D32" t="str">
            <v>N</v>
          </cell>
        </row>
        <row r="34">
          <cell r="D34">
            <v>2</v>
          </cell>
          <cell r="I34" t="str">
            <v>N</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1-12"/>
      <sheetName val="Weekly 47 Files 7-2-2012"/>
      <sheetName val="Weekly%2047%20Files%207-2-2012."/>
    </sheetNames>
    <definedNames>
      <definedName name="Sheet1"/>
    </definedNames>
    <sheetDataSet>
      <sheetData sheetId="0" refreshError="1"/>
      <sheetData sheetId="1" refreshError="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tter"/>
      <sheetName val="cert"/>
      <sheetName val="Summary"/>
      <sheetName val="RateChg"/>
      <sheetName val="2-49"/>
      <sheetName val="Tier"/>
      <sheetName val="Jul99"/>
      <sheetName val="FormCC-07"/>
      <sheetName val="CapCh-07"/>
      <sheetName val="Transfer-07"/>
      <sheetName val="FormBlue-07"/>
      <sheetName val="PPO-07"/>
      <sheetName val="TransPPO-07"/>
      <sheetName val="FormPA-07"/>
      <sheetName val="SVP-07"/>
      <sheetName val="FormCMM-07"/>
      <sheetName val="CMM-07"/>
      <sheetName val="CMM-ren"/>
      <sheetName val="Dt-Jul99"/>
      <sheetName val="Dt-Rider-07"/>
      <sheetName val="Dt-Stand"/>
      <sheetName val="Vs-Jul99"/>
      <sheetName val="Vs-07"/>
      <sheetName val="AgeFa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edSummary"/>
      <sheetName val="Summary"/>
      <sheetName val="UG&amp;L"/>
      <sheetName val="Analysis"/>
      <sheetName val="RevModel"/>
      <sheetName val="GSChart"/>
      <sheetName val="PPNData"/>
      <sheetName val="POSData"/>
      <sheetName val="CompData"/>
      <sheetName val="DentalData"/>
      <sheetName val="Over65Data"/>
      <sheetName val="VisionData"/>
      <sheetName val="DrugData"/>
      <sheetName val="GSPivot"/>
      <sheetName val="GSData"/>
      <sheetName val="Sheet1"/>
    </sheetNames>
    <sheetDataSet>
      <sheetData sheetId="0" refreshError="1"/>
      <sheetData sheetId="1" refreshError="1"/>
      <sheetData sheetId="2" refreshError="1"/>
      <sheetData sheetId="3" refreshError="1"/>
      <sheetData sheetId="4" refreshError="1"/>
      <sheetData sheetId="5" refreshError="1">
        <row r="3">
          <cell r="B3">
            <v>21</v>
          </cell>
          <cell r="C3">
            <v>-2732.57</v>
          </cell>
          <cell r="D3">
            <v>-51006.559999999998</v>
          </cell>
          <cell r="E3">
            <v>-1414.5</v>
          </cell>
          <cell r="F3">
            <v>-55153.63</v>
          </cell>
        </row>
        <row r="4">
          <cell r="B4" t="str">
            <v xml:space="preserve">$100/$200 </v>
          </cell>
          <cell r="C4">
            <v>-219416.6</v>
          </cell>
          <cell r="D4">
            <v>-252068.18</v>
          </cell>
          <cell r="E4">
            <v>-74144.97</v>
          </cell>
          <cell r="F4">
            <v>-545629.75</v>
          </cell>
        </row>
        <row r="5">
          <cell r="B5" t="str">
            <v xml:space="preserve">$250/$500 </v>
          </cell>
          <cell r="C5">
            <v>-1236850</v>
          </cell>
          <cell r="D5">
            <v>-290094.17</v>
          </cell>
          <cell r="E5">
            <v>-289567.3</v>
          </cell>
          <cell r="F5">
            <v>-1816511.47</v>
          </cell>
        </row>
        <row r="6">
          <cell r="B6" t="str">
            <v>(All)</v>
          </cell>
          <cell r="C6">
            <v>-1458999.17</v>
          </cell>
          <cell r="D6">
            <v>-593168.91</v>
          </cell>
          <cell r="E6">
            <v>-365126.77</v>
          </cell>
          <cell r="F6">
            <v>-2417294.85</v>
          </cell>
        </row>
        <row r="8">
          <cell r="B8" t="str">
            <v>(All)</v>
          </cell>
          <cell r="C8">
            <v>5</v>
          </cell>
        </row>
        <row r="9">
          <cell r="B9" t="str">
            <v xml:space="preserve">100/80 </v>
          </cell>
          <cell r="C9">
            <v>2</v>
          </cell>
        </row>
        <row r="10">
          <cell r="B10" t="str">
            <v xml:space="preserve">80/60 </v>
          </cell>
          <cell r="C10">
            <v>3</v>
          </cell>
        </row>
        <row r="11">
          <cell r="B11" t="str">
            <v xml:space="preserve">90/70 </v>
          </cell>
          <cell r="C11">
            <v>4</v>
          </cell>
        </row>
        <row r="15">
          <cell r="B15">
            <v>21</v>
          </cell>
          <cell r="C15">
            <v>0</v>
          </cell>
          <cell r="D15">
            <v>0</v>
          </cell>
          <cell r="E15">
            <v>0</v>
          </cell>
          <cell r="F15">
            <v>0</v>
          </cell>
        </row>
        <row r="16">
          <cell r="B16" t="str">
            <v xml:space="preserve">$100/$200 </v>
          </cell>
          <cell r="C16">
            <v>0</v>
          </cell>
          <cell r="D16">
            <v>0</v>
          </cell>
          <cell r="E16">
            <v>0</v>
          </cell>
          <cell r="F16">
            <v>0</v>
          </cell>
        </row>
        <row r="17">
          <cell r="B17" t="str">
            <v xml:space="preserve">$250/$500 </v>
          </cell>
          <cell r="C17">
            <v>0</v>
          </cell>
          <cell r="D17">
            <v>0</v>
          </cell>
          <cell r="E17">
            <v>0</v>
          </cell>
          <cell r="F17">
            <v>0</v>
          </cell>
        </row>
        <row r="18">
          <cell r="B18" t="str">
            <v>(All)</v>
          </cell>
          <cell r="C18">
            <v>0</v>
          </cell>
          <cell r="D18">
            <v>0</v>
          </cell>
          <cell r="E18">
            <v>0</v>
          </cell>
          <cell r="F18">
            <v>0</v>
          </cell>
        </row>
        <row r="22">
          <cell r="B22">
            <v>21</v>
          </cell>
          <cell r="C22">
            <v>0</v>
          </cell>
          <cell r="D22">
            <v>2684.2</v>
          </cell>
          <cell r="E22">
            <v>40.840000000000003</v>
          </cell>
          <cell r="F22">
            <v>2725.04</v>
          </cell>
        </row>
        <row r="23">
          <cell r="B23" t="str">
            <v xml:space="preserve">$100/$200 </v>
          </cell>
          <cell r="C23">
            <v>16551.96</v>
          </cell>
          <cell r="D23">
            <v>3667.78</v>
          </cell>
          <cell r="E23">
            <v>1383.33</v>
          </cell>
          <cell r="F23">
            <v>21603.07</v>
          </cell>
        </row>
        <row r="24">
          <cell r="B24" t="str">
            <v xml:space="preserve">$250/$500 </v>
          </cell>
          <cell r="C24">
            <v>68909.919999999998</v>
          </cell>
          <cell r="D24">
            <v>35451.14</v>
          </cell>
          <cell r="E24">
            <v>20607.48</v>
          </cell>
          <cell r="F24">
            <v>124968.54</v>
          </cell>
        </row>
        <row r="25">
          <cell r="B25" t="str">
            <v>(All)</v>
          </cell>
          <cell r="C25">
            <v>85461.88</v>
          </cell>
          <cell r="D25">
            <v>41803.119999999995</v>
          </cell>
          <cell r="E25">
            <v>22031.649999999998</v>
          </cell>
          <cell r="F25">
            <v>149296.65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Menus"/>
      <sheetName val="Exper"/>
      <sheetName val="Risk.Calc"/>
      <sheetName val="Single Form"/>
      <sheetName val="POE Form"/>
      <sheetName val="Single Form (HB)"/>
      <sheetName val="POE Form (HB)"/>
      <sheetName val="DentalNR"/>
      <sheetName val="GeoFact"/>
      <sheetName val="AgeFacs"/>
      <sheetName val="SIC"/>
      <sheetName val="Vision"/>
      <sheetName val="Net.Prems"/>
      <sheetName val="DLR.51-199"/>
      <sheetName val="DLR.200+"/>
      <sheetName val="Gross.Prems"/>
      <sheetName val="Prem.Calc"/>
      <sheetName val="SI_UW.Input"/>
      <sheetName val="SI_Calcs"/>
      <sheetName val="SI_Factors @ 100%"/>
      <sheetName val="SI_Mature.Factors"/>
      <sheetName val="SI_1st.Yr"/>
      <sheetName val="SI_Assumptions"/>
      <sheetName val="Change History"/>
    </sheetNames>
    <sheetDataSet>
      <sheetData sheetId="0">
        <row r="13">
          <cell r="D13">
            <v>1</v>
          </cell>
        </row>
        <row r="31">
          <cell r="D31">
            <v>0</v>
          </cell>
        </row>
        <row r="121">
          <cell r="D121">
            <v>4</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95">
          <cell r="A295">
            <v>1</v>
          </cell>
        </row>
      </sheetData>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wToUse"/>
      <sheetName val="Input"/>
      <sheetName val="Model First Benefit"/>
      <sheetName val="Model Second Benefit"/>
      <sheetName val="Result"/>
      <sheetName val="StandardProd"/>
      <sheetName val="Assumptions"/>
      <sheetName val="Factors"/>
    </sheetNames>
    <sheetDataSet>
      <sheetData sheetId="0" refreshError="1"/>
      <sheetData sheetId="1" refreshError="1">
        <row r="3">
          <cell r="E3" t="str">
            <v>MD Open Enrollment</v>
          </cell>
        </row>
        <row r="25">
          <cell r="H25">
            <v>10</v>
          </cell>
          <cell r="Q25">
            <v>15</v>
          </cell>
        </row>
        <row r="26">
          <cell r="H26">
            <v>20</v>
          </cell>
          <cell r="Q26">
            <v>20</v>
          </cell>
        </row>
        <row r="27">
          <cell r="H27">
            <v>20</v>
          </cell>
          <cell r="Q27">
            <v>20</v>
          </cell>
        </row>
        <row r="28">
          <cell r="H28">
            <v>20</v>
          </cell>
          <cell r="Q28">
            <v>30</v>
          </cell>
        </row>
        <row r="30">
          <cell r="H30">
            <v>34</v>
          </cell>
          <cell r="Q30">
            <v>34</v>
          </cell>
        </row>
        <row r="32">
          <cell r="H32">
            <v>20</v>
          </cell>
          <cell r="Q32">
            <v>30</v>
          </cell>
        </row>
        <row r="33">
          <cell r="H33">
            <v>40</v>
          </cell>
          <cell r="Q33">
            <v>40</v>
          </cell>
        </row>
        <row r="34">
          <cell r="H34">
            <v>40</v>
          </cell>
          <cell r="Q34">
            <v>40</v>
          </cell>
        </row>
        <row r="35">
          <cell r="H35">
            <v>40</v>
          </cell>
          <cell r="Q35">
            <v>60</v>
          </cell>
        </row>
        <row r="37">
          <cell r="H37">
            <v>102</v>
          </cell>
          <cell r="Q37">
            <v>90</v>
          </cell>
        </row>
        <row r="41">
          <cell r="H41">
            <v>20</v>
          </cell>
          <cell r="Q41" t="str">
            <v>N/A</v>
          </cell>
        </row>
        <row r="42">
          <cell r="H42">
            <v>40</v>
          </cell>
          <cell r="Q42" t="str">
            <v>N/A</v>
          </cell>
        </row>
        <row r="43">
          <cell r="H43">
            <v>40</v>
          </cell>
          <cell r="Q43" t="str">
            <v>N/A</v>
          </cell>
        </row>
        <row r="44">
          <cell r="H44">
            <v>40</v>
          </cell>
          <cell r="Q44" t="str">
            <v>N/A</v>
          </cell>
        </row>
        <row r="46">
          <cell r="H46">
            <v>102</v>
          </cell>
          <cell r="Q46">
            <v>90</v>
          </cell>
        </row>
        <row r="48">
          <cell r="H48">
            <v>20</v>
          </cell>
          <cell r="Q48" t="str">
            <v>N/A</v>
          </cell>
        </row>
        <row r="49">
          <cell r="H49">
            <v>40</v>
          </cell>
          <cell r="Q49" t="str">
            <v>N/A</v>
          </cell>
        </row>
        <row r="50">
          <cell r="H50">
            <v>40</v>
          </cell>
          <cell r="Q50" t="str">
            <v>N/A</v>
          </cell>
        </row>
        <row r="51">
          <cell r="H51">
            <v>40</v>
          </cell>
          <cell r="Q51" t="str">
            <v>N/A</v>
          </cell>
        </row>
        <row r="53">
          <cell r="H53">
            <v>102</v>
          </cell>
          <cell r="Q53">
            <v>90</v>
          </cell>
        </row>
        <row r="57">
          <cell r="H57">
            <v>100</v>
          </cell>
          <cell r="Q57">
            <v>150</v>
          </cell>
        </row>
        <row r="59">
          <cell r="H59">
            <v>1</v>
          </cell>
          <cell r="Q59">
            <v>1</v>
          </cell>
        </row>
      </sheetData>
      <sheetData sheetId="2" refreshError="1"/>
      <sheetData sheetId="3" refreshError="1"/>
      <sheetData sheetId="4" refreshError="1"/>
      <sheetData sheetId="5" refreshError="1">
        <row r="54">
          <cell r="B54" t="str">
            <v>MD</v>
          </cell>
        </row>
        <row r="68">
          <cell r="C68" t="str">
            <v>$1,500</v>
          </cell>
          <cell r="F68" t="str">
            <v>Unlimited</v>
          </cell>
        </row>
      </sheetData>
      <sheetData sheetId="6" refreshError="1"/>
      <sheetData sheetId="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wToUse"/>
      <sheetName val="Input"/>
      <sheetName val="Model First Benefit"/>
      <sheetName val="Model Second Benefit"/>
      <sheetName val="Result"/>
      <sheetName val="StandardProd"/>
      <sheetName val="Assumptions"/>
      <sheetName val="Factors"/>
    </sheetNames>
    <sheetDataSet>
      <sheetData sheetId="0" refreshError="1"/>
      <sheetData sheetId="1" refreshError="1"/>
      <sheetData sheetId="2" refreshError="1"/>
      <sheetData sheetId="3" refreshError="1"/>
      <sheetData sheetId="4" refreshError="1"/>
      <sheetData sheetId="5" refreshError="1">
        <row r="64">
          <cell r="J64" t="b">
            <v>0</v>
          </cell>
        </row>
      </sheetData>
      <sheetData sheetId="6" refreshError="1"/>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Dick_Courtney"/>
      <sheetName val="Fee_based (lookup)"/>
      <sheetName val="Stoploss (lookup)"/>
      <sheetName val="Feebased_GainLoss"/>
      <sheetName val="Stoploss_GainLoss"/>
      <sheetName val="2005 Proposed Compet"/>
      <sheetName val="MD_Jurisdictions"/>
      <sheetName val="Contracts"/>
      <sheetName val="Spec_05"/>
      <sheetName val="Agg_05"/>
      <sheetName val="Admin_05"/>
    </sheetNames>
    <sheetDataSet>
      <sheetData sheetId="0" refreshError="1"/>
      <sheetData sheetId="1" refreshError="1"/>
      <sheetData sheetId="2" refreshError="1"/>
      <sheetData sheetId="3" refreshError="1">
        <row r="4">
          <cell r="W4" t="str">
            <v>(1+2)</v>
          </cell>
          <cell r="AB4" t="str">
            <v>(26-3-4-5-6)</v>
          </cell>
          <cell r="AC4" t="str">
            <v>(3+4+5+6+7)</v>
          </cell>
          <cell r="AE4" t="str">
            <v>(8+9)</v>
          </cell>
          <cell r="AF4" t="str">
            <v>GENERAL</v>
          </cell>
          <cell r="AG4" t="str">
            <v>GENERAL</v>
          </cell>
          <cell r="AS4" t="str">
            <v>(15+16)</v>
          </cell>
          <cell r="AU4" t="str">
            <v>(10-6-11-12</v>
          </cell>
          <cell r="AY4" t="str">
            <v>(20+21)</v>
          </cell>
          <cell r="BA4" t="str">
            <v>(22+23)</v>
          </cell>
          <cell r="BB4" t="str">
            <v>GENERAL</v>
          </cell>
          <cell r="BC4" t="str">
            <v>(45+46)</v>
          </cell>
          <cell r="BK4" t="str">
            <v>GENERAL</v>
          </cell>
          <cell r="BL4" t="str">
            <v>(53+54)</v>
          </cell>
        </row>
        <row r="5">
          <cell r="U5" t="str">
            <v>SPECIFIC</v>
          </cell>
          <cell r="V5" t="str">
            <v>AGGREGATE</v>
          </cell>
          <cell r="W5" t="str">
            <v>AGG &amp; SPEC</v>
          </cell>
          <cell r="X5" t="str">
            <v>TRANSP.</v>
          </cell>
          <cell r="Y5" t="str">
            <v>N/M</v>
          </cell>
          <cell r="AA5" t="str">
            <v>COMMISSIONS</v>
          </cell>
          <cell r="AD5" t="str">
            <v>SAAC</v>
          </cell>
          <cell r="AE5" t="str">
            <v>ADJUSTED</v>
          </cell>
          <cell r="AF5" t="str">
            <v>LEDGER</v>
          </cell>
          <cell r="AG5" t="str">
            <v>LEDGER</v>
          </cell>
          <cell r="AI5" t="str">
            <v>(41-37)</v>
          </cell>
          <cell r="AJ5" t="str">
            <v>(25+28)</v>
          </cell>
          <cell r="AL5" t="str">
            <v>(29-23)</v>
          </cell>
          <cell r="AN5" t="str">
            <v xml:space="preserve">SAAC </v>
          </cell>
          <cell r="AO5" t="str">
            <v>BROKER</v>
          </cell>
          <cell r="AP5" t="str">
            <v>BROKER</v>
          </cell>
          <cell r="AQ5" t="str">
            <v>CLAIMS IN</v>
          </cell>
          <cell r="AR5" t="str">
            <v>CLAIMS IN</v>
          </cell>
          <cell r="AS5" t="str">
            <v>TOTAL</v>
          </cell>
          <cell r="AT5" t="str">
            <v>ALLOCATED</v>
          </cell>
          <cell r="AU5" t="str">
            <v>-13-14-17-18)</v>
          </cell>
          <cell r="AX5" t="str">
            <v>ACCESS</v>
          </cell>
          <cell r="BA5" t="str">
            <v>TOTAL</v>
          </cell>
          <cell r="BB5" t="str">
            <v>LEDGER</v>
          </cell>
          <cell r="BD5" t="str">
            <v>SAAC</v>
          </cell>
          <cell r="BH5" t="str">
            <v>(24+25+26+27)</v>
          </cell>
          <cell r="BJ5" t="str">
            <v>(29-30)</v>
          </cell>
          <cell r="BK5" t="str">
            <v>LEDGER</v>
          </cell>
        </row>
        <row r="6">
          <cell r="D6" t="str">
            <v>NASCO</v>
          </cell>
          <cell r="E6" t="str">
            <v>LOCAL</v>
          </cell>
          <cell r="O6" t="str">
            <v>OPERATING</v>
          </cell>
          <cell r="U6" t="str">
            <v xml:space="preserve"> S/L PREM</v>
          </cell>
          <cell r="V6" t="str">
            <v>S/L PREM</v>
          </cell>
          <cell r="W6" t="str">
            <v>PREM</v>
          </cell>
          <cell r="X6" t="str">
            <v>CHARGED</v>
          </cell>
          <cell r="Y6" t="str">
            <v>CHARGED</v>
          </cell>
          <cell r="AA6" t="str">
            <v>CHARGED</v>
          </cell>
          <cell r="AB6" t="str">
            <v>ADMIN</v>
          </cell>
          <cell r="AC6" t="str">
            <v>GROSS RETEN.</v>
          </cell>
          <cell r="AD6" t="str">
            <v>WITHHOLD</v>
          </cell>
          <cell r="AE6" t="str">
            <v>GROSS RETEN.</v>
          </cell>
          <cell r="AF6" t="str">
            <v>CARE</v>
          </cell>
          <cell r="AG6" t="str">
            <v>REVENUE</v>
          </cell>
          <cell r="AH6" t="str">
            <v>SETTLEMENT</v>
          </cell>
          <cell r="AJ6" t="str">
            <v xml:space="preserve">GROSS </v>
          </cell>
          <cell r="AK6" t="str">
            <v>GROSS RETEN.</v>
          </cell>
          <cell r="AL6" t="str">
            <v xml:space="preserve">NET </v>
          </cell>
          <cell r="AM6" t="str">
            <v>ACCESS FEES</v>
          </cell>
          <cell r="AN6" t="str">
            <v xml:space="preserve"> WITHHOLD</v>
          </cell>
          <cell r="AO6" t="str">
            <v>ADMIN NOT</v>
          </cell>
          <cell r="AP6" t="str">
            <v>BONUS NOT</v>
          </cell>
          <cell r="AQ6" t="str">
            <v>EXCESS OF</v>
          </cell>
          <cell r="AR6" t="str">
            <v>EXCESS OF</v>
          </cell>
          <cell r="AS6" t="str">
            <v>CLAIMS IN</v>
          </cell>
          <cell r="AT6" t="str">
            <v xml:space="preserve">OPERATING </v>
          </cell>
          <cell r="AX6" t="str">
            <v>FEES</v>
          </cell>
          <cell r="AY6" t="str">
            <v>GROSS</v>
          </cell>
          <cell r="BA6" t="str">
            <v>WILLSE &amp;</v>
          </cell>
          <cell r="BB6" t="str">
            <v>CARE</v>
          </cell>
          <cell r="BC6" t="str">
            <v>TOTAL</v>
          </cell>
          <cell r="BD6" t="str">
            <v>WITHHOLD</v>
          </cell>
          <cell r="BE6" t="str">
            <v>GROSS RETEN.</v>
          </cell>
          <cell r="BF6" t="str">
            <v>SETTLEMENT</v>
          </cell>
          <cell r="BJ6" t="str">
            <v>SETTLEMENTS</v>
          </cell>
          <cell r="BK6" t="str">
            <v>REVENUE</v>
          </cell>
          <cell r="BL6" t="str">
            <v>TOTAL</v>
          </cell>
        </row>
        <row r="7">
          <cell r="C7" t="str">
            <v xml:space="preserve">ADDITIONAL </v>
          </cell>
          <cell r="D7" t="str">
            <v>ACCOUNT</v>
          </cell>
          <cell r="E7" t="str">
            <v>ACCOUNT</v>
          </cell>
          <cell r="F7" t="str">
            <v>CONTRACT</v>
          </cell>
          <cell r="G7" t="str">
            <v>RENEW</v>
          </cell>
          <cell r="H7" t="str">
            <v>UNDER</v>
          </cell>
          <cell r="I7" t="str">
            <v>SALES</v>
          </cell>
          <cell r="J7" t="str">
            <v>FUNDING</v>
          </cell>
          <cell r="M7" t="str">
            <v>CLAIMS</v>
          </cell>
          <cell r="N7" t="str">
            <v>HOSPITAL</v>
          </cell>
          <cell r="O7" t="str">
            <v>CHARGES</v>
          </cell>
          <cell r="P7" t="str">
            <v>NATIONAL/</v>
          </cell>
          <cell r="Q7" t="str">
            <v>MEDICAL</v>
          </cell>
          <cell r="R7" t="str">
            <v>NUMBER</v>
          </cell>
          <cell r="S7" t="str">
            <v>SPEC S/L</v>
          </cell>
          <cell r="T7" t="str">
            <v>AGG S/L</v>
          </cell>
          <cell r="U7" t="str">
            <v>CHARGED</v>
          </cell>
          <cell r="V7" t="str">
            <v>CHARGED</v>
          </cell>
          <cell r="W7" t="str">
            <v>CHARGED</v>
          </cell>
          <cell r="X7" t="str">
            <v>TO</v>
          </cell>
          <cell r="Y7" t="str">
            <v xml:space="preserve">TO </v>
          </cell>
          <cell r="Z7" t="str">
            <v>PREMIUM</v>
          </cell>
          <cell r="AA7" t="str">
            <v>TO</v>
          </cell>
          <cell r="AB7" t="str">
            <v>CHARGED TO</v>
          </cell>
          <cell r="AC7" t="str">
            <v xml:space="preserve">CHARGED TO </v>
          </cell>
          <cell r="AD7" t="str">
            <v>BILLED TO</v>
          </cell>
          <cell r="AE7" t="str">
            <v xml:space="preserve">CHARGED TO </v>
          </cell>
          <cell r="AF7" t="str">
            <v>ADJUSTMENTS</v>
          </cell>
          <cell r="AG7" t="str">
            <v>ADJUSTMENTS</v>
          </cell>
          <cell r="AH7" t="str">
            <v>REVENUE</v>
          </cell>
          <cell r="AI7" t="str">
            <v>NOT AT RISK</v>
          </cell>
          <cell r="AJ7" t="str">
            <v>PREMIUM</v>
          </cell>
          <cell r="AK7" t="str">
            <v xml:space="preserve">CHARGED TO </v>
          </cell>
          <cell r="AL7" t="str">
            <v>PREMIUM</v>
          </cell>
          <cell r="AM7" t="str">
            <v>NOT BILLED</v>
          </cell>
          <cell r="AN7" t="str">
            <v>NOT BILLED</v>
          </cell>
          <cell r="AO7" t="str">
            <v>BILLED TO</v>
          </cell>
          <cell r="AP7" t="str">
            <v>BILLED TO</v>
          </cell>
          <cell r="AQ7" t="str">
            <v xml:space="preserve">SPEC </v>
          </cell>
          <cell r="AR7" t="str">
            <v>AGG</v>
          </cell>
          <cell r="AS7" t="str">
            <v>EXCESS</v>
          </cell>
          <cell r="AT7" t="str">
            <v>EXPENSE</v>
          </cell>
          <cell r="AU7" t="str">
            <v>U/W GAIN</v>
          </cell>
          <cell r="AW7" t="str">
            <v>CFMI</v>
          </cell>
          <cell r="AX7" t="str">
            <v>BILLED TO</v>
          </cell>
          <cell r="AY7" t="str">
            <v>CFMI</v>
          </cell>
          <cell r="AZ7" t="str">
            <v>WILLSE</v>
          </cell>
          <cell r="BA7" t="str">
            <v>CFMD</v>
          </cell>
          <cell r="BB7" t="str">
            <v>ADJUSTMENTS</v>
          </cell>
          <cell r="BC7" t="str">
            <v>ASO</v>
          </cell>
          <cell r="BD7" t="str">
            <v>BILLED TO</v>
          </cell>
          <cell r="BE7" t="str">
            <v xml:space="preserve">CHARGED TO </v>
          </cell>
          <cell r="BF7" t="str">
            <v>REVENUE</v>
          </cell>
          <cell r="BG7" t="str">
            <v>explanation</v>
          </cell>
          <cell r="BH7" t="str">
            <v>TOTAL GROSS</v>
          </cell>
          <cell r="BI7" t="str">
            <v>LESS</v>
          </cell>
          <cell r="BJ7" t="str">
            <v>TOTAL NET</v>
          </cell>
          <cell r="BK7" t="str">
            <v>ADJUSTMENTS</v>
          </cell>
          <cell r="BL7" t="str">
            <v>ASO</v>
          </cell>
        </row>
        <row r="8">
          <cell r="B8" t="str">
            <v>ACCOUNT NAME</v>
          </cell>
          <cell r="C8" t="str">
            <v>ACCOUNT NAMES</v>
          </cell>
          <cell r="D8" t="str">
            <v>NUMBER</v>
          </cell>
          <cell r="E8" t="str">
            <v>NUMBER</v>
          </cell>
          <cell r="F8" t="str">
            <v>TYPE</v>
          </cell>
          <cell r="G8" t="str">
            <v>MONTH</v>
          </cell>
          <cell r="H8" t="str">
            <v>WRITER</v>
          </cell>
          <cell r="I8" t="str">
            <v>REP</v>
          </cell>
          <cell r="J8" t="str">
            <v>ARRANGEMENT</v>
          </cell>
          <cell r="K8" t="str">
            <v>ANALYST</v>
          </cell>
          <cell r="L8" t="str">
            <v>BROKER</v>
          </cell>
          <cell r="M8" t="str">
            <v>DEPOSIT</v>
          </cell>
          <cell r="N8" t="str">
            <v>DEPOSIT</v>
          </cell>
          <cell r="O8" t="str">
            <v>BILLED BY</v>
          </cell>
          <cell r="P8" t="str">
            <v>LOCAL</v>
          </cell>
          <cell r="Q8" t="str">
            <v>CONTRTS</v>
          </cell>
          <cell r="R8" t="str">
            <v>MEMBERS</v>
          </cell>
          <cell r="S8" t="str">
            <v>CAP</v>
          </cell>
          <cell r="T8" t="str">
            <v>CAP</v>
          </cell>
          <cell r="U8" t="str">
            <v>TO GROUPS</v>
          </cell>
          <cell r="V8" t="str">
            <v>TO GROUPS</v>
          </cell>
          <cell r="W8" t="str">
            <v>TO GROUPS</v>
          </cell>
          <cell r="X8" t="str">
            <v xml:space="preserve"> GROUPS</v>
          </cell>
          <cell r="Y8" t="str">
            <v xml:space="preserve"> GROUPS</v>
          </cell>
          <cell r="Z8" t="str">
            <v>TAX</v>
          </cell>
          <cell r="AA8" t="str">
            <v>GROUPS</v>
          </cell>
          <cell r="AB8" t="str">
            <v>GROUP ACCTS</v>
          </cell>
          <cell r="AC8" t="str">
            <v>GROUP ACCTS</v>
          </cell>
          <cell r="AD8" t="str">
            <v>GROUPS</v>
          </cell>
          <cell r="AE8" t="str">
            <v>GROUP ACCTS</v>
          </cell>
          <cell r="AF8" t="str">
            <v>ALLOCATED</v>
          </cell>
          <cell r="AG8" t="str">
            <v>ALLOCATED</v>
          </cell>
          <cell r="AH8" t="str">
            <v>ADJUSTMENTS</v>
          </cell>
          <cell r="AI8" t="str">
            <v>CLAIMS</v>
          </cell>
          <cell r="AJ8" t="str">
            <v>EQUIVALENT</v>
          </cell>
          <cell r="AK8" t="str">
            <v>GROUP ACCTS</v>
          </cell>
          <cell r="AL8" t="str">
            <v>EQUIVALENT</v>
          </cell>
          <cell r="AM8" t="str">
            <v>TO GROUPS</v>
          </cell>
          <cell r="AN8" t="str">
            <v>TO GROUPS</v>
          </cell>
          <cell r="AO8" t="str">
            <v>GROUPS</v>
          </cell>
          <cell r="AP8" t="str">
            <v>GROUPS</v>
          </cell>
          <cell r="AQ8" t="str">
            <v>S/L</v>
          </cell>
          <cell r="AR8" t="str">
            <v>S/L</v>
          </cell>
          <cell r="AS8" t="str">
            <v>OF S/L</v>
          </cell>
          <cell r="AU8" t="str">
            <v>(LOSS)</v>
          </cell>
          <cell r="AW8" t="str">
            <v>ASO CLAIMS</v>
          </cell>
          <cell r="AX8" t="str">
            <v>GROUPS</v>
          </cell>
          <cell r="AY8" t="str">
            <v>ASO CLAIMS</v>
          </cell>
          <cell r="AZ8" t="str">
            <v>CLAIMS</v>
          </cell>
          <cell r="BA8" t="str">
            <v>CLAIMS</v>
          </cell>
          <cell r="BB8" t="str">
            <v>ALLOCATED</v>
          </cell>
          <cell r="BC8" t="str">
            <v>CARE</v>
          </cell>
          <cell r="BD8" t="str">
            <v>GROUPS</v>
          </cell>
          <cell r="BE8" t="str">
            <v>GROUP ACCTS</v>
          </cell>
          <cell r="BF8" t="str">
            <v>ADJUSTMENTS</v>
          </cell>
          <cell r="BH8" t="str">
            <v>REVENUE</v>
          </cell>
          <cell r="BI8" t="str">
            <v>EXCESS S/L</v>
          </cell>
          <cell r="BJ8" t="str">
            <v>REVENUE</v>
          </cell>
          <cell r="BK8" t="str">
            <v>ALLOCATED</v>
          </cell>
          <cell r="BL8" t="str">
            <v>REVENUE</v>
          </cell>
        </row>
        <row r="9">
          <cell r="B9" t="str">
            <v>ADVANCED PCS</v>
          </cell>
          <cell r="C9">
            <v>0</v>
          </cell>
          <cell r="D9">
            <v>1900069</v>
          </cell>
          <cell r="E9">
            <v>57913</v>
          </cell>
          <cell r="F9">
            <v>0</v>
          </cell>
          <cell r="G9" t="str">
            <v>termed 1/04</v>
          </cell>
          <cell r="H9" t="str">
            <v>Michael</v>
          </cell>
          <cell r="I9" t="str">
            <v>Engel</v>
          </cell>
          <cell r="J9" t="str">
            <v>Weekly Wire</v>
          </cell>
          <cell r="K9" t="str">
            <v>NETTIE</v>
          </cell>
          <cell r="L9" t="str">
            <v>NONE</v>
          </cell>
          <cell r="M9">
            <v>0</v>
          </cell>
          <cell r="N9">
            <v>31000</v>
          </cell>
          <cell r="O9" t="str">
            <v>NASCO</v>
          </cell>
          <cell r="P9" t="str">
            <v>NATIONAL</v>
          </cell>
          <cell r="Q9" t="str">
            <v>run-out</v>
          </cell>
          <cell r="R9">
            <v>0</v>
          </cell>
          <cell r="S9">
            <v>0</v>
          </cell>
          <cell r="T9">
            <v>0</v>
          </cell>
          <cell r="U9">
            <v>0</v>
          </cell>
          <cell r="V9">
            <v>0</v>
          </cell>
          <cell r="W9">
            <v>0</v>
          </cell>
          <cell r="X9">
            <v>0</v>
          </cell>
          <cell r="Y9">
            <v>0</v>
          </cell>
          <cell r="Z9">
            <v>0</v>
          </cell>
          <cell r="AA9">
            <v>0</v>
          </cell>
          <cell r="AB9">
            <v>60584</v>
          </cell>
          <cell r="AC9">
            <v>60584</v>
          </cell>
          <cell r="AD9">
            <v>-15</v>
          </cell>
          <cell r="AE9">
            <v>60569</v>
          </cell>
          <cell r="AF9">
            <v>0</v>
          </cell>
          <cell r="AG9">
            <v>0</v>
          </cell>
          <cell r="AH9">
            <v>6350</v>
          </cell>
          <cell r="AI9">
            <v>432222</v>
          </cell>
          <cell r="AJ9">
            <v>492806</v>
          </cell>
          <cell r="AK9">
            <v>60584</v>
          </cell>
          <cell r="AL9">
            <v>492806</v>
          </cell>
          <cell r="AM9">
            <v>0</v>
          </cell>
          <cell r="AN9">
            <v>0</v>
          </cell>
          <cell r="AO9">
            <v>0</v>
          </cell>
          <cell r="AP9">
            <v>0</v>
          </cell>
          <cell r="AQ9">
            <v>0</v>
          </cell>
          <cell r="AR9">
            <v>0</v>
          </cell>
          <cell r="AS9">
            <v>0</v>
          </cell>
          <cell r="AT9">
            <v>42662.072379502693</v>
          </cell>
          <cell r="AU9">
            <v>24256.927620497307</v>
          </cell>
          <cell r="AW9">
            <v>432222</v>
          </cell>
          <cell r="AX9">
            <v>266</v>
          </cell>
          <cell r="AY9">
            <v>432488</v>
          </cell>
          <cell r="AZ9">
            <v>0</v>
          </cell>
          <cell r="BA9">
            <v>432488</v>
          </cell>
          <cell r="BB9">
            <v>0</v>
          </cell>
          <cell r="BC9">
            <v>432488</v>
          </cell>
          <cell r="BD9">
            <v>-15</v>
          </cell>
          <cell r="BE9">
            <v>60584</v>
          </cell>
          <cell r="BF9">
            <v>6350</v>
          </cell>
          <cell r="BH9">
            <v>499407</v>
          </cell>
          <cell r="BI9">
            <v>0</v>
          </cell>
          <cell r="BJ9">
            <v>499407</v>
          </cell>
          <cell r="BK9">
            <v>0</v>
          </cell>
          <cell r="BL9">
            <v>499407</v>
          </cell>
        </row>
        <row r="10">
          <cell r="B10" t="str">
            <v>AEGON</v>
          </cell>
          <cell r="C10">
            <v>0</v>
          </cell>
          <cell r="D10">
            <v>1900161</v>
          </cell>
          <cell r="E10">
            <v>28020</v>
          </cell>
          <cell r="F10" t="str">
            <v>ASC</v>
          </cell>
          <cell r="G10" t="str">
            <v>JAN</v>
          </cell>
          <cell r="H10" t="str">
            <v>Lentz</v>
          </cell>
          <cell r="I10" t="str">
            <v>Maier</v>
          </cell>
          <cell r="J10" t="str">
            <v>Bi-weekly Wire</v>
          </cell>
          <cell r="K10" t="str">
            <v>BARBARA</v>
          </cell>
          <cell r="L10" t="str">
            <v>None</v>
          </cell>
          <cell r="M10">
            <v>0</v>
          </cell>
          <cell r="N10">
            <v>0</v>
          </cell>
          <cell r="O10" t="str">
            <v>NASCO-S</v>
          </cell>
          <cell r="P10" t="str">
            <v>NATIONAL</v>
          </cell>
          <cell r="Q10">
            <v>5488</v>
          </cell>
          <cell r="R10">
            <v>0</v>
          </cell>
          <cell r="S10">
            <v>0</v>
          </cell>
          <cell r="T10">
            <v>0</v>
          </cell>
          <cell r="U10">
            <v>0</v>
          </cell>
          <cell r="V10">
            <v>0</v>
          </cell>
          <cell r="W10">
            <v>0</v>
          </cell>
          <cell r="X10">
            <v>0</v>
          </cell>
          <cell r="Y10">
            <v>0</v>
          </cell>
          <cell r="Z10">
            <v>0</v>
          </cell>
          <cell r="AA10">
            <v>0</v>
          </cell>
          <cell r="AB10">
            <v>2253263</v>
          </cell>
          <cell r="AC10">
            <v>2253263</v>
          </cell>
          <cell r="AD10">
            <v>-18</v>
          </cell>
          <cell r="AE10">
            <v>2253245</v>
          </cell>
          <cell r="AF10">
            <v>0</v>
          </cell>
          <cell r="AG10">
            <v>0</v>
          </cell>
          <cell r="AH10">
            <v>-13122</v>
          </cell>
          <cell r="AI10">
            <v>33859063</v>
          </cell>
          <cell r="AJ10">
            <v>36112326</v>
          </cell>
          <cell r="AK10">
            <v>2253263</v>
          </cell>
          <cell r="AL10">
            <v>36112326</v>
          </cell>
          <cell r="AM10">
            <v>0</v>
          </cell>
          <cell r="AN10">
            <v>0</v>
          </cell>
          <cell r="AO10">
            <v>0</v>
          </cell>
          <cell r="AP10">
            <v>0</v>
          </cell>
          <cell r="AQ10">
            <v>0</v>
          </cell>
          <cell r="AR10">
            <v>0</v>
          </cell>
          <cell r="AS10">
            <v>0</v>
          </cell>
          <cell r="AT10">
            <v>3303761.3417732371</v>
          </cell>
          <cell r="AU10">
            <v>-1063638.3417732371</v>
          </cell>
          <cell r="AW10">
            <v>33859063</v>
          </cell>
          <cell r="AX10">
            <v>510212</v>
          </cell>
          <cell r="AY10">
            <v>34369275</v>
          </cell>
          <cell r="AZ10">
            <v>0</v>
          </cell>
          <cell r="BA10">
            <v>34369275</v>
          </cell>
          <cell r="BB10">
            <v>0</v>
          </cell>
          <cell r="BC10">
            <v>34369275</v>
          </cell>
          <cell r="BD10">
            <v>-18</v>
          </cell>
          <cell r="BE10">
            <v>2253263</v>
          </cell>
          <cell r="BF10">
            <v>-13122</v>
          </cell>
          <cell r="BH10">
            <v>36609398</v>
          </cell>
          <cell r="BI10">
            <v>0</v>
          </cell>
          <cell r="BJ10">
            <v>36609398</v>
          </cell>
          <cell r="BK10">
            <v>0</v>
          </cell>
          <cell r="BL10">
            <v>36609398</v>
          </cell>
        </row>
        <row r="11">
          <cell r="B11" t="str">
            <v>AETHER SYSTEMS</v>
          </cell>
          <cell r="C11">
            <v>0</v>
          </cell>
          <cell r="D11">
            <v>1900126</v>
          </cell>
          <cell r="E11">
            <v>57692</v>
          </cell>
          <cell r="F11">
            <v>0</v>
          </cell>
          <cell r="G11" t="str">
            <v>FI 1/04</v>
          </cell>
          <cell r="H11" t="str">
            <v>Delong</v>
          </cell>
          <cell r="I11" t="str">
            <v>Drusano</v>
          </cell>
          <cell r="J11" t="str">
            <v>Direct Debit--Weekly</v>
          </cell>
          <cell r="K11" t="str">
            <v>LISA</v>
          </cell>
          <cell r="L11" t="str">
            <v>Huber, Oros &amp; Co.</v>
          </cell>
          <cell r="M11">
            <v>0</v>
          </cell>
          <cell r="N11">
            <v>59000</v>
          </cell>
          <cell r="O11" t="str">
            <v>NASCO</v>
          </cell>
          <cell r="P11" t="str">
            <v>NATIONAL</v>
          </cell>
          <cell r="Q11" t="str">
            <v>termed</v>
          </cell>
          <cell r="R11">
            <v>0</v>
          </cell>
          <cell r="S11">
            <v>0</v>
          </cell>
          <cell r="T11">
            <v>0</v>
          </cell>
          <cell r="U11">
            <v>0</v>
          </cell>
          <cell r="V11">
            <v>0</v>
          </cell>
          <cell r="W11">
            <v>0</v>
          </cell>
          <cell r="X11">
            <v>0</v>
          </cell>
          <cell r="Y11">
            <v>0</v>
          </cell>
          <cell r="Z11">
            <v>0</v>
          </cell>
          <cell r="AA11">
            <v>0</v>
          </cell>
          <cell r="AB11">
            <v>16248</v>
          </cell>
          <cell r="AC11">
            <v>16248</v>
          </cell>
          <cell r="AD11">
            <v>0</v>
          </cell>
          <cell r="AE11">
            <v>16248</v>
          </cell>
          <cell r="AF11">
            <v>0</v>
          </cell>
          <cell r="AG11">
            <v>0</v>
          </cell>
          <cell r="AH11">
            <v>0</v>
          </cell>
          <cell r="AI11">
            <v>156689</v>
          </cell>
          <cell r="AJ11">
            <v>172937</v>
          </cell>
          <cell r="AK11">
            <v>16248</v>
          </cell>
          <cell r="AL11">
            <v>172937</v>
          </cell>
          <cell r="AM11">
            <v>0</v>
          </cell>
          <cell r="AN11">
            <v>0</v>
          </cell>
          <cell r="AO11">
            <v>0</v>
          </cell>
          <cell r="AP11">
            <v>0</v>
          </cell>
          <cell r="AQ11">
            <v>0</v>
          </cell>
          <cell r="AR11">
            <v>0</v>
          </cell>
          <cell r="AS11">
            <v>0</v>
          </cell>
          <cell r="AT11">
            <v>15689.077624346179</v>
          </cell>
          <cell r="AU11">
            <v>558.92237565382129</v>
          </cell>
          <cell r="AW11">
            <v>156689</v>
          </cell>
          <cell r="AX11">
            <v>5004</v>
          </cell>
          <cell r="AY11">
            <v>161693</v>
          </cell>
          <cell r="AZ11">
            <v>0</v>
          </cell>
          <cell r="BA11">
            <v>161693</v>
          </cell>
          <cell r="BB11">
            <v>0</v>
          </cell>
          <cell r="BC11">
            <v>161693</v>
          </cell>
          <cell r="BD11">
            <v>0</v>
          </cell>
          <cell r="BE11">
            <v>16248</v>
          </cell>
          <cell r="BF11">
            <v>0</v>
          </cell>
          <cell r="BH11">
            <v>177941</v>
          </cell>
          <cell r="BI11">
            <v>0</v>
          </cell>
          <cell r="BJ11">
            <v>177941</v>
          </cell>
          <cell r="BK11">
            <v>0</v>
          </cell>
          <cell r="BL11">
            <v>177941</v>
          </cell>
        </row>
        <row r="12">
          <cell r="B12" t="str">
            <v>AHOLD/GIANT</v>
          </cell>
          <cell r="C12">
            <v>0</v>
          </cell>
          <cell r="D12">
            <v>1900403</v>
          </cell>
          <cell r="E12">
            <v>63697</v>
          </cell>
          <cell r="F12" t="str">
            <v>ASC</v>
          </cell>
          <cell r="G12" t="str">
            <v>JAN</v>
          </cell>
          <cell r="H12" t="str">
            <v>Michael</v>
          </cell>
          <cell r="I12" t="str">
            <v>Maier</v>
          </cell>
          <cell r="J12" t="str">
            <v>Weekly Wire</v>
          </cell>
          <cell r="K12" t="str">
            <v>LISA</v>
          </cell>
          <cell r="L12" t="str">
            <v>None</v>
          </cell>
          <cell r="M12">
            <v>0</v>
          </cell>
          <cell r="N12">
            <v>138125</v>
          </cell>
          <cell r="O12" t="str">
            <v>NASCO</v>
          </cell>
          <cell r="P12" t="str">
            <v>NATIONAL</v>
          </cell>
          <cell r="Q12">
            <v>7514</v>
          </cell>
          <cell r="R12">
            <v>0</v>
          </cell>
          <cell r="S12">
            <v>200000</v>
          </cell>
          <cell r="T12">
            <v>0</v>
          </cell>
          <cell r="U12">
            <v>694156.89</v>
          </cell>
          <cell r="V12">
            <v>0</v>
          </cell>
          <cell r="W12">
            <v>694156.89</v>
          </cell>
          <cell r="X12">
            <v>0</v>
          </cell>
          <cell r="Y12">
            <v>0</v>
          </cell>
          <cell r="Z12">
            <v>0</v>
          </cell>
          <cell r="AA12">
            <v>0</v>
          </cell>
          <cell r="AB12">
            <v>2611352.11</v>
          </cell>
          <cell r="AC12">
            <v>3305509</v>
          </cell>
          <cell r="AD12">
            <v>2473</v>
          </cell>
          <cell r="AE12">
            <v>3307982</v>
          </cell>
          <cell r="AF12">
            <v>0</v>
          </cell>
          <cell r="AG12">
            <v>0</v>
          </cell>
          <cell r="AH12">
            <v>0</v>
          </cell>
          <cell r="AI12">
            <v>30650035</v>
          </cell>
          <cell r="AJ12">
            <v>33955544</v>
          </cell>
          <cell r="AK12">
            <v>3305509</v>
          </cell>
          <cell r="AL12">
            <v>33955544</v>
          </cell>
          <cell r="AM12">
            <v>0</v>
          </cell>
          <cell r="AN12">
            <v>0</v>
          </cell>
          <cell r="AO12">
            <v>0</v>
          </cell>
          <cell r="AP12">
            <v>0</v>
          </cell>
          <cell r="AQ12">
            <v>690131</v>
          </cell>
          <cell r="AR12">
            <v>0</v>
          </cell>
          <cell r="AS12">
            <v>690131</v>
          </cell>
          <cell r="AT12">
            <v>3049771.9193066461</v>
          </cell>
          <cell r="AU12">
            <v>-431920.9193066461</v>
          </cell>
          <cell r="AW12">
            <v>31340166</v>
          </cell>
          <cell r="AX12">
            <v>562764</v>
          </cell>
          <cell r="AY12">
            <v>31902930</v>
          </cell>
          <cell r="AZ12">
            <v>0</v>
          </cell>
          <cell r="BA12">
            <v>31902930</v>
          </cell>
          <cell r="BB12">
            <v>0</v>
          </cell>
          <cell r="BC12">
            <v>31902930</v>
          </cell>
          <cell r="BD12">
            <v>2473</v>
          </cell>
          <cell r="BE12">
            <v>3305509</v>
          </cell>
          <cell r="BF12">
            <v>0</v>
          </cell>
          <cell r="BH12">
            <v>35210912</v>
          </cell>
          <cell r="BI12">
            <v>690131</v>
          </cell>
          <cell r="BJ12">
            <v>34520781</v>
          </cell>
          <cell r="BK12">
            <v>0</v>
          </cell>
          <cell r="BL12">
            <v>34520781</v>
          </cell>
        </row>
        <row r="13">
          <cell r="B13" t="str">
            <v xml:space="preserve">ALLEGANY CO P S </v>
          </cell>
          <cell r="C13">
            <v>0</v>
          </cell>
          <cell r="D13" t="str">
            <v>n/a</v>
          </cell>
          <cell r="E13">
            <v>60924</v>
          </cell>
          <cell r="F13" t="str">
            <v>ASC</v>
          </cell>
          <cell r="G13" t="str">
            <v>JUL</v>
          </cell>
          <cell r="H13" t="str">
            <v>Michael</v>
          </cell>
          <cell r="I13" t="str">
            <v>Lopez</v>
          </cell>
          <cell r="J13" t="str">
            <v>Weekly Wire</v>
          </cell>
          <cell r="K13" t="str">
            <v>LISA</v>
          </cell>
          <cell r="L13" t="str">
            <v>None</v>
          </cell>
          <cell r="M13">
            <v>0</v>
          </cell>
          <cell r="N13">
            <v>235000</v>
          </cell>
          <cell r="O13" t="str">
            <v>CARE</v>
          </cell>
          <cell r="P13" t="str">
            <v>LOCAL</v>
          </cell>
          <cell r="Q13">
            <v>1787</v>
          </cell>
          <cell r="R13">
            <v>0</v>
          </cell>
          <cell r="S13">
            <v>0</v>
          </cell>
          <cell r="T13">
            <v>0</v>
          </cell>
          <cell r="U13">
            <v>0</v>
          </cell>
          <cell r="V13">
            <v>0</v>
          </cell>
          <cell r="W13">
            <v>0</v>
          </cell>
          <cell r="X13">
            <v>0</v>
          </cell>
          <cell r="Y13">
            <v>51524.58</v>
          </cell>
          <cell r="Z13">
            <v>0</v>
          </cell>
          <cell r="AA13">
            <v>0</v>
          </cell>
          <cell r="AB13">
            <v>807218.42</v>
          </cell>
          <cell r="AC13">
            <v>858743</v>
          </cell>
          <cell r="AD13">
            <v>302</v>
          </cell>
          <cell r="AE13">
            <v>859045</v>
          </cell>
          <cell r="AF13">
            <v>0</v>
          </cell>
          <cell r="AG13">
            <v>0</v>
          </cell>
          <cell r="AH13">
            <v>600</v>
          </cell>
          <cell r="AI13">
            <v>10445998</v>
          </cell>
          <cell r="AJ13">
            <v>11304741</v>
          </cell>
          <cell r="AK13">
            <v>858743</v>
          </cell>
          <cell r="AL13">
            <v>11304741</v>
          </cell>
          <cell r="AM13">
            <v>0</v>
          </cell>
          <cell r="AN13">
            <v>0</v>
          </cell>
          <cell r="AO13">
            <v>0</v>
          </cell>
          <cell r="AP13">
            <v>0</v>
          </cell>
          <cell r="AQ13">
            <v>0</v>
          </cell>
          <cell r="AR13">
            <v>0</v>
          </cell>
          <cell r="AS13">
            <v>0</v>
          </cell>
          <cell r="AT13">
            <v>1017296.0667168743</v>
          </cell>
          <cell r="AU13">
            <v>-157651.06671687425</v>
          </cell>
          <cell r="AW13">
            <v>10445998</v>
          </cell>
          <cell r="AX13">
            <v>39892</v>
          </cell>
          <cell r="AY13">
            <v>10485890</v>
          </cell>
          <cell r="AZ13">
            <v>750792</v>
          </cell>
          <cell r="BA13">
            <v>11236682</v>
          </cell>
          <cell r="BB13">
            <v>0</v>
          </cell>
          <cell r="BC13">
            <v>11236682</v>
          </cell>
          <cell r="BD13">
            <v>302</v>
          </cell>
          <cell r="BE13">
            <v>858743</v>
          </cell>
          <cell r="BF13">
            <v>600</v>
          </cell>
          <cell r="BH13">
            <v>12096327</v>
          </cell>
          <cell r="BI13">
            <v>0</v>
          </cell>
          <cell r="BJ13">
            <v>12096327</v>
          </cell>
          <cell r="BK13">
            <v>0</v>
          </cell>
          <cell r="BL13">
            <v>12096327</v>
          </cell>
        </row>
        <row r="14">
          <cell r="B14" t="str">
            <v>ALLEGIS/MAXIM INTERNAL</v>
          </cell>
          <cell r="C14" t="str">
            <v>AEROTEK</v>
          </cell>
          <cell r="D14">
            <v>1900224</v>
          </cell>
          <cell r="E14">
            <v>40117</v>
          </cell>
          <cell r="F14" t="str">
            <v>ASC</v>
          </cell>
          <cell r="G14" t="str">
            <v>JAN</v>
          </cell>
          <cell r="H14" t="str">
            <v>Michael</v>
          </cell>
          <cell r="I14" t="str">
            <v>Engel</v>
          </cell>
          <cell r="J14" t="str">
            <v>Weekly Wire</v>
          </cell>
          <cell r="K14" t="str">
            <v>BARBARA</v>
          </cell>
          <cell r="L14" t="str">
            <v>Wachovia</v>
          </cell>
          <cell r="M14">
            <v>0</v>
          </cell>
          <cell r="N14">
            <v>204000</v>
          </cell>
          <cell r="O14" t="str">
            <v>NASCO</v>
          </cell>
          <cell r="P14" t="str">
            <v>NATIONAL</v>
          </cell>
          <cell r="Q14">
            <v>9846</v>
          </cell>
          <cell r="R14">
            <v>0</v>
          </cell>
          <cell r="S14">
            <v>200000</v>
          </cell>
          <cell r="T14">
            <v>0</v>
          </cell>
          <cell r="U14">
            <v>717354.2</v>
          </cell>
          <cell r="V14">
            <v>0</v>
          </cell>
          <cell r="W14">
            <v>717354.2</v>
          </cell>
          <cell r="X14">
            <v>0</v>
          </cell>
          <cell r="Y14">
            <v>251073.97</v>
          </cell>
          <cell r="Z14">
            <v>0</v>
          </cell>
          <cell r="AA14">
            <v>179338.55</v>
          </cell>
          <cell r="AB14">
            <v>2439004.2799999998</v>
          </cell>
          <cell r="AC14">
            <v>3586771</v>
          </cell>
          <cell r="AD14">
            <v>-268</v>
          </cell>
          <cell r="AE14">
            <v>3586503</v>
          </cell>
          <cell r="AF14">
            <v>0</v>
          </cell>
          <cell r="AG14">
            <v>0</v>
          </cell>
          <cell r="AH14">
            <v>-17583</v>
          </cell>
          <cell r="AI14">
            <v>27972395</v>
          </cell>
          <cell r="AJ14">
            <v>31559166</v>
          </cell>
          <cell r="AK14">
            <v>3586771</v>
          </cell>
          <cell r="AL14">
            <v>31379827.449999999</v>
          </cell>
          <cell r="AM14">
            <v>0</v>
          </cell>
          <cell r="AN14">
            <v>0</v>
          </cell>
          <cell r="AO14">
            <v>0</v>
          </cell>
          <cell r="AP14">
            <v>0</v>
          </cell>
          <cell r="AQ14">
            <v>174304</v>
          </cell>
          <cell r="AR14">
            <v>0</v>
          </cell>
          <cell r="AS14">
            <v>174304</v>
          </cell>
          <cell r="AT14">
            <v>2724983.0460975794</v>
          </cell>
          <cell r="AU14">
            <v>490294.40390242077</v>
          </cell>
          <cell r="AW14">
            <v>28146699</v>
          </cell>
          <cell r="AX14">
            <v>379826</v>
          </cell>
          <cell r="AY14">
            <v>28526525</v>
          </cell>
          <cell r="AZ14">
            <v>0</v>
          </cell>
          <cell r="BA14">
            <v>28526525</v>
          </cell>
          <cell r="BB14">
            <v>0</v>
          </cell>
          <cell r="BC14">
            <v>28526525</v>
          </cell>
          <cell r="BD14">
            <v>-268</v>
          </cell>
          <cell r="BE14">
            <v>3586771</v>
          </cell>
          <cell r="BF14">
            <v>-17583</v>
          </cell>
          <cell r="BH14">
            <v>32095445</v>
          </cell>
          <cell r="BI14">
            <v>174304</v>
          </cell>
          <cell r="BJ14">
            <v>31921141</v>
          </cell>
          <cell r="BK14">
            <v>0</v>
          </cell>
          <cell r="BL14">
            <v>31921141</v>
          </cell>
        </row>
        <row r="15">
          <cell r="B15" t="str">
            <v>AMERICAN BANKERS</v>
          </cell>
          <cell r="C15">
            <v>0</v>
          </cell>
          <cell r="D15">
            <v>1900277</v>
          </cell>
          <cell r="E15">
            <v>61273</v>
          </cell>
          <cell r="F15" t="str">
            <v>ASC</v>
          </cell>
          <cell r="G15" t="str">
            <v>SEP</v>
          </cell>
          <cell r="H15" t="str">
            <v>Howard</v>
          </cell>
          <cell r="I15" t="str">
            <v>Engel</v>
          </cell>
          <cell r="J15" t="str">
            <v>Direct Debit--Weekly</v>
          </cell>
          <cell r="K15" t="str">
            <v>LISA</v>
          </cell>
          <cell r="L15" t="str">
            <v>Crawford, Slevin &amp; Hicks</v>
          </cell>
          <cell r="M15">
            <v>0</v>
          </cell>
          <cell r="N15">
            <v>3603</v>
          </cell>
          <cell r="O15" t="str">
            <v>NASCO</v>
          </cell>
          <cell r="P15" t="str">
            <v>LOCAL</v>
          </cell>
          <cell r="Q15">
            <v>394</v>
          </cell>
          <cell r="R15">
            <v>0</v>
          </cell>
          <cell r="S15">
            <v>0</v>
          </cell>
          <cell r="T15">
            <v>0</v>
          </cell>
          <cell r="U15">
            <v>0</v>
          </cell>
          <cell r="V15">
            <v>0</v>
          </cell>
          <cell r="W15">
            <v>0</v>
          </cell>
          <cell r="X15">
            <v>0</v>
          </cell>
          <cell r="Y15">
            <v>6058.52</v>
          </cell>
          <cell r="Z15">
            <v>0</v>
          </cell>
          <cell r="AA15">
            <v>81790.02</v>
          </cell>
          <cell r="AB15">
            <v>215077.46</v>
          </cell>
          <cell r="AC15">
            <v>302926</v>
          </cell>
          <cell r="AD15">
            <v>60</v>
          </cell>
          <cell r="AE15">
            <v>302986</v>
          </cell>
          <cell r="AF15">
            <v>0</v>
          </cell>
          <cell r="AG15">
            <v>0</v>
          </cell>
          <cell r="AH15">
            <v>0</v>
          </cell>
          <cell r="AI15">
            <v>1937850</v>
          </cell>
          <cell r="AJ15">
            <v>2240776</v>
          </cell>
          <cell r="AK15">
            <v>302926</v>
          </cell>
          <cell r="AL15">
            <v>2158985.98</v>
          </cell>
          <cell r="AM15">
            <v>0</v>
          </cell>
          <cell r="AN15">
            <v>0</v>
          </cell>
          <cell r="AO15">
            <v>0</v>
          </cell>
          <cell r="AP15">
            <v>0</v>
          </cell>
          <cell r="AQ15">
            <v>0</v>
          </cell>
          <cell r="AR15">
            <v>0</v>
          </cell>
          <cell r="AS15">
            <v>0</v>
          </cell>
          <cell r="AT15">
            <v>188286.28312108939</v>
          </cell>
          <cell r="AU15">
            <v>32909.696878910589</v>
          </cell>
          <cell r="AW15">
            <v>1937850</v>
          </cell>
          <cell r="AX15">
            <v>20678</v>
          </cell>
          <cell r="AY15">
            <v>1958528</v>
          </cell>
          <cell r="AZ15">
            <v>0</v>
          </cell>
          <cell r="BA15">
            <v>1958528</v>
          </cell>
          <cell r="BB15">
            <v>0</v>
          </cell>
          <cell r="BC15">
            <v>1958528</v>
          </cell>
          <cell r="BD15">
            <v>60</v>
          </cell>
          <cell r="BE15">
            <v>302926</v>
          </cell>
          <cell r="BF15">
            <v>0</v>
          </cell>
          <cell r="BH15">
            <v>2261514</v>
          </cell>
          <cell r="BI15">
            <v>0</v>
          </cell>
          <cell r="BJ15">
            <v>2261514</v>
          </cell>
          <cell r="BK15">
            <v>0</v>
          </cell>
          <cell r="BL15">
            <v>2261514</v>
          </cell>
        </row>
        <row r="16">
          <cell r="B16" t="str">
            <v>AMERICAN WOOD</v>
          </cell>
          <cell r="C16">
            <v>0</v>
          </cell>
          <cell r="D16">
            <v>1900465</v>
          </cell>
          <cell r="E16">
            <v>63901</v>
          </cell>
          <cell r="F16" t="str">
            <v>ASC</v>
          </cell>
          <cell r="G16" t="str">
            <v>JAN</v>
          </cell>
          <cell r="H16" t="str">
            <v>Michael</v>
          </cell>
          <cell r="I16" t="str">
            <v>Engel</v>
          </cell>
          <cell r="J16" t="str">
            <v>Direct Debit--Weekly</v>
          </cell>
          <cell r="K16" t="str">
            <v>LISA</v>
          </cell>
          <cell r="L16" t="str">
            <v>Wachovia</v>
          </cell>
          <cell r="M16">
            <v>0</v>
          </cell>
          <cell r="N16">
            <v>26100</v>
          </cell>
          <cell r="O16" t="str">
            <v>NASCO</v>
          </cell>
          <cell r="P16" t="str">
            <v>NATIONAL</v>
          </cell>
          <cell r="Q16">
            <v>579</v>
          </cell>
          <cell r="R16">
            <v>0</v>
          </cell>
          <cell r="S16">
            <v>0</v>
          </cell>
          <cell r="T16">
            <v>0</v>
          </cell>
          <cell r="U16">
            <v>0</v>
          </cell>
          <cell r="V16">
            <v>0</v>
          </cell>
          <cell r="W16">
            <v>0</v>
          </cell>
          <cell r="X16">
            <v>0</v>
          </cell>
          <cell r="Y16">
            <v>15535.41</v>
          </cell>
          <cell r="Z16">
            <v>0</v>
          </cell>
          <cell r="AA16">
            <v>144997.16</v>
          </cell>
          <cell r="AB16">
            <v>357314.43</v>
          </cell>
          <cell r="AC16">
            <v>517847</v>
          </cell>
          <cell r="AD16">
            <v>0</v>
          </cell>
          <cell r="AE16">
            <v>517847</v>
          </cell>
          <cell r="AF16">
            <v>0</v>
          </cell>
          <cell r="AG16">
            <v>0</v>
          </cell>
          <cell r="AH16">
            <v>0</v>
          </cell>
          <cell r="AI16">
            <v>2221586</v>
          </cell>
          <cell r="AJ16">
            <v>2739433</v>
          </cell>
          <cell r="AK16">
            <v>517847</v>
          </cell>
          <cell r="AL16">
            <v>2594435.84</v>
          </cell>
          <cell r="AM16">
            <v>0</v>
          </cell>
          <cell r="AN16">
            <v>0</v>
          </cell>
          <cell r="AO16">
            <v>0</v>
          </cell>
          <cell r="AP16">
            <v>0</v>
          </cell>
          <cell r="AQ16">
            <v>15005</v>
          </cell>
          <cell r="AR16">
            <v>0</v>
          </cell>
          <cell r="AS16">
            <v>15005</v>
          </cell>
          <cell r="AT16">
            <v>217963.09714191488</v>
          </cell>
          <cell r="AU16">
            <v>139881.74285808508</v>
          </cell>
          <cell r="AW16">
            <v>2236591</v>
          </cell>
          <cell r="AX16">
            <v>116017</v>
          </cell>
          <cell r="AY16">
            <v>2352608</v>
          </cell>
          <cell r="AZ16">
            <v>0</v>
          </cell>
          <cell r="BA16">
            <v>2352608</v>
          </cell>
          <cell r="BB16">
            <v>0</v>
          </cell>
          <cell r="BC16">
            <v>2352608</v>
          </cell>
          <cell r="BD16">
            <v>0</v>
          </cell>
          <cell r="BE16">
            <v>517847</v>
          </cell>
          <cell r="BF16">
            <v>0</v>
          </cell>
          <cell r="BH16">
            <v>2870455</v>
          </cell>
          <cell r="BI16">
            <v>15005</v>
          </cell>
          <cell r="BJ16">
            <v>2855450</v>
          </cell>
          <cell r="BK16">
            <v>0</v>
          </cell>
          <cell r="BL16">
            <v>2855450</v>
          </cell>
        </row>
        <row r="17">
          <cell r="B17" t="str">
            <v>ANNE ARUNDEL CO BD OF ED</v>
          </cell>
          <cell r="C17">
            <v>0</v>
          </cell>
          <cell r="D17" t="str">
            <v>n/a</v>
          </cell>
          <cell r="E17" t="str">
            <v>07319</v>
          </cell>
          <cell r="F17" t="str">
            <v>ASC-Adjustable Retro</v>
          </cell>
          <cell r="G17" t="str">
            <v>JAN</v>
          </cell>
          <cell r="H17" t="str">
            <v>Richardson</v>
          </cell>
          <cell r="I17" t="str">
            <v>Lehmann</v>
          </cell>
          <cell r="J17" t="str">
            <v>Deposit--2 Month</v>
          </cell>
          <cell r="K17" t="str">
            <v>DONNA</v>
          </cell>
          <cell r="L17" t="str">
            <v>None</v>
          </cell>
          <cell r="M17">
            <v>7079200</v>
          </cell>
          <cell r="N17">
            <v>1516100</v>
          </cell>
          <cell r="O17" t="str">
            <v>CARE</v>
          </cell>
          <cell r="P17" t="str">
            <v>LOCAL</v>
          </cell>
          <cell r="Q17">
            <v>8538</v>
          </cell>
          <cell r="R17">
            <v>0</v>
          </cell>
          <cell r="S17">
            <v>500000</v>
          </cell>
          <cell r="T17">
            <v>1.25</v>
          </cell>
          <cell r="U17">
            <v>744926.49</v>
          </cell>
          <cell r="V17">
            <v>135441.18</v>
          </cell>
          <cell r="W17">
            <v>880367.67</v>
          </cell>
          <cell r="X17">
            <v>677205.9</v>
          </cell>
          <cell r="Y17">
            <v>270882.36</v>
          </cell>
          <cell r="Z17">
            <v>0</v>
          </cell>
          <cell r="AA17">
            <v>0</v>
          </cell>
          <cell r="AB17">
            <v>4943603.07</v>
          </cell>
          <cell r="AC17">
            <v>6772059</v>
          </cell>
          <cell r="AD17">
            <v>1223</v>
          </cell>
          <cell r="AE17">
            <v>6773282</v>
          </cell>
          <cell r="AF17">
            <v>0</v>
          </cell>
          <cell r="AG17">
            <v>0</v>
          </cell>
          <cell r="AH17">
            <v>-5252</v>
          </cell>
          <cell r="AI17">
            <v>44414825</v>
          </cell>
          <cell r="AJ17">
            <v>51186884</v>
          </cell>
          <cell r="AK17">
            <v>6772059</v>
          </cell>
          <cell r="AL17">
            <v>51186884</v>
          </cell>
          <cell r="AM17">
            <v>0</v>
          </cell>
          <cell r="AN17">
            <v>0</v>
          </cell>
          <cell r="AO17">
            <v>0</v>
          </cell>
          <cell r="AP17">
            <v>0</v>
          </cell>
          <cell r="AQ17">
            <v>0</v>
          </cell>
          <cell r="AR17">
            <v>0</v>
          </cell>
          <cell r="AS17">
            <v>0</v>
          </cell>
          <cell r="AT17">
            <v>4318197.447373962</v>
          </cell>
          <cell r="AU17">
            <v>2449832.552626038</v>
          </cell>
          <cell r="AW17">
            <v>44414825</v>
          </cell>
          <cell r="AX17">
            <v>253752</v>
          </cell>
          <cell r="AY17">
            <v>44668577</v>
          </cell>
          <cell r="AZ17">
            <v>0</v>
          </cell>
          <cell r="BA17">
            <v>44668577</v>
          </cell>
          <cell r="BB17">
            <v>0</v>
          </cell>
          <cell r="BC17">
            <v>44668577</v>
          </cell>
          <cell r="BD17">
            <v>1223</v>
          </cell>
          <cell r="BE17">
            <v>6772059</v>
          </cell>
          <cell r="BF17">
            <v>-5252</v>
          </cell>
          <cell r="BH17">
            <v>51436607</v>
          </cell>
          <cell r="BI17">
            <v>0</v>
          </cell>
          <cell r="BJ17">
            <v>51436607</v>
          </cell>
          <cell r="BK17">
            <v>0</v>
          </cell>
          <cell r="BL17">
            <v>51436607</v>
          </cell>
        </row>
        <row r="18">
          <cell r="B18" t="str">
            <v>ANNE ARUNDEL CO GOVT RETRO</v>
          </cell>
          <cell r="C18">
            <v>0</v>
          </cell>
          <cell r="D18" t="str">
            <v>n/a</v>
          </cell>
          <cell r="E18" t="str">
            <v>08173</v>
          </cell>
          <cell r="F18" t="str">
            <v>Standard Retro</v>
          </cell>
          <cell r="G18" t="str">
            <v>JUL</v>
          </cell>
          <cell r="H18" t="str">
            <v>Richardson</v>
          </cell>
          <cell r="I18" t="str">
            <v>Lehmann</v>
          </cell>
          <cell r="J18" t="str">
            <v>Retrospective</v>
          </cell>
          <cell r="K18" t="str">
            <v>DONNA</v>
          </cell>
          <cell r="L18" t="str">
            <v>None</v>
          </cell>
          <cell r="M18">
            <v>1700000</v>
          </cell>
          <cell r="N18">
            <v>0</v>
          </cell>
          <cell r="O18" t="str">
            <v>CARE-S</v>
          </cell>
          <cell r="P18" t="str">
            <v>LOCAL</v>
          </cell>
          <cell r="Q18">
            <v>5130</v>
          </cell>
          <cell r="R18">
            <v>0</v>
          </cell>
          <cell r="S18">
            <v>0</v>
          </cell>
          <cell r="T18">
            <v>0</v>
          </cell>
          <cell r="U18">
            <v>0</v>
          </cell>
          <cell r="V18">
            <v>0</v>
          </cell>
          <cell r="W18">
            <v>0</v>
          </cell>
          <cell r="X18">
            <v>316071.57</v>
          </cell>
          <cell r="Y18">
            <v>75902.759999999995</v>
          </cell>
          <cell r="Z18">
            <v>0</v>
          </cell>
          <cell r="AA18">
            <v>0</v>
          </cell>
          <cell r="AB18">
            <v>2138117.67</v>
          </cell>
          <cell r="AC18">
            <v>2530092</v>
          </cell>
          <cell r="AD18">
            <v>5827</v>
          </cell>
          <cell r="AE18">
            <v>2535919</v>
          </cell>
          <cell r="AF18">
            <v>0</v>
          </cell>
          <cell r="AG18">
            <v>0</v>
          </cell>
          <cell r="AH18">
            <v>-24606</v>
          </cell>
          <cell r="AI18">
            <v>33312552</v>
          </cell>
          <cell r="AJ18">
            <v>35842644</v>
          </cell>
          <cell r="AK18">
            <v>2530092</v>
          </cell>
          <cell r="AL18">
            <v>35842644</v>
          </cell>
          <cell r="AM18">
            <v>0</v>
          </cell>
          <cell r="AN18">
            <v>0</v>
          </cell>
          <cell r="AO18">
            <v>0</v>
          </cell>
          <cell r="AP18">
            <v>0</v>
          </cell>
          <cell r="AQ18">
            <v>0</v>
          </cell>
          <cell r="AR18">
            <v>0</v>
          </cell>
          <cell r="AS18">
            <v>0</v>
          </cell>
          <cell r="AT18">
            <v>3244070.9182949741</v>
          </cell>
          <cell r="AU18">
            <v>-732757.91829497414</v>
          </cell>
          <cell r="AW18">
            <v>33312552</v>
          </cell>
          <cell r="AX18">
            <v>197453</v>
          </cell>
          <cell r="AY18">
            <v>33510005</v>
          </cell>
          <cell r="AZ18">
            <v>0</v>
          </cell>
          <cell r="BA18">
            <v>33510005</v>
          </cell>
          <cell r="BB18">
            <v>0</v>
          </cell>
          <cell r="BC18">
            <v>33510005</v>
          </cell>
          <cell r="BD18">
            <v>5827</v>
          </cell>
          <cell r="BE18">
            <v>2530092</v>
          </cell>
          <cell r="BF18">
            <v>-24606</v>
          </cell>
          <cell r="BH18">
            <v>36021318</v>
          </cell>
          <cell r="BI18">
            <v>0</v>
          </cell>
          <cell r="BJ18">
            <v>36021318</v>
          </cell>
          <cell r="BK18">
            <v>0</v>
          </cell>
          <cell r="BL18">
            <v>36021318</v>
          </cell>
        </row>
        <row r="19">
          <cell r="B19" t="str">
            <v>ARBITRON</v>
          </cell>
          <cell r="C19">
            <v>0</v>
          </cell>
          <cell r="D19">
            <v>1900400</v>
          </cell>
          <cell r="E19">
            <v>63840</v>
          </cell>
          <cell r="F19" t="str">
            <v>ASC</v>
          </cell>
          <cell r="G19" t="str">
            <v>JAN</v>
          </cell>
          <cell r="H19" t="str">
            <v>Michael</v>
          </cell>
          <cell r="I19" t="str">
            <v>Maier</v>
          </cell>
          <cell r="J19" t="str">
            <v>Direct Debit--Weekly</v>
          </cell>
          <cell r="K19" t="str">
            <v>LISA</v>
          </cell>
          <cell r="L19" t="str">
            <v>None</v>
          </cell>
          <cell r="M19">
            <v>0</v>
          </cell>
          <cell r="N19">
            <v>70000</v>
          </cell>
          <cell r="O19" t="str">
            <v>NASCO</v>
          </cell>
          <cell r="P19" t="str">
            <v>NATIONAL</v>
          </cell>
          <cell r="Q19">
            <v>810</v>
          </cell>
          <cell r="R19">
            <v>0</v>
          </cell>
          <cell r="S19">
            <v>75000</v>
          </cell>
          <cell r="T19">
            <v>0</v>
          </cell>
          <cell r="U19">
            <v>335471.09999999998</v>
          </cell>
          <cell r="V19">
            <v>0</v>
          </cell>
          <cell r="W19">
            <v>335471.09999999998</v>
          </cell>
          <cell r="X19">
            <v>0</v>
          </cell>
          <cell r="Y19">
            <v>21878.55</v>
          </cell>
          <cell r="Z19">
            <v>0</v>
          </cell>
          <cell r="AA19">
            <v>0</v>
          </cell>
          <cell r="AB19">
            <v>371935.35</v>
          </cell>
          <cell r="AC19">
            <v>729285</v>
          </cell>
          <cell r="AD19">
            <v>-14</v>
          </cell>
          <cell r="AE19">
            <v>729271</v>
          </cell>
          <cell r="AF19">
            <v>0</v>
          </cell>
          <cell r="AG19">
            <v>0</v>
          </cell>
          <cell r="AH19">
            <v>-880</v>
          </cell>
          <cell r="AI19">
            <v>5277167</v>
          </cell>
          <cell r="AJ19">
            <v>6006452</v>
          </cell>
          <cell r="AK19">
            <v>729285</v>
          </cell>
          <cell r="AL19">
            <v>6006452</v>
          </cell>
          <cell r="AM19">
            <v>0</v>
          </cell>
          <cell r="AN19">
            <v>0</v>
          </cell>
          <cell r="AO19">
            <v>0</v>
          </cell>
          <cell r="AP19">
            <v>0</v>
          </cell>
          <cell r="AQ19">
            <v>191309</v>
          </cell>
          <cell r="AR19">
            <v>0</v>
          </cell>
          <cell r="AS19">
            <v>191309</v>
          </cell>
          <cell r="AT19">
            <v>536216.05537840491</v>
          </cell>
          <cell r="AU19">
            <v>865.94462159508839</v>
          </cell>
          <cell r="AW19">
            <v>5468476</v>
          </cell>
          <cell r="AX19">
            <v>112925</v>
          </cell>
          <cell r="AY19">
            <v>5581401</v>
          </cell>
          <cell r="AZ19">
            <v>0</v>
          </cell>
          <cell r="BA19">
            <v>5581401</v>
          </cell>
          <cell r="BB19">
            <v>0</v>
          </cell>
          <cell r="BC19">
            <v>5581401</v>
          </cell>
          <cell r="BD19">
            <v>-14</v>
          </cell>
          <cell r="BE19">
            <v>729285</v>
          </cell>
          <cell r="BF19">
            <v>-880</v>
          </cell>
          <cell r="BH19">
            <v>6309792</v>
          </cell>
          <cell r="BI19">
            <v>191309</v>
          </cell>
          <cell r="BJ19">
            <v>6118483</v>
          </cell>
          <cell r="BK19">
            <v>0</v>
          </cell>
          <cell r="BL19">
            <v>6118483</v>
          </cell>
        </row>
        <row r="20">
          <cell r="B20" t="str">
            <v>ARCHDIOCESE OF BALT</v>
          </cell>
          <cell r="C20">
            <v>0</v>
          </cell>
          <cell r="D20" t="str">
            <v>n/a</v>
          </cell>
          <cell r="E20">
            <v>51204</v>
          </cell>
          <cell r="F20">
            <v>0</v>
          </cell>
          <cell r="G20" t="str">
            <v>termed 7/03</v>
          </cell>
          <cell r="H20" t="str">
            <v>Howard</v>
          </cell>
          <cell r="I20" t="str">
            <v>Fox</v>
          </cell>
          <cell r="J20" t="str">
            <v>Deposit--2 Month</v>
          </cell>
          <cell r="K20" t="str">
            <v>BARBARA</v>
          </cell>
          <cell r="L20" t="str">
            <v>None</v>
          </cell>
          <cell r="M20">
            <v>2388010</v>
          </cell>
          <cell r="N20">
            <v>454392</v>
          </cell>
          <cell r="O20" t="str">
            <v>CARE-S</v>
          </cell>
          <cell r="P20" t="str">
            <v>LOCAL</v>
          </cell>
          <cell r="Q20" t="str">
            <v>run-out</v>
          </cell>
          <cell r="R20">
            <v>0</v>
          </cell>
          <cell r="S20">
            <v>0</v>
          </cell>
          <cell r="T20">
            <v>0</v>
          </cell>
          <cell r="U20">
            <v>0</v>
          </cell>
          <cell r="V20">
            <v>0</v>
          </cell>
          <cell r="W20">
            <v>0</v>
          </cell>
          <cell r="X20">
            <v>0</v>
          </cell>
          <cell r="Y20">
            <v>0</v>
          </cell>
          <cell r="Z20">
            <v>0</v>
          </cell>
          <cell r="AA20">
            <v>0</v>
          </cell>
          <cell r="AB20">
            <v>30329</v>
          </cell>
          <cell r="AC20">
            <v>30329</v>
          </cell>
          <cell r="AD20">
            <v>5308</v>
          </cell>
          <cell r="AE20">
            <v>35637</v>
          </cell>
          <cell r="AF20">
            <v>0</v>
          </cell>
          <cell r="AG20">
            <v>0</v>
          </cell>
          <cell r="AH20">
            <v>-13000</v>
          </cell>
          <cell r="AI20">
            <v>294255</v>
          </cell>
          <cell r="AJ20">
            <v>324584</v>
          </cell>
          <cell r="AK20">
            <v>30329</v>
          </cell>
          <cell r="AL20">
            <v>324584</v>
          </cell>
          <cell r="AM20">
            <v>0</v>
          </cell>
          <cell r="AN20">
            <v>0</v>
          </cell>
          <cell r="AO20">
            <v>0</v>
          </cell>
          <cell r="AP20">
            <v>0</v>
          </cell>
          <cell r="AQ20">
            <v>0</v>
          </cell>
          <cell r="AR20">
            <v>0</v>
          </cell>
          <cell r="AS20">
            <v>0</v>
          </cell>
          <cell r="AT20">
            <v>29140.168272665935</v>
          </cell>
          <cell r="AU20">
            <v>-6503.1682726659346</v>
          </cell>
          <cell r="AW20">
            <v>294255</v>
          </cell>
          <cell r="AX20">
            <v>48</v>
          </cell>
          <cell r="AY20">
            <v>294303</v>
          </cell>
          <cell r="AZ20">
            <v>0</v>
          </cell>
          <cell r="BA20">
            <v>294303</v>
          </cell>
          <cell r="BB20">
            <v>0</v>
          </cell>
          <cell r="BC20">
            <v>294303</v>
          </cell>
          <cell r="BD20">
            <v>5308</v>
          </cell>
          <cell r="BE20">
            <v>30329</v>
          </cell>
          <cell r="BF20">
            <v>-13000</v>
          </cell>
          <cell r="BH20">
            <v>316940</v>
          </cell>
          <cell r="BI20">
            <v>0</v>
          </cell>
          <cell r="BJ20">
            <v>316940</v>
          </cell>
          <cell r="BK20">
            <v>0</v>
          </cell>
          <cell r="BL20">
            <v>316940</v>
          </cell>
        </row>
        <row r="21">
          <cell r="B21" t="str">
            <v>ARINC</v>
          </cell>
          <cell r="C21">
            <v>0</v>
          </cell>
          <cell r="D21">
            <v>1900324</v>
          </cell>
          <cell r="E21">
            <v>61841</v>
          </cell>
          <cell r="F21" t="str">
            <v>ASC</v>
          </cell>
          <cell r="G21" t="str">
            <v>JAN</v>
          </cell>
          <cell r="H21" t="str">
            <v>Delong</v>
          </cell>
          <cell r="I21" t="str">
            <v>Drusano</v>
          </cell>
          <cell r="J21" t="str">
            <v>Direct Debit--Weekly</v>
          </cell>
          <cell r="K21" t="str">
            <v>BARBARA</v>
          </cell>
          <cell r="L21" t="str">
            <v>Huber, Oros &amp; Co.</v>
          </cell>
          <cell r="M21">
            <v>0</v>
          </cell>
          <cell r="N21">
            <v>125000</v>
          </cell>
          <cell r="O21" t="str">
            <v>NASCO</v>
          </cell>
          <cell r="P21" t="str">
            <v>NATIONAL</v>
          </cell>
          <cell r="Q21">
            <v>1649</v>
          </cell>
          <cell r="R21">
            <v>0</v>
          </cell>
          <cell r="S21">
            <v>150000</v>
          </cell>
          <cell r="T21">
            <v>1.25</v>
          </cell>
          <cell r="U21">
            <v>487124.7</v>
          </cell>
          <cell r="V21">
            <v>31427.4</v>
          </cell>
          <cell r="W21">
            <v>518552.1</v>
          </cell>
          <cell r="X21">
            <v>0</v>
          </cell>
          <cell r="Y21">
            <v>47141.1</v>
          </cell>
          <cell r="Z21">
            <v>0</v>
          </cell>
          <cell r="AA21">
            <v>204278.1</v>
          </cell>
          <cell r="AB21">
            <v>801398.7</v>
          </cell>
          <cell r="AC21">
            <v>1571370</v>
          </cell>
          <cell r="AD21">
            <v>24</v>
          </cell>
          <cell r="AE21">
            <v>1571394</v>
          </cell>
          <cell r="AF21">
            <v>0</v>
          </cell>
          <cell r="AG21">
            <v>0</v>
          </cell>
          <cell r="AH21">
            <v>0</v>
          </cell>
          <cell r="AI21">
            <v>7480773</v>
          </cell>
          <cell r="AJ21">
            <v>9052143</v>
          </cell>
          <cell r="AK21">
            <v>1571370</v>
          </cell>
          <cell r="AL21">
            <v>8847864.9000000004</v>
          </cell>
          <cell r="AM21">
            <v>0</v>
          </cell>
          <cell r="AN21">
            <v>0</v>
          </cell>
          <cell r="AO21">
            <v>0</v>
          </cell>
          <cell r="AP21">
            <v>0</v>
          </cell>
          <cell r="AQ21">
            <v>23597</v>
          </cell>
          <cell r="AR21">
            <v>0</v>
          </cell>
          <cell r="AS21">
            <v>23597</v>
          </cell>
          <cell r="AT21">
            <v>725543.88860926672</v>
          </cell>
          <cell r="AU21">
            <v>617975.01139073318</v>
          </cell>
          <cell r="AW21">
            <v>7504370</v>
          </cell>
          <cell r="AX21">
            <v>235663</v>
          </cell>
          <cell r="AY21">
            <v>7740033</v>
          </cell>
          <cell r="AZ21">
            <v>0</v>
          </cell>
          <cell r="BA21">
            <v>7740033</v>
          </cell>
          <cell r="BB21">
            <v>0</v>
          </cell>
          <cell r="BC21">
            <v>7740033</v>
          </cell>
          <cell r="BD21">
            <v>24</v>
          </cell>
          <cell r="BE21">
            <v>1571370</v>
          </cell>
          <cell r="BF21">
            <v>0</v>
          </cell>
          <cell r="BH21">
            <v>9311427</v>
          </cell>
          <cell r="BI21">
            <v>23597</v>
          </cell>
          <cell r="BJ21">
            <v>9287830</v>
          </cell>
          <cell r="BK21">
            <v>0</v>
          </cell>
          <cell r="BL21">
            <v>9287830</v>
          </cell>
        </row>
        <row r="22">
          <cell r="B22" t="str">
            <v>ASBURY SERVICES</v>
          </cell>
          <cell r="C22">
            <v>0</v>
          </cell>
          <cell r="D22">
            <v>1900299</v>
          </cell>
          <cell r="E22">
            <v>60918</v>
          </cell>
          <cell r="F22" t="str">
            <v>ASC</v>
          </cell>
          <cell r="G22" t="str">
            <v>AUG</v>
          </cell>
          <cell r="H22" t="str">
            <v>Delong</v>
          </cell>
          <cell r="I22" t="str">
            <v>Drusano</v>
          </cell>
          <cell r="J22" t="str">
            <v>Direct Debit--Weekly</v>
          </cell>
          <cell r="K22" t="str">
            <v>BARBARA</v>
          </cell>
          <cell r="L22" t="str">
            <v>Huber, Oros &amp; Co.</v>
          </cell>
          <cell r="M22">
            <v>0</v>
          </cell>
          <cell r="N22">
            <v>16000</v>
          </cell>
          <cell r="O22" t="str">
            <v>NASCO</v>
          </cell>
          <cell r="P22" t="str">
            <v>NATIONAL</v>
          </cell>
          <cell r="Q22">
            <v>983</v>
          </cell>
          <cell r="R22">
            <v>0</v>
          </cell>
          <cell r="S22">
            <v>0</v>
          </cell>
          <cell r="T22">
            <v>0</v>
          </cell>
          <cell r="U22">
            <v>0</v>
          </cell>
          <cell r="V22">
            <v>0</v>
          </cell>
          <cell r="W22">
            <v>0</v>
          </cell>
          <cell r="X22">
            <v>0</v>
          </cell>
          <cell r="Y22">
            <v>14861.88</v>
          </cell>
          <cell r="Z22">
            <v>0</v>
          </cell>
          <cell r="AA22">
            <v>152203.57999999999</v>
          </cell>
          <cell r="AB22">
            <v>344282.54</v>
          </cell>
          <cell r="AC22">
            <v>511348</v>
          </cell>
          <cell r="AD22">
            <v>0</v>
          </cell>
          <cell r="AE22">
            <v>511348</v>
          </cell>
          <cell r="AF22">
            <v>0</v>
          </cell>
          <cell r="AG22">
            <v>0</v>
          </cell>
          <cell r="AH22">
            <v>0</v>
          </cell>
          <cell r="AI22">
            <v>3859886</v>
          </cell>
          <cell r="AJ22">
            <v>4371234</v>
          </cell>
          <cell r="AK22">
            <v>511348</v>
          </cell>
          <cell r="AL22">
            <v>4219030.42</v>
          </cell>
          <cell r="AM22">
            <v>0</v>
          </cell>
          <cell r="AN22">
            <v>0</v>
          </cell>
          <cell r="AO22">
            <v>0</v>
          </cell>
          <cell r="AP22">
            <v>0</v>
          </cell>
          <cell r="AQ22">
            <v>0</v>
          </cell>
          <cell r="AR22">
            <v>0</v>
          </cell>
          <cell r="AS22">
            <v>0</v>
          </cell>
          <cell r="AT22">
            <v>375006.88081163296</v>
          </cell>
          <cell r="AU22">
            <v>-15862.460811632976</v>
          </cell>
          <cell r="AW22">
            <v>3859886</v>
          </cell>
          <cell r="AX22">
            <v>74453</v>
          </cell>
          <cell r="AY22">
            <v>3934339</v>
          </cell>
          <cell r="AZ22">
            <v>0</v>
          </cell>
          <cell r="BA22">
            <v>3934339</v>
          </cell>
          <cell r="BB22">
            <v>0</v>
          </cell>
          <cell r="BC22">
            <v>3934339</v>
          </cell>
          <cell r="BD22">
            <v>0</v>
          </cell>
          <cell r="BE22">
            <v>511348</v>
          </cell>
          <cell r="BF22">
            <v>0</v>
          </cell>
          <cell r="BH22">
            <v>4445687</v>
          </cell>
          <cell r="BI22">
            <v>0</v>
          </cell>
          <cell r="BJ22">
            <v>4445687</v>
          </cell>
          <cell r="BK22">
            <v>0</v>
          </cell>
          <cell r="BL22">
            <v>4445687</v>
          </cell>
        </row>
        <row r="23">
          <cell r="B23" t="str">
            <v>ASTRA ZENECA</v>
          </cell>
          <cell r="C23">
            <v>0</v>
          </cell>
          <cell r="D23">
            <v>1900144</v>
          </cell>
          <cell r="E23">
            <v>59288</v>
          </cell>
          <cell r="F23" t="str">
            <v>ASC</v>
          </cell>
          <cell r="G23" t="str">
            <v>JAN</v>
          </cell>
          <cell r="H23" t="str">
            <v>Parker Mann</v>
          </cell>
          <cell r="I23" t="str">
            <v>Barrett</v>
          </cell>
          <cell r="J23" t="str">
            <v>Direct Debit--Weekly</v>
          </cell>
          <cell r="K23" t="str">
            <v>LISA</v>
          </cell>
          <cell r="L23" t="str">
            <v>None</v>
          </cell>
          <cell r="M23">
            <v>0</v>
          </cell>
          <cell r="N23">
            <v>25000</v>
          </cell>
          <cell r="O23" t="str">
            <v>NASCO</v>
          </cell>
          <cell r="P23" t="str">
            <v>NATIONAL</v>
          </cell>
          <cell r="Q23">
            <v>5000</v>
          </cell>
          <cell r="R23">
            <v>0</v>
          </cell>
          <cell r="S23">
            <v>0</v>
          </cell>
          <cell r="T23">
            <v>0</v>
          </cell>
          <cell r="U23">
            <v>0</v>
          </cell>
          <cell r="V23">
            <v>0</v>
          </cell>
          <cell r="W23">
            <v>0</v>
          </cell>
          <cell r="X23">
            <v>0</v>
          </cell>
          <cell r="Y23">
            <v>0</v>
          </cell>
          <cell r="Z23">
            <v>0</v>
          </cell>
          <cell r="AA23">
            <v>0</v>
          </cell>
          <cell r="AB23">
            <v>1947932</v>
          </cell>
          <cell r="AC23">
            <v>1947932</v>
          </cell>
          <cell r="AD23">
            <v>2</v>
          </cell>
          <cell r="AE23">
            <v>1947934</v>
          </cell>
          <cell r="AF23">
            <v>0</v>
          </cell>
          <cell r="AG23">
            <v>0</v>
          </cell>
          <cell r="AH23">
            <v>4100</v>
          </cell>
          <cell r="AI23">
            <v>21531438</v>
          </cell>
          <cell r="AJ23">
            <v>23479370</v>
          </cell>
          <cell r="AK23">
            <v>1947932</v>
          </cell>
          <cell r="AL23">
            <v>23479370</v>
          </cell>
          <cell r="AM23">
            <v>0</v>
          </cell>
          <cell r="AN23">
            <v>0</v>
          </cell>
          <cell r="AO23">
            <v>0</v>
          </cell>
          <cell r="AP23">
            <v>0</v>
          </cell>
          <cell r="AQ23">
            <v>0</v>
          </cell>
          <cell r="AR23">
            <v>0</v>
          </cell>
          <cell r="AS23">
            <v>0</v>
          </cell>
          <cell r="AT23">
            <v>2088348.214785079</v>
          </cell>
          <cell r="AU23">
            <v>-136314.21478507901</v>
          </cell>
          <cell r="AW23">
            <v>21531438</v>
          </cell>
          <cell r="AX23">
            <v>876846</v>
          </cell>
          <cell r="AY23">
            <v>22408284</v>
          </cell>
          <cell r="AZ23">
            <v>0</v>
          </cell>
          <cell r="BA23">
            <v>22408284</v>
          </cell>
          <cell r="BB23">
            <v>0</v>
          </cell>
          <cell r="BC23">
            <v>22408284</v>
          </cell>
          <cell r="BD23">
            <v>2</v>
          </cell>
          <cell r="BE23">
            <v>1947932</v>
          </cell>
          <cell r="BF23">
            <v>4100</v>
          </cell>
          <cell r="BH23">
            <v>24360318</v>
          </cell>
          <cell r="BI23">
            <v>0</v>
          </cell>
          <cell r="BJ23">
            <v>24360318</v>
          </cell>
          <cell r="BK23">
            <v>0</v>
          </cell>
          <cell r="BL23">
            <v>24360318</v>
          </cell>
        </row>
        <row r="24">
          <cell r="B24" t="str">
            <v>BALTIMORE CO ENTITES</v>
          </cell>
          <cell r="C24">
            <v>0</v>
          </cell>
          <cell r="D24" t="str">
            <v>n/a</v>
          </cell>
          <cell r="E24" t="str">
            <v>07320</v>
          </cell>
          <cell r="F24" t="str">
            <v>ASC</v>
          </cell>
          <cell r="G24" t="str">
            <v>SEP</v>
          </cell>
          <cell r="H24" t="str">
            <v>Parker Mann</v>
          </cell>
          <cell r="I24" t="str">
            <v>Pederson</v>
          </cell>
          <cell r="J24" t="str">
            <v>Deposit--1 Month</v>
          </cell>
          <cell r="K24" t="str">
            <v>BARBARA</v>
          </cell>
          <cell r="L24" t="str">
            <v>None</v>
          </cell>
          <cell r="M24">
            <v>0</v>
          </cell>
          <cell r="N24">
            <v>2135972</v>
          </cell>
          <cell r="O24" t="str">
            <v>CARE-S</v>
          </cell>
          <cell r="P24" t="str">
            <v>LOCAL</v>
          </cell>
          <cell r="Q24">
            <v>27442</v>
          </cell>
          <cell r="R24">
            <v>0</v>
          </cell>
          <cell r="S24">
            <v>0</v>
          </cell>
          <cell r="T24">
            <v>1.2</v>
          </cell>
          <cell r="U24">
            <v>0</v>
          </cell>
          <cell r="V24">
            <v>408392.4</v>
          </cell>
          <cell r="W24">
            <v>408392.4</v>
          </cell>
          <cell r="X24">
            <v>1020981</v>
          </cell>
          <cell r="Y24">
            <v>51049.05</v>
          </cell>
          <cell r="Z24">
            <v>0</v>
          </cell>
          <cell r="AA24">
            <v>0</v>
          </cell>
          <cell r="AB24">
            <v>8729387.5499999989</v>
          </cell>
          <cell r="AC24">
            <v>10209810</v>
          </cell>
          <cell r="AD24">
            <v>0</v>
          </cell>
          <cell r="AE24">
            <v>10209810</v>
          </cell>
          <cell r="AF24">
            <v>0</v>
          </cell>
          <cell r="AG24">
            <v>0</v>
          </cell>
          <cell r="AH24">
            <v>68222</v>
          </cell>
          <cell r="AI24">
            <v>120100210</v>
          </cell>
          <cell r="AJ24">
            <v>130310020</v>
          </cell>
          <cell r="AK24">
            <v>10209810</v>
          </cell>
          <cell r="AL24">
            <v>130310020</v>
          </cell>
          <cell r="AM24">
            <v>0</v>
          </cell>
          <cell r="AN24">
            <v>25924</v>
          </cell>
          <cell r="AO24">
            <v>0</v>
          </cell>
          <cell r="AP24">
            <v>0</v>
          </cell>
          <cell r="AQ24">
            <v>0</v>
          </cell>
          <cell r="AR24">
            <v>0</v>
          </cell>
          <cell r="AS24">
            <v>0</v>
          </cell>
          <cell r="AT24">
            <v>11696645.953246748</v>
          </cell>
          <cell r="AU24">
            <v>-1418613.9532467481</v>
          </cell>
          <cell r="AW24">
            <v>120100210</v>
          </cell>
          <cell r="AX24">
            <v>358761</v>
          </cell>
          <cell r="AY24">
            <v>120458971</v>
          </cell>
          <cell r="AZ24">
            <v>0</v>
          </cell>
          <cell r="BA24">
            <v>120458971</v>
          </cell>
          <cell r="BB24">
            <v>0</v>
          </cell>
          <cell r="BC24">
            <v>120458971</v>
          </cell>
          <cell r="BD24">
            <v>0</v>
          </cell>
          <cell r="BE24">
            <v>10209810</v>
          </cell>
          <cell r="BF24">
            <v>68222</v>
          </cell>
          <cell r="BH24">
            <v>130737003</v>
          </cell>
          <cell r="BI24">
            <v>0</v>
          </cell>
          <cell r="BJ24">
            <v>130737003</v>
          </cell>
          <cell r="BK24">
            <v>0</v>
          </cell>
          <cell r="BL24">
            <v>130737003</v>
          </cell>
        </row>
        <row r="25">
          <cell r="B25" t="str">
            <v>BALTIMORE LIFE</v>
          </cell>
          <cell r="C25">
            <v>0</v>
          </cell>
          <cell r="D25">
            <v>1900167</v>
          </cell>
          <cell r="E25">
            <v>28286</v>
          </cell>
          <cell r="F25" t="str">
            <v>ASC</v>
          </cell>
          <cell r="G25" t="str">
            <v>JAN</v>
          </cell>
          <cell r="H25" t="str">
            <v>Hauff</v>
          </cell>
          <cell r="I25" t="str">
            <v>Maier</v>
          </cell>
          <cell r="J25" t="str">
            <v>Direct Debit--Weekly</v>
          </cell>
          <cell r="K25" t="str">
            <v>LISA</v>
          </cell>
          <cell r="L25" t="str">
            <v>None</v>
          </cell>
          <cell r="M25">
            <v>0</v>
          </cell>
          <cell r="N25">
            <v>47000</v>
          </cell>
          <cell r="O25" t="str">
            <v>NASCO</v>
          </cell>
          <cell r="P25" t="str">
            <v>NATIONAL</v>
          </cell>
          <cell r="Q25">
            <v>275</v>
          </cell>
          <cell r="R25">
            <v>0</v>
          </cell>
          <cell r="S25">
            <v>200000</v>
          </cell>
          <cell r="T25">
            <v>1.2</v>
          </cell>
          <cell r="U25">
            <v>78879.149999999994</v>
          </cell>
          <cell r="V25">
            <v>27044.28</v>
          </cell>
          <cell r="W25">
            <v>105923.43</v>
          </cell>
          <cell r="X25">
            <v>6761.07</v>
          </cell>
          <cell r="Y25">
            <v>6761.07</v>
          </cell>
          <cell r="Z25">
            <v>0</v>
          </cell>
          <cell r="AA25">
            <v>0</v>
          </cell>
          <cell r="AB25">
            <v>105923.43</v>
          </cell>
          <cell r="AC25">
            <v>225369</v>
          </cell>
          <cell r="AD25">
            <v>-264</v>
          </cell>
          <cell r="AE25">
            <v>225105</v>
          </cell>
          <cell r="AF25">
            <v>0</v>
          </cell>
          <cell r="AG25">
            <v>0</v>
          </cell>
          <cell r="AH25">
            <v>0</v>
          </cell>
          <cell r="AI25">
            <v>1438907</v>
          </cell>
          <cell r="AJ25">
            <v>1664276</v>
          </cell>
          <cell r="AK25">
            <v>225369</v>
          </cell>
          <cell r="AL25">
            <v>1664276</v>
          </cell>
          <cell r="AM25">
            <v>0</v>
          </cell>
          <cell r="AN25">
            <v>0</v>
          </cell>
          <cell r="AO25">
            <v>0</v>
          </cell>
          <cell r="AP25">
            <v>0</v>
          </cell>
          <cell r="AQ25">
            <v>0</v>
          </cell>
          <cell r="AR25">
            <v>0</v>
          </cell>
          <cell r="AS25">
            <v>0</v>
          </cell>
          <cell r="AT25">
            <v>139820.13855855199</v>
          </cell>
          <cell r="AU25">
            <v>85284.861441448011</v>
          </cell>
          <cell r="AW25">
            <v>1438907</v>
          </cell>
          <cell r="AX25">
            <v>10392</v>
          </cell>
          <cell r="AY25">
            <v>1449299</v>
          </cell>
          <cell r="AZ25">
            <v>0</v>
          </cell>
          <cell r="BA25">
            <v>1449299</v>
          </cell>
          <cell r="BB25">
            <v>0</v>
          </cell>
          <cell r="BC25">
            <v>1449299</v>
          </cell>
          <cell r="BD25">
            <v>-264</v>
          </cell>
          <cell r="BE25">
            <v>225369</v>
          </cell>
          <cell r="BF25">
            <v>0</v>
          </cell>
          <cell r="BH25">
            <v>1674404</v>
          </cell>
          <cell r="BI25">
            <v>0</v>
          </cell>
          <cell r="BJ25">
            <v>1674404</v>
          </cell>
          <cell r="BK25">
            <v>0</v>
          </cell>
          <cell r="BL25">
            <v>1674404</v>
          </cell>
        </row>
        <row r="26">
          <cell r="B26" t="str">
            <v>BALTIMORE REGIONAL JOINT</v>
          </cell>
          <cell r="C26" t="str">
            <v>A C T W U</v>
          </cell>
          <cell r="D26" t="str">
            <v>n/a</v>
          </cell>
          <cell r="E26">
            <v>51600</v>
          </cell>
          <cell r="F26" t="str">
            <v>ASC</v>
          </cell>
          <cell r="G26" t="str">
            <v>JUL</v>
          </cell>
          <cell r="H26" t="str">
            <v>Howard</v>
          </cell>
          <cell r="I26" t="str">
            <v>Yocum</v>
          </cell>
          <cell r="J26" t="str">
            <v>Deposit--2 Month</v>
          </cell>
          <cell r="K26" t="str">
            <v>BARBARA</v>
          </cell>
          <cell r="L26" t="str">
            <v>None</v>
          </cell>
          <cell r="M26">
            <v>89573</v>
          </cell>
          <cell r="N26">
            <v>0</v>
          </cell>
          <cell r="O26" t="str">
            <v>CARE-S</v>
          </cell>
          <cell r="P26" t="str">
            <v>LOCAL</v>
          </cell>
          <cell r="Q26">
            <v>1256</v>
          </cell>
          <cell r="R26">
            <v>0</v>
          </cell>
          <cell r="S26">
            <v>0</v>
          </cell>
          <cell r="T26">
            <v>0</v>
          </cell>
          <cell r="U26">
            <v>0</v>
          </cell>
          <cell r="V26">
            <v>0</v>
          </cell>
          <cell r="W26">
            <v>0</v>
          </cell>
          <cell r="X26">
            <v>0</v>
          </cell>
          <cell r="Y26">
            <v>0</v>
          </cell>
          <cell r="Z26">
            <v>0</v>
          </cell>
          <cell r="AA26">
            <v>0</v>
          </cell>
          <cell r="AB26">
            <v>17604</v>
          </cell>
          <cell r="AC26">
            <v>17604</v>
          </cell>
          <cell r="AD26">
            <v>0</v>
          </cell>
          <cell r="AE26">
            <v>17604</v>
          </cell>
          <cell r="AF26">
            <v>0</v>
          </cell>
          <cell r="AG26">
            <v>0</v>
          </cell>
          <cell r="AH26">
            <v>0</v>
          </cell>
          <cell r="AI26">
            <v>301695</v>
          </cell>
          <cell r="AJ26">
            <v>319299</v>
          </cell>
          <cell r="AK26">
            <v>17604</v>
          </cell>
          <cell r="AL26">
            <v>319299</v>
          </cell>
          <cell r="AM26">
            <v>0</v>
          </cell>
          <cell r="AN26">
            <v>0</v>
          </cell>
          <cell r="AO26">
            <v>0</v>
          </cell>
          <cell r="AP26">
            <v>0</v>
          </cell>
          <cell r="AQ26">
            <v>0</v>
          </cell>
          <cell r="AR26">
            <v>0</v>
          </cell>
          <cell r="AS26">
            <v>0</v>
          </cell>
          <cell r="AT26">
            <v>29342.181770540028</v>
          </cell>
          <cell r="AU26">
            <v>-11738.181770540028</v>
          </cell>
          <cell r="AW26">
            <v>301695</v>
          </cell>
          <cell r="AX26">
            <v>0</v>
          </cell>
          <cell r="AY26">
            <v>301695</v>
          </cell>
          <cell r="AZ26">
            <v>0</v>
          </cell>
          <cell r="BA26">
            <v>301695</v>
          </cell>
          <cell r="BB26">
            <v>0</v>
          </cell>
          <cell r="BC26">
            <v>301695</v>
          </cell>
          <cell r="BD26">
            <v>0</v>
          </cell>
          <cell r="BE26">
            <v>17604</v>
          </cell>
          <cell r="BF26">
            <v>0</v>
          </cell>
          <cell r="BH26">
            <v>319299</v>
          </cell>
          <cell r="BI26">
            <v>0</v>
          </cell>
          <cell r="BJ26">
            <v>319299</v>
          </cell>
          <cell r="BK26">
            <v>0</v>
          </cell>
          <cell r="BL26">
            <v>319299</v>
          </cell>
        </row>
        <row r="27">
          <cell r="B27" t="str">
            <v>BAY BUSINESS SOLUTIONS</v>
          </cell>
          <cell r="C27" t="str">
            <v>MARCOR</v>
          </cell>
          <cell r="D27">
            <v>1900235</v>
          </cell>
          <cell r="E27">
            <v>49213</v>
          </cell>
          <cell r="F27" t="str">
            <v>ASC</v>
          </cell>
          <cell r="G27" t="str">
            <v>JAN</v>
          </cell>
          <cell r="H27" t="str">
            <v>Flowers</v>
          </cell>
          <cell r="I27" t="str">
            <v>Waters</v>
          </cell>
          <cell r="J27" t="str">
            <v>Deposit--2 Months</v>
          </cell>
          <cell r="K27" t="str">
            <v>BARBARA</v>
          </cell>
          <cell r="L27" t="str">
            <v>Kelly &amp; Associates</v>
          </cell>
          <cell r="M27">
            <v>0</v>
          </cell>
          <cell r="N27">
            <v>0</v>
          </cell>
          <cell r="O27" t="str">
            <v>NASCO</v>
          </cell>
          <cell r="P27" t="str">
            <v>NATIONAL</v>
          </cell>
          <cell r="Q27">
            <v>293</v>
          </cell>
          <cell r="R27">
            <v>0</v>
          </cell>
          <cell r="S27">
            <v>125000</v>
          </cell>
          <cell r="T27">
            <v>1.25</v>
          </cell>
          <cell r="U27">
            <v>79616.34</v>
          </cell>
          <cell r="V27">
            <v>48462.12</v>
          </cell>
          <cell r="W27">
            <v>128078.46</v>
          </cell>
          <cell r="X27">
            <v>17307.900000000001</v>
          </cell>
          <cell r="Y27">
            <v>0</v>
          </cell>
          <cell r="Z27">
            <v>0</v>
          </cell>
          <cell r="AA27">
            <v>27692.639999999999</v>
          </cell>
          <cell r="AB27">
            <v>173079</v>
          </cell>
          <cell r="AC27">
            <v>346158</v>
          </cell>
          <cell r="AD27">
            <v>0</v>
          </cell>
          <cell r="AE27">
            <v>346158</v>
          </cell>
          <cell r="AF27">
            <v>0</v>
          </cell>
          <cell r="AG27">
            <v>0</v>
          </cell>
          <cell r="AH27">
            <v>0</v>
          </cell>
          <cell r="AI27">
            <v>1551722</v>
          </cell>
          <cell r="AJ27">
            <v>1897880</v>
          </cell>
          <cell r="AK27">
            <v>346158</v>
          </cell>
          <cell r="AL27">
            <v>1870187.36</v>
          </cell>
          <cell r="AM27">
            <v>0</v>
          </cell>
          <cell r="AN27">
            <v>0</v>
          </cell>
          <cell r="AO27">
            <v>0</v>
          </cell>
          <cell r="AP27">
            <v>0</v>
          </cell>
          <cell r="AQ27">
            <v>0</v>
          </cell>
          <cell r="AR27">
            <v>0</v>
          </cell>
          <cell r="AS27">
            <v>0</v>
          </cell>
          <cell r="AT27">
            <v>151895.79748040321</v>
          </cell>
          <cell r="AU27">
            <v>166569.56251959677</v>
          </cell>
          <cell r="AW27">
            <v>1551722</v>
          </cell>
          <cell r="AX27">
            <v>48736</v>
          </cell>
          <cell r="AY27">
            <v>1600458</v>
          </cell>
          <cell r="AZ27">
            <v>0</v>
          </cell>
          <cell r="BA27">
            <v>1600458</v>
          </cell>
          <cell r="BB27">
            <v>0</v>
          </cell>
          <cell r="BC27">
            <v>1600458</v>
          </cell>
          <cell r="BD27">
            <v>0</v>
          </cell>
          <cell r="BE27">
            <v>346158</v>
          </cell>
          <cell r="BF27">
            <v>0</v>
          </cell>
          <cell r="BH27">
            <v>1946616</v>
          </cell>
          <cell r="BI27">
            <v>0</v>
          </cell>
          <cell r="BJ27">
            <v>1946616</v>
          </cell>
          <cell r="BK27">
            <v>0</v>
          </cell>
          <cell r="BL27">
            <v>1946616</v>
          </cell>
        </row>
        <row r="28">
          <cell r="B28" t="str">
            <v>BIEDERLACK OF AMERICA CORP</v>
          </cell>
          <cell r="C28">
            <v>0</v>
          </cell>
          <cell r="D28">
            <v>1900061</v>
          </cell>
          <cell r="E28">
            <v>51149</v>
          </cell>
          <cell r="F28" t="str">
            <v>ASC-Adjustable Retro</v>
          </cell>
          <cell r="G28" t="str">
            <v>JUN</v>
          </cell>
          <cell r="H28" t="str">
            <v>Michael</v>
          </cell>
          <cell r="I28" t="str">
            <v>Lopez</v>
          </cell>
          <cell r="J28" t="str">
            <v>Direct Debit--Weekly</v>
          </cell>
          <cell r="K28" t="str">
            <v>NETTIE</v>
          </cell>
          <cell r="L28" t="str">
            <v>Beall,Garner,Screen&amp;Geare</v>
          </cell>
          <cell r="M28">
            <v>0</v>
          </cell>
          <cell r="N28">
            <v>57500</v>
          </cell>
          <cell r="O28" t="str">
            <v>NASCO</v>
          </cell>
          <cell r="P28" t="str">
            <v>LOCAL</v>
          </cell>
          <cell r="Q28">
            <v>287</v>
          </cell>
          <cell r="R28">
            <v>0</v>
          </cell>
          <cell r="S28">
            <v>50000</v>
          </cell>
          <cell r="T28">
            <v>1.25</v>
          </cell>
          <cell r="U28">
            <v>81430.679999999993</v>
          </cell>
          <cell r="V28">
            <v>9580.08</v>
          </cell>
          <cell r="W28">
            <v>91010.76</v>
          </cell>
          <cell r="X28">
            <v>4790.04</v>
          </cell>
          <cell r="Y28">
            <v>7185.06</v>
          </cell>
          <cell r="Z28">
            <v>0</v>
          </cell>
          <cell r="AA28">
            <v>35925.300000000003</v>
          </cell>
          <cell r="AB28">
            <v>100590.84</v>
          </cell>
          <cell r="AC28">
            <v>239502</v>
          </cell>
          <cell r="AD28">
            <v>0</v>
          </cell>
          <cell r="AE28">
            <v>239502</v>
          </cell>
          <cell r="AF28">
            <v>0</v>
          </cell>
          <cell r="AG28">
            <v>0</v>
          </cell>
          <cell r="AH28">
            <v>0</v>
          </cell>
          <cell r="AI28">
            <v>822926</v>
          </cell>
          <cell r="AJ28">
            <v>1062428</v>
          </cell>
          <cell r="AK28">
            <v>239502</v>
          </cell>
          <cell r="AL28">
            <v>1026502.7</v>
          </cell>
          <cell r="AM28">
            <v>0</v>
          </cell>
          <cell r="AN28">
            <v>0</v>
          </cell>
          <cell r="AO28">
            <v>0</v>
          </cell>
          <cell r="AP28">
            <v>0</v>
          </cell>
          <cell r="AQ28">
            <v>7284</v>
          </cell>
          <cell r="AR28">
            <v>0</v>
          </cell>
          <cell r="AS28">
            <v>7284</v>
          </cell>
          <cell r="AT28">
            <v>80000.738048907719</v>
          </cell>
          <cell r="AU28">
            <v>116291.96195109229</v>
          </cell>
          <cell r="AW28">
            <v>830210</v>
          </cell>
          <cell r="AX28">
            <v>2630</v>
          </cell>
          <cell r="AY28">
            <v>832840</v>
          </cell>
          <cell r="AZ28">
            <v>0</v>
          </cell>
          <cell r="BA28">
            <v>832840</v>
          </cell>
          <cell r="BB28">
            <v>0</v>
          </cell>
          <cell r="BC28">
            <v>832840</v>
          </cell>
          <cell r="BD28">
            <v>0</v>
          </cell>
          <cell r="BE28">
            <v>239502</v>
          </cell>
          <cell r="BF28">
            <v>0</v>
          </cell>
          <cell r="BH28">
            <v>1072342</v>
          </cell>
          <cell r="BI28">
            <v>7284</v>
          </cell>
          <cell r="BJ28">
            <v>1065058</v>
          </cell>
          <cell r="BK28">
            <v>0</v>
          </cell>
          <cell r="BL28">
            <v>1065058</v>
          </cell>
        </row>
        <row r="29">
          <cell r="B29" t="str">
            <v>BOARD OF CHILD CARE</v>
          </cell>
          <cell r="C29">
            <v>0</v>
          </cell>
          <cell r="D29" t="str">
            <v>n/a</v>
          </cell>
          <cell r="E29">
            <v>46919</v>
          </cell>
          <cell r="F29" t="str">
            <v>ASC</v>
          </cell>
          <cell r="G29" t="str">
            <v>JUL</v>
          </cell>
          <cell r="H29" t="str">
            <v>Hauff</v>
          </cell>
          <cell r="I29" t="str">
            <v>Drusano</v>
          </cell>
          <cell r="J29" t="str">
            <v>Weekly Wire</v>
          </cell>
          <cell r="K29" t="str">
            <v>NETTIE</v>
          </cell>
          <cell r="L29" t="str">
            <v>None</v>
          </cell>
          <cell r="M29">
            <v>0</v>
          </cell>
          <cell r="N29">
            <v>20000</v>
          </cell>
          <cell r="O29" t="str">
            <v>CARE</v>
          </cell>
          <cell r="P29" t="str">
            <v>LOCAL</v>
          </cell>
          <cell r="Q29">
            <v>251</v>
          </cell>
          <cell r="R29">
            <v>0</v>
          </cell>
          <cell r="S29">
            <v>100000</v>
          </cell>
          <cell r="T29">
            <v>1.25</v>
          </cell>
          <cell r="U29">
            <v>56487.41</v>
          </cell>
          <cell r="V29">
            <v>32129.01</v>
          </cell>
          <cell r="W29">
            <v>88616.42</v>
          </cell>
          <cell r="X29">
            <v>10498.19</v>
          </cell>
          <cell r="Y29">
            <v>7453.39</v>
          </cell>
          <cell r="Z29">
            <v>0</v>
          </cell>
          <cell r="AA29">
            <v>0</v>
          </cell>
          <cell r="AB29">
            <v>197912</v>
          </cell>
          <cell r="AC29">
            <v>304480</v>
          </cell>
          <cell r="AD29">
            <v>0</v>
          </cell>
          <cell r="AE29">
            <v>304480</v>
          </cell>
          <cell r="AF29">
            <v>0</v>
          </cell>
          <cell r="AG29">
            <v>0</v>
          </cell>
          <cell r="AH29">
            <v>0</v>
          </cell>
          <cell r="AI29">
            <v>1178902</v>
          </cell>
          <cell r="AJ29">
            <v>1483382</v>
          </cell>
          <cell r="AK29">
            <v>304480</v>
          </cell>
          <cell r="AL29">
            <v>1483382</v>
          </cell>
          <cell r="AM29">
            <v>0</v>
          </cell>
          <cell r="AN29">
            <v>0</v>
          </cell>
          <cell r="AO29">
            <v>0</v>
          </cell>
          <cell r="AP29">
            <v>0</v>
          </cell>
          <cell r="AQ29">
            <v>0</v>
          </cell>
          <cell r="AR29">
            <v>0</v>
          </cell>
          <cell r="AS29">
            <v>0</v>
          </cell>
          <cell r="AT29">
            <v>115082.77677202607</v>
          </cell>
          <cell r="AU29">
            <v>189397.22322797391</v>
          </cell>
          <cell r="AW29">
            <v>1178902</v>
          </cell>
          <cell r="AX29">
            <v>7291</v>
          </cell>
          <cell r="AY29">
            <v>1186193</v>
          </cell>
          <cell r="AZ29">
            <v>0</v>
          </cell>
          <cell r="BA29">
            <v>1186193</v>
          </cell>
          <cell r="BB29">
            <v>0</v>
          </cell>
          <cell r="BC29">
            <v>1186193</v>
          </cell>
          <cell r="BD29">
            <v>0</v>
          </cell>
          <cell r="BE29">
            <v>304480</v>
          </cell>
          <cell r="BF29">
            <v>0</v>
          </cell>
          <cell r="BH29">
            <v>1490673</v>
          </cell>
          <cell r="BI29">
            <v>0</v>
          </cell>
          <cell r="BJ29">
            <v>1490673</v>
          </cell>
          <cell r="BK29">
            <v>0</v>
          </cell>
          <cell r="BL29">
            <v>1490673</v>
          </cell>
        </row>
        <row r="30">
          <cell r="B30" t="str">
            <v>CALVERT CO ENTITIES   RETRO</v>
          </cell>
          <cell r="C30">
            <v>0</v>
          </cell>
          <cell r="D30" t="str">
            <v>n/a</v>
          </cell>
          <cell r="E30" t="str">
            <v>08262</v>
          </cell>
          <cell r="F30" t="str">
            <v>Modified Retro</v>
          </cell>
          <cell r="G30" t="str">
            <v>JUL</v>
          </cell>
          <cell r="H30" t="str">
            <v>Richardson</v>
          </cell>
          <cell r="I30" t="str">
            <v>Lehmann</v>
          </cell>
          <cell r="J30" t="str">
            <v>Retrospective</v>
          </cell>
          <cell r="K30" t="str">
            <v>BARBARA</v>
          </cell>
          <cell r="L30" t="str">
            <v>None</v>
          </cell>
          <cell r="M30">
            <v>0</v>
          </cell>
          <cell r="N30">
            <v>0</v>
          </cell>
          <cell r="O30" t="str">
            <v>CARE</v>
          </cell>
          <cell r="P30" t="str">
            <v>LOCAL</v>
          </cell>
          <cell r="Q30">
            <v>2460</v>
          </cell>
          <cell r="R30">
            <v>0</v>
          </cell>
          <cell r="S30">
            <v>100000</v>
          </cell>
          <cell r="T30">
            <v>1.25</v>
          </cell>
          <cell r="U30">
            <v>689738.17</v>
          </cell>
          <cell r="V30">
            <v>101788.4</v>
          </cell>
          <cell r="W30">
            <v>791526.57</v>
          </cell>
          <cell r="X30">
            <v>101788.4</v>
          </cell>
          <cell r="Y30">
            <v>24229.5</v>
          </cell>
          <cell r="Z30">
            <v>0</v>
          </cell>
          <cell r="AA30">
            <v>0</v>
          </cell>
          <cell r="AB30">
            <v>1360518.53</v>
          </cell>
          <cell r="AC30">
            <v>2278063</v>
          </cell>
          <cell r="AD30">
            <v>1286</v>
          </cell>
          <cell r="AE30">
            <v>2279349</v>
          </cell>
          <cell r="AF30">
            <v>0</v>
          </cell>
          <cell r="AG30">
            <v>0</v>
          </cell>
          <cell r="AH30">
            <v>0</v>
          </cell>
          <cell r="AI30">
            <v>16334503</v>
          </cell>
          <cell r="AJ30">
            <v>18612566</v>
          </cell>
          <cell r="AK30">
            <v>2278063</v>
          </cell>
          <cell r="AL30">
            <v>18612566</v>
          </cell>
          <cell r="AM30">
            <v>0</v>
          </cell>
          <cell r="AN30">
            <v>0</v>
          </cell>
          <cell r="AO30">
            <v>0</v>
          </cell>
          <cell r="AP30">
            <v>0</v>
          </cell>
          <cell r="AQ30">
            <v>170948</v>
          </cell>
          <cell r="AR30">
            <v>0</v>
          </cell>
          <cell r="AS30">
            <v>170948</v>
          </cell>
          <cell r="AT30">
            <v>1606322.3685081259</v>
          </cell>
          <cell r="AU30">
            <v>502078.63149187411</v>
          </cell>
          <cell r="AW30">
            <v>16505451</v>
          </cell>
          <cell r="AX30">
            <v>129828</v>
          </cell>
          <cell r="AY30">
            <v>16635279</v>
          </cell>
          <cell r="AZ30">
            <v>0</v>
          </cell>
          <cell r="BA30">
            <v>16635279</v>
          </cell>
          <cell r="BB30">
            <v>0</v>
          </cell>
          <cell r="BC30">
            <v>16635279</v>
          </cell>
          <cell r="BD30">
            <v>1286</v>
          </cell>
          <cell r="BE30">
            <v>2278063</v>
          </cell>
          <cell r="BF30">
            <v>0</v>
          </cell>
          <cell r="BH30">
            <v>18914628</v>
          </cell>
          <cell r="BI30">
            <v>170948</v>
          </cell>
          <cell r="BJ30">
            <v>18743680</v>
          </cell>
          <cell r="BK30">
            <v>0</v>
          </cell>
          <cell r="BL30">
            <v>18743680</v>
          </cell>
        </row>
        <row r="31">
          <cell r="B31" t="str">
            <v>CAMBREX BIOWHITTAKER</v>
          </cell>
          <cell r="C31">
            <v>0</v>
          </cell>
          <cell r="D31">
            <v>1900344</v>
          </cell>
          <cell r="E31">
            <v>56828</v>
          </cell>
          <cell r="F31" t="str">
            <v>ASC</v>
          </cell>
          <cell r="G31" t="str">
            <v>JAN</v>
          </cell>
          <cell r="H31" t="str">
            <v>Delong</v>
          </cell>
          <cell r="I31" t="str">
            <v>Engel</v>
          </cell>
          <cell r="J31" t="str">
            <v>Weekly Wire</v>
          </cell>
          <cell r="K31" t="str">
            <v>NETTIE</v>
          </cell>
          <cell r="L31" t="str">
            <v>Wachovia</v>
          </cell>
          <cell r="M31">
            <v>0</v>
          </cell>
          <cell r="N31">
            <v>55026</v>
          </cell>
          <cell r="O31" t="str">
            <v>NASCO</v>
          </cell>
          <cell r="P31" t="str">
            <v>NATIONAL</v>
          </cell>
          <cell r="Q31">
            <v>704</v>
          </cell>
          <cell r="R31">
            <v>0</v>
          </cell>
          <cell r="S31">
            <v>50000</v>
          </cell>
          <cell r="T31">
            <v>1.1499999999999999</v>
          </cell>
          <cell r="U31">
            <v>458924.4</v>
          </cell>
          <cell r="V31">
            <v>30594.959999999999</v>
          </cell>
          <cell r="W31">
            <v>489519.35999999999</v>
          </cell>
          <cell r="X31">
            <v>20396.64</v>
          </cell>
          <cell r="Y31">
            <v>10198.32</v>
          </cell>
          <cell r="Z31">
            <v>0</v>
          </cell>
          <cell r="AA31">
            <v>142776.48000000001</v>
          </cell>
          <cell r="AB31">
            <v>356941.2</v>
          </cell>
          <cell r="AC31">
            <v>1019832</v>
          </cell>
          <cell r="AD31">
            <v>6524</v>
          </cell>
          <cell r="AE31">
            <v>1026356</v>
          </cell>
          <cell r="AF31">
            <v>0</v>
          </cell>
          <cell r="AG31">
            <v>0</v>
          </cell>
          <cell r="AH31">
            <v>-5344</v>
          </cell>
          <cell r="AI31">
            <v>2235205</v>
          </cell>
          <cell r="AJ31">
            <v>3255037</v>
          </cell>
          <cell r="AK31">
            <v>1019832</v>
          </cell>
          <cell r="AL31">
            <v>3112260.52</v>
          </cell>
          <cell r="AM31">
            <v>0</v>
          </cell>
          <cell r="AN31">
            <v>0</v>
          </cell>
          <cell r="AO31">
            <v>0</v>
          </cell>
          <cell r="AP31">
            <v>0</v>
          </cell>
          <cell r="AQ31">
            <v>565526</v>
          </cell>
          <cell r="AR31">
            <v>0</v>
          </cell>
          <cell r="AS31">
            <v>565526</v>
          </cell>
          <cell r="AT31">
            <v>273604.94206173054</v>
          </cell>
          <cell r="AU31">
            <v>39104.577938269358</v>
          </cell>
          <cell r="AW31">
            <v>2800731</v>
          </cell>
          <cell r="AX31">
            <v>85138</v>
          </cell>
          <cell r="AY31">
            <v>2885869</v>
          </cell>
          <cell r="AZ31">
            <v>0</v>
          </cell>
          <cell r="BA31">
            <v>2885869</v>
          </cell>
          <cell r="BB31">
            <v>0</v>
          </cell>
          <cell r="BC31">
            <v>2885869</v>
          </cell>
          <cell r="BD31">
            <v>6524</v>
          </cell>
          <cell r="BE31">
            <v>1019832</v>
          </cell>
          <cell r="BF31">
            <v>-5344</v>
          </cell>
          <cell r="BH31">
            <v>3906881</v>
          </cell>
          <cell r="BI31">
            <v>565526</v>
          </cell>
          <cell r="BJ31">
            <v>3341355</v>
          </cell>
          <cell r="BK31">
            <v>0</v>
          </cell>
          <cell r="BL31">
            <v>3341355</v>
          </cell>
        </row>
        <row r="32">
          <cell r="B32" t="str">
            <v>CAREFIRST</v>
          </cell>
          <cell r="C32">
            <v>0</v>
          </cell>
          <cell r="D32">
            <v>1900045</v>
          </cell>
          <cell r="E32" t="str">
            <v>07277</v>
          </cell>
          <cell r="F32" t="str">
            <v>ASC</v>
          </cell>
          <cell r="G32" t="str">
            <v>APR</v>
          </cell>
          <cell r="H32" t="str">
            <v>Parker Mann</v>
          </cell>
          <cell r="I32" t="str">
            <v>Waters</v>
          </cell>
          <cell r="J32" t="str">
            <v>N/A</v>
          </cell>
          <cell r="K32" t="str">
            <v>DONNA</v>
          </cell>
          <cell r="L32" t="str">
            <v>None</v>
          </cell>
          <cell r="M32">
            <v>0</v>
          </cell>
          <cell r="N32">
            <v>0</v>
          </cell>
          <cell r="O32" t="str">
            <v>NASCO-S</v>
          </cell>
          <cell r="P32" t="str">
            <v>NATIONAL</v>
          </cell>
          <cell r="Q32">
            <v>1777</v>
          </cell>
          <cell r="R32">
            <v>0</v>
          </cell>
          <cell r="S32">
            <v>0</v>
          </cell>
          <cell r="T32">
            <v>0</v>
          </cell>
          <cell r="U32">
            <v>0</v>
          </cell>
          <cell r="V32">
            <v>0</v>
          </cell>
          <cell r="W32">
            <v>0</v>
          </cell>
          <cell r="X32">
            <v>0</v>
          </cell>
          <cell r="Y32">
            <v>67332.52</v>
          </cell>
          <cell r="Z32">
            <v>0</v>
          </cell>
          <cell r="AA32">
            <v>0</v>
          </cell>
          <cell r="AB32">
            <v>1615980.48</v>
          </cell>
          <cell r="AC32">
            <v>1683313</v>
          </cell>
          <cell r="AD32">
            <v>-705</v>
          </cell>
          <cell r="AE32">
            <v>1682608</v>
          </cell>
          <cell r="AF32">
            <v>0</v>
          </cell>
          <cell r="AG32">
            <v>0</v>
          </cell>
          <cell r="AH32">
            <v>0</v>
          </cell>
          <cell r="AI32">
            <v>31555568</v>
          </cell>
          <cell r="AJ32">
            <v>33238881</v>
          </cell>
          <cell r="AK32">
            <v>1683313</v>
          </cell>
          <cell r="AL32">
            <v>33238881</v>
          </cell>
          <cell r="AM32">
            <v>0</v>
          </cell>
          <cell r="AN32">
            <v>0</v>
          </cell>
          <cell r="AO32">
            <v>0</v>
          </cell>
          <cell r="AP32">
            <v>0</v>
          </cell>
          <cell r="AQ32">
            <v>0</v>
          </cell>
          <cell r="AR32">
            <v>0</v>
          </cell>
          <cell r="AS32">
            <v>0</v>
          </cell>
          <cell r="AT32">
            <v>3060541.2159547638</v>
          </cell>
          <cell r="AU32">
            <v>-1377933.2159547638</v>
          </cell>
          <cell r="AW32">
            <v>31555568</v>
          </cell>
          <cell r="AX32">
            <v>79635</v>
          </cell>
          <cell r="AY32">
            <v>31635203</v>
          </cell>
          <cell r="AZ32">
            <v>0</v>
          </cell>
          <cell r="BA32">
            <v>31635203</v>
          </cell>
          <cell r="BB32">
            <v>0</v>
          </cell>
          <cell r="BC32">
            <v>31635203</v>
          </cell>
          <cell r="BD32">
            <v>-705</v>
          </cell>
          <cell r="BE32">
            <v>1683313</v>
          </cell>
          <cell r="BF32">
            <v>0</v>
          </cell>
          <cell r="BH32">
            <v>33317811</v>
          </cell>
          <cell r="BI32">
            <v>0</v>
          </cell>
          <cell r="BJ32">
            <v>33317811</v>
          </cell>
          <cell r="BK32">
            <v>0</v>
          </cell>
          <cell r="BL32">
            <v>33317811</v>
          </cell>
        </row>
        <row r="33">
          <cell r="B33" t="str">
            <v>CARPENTERS</v>
          </cell>
          <cell r="C33">
            <v>0</v>
          </cell>
          <cell r="D33" t="str">
            <v>n/a</v>
          </cell>
          <cell r="E33">
            <v>59344</v>
          </cell>
          <cell r="F33">
            <v>0</v>
          </cell>
          <cell r="G33" t="str">
            <v>termed 9/03</v>
          </cell>
          <cell r="H33" t="str">
            <v>Howard</v>
          </cell>
          <cell r="I33" t="str">
            <v>Yocum</v>
          </cell>
          <cell r="J33" t="str">
            <v>Wire--1 Month</v>
          </cell>
          <cell r="K33" t="str">
            <v>GINNY</v>
          </cell>
          <cell r="L33" t="str">
            <v>None</v>
          </cell>
          <cell r="M33">
            <v>227777</v>
          </cell>
          <cell r="N33">
            <v>0</v>
          </cell>
          <cell r="O33" t="str">
            <v>CARE</v>
          </cell>
          <cell r="P33" t="str">
            <v>LOCAL</v>
          </cell>
          <cell r="Q33" t="str">
            <v>termed</v>
          </cell>
          <cell r="R33">
            <v>0</v>
          </cell>
          <cell r="S33">
            <v>0</v>
          </cell>
          <cell r="T33">
            <v>0</v>
          </cell>
          <cell r="U33">
            <v>0</v>
          </cell>
          <cell r="V33">
            <v>0</v>
          </cell>
          <cell r="W33">
            <v>0</v>
          </cell>
          <cell r="X33">
            <v>0</v>
          </cell>
          <cell r="Y33">
            <v>0</v>
          </cell>
          <cell r="Z33">
            <v>0</v>
          </cell>
          <cell r="AA33">
            <v>0</v>
          </cell>
          <cell r="AB33">
            <v>158</v>
          </cell>
          <cell r="AC33">
            <v>158</v>
          </cell>
          <cell r="AD33">
            <v>0</v>
          </cell>
          <cell r="AE33">
            <v>158</v>
          </cell>
          <cell r="AF33">
            <v>0</v>
          </cell>
          <cell r="AG33">
            <v>0</v>
          </cell>
          <cell r="AH33">
            <v>0</v>
          </cell>
          <cell r="AI33">
            <v>1215</v>
          </cell>
          <cell r="AJ33">
            <v>1373</v>
          </cell>
          <cell r="AK33">
            <v>158</v>
          </cell>
          <cell r="AL33">
            <v>1373</v>
          </cell>
          <cell r="AM33">
            <v>0</v>
          </cell>
          <cell r="AN33">
            <v>0</v>
          </cell>
          <cell r="AO33">
            <v>0</v>
          </cell>
          <cell r="AP33">
            <v>0</v>
          </cell>
          <cell r="AQ33">
            <v>0</v>
          </cell>
          <cell r="AR33">
            <v>0</v>
          </cell>
          <cell r="AS33">
            <v>0</v>
          </cell>
          <cell r="AT33">
            <v>112.51317803080238</v>
          </cell>
          <cell r="AU33">
            <v>45.486821969197621</v>
          </cell>
          <cell r="AW33">
            <v>1215</v>
          </cell>
          <cell r="AX33">
            <v>0</v>
          </cell>
          <cell r="AY33">
            <v>1215</v>
          </cell>
          <cell r="AZ33">
            <v>0</v>
          </cell>
          <cell r="BA33">
            <v>1215</v>
          </cell>
          <cell r="BB33">
            <v>0</v>
          </cell>
          <cell r="BC33">
            <v>1215</v>
          </cell>
          <cell r="BD33">
            <v>0</v>
          </cell>
          <cell r="BE33">
            <v>158</v>
          </cell>
          <cell r="BF33">
            <v>0</v>
          </cell>
          <cell r="BH33">
            <v>1373</v>
          </cell>
          <cell r="BI33">
            <v>0</v>
          </cell>
          <cell r="BJ33">
            <v>1373</v>
          </cell>
          <cell r="BK33">
            <v>0</v>
          </cell>
          <cell r="BL33">
            <v>1373</v>
          </cell>
        </row>
        <row r="34">
          <cell r="B34" t="str">
            <v>CARROLL CO GOVT</v>
          </cell>
          <cell r="C34">
            <v>0</v>
          </cell>
          <cell r="D34" t="str">
            <v>n/a</v>
          </cell>
          <cell r="E34">
            <v>59765</v>
          </cell>
          <cell r="F34" t="str">
            <v>ASC</v>
          </cell>
          <cell r="G34" t="str">
            <v>JAN</v>
          </cell>
          <cell r="H34" t="str">
            <v>Parker Mann</v>
          </cell>
          <cell r="I34" t="str">
            <v>Pederson</v>
          </cell>
          <cell r="J34" t="str">
            <v>Direct Debit--Weekly</v>
          </cell>
          <cell r="K34" t="str">
            <v>NETTIE</v>
          </cell>
          <cell r="L34" t="str">
            <v>None</v>
          </cell>
          <cell r="M34">
            <v>0</v>
          </cell>
          <cell r="N34">
            <v>149257</v>
          </cell>
          <cell r="O34" t="str">
            <v>CARE</v>
          </cell>
          <cell r="P34" t="str">
            <v>LOCAL</v>
          </cell>
          <cell r="Q34">
            <v>1125</v>
          </cell>
          <cell r="R34">
            <v>0</v>
          </cell>
          <cell r="S34">
            <v>250000</v>
          </cell>
          <cell r="T34">
            <v>1.25</v>
          </cell>
          <cell r="U34">
            <v>201753.76</v>
          </cell>
          <cell r="V34">
            <v>46558.559999999998</v>
          </cell>
          <cell r="W34">
            <v>248312.32000000001</v>
          </cell>
          <cell r="X34">
            <v>0</v>
          </cell>
          <cell r="Y34">
            <v>15519.52</v>
          </cell>
          <cell r="Z34">
            <v>0</v>
          </cell>
          <cell r="AA34">
            <v>0</v>
          </cell>
          <cell r="AB34">
            <v>512144.16</v>
          </cell>
          <cell r="AC34">
            <v>775976</v>
          </cell>
          <cell r="AD34">
            <v>240</v>
          </cell>
          <cell r="AE34">
            <v>776216</v>
          </cell>
          <cell r="AF34">
            <v>0</v>
          </cell>
          <cell r="AG34">
            <v>0</v>
          </cell>
          <cell r="AH34">
            <v>0</v>
          </cell>
          <cell r="AI34">
            <v>8151809</v>
          </cell>
          <cell r="AJ34">
            <v>8927785</v>
          </cell>
          <cell r="AK34">
            <v>775976</v>
          </cell>
          <cell r="AL34">
            <v>8927785</v>
          </cell>
          <cell r="AM34">
            <v>0</v>
          </cell>
          <cell r="AN34">
            <v>0</v>
          </cell>
          <cell r="AO34">
            <v>0</v>
          </cell>
          <cell r="AP34">
            <v>0</v>
          </cell>
          <cell r="AQ34">
            <v>0</v>
          </cell>
          <cell r="AR34">
            <v>0</v>
          </cell>
          <cell r="AS34">
            <v>0</v>
          </cell>
          <cell r="AT34">
            <v>799978.67807763047</v>
          </cell>
          <cell r="AU34">
            <v>-23762.678077630466</v>
          </cell>
          <cell r="AW34">
            <v>8151809</v>
          </cell>
          <cell r="AX34">
            <v>22606</v>
          </cell>
          <cell r="AY34">
            <v>8174415</v>
          </cell>
          <cell r="AZ34">
            <v>0</v>
          </cell>
          <cell r="BA34">
            <v>8174415</v>
          </cell>
          <cell r="BB34">
            <v>0</v>
          </cell>
          <cell r="BC34">
            <v>8174415</v>
          </cell>
          <cell r="BD34">
            <v>240</v>
          </cell>
          <cell r="BE34">
            <v>775976</v>
          </cell>
          <cell r="BF34">
            <v>0</v>
          </cell>
          <cell r="BH34">
            <v>8950631</v>
          </cell>
          <cell r="BI34">
            <v>0</v>
          </cell>
          <cell r="BJ34">
            <v>8950631</v>
          </cell>
          <cell r="BK34">
            <v>0</v>
          </cell>
          <cell r="BL34">
            <v>8950631</v>
          </cell>
        </row>
        <row r="35">
          <cell r="B35" t="str">
            <v>CARROLL CO P S</v>
          </cell>
          <cell r="C35">
            <v>0</v>
          </cell>
          <cell r="D35" t="str">
            <v>n/a</v>
          </cell>
          <cell r="E35">
            <v>25698</v>
          </cell>
          <cell r="F35" t="str">
            <v>ASC</v>
          </cell>
          <cell r="G35" t="str">
            <v>JAN</v>
          </cell>
          <cell r="H35" t="str">
            <v>Solloway</v>
          </cell>
          <cell r="I35" t="str">
            <v>Lopez</v>
          </cell>
          <cell r="J35" t="str">
            <v>Deposit--2 Month</v>
          </cell>
          <cell r="K35" t="str">
            <v>NETTIE</v>
          </cell>
          <cell r="L35" t="str">
            <v>None</v>
          </cell>
          <cell r="M35">
            <v>183325</v>
          </cell>
          <cell r="N35">
            <v>0</v>
          </cell>
          <cell r="O35" t="str">
            <v>CARE-S</v>
          </cell>
          <cell r="P35" t="str">
            <v>LOCAL</v>
          </cell>
          <cell r="Q35" t="str">
            <v>dental</v>
          </cell>
          <cell r="R35">
            <v>0</v>
          </cell>
          <cell r="S35">
            <v>0</v>
          </cell>
          <cell r="T35">
            <v>0</v>
          </cell>
          <cell r="U35">
            <v>0</v>
          </cell>
          <cell r="V35">
            <v>0</v>
          </cell>
          <cell r="W35">
            <v>0</v>
          </cell>
          <cell r="X35">
            <v>0</v>
          </cell>
          <cell r="Y35">
            <v>0</v>
          </cell>
          <cell r="Z35">
            <v>0</v>
          </cell>
          <cell r="AA35">
            <v>0</v>
          </cell>
          <cell r="AB35">
            <v>126357</v>
          </cell>
          <cell r="AC35">
            <v>126357</v>
          </cell>
          <cell r="AD35">
            <v>0</v>
          </cell>
          <cell r="AE35">
            <v>126357</v>
          </cell>
          <cell r="AF35">
            <v>0</v>
          </cell>
          <cell r="AG35">
            <v>0</v>
          </cell>
          <cell r="AH35">
            <v>0</v>
          </cell>
          <cell r="AI35">
            <v>1031202</v>
          </cell>
          <cell r="AJ35">
            <v>1157559</v>
          </cell>
          <cell r="AK35">
            <v>126357</v>
          </cell>
          <cell r="AL35">
            <v>1157559</v>
          </cell>
          <cell r="AM35">
            <v>0</v>
          </cell>
          <cell r="AN35">
            <v>0</v>
          </cell>
          <cell r="AO35">
            <v>0</v>
          </cell>
          <cell r="AP35">
            <v>0</v>
          </cell>
          <cell r="AQ35">
            <v>0</v>
          </cell>
          <cell r="AR35">
            <v>0</v>
          </cell>
          <cell r="AS35">
            <v>0</v>
          </cell>
          <cell r="AT35">
            <v>99363.550935537394</v>
          </cell>
          <cell r="AU35">
            <v>26993.449064462606</v>
          </cell>
          <cell r="AW35">
            <v>1031202</v>
          </cell>
          <cell r="AX35">
            <v>0</v>
          </cell>
          <cell r="AY35">
            <v>1031202</v>
          </cell>
          <cell r="AZ35">
            <v>0</v>
          </cell>
          <cell r="BA35">
            <v>1031202</v>
          </cell>
          <cell r="BB35">
            <v>0</v>
          </cell>
          <cell r="BC35">
            <v>1031202</v>
          </cell>
          <cell r="BD35">
            <v>0</v>
          </cell>
          <cell r="BE35">
            <v>126357</v>
          </cell>
          <cell r="BF35">
            <v>0</v>
          </cell>
          <cell r="BH35">
            <v>1157559</v>
          </cell>
          <cell r="BI35">
            <v>0</v>
          </cell>
          <cell r="BJ35">
            <v>1157559</v>
          </cell>
          <cell r="BK35">
            <v>0</v>
          </cell>
          <cell r="BL35">
            <v>1157559</v>
          </cell>
        </row>
        <row r="36">
          <cell r="B36" t="str">
            <v>CECIL CO BD OF ED</v>
          </cell>
          <cell r="C36">
            <v>0</v>
          </cell>
          <cell r="D36" t="str">
            <v>n/a</v>
          </cell>
          <cell r="E36">
            <v>28209</v>
          </cell>
          <cell r="F36" t="str">
            <v>ASC</v>
          </cell>
          <cell r="G36" t="str">
            <v>SEP</v>
          </cell>
          <cell r="H36" t="str">
            <v>Michael</v>
          </cell>
          <cell r="I36" t="str">
            <v>Drusano</v>
          </cell>
          <cell r="J36" t="str">
            <v>Bi-weekly Wire</v>
          </cell>
          <cell r="K36" t="str">
            <v>DONNA</v>
          </cell>
          <cell r="L36" t="str">
            <v>None</v>
          </cell>
          <cell r="M36">
            <v>0</v>
          </cell>
          <cell r="N36">
            <v>197600</v>
          </cell>
          <cell r="O36" t="str">
            <v>CARE -S</v>
          </cell>
          <cell r="P36" t="str">
            <v>LOCAL</v>
          </cell>
          <cell r="Q36">
            <v>1362</v>
          </cell>
          <cell r="R36">
            <v>0</v>
          </cell>
          <cell r="S36">
            <v>150000</v>
          </cell>
          <cell r="T36">
            <v>1.1499999999999999</v>
          </cell>
          <cell r="U36">
            <v>226668.28</v>
          </cell>
          <cell r="V36">
            <v>57389.599999999999</v>
          </cell>
          <cell r="W36">
            <v>284057.88</v>
          </cell>
          <cell r="X36">
            <v>80345.440000000002</v>
          </cell>
          <cell r="Y36">
            <v>0</v>
          </cell>
          <cell r="Z36">
            <v>0</v>
          </cell>
          <cell r="AA36">
            <v>0</v>
          </cell>
          <cell r="AB36">
            <v>783388.68</v>
          </cell>
          <cell r="AC36">
            <v>1147792</v>
          </cell>
          <cell r="AD36">
            <v>179</v>
          </cell>
          <cell r="AE36">
            <v>1147971</v>
          </cell>
          <cell r="AF36">
            <v>0</v>
          </cell>
          <cell r="AG36">
            <v>0</v>
          </cell>
          <cell r="AH36">
            <v>-1240</v>
          </cell>
          <cell r="AI36">
            <v>9554993</v>
          </cell>
          <cell r="AJ36">
            <v>10702785</v>
          </cell>
          <cell r="AK36">
            <v>1147792</v>
          </cell>
          <cell r="AL36">
            <v>10702785</v>
          </cell>
          <cell r="AM36">
            <v>0</v>
          </cell>
          <cell r="AN36">
            <v>0</v>
          </cell>
          <cell r="AO36">
            <v>0</v>
          </cell>
          <cell r="AP36">
            <v>0</v>
          </cell>
          <cell r="AQ36">
            <v>190097</v>
          </cell>
          <cell r="AR36">
            <v>0</v>
          </cell>
          <cell r="AS36">
            <v>190097</v>
          </cell>
          <cell r="AT36">
            <v>949806.15584560751</v>
          </cell>
          <cell r="AU36">
            <v>6827.8441543924855</v>
          </cell>
          <cell r="AW36">
            <v>9745090</v>
          </cell>
          <cell r="AX36">
            <v>43805</v>
          </cell>
          <cell r="AY36">
            <v>9788895</v>
          </cell>
          <cell r="AZ36">
            <v>0</v>
          </cell>
          <cell r="BA36">
            <v>9788895</v>
          </cell>
          <cell r="BB36">
            <v>0</v>
          </cell>
          <cell r="BC36">
            <v>9788895</v>
          </cell>
          <cell r="BD36">
            <v>179</v>
          </cell>
          <cell r="BE36">
            <v>1147792</v>
          </cell>
          <cell r="BF36">
            <v>-1240</v>
          </cell>
          <cell r="BH36">
            <v>10935626</v>
          </cell>
          <cell r="BI36">
            <v>190097</v>
          </cell>
          <cell r="BJ36">
            <v>10745529</v>
          </cell>
          <cell r="BK36">
            <v>0</v>
          </cell>
          <cell r="BL36">
            <v>10745529</v>
          </cell>
        </row>
        <row r="37">
          <cell r="B37" t="str">
            <v>CECIL CO GOVT</v>
          </cell>
          <cell r="C37">
            <v>0</v>
          </cell>
          <cell r="D37">
            <v>1900543</v>
          </cell>
          <cell r="E37">
            <v>65766</v>
          </cell>
          <cell r="F37" t="str">
            <v>ASC</v>
          </cell>
          <cell r="G37" t="str">
            <v>JAN</v>
          </cell>
          <cell r="H37">
            <v>0</v>
          </cell>
          <cell r="I37">
            <v>0</v>
          </cell>
          <cell r="J37" t="str">
            <v>Weekly Wire</v>
          </cell>
          <cell r="K37" t="str">
            <v>DONNA</v>
          </cell>
          <cell r="L37">
            <v>0</v>
          </cell>
          <cell r="M37">
            <v>0</v>
          </cell>
          <cell r="N37">
            <v>0</v>
          </cell>
          <cell r="O37" t="str">
            <v>NASCO</v>
          </cell>
          <cell r="P37" t="str">
            <v>LOCAL</v>
          </cell>
          <cell r="Q37">
            <v>630</v>
          </cell>
          <cell r="R37">
            <v>0</v>
          </cell>
          <cell r="S37">
            <v>0</v>
          </cell>
          <cell r="T37">
            <v>0</v>
          </cell>
          <cell r="U37">
            <v>0</v>
          </cell>
          <cell r="V37">
            <v>0</v>
          </cell>
          <cell r="W37">
            <v>0</v>
          </cell>
          <cell r="X37">
            <v>0</v>
          </cell>
          <cell r="Y37">
            <v>0</v>
          </cell>
          <cell r="Z37">
            <v>0</v>
          </cell>
          <cell r="AA37">
            <v>0</v>
          </cell>
          <cell r="AB37">
            <v>340994</v>
          </cell>
          <cell r="AC37">
            <v>340994</v>
          </cell>
          <cell r="AD37">
            <v>0</v>
          </cell>
          <cell r="AE37">
            <v>340994</v>
          </cell>
          <cell r="AF37">
            <v>0</v>
          </cell>
          <cell r="AG37">
            <v>0</v>
          </cell>
          <cell r="AH37">
            <v>0</v>
          </cell>
          <cell r="AI37">
            <v>3838877</v>
          </cell>
          <cell r="AJ37">
            <v>4179871</v>
          </cell>
          <cell r="AK37">
            <v>340994</v>
          </cell>
          <cell r="AL37">
            <v>4179871</v>
          </cell>
          <cell r="AM37">
            <v>0</v>
          </cell>
          <cell r="AN37">
            <v>0</v>
          </cell>
          <cell r="AO37">
            <v>0</v>
          </cell>
          <cell r="AP37">
            <v>0</v>
          </cell>
          <cell r="AQ37">
            <v>0</v>
          </cell>
          <cell r="AR37">
            <v>0</v>
          </cell>
          <cell r="AS37">
            <v>0</v>
          </cell>
          <cell r="AT37">
            <v>377614.23116998636</v>
          </cell>
          <cell r="AU37">
            <v>-36620.231169986364</v>
          </cell>
          <cell r="AW37">
            <v>3838877</v>
          </cell>
          <cell r="AX37">
            <v>16616</v>
          </cell>
          <cell r="AY37">
            <v>3855493</v>
          </cell>
          <cell r="AZ37">
            <v>0</v>
          </cell>
          <cell r="BA37">
            <v>3855493</v>
          </cell>
          <cell r="BB37">
            <v>0</v>
          </cell>
          <cell r="BC37">
            <v>3855493</v>
          </cell>
          <cell r="BD37">
            <v>0</v>
          </cell>
          <cell r="BE37">
            <v>340994</v>
          </cell>
          <cell r="BF37">
            <v>0</v>
          </cell>
          <cell r="BH37">
            <v>4196487</v>
          </cell>
          <cell r="BI37">
            <v>0</v>
          </cell>
          <cell r="BJ37">
            <v>4196487</v>
          </cell>
          <cell r="BK37">
            <v>0</v>
          </cell>
          <cell r="BL37">
            <v>4196487</v>
          </cell>
        </row>
        <row r="38">
          <cell r="B38" t="str">
            <v>CEDAR ENTERPRISE SOLUTIONS</v>
          </cell>
          <cell r="C38">
            <v>0</v>
          </cell>
          <cell r="D38">
            <v>1900471</v>
          </cell>
          <cell r="E38">
            <v>64048</v>
          </cell>
          <cell r="F38" t="str">
            <v>ASC</v>
          </cell>
          <cell r="G38" t="str">
            <v>JAN</v>
          </cell>
          <cell r="H38" t="str">
            <v>Pospisil</v>
          </cell>
          <cell r="I38" t="str">
            <v>Waters</v>
          </cell>
          <cell r="J38" t="str">
            <v>Weekly Check</v>
          </cell>
          <cell r="K38" t="str">
            <v>GINNY</v>
          </cell>
          <cell r="L38" t="str">
            <v>Laslett Blue</v>
          </cell>
          <cell r="M38">
            <v>0</v>
          </cell>
          <cell r="N38">
            <v>0</v>
          </cell>
          <cell r="O38" t="str">
            <v>NASCO-S</v>
          </cell>
          <cell r="P38" t="str">
            <v>NATIONAL</v>
          </cell>
          <cell r="Q38">
            <v>197</v>
          </cell>
          <cell r="R38">
            <v>0</v>
          </cell>
          <cell r="S38">
            <v>0</v>
          </cell>
          <cell r="T38">
            <v>0</v>
          </cell>
          <cell r="U38">
            <v>0</v>
          </cell>
          <cell r="V38">
            <v>0</v>
          </cell>
          <cell r="W38">
            <v>0</v>
          </cell>
          <cell r="X38">
            <v>0</v>
          </cell>
          <cell r="Y38">
            <v>0</v>
          </cell>
          <cell r="Z38">
            <v>0</v>
          </cell>
          <cell r="AA38">
            <v>0</v>
          </cell>
          <cell r="AB38">
            <v>51092</v>
          </cell>
          <cell r="AC38">
            <v>51092</v>
          </cell>
          <cell r="AD38">
            <v>0</v>
          </cell>
          <cell r="AE38">
            <v>51092</v>
          </cell>
          <cell r="AF38">
            <v>0</v>
          </cell>
          <cell r="AG38">
            <v>0</v>
          </cell>
          <cell r="AH38">
            <v>0</v>
          </cell>
          <cell r="AI38">
            <v>242634</v>
          </cell>
          <cell r="AJ38">
            <v>293726</v>
          </cell>
          <cell r="AK38">
            <v>51092</v>
          </cell>
          <cell r="AL38">
            <v>293726</v>
          </cell>
          <cell r="AM38">
            <v>0</v>
          </cell>
          <cell r="AN38">
            <v>0</v>
          </cell>
          <cell r="AO38">
            <v>0</v>
          </cell>
          <cell r="AP38">
            <v>0</v>
          </cell>
          <cell r="AQ38">
            <v>0</v>
          </cell>
          <cell r="AR38">
            <v>0</v>
          </cell>
          <cell r="AS38">
            <v>0</v>
          </cell>
          <cell r="AT38">
            <v>24315.881140964673</v>
          </cell>
          <cell r="AU38">
            <v>26776.118859035327</v>
          </cell>
          <cell r="AW38">
            <v>242634</v>
          </cell>
          <cell r="AX38">
            <v>29131</v>
          </cell>
          <cell r="AY38">
            <v>271765</v>
          </cell>
          <cell r="AZ38">
            <v>0</v>
          </cell>
          <cell r="BA38">
            <v>271765</v>
          </cell>
          <cell r="BB38">
            <v>0</v>
          </cell>
          <cell r="BC38">
            <v>271765</v>
          </cell>
          <cell r="BD38">
            <v>0</v>
          </cell>
          <cell r="BE38">
            <v>51092</v>
          </cell>
          <cell r="BF38">
            <v>0</v>
          </cell>
          <cell r="BH38">
            <v>322857</v>
          </cell>
          <cell r="BI38">
            <v>0</v>
          </cell>
          <cell r="BJ38">
            <v>322857</v>
          </cell>
          <cell r="BK38">
            <v>0</v>
          </cell>
          <cell r="BL38">
            <v>322857</v>
          </cell>
        </row>
        <row r="39">
          <cell r="B39" t="str">
            <v>CHARLES CO COMM</v>
          </cell>
          <cell r="C39">
            <v>0</v>
          </cell>
          <cell r="D39" t="str">
            <v>n/a</v>
          </cell>
          <cell r="E39" t="str">
            <v>08174</v>
          </cell>
          <cell r="F39" t="str">
            <v>ASC</v>
          </cell>
          <cell r="G39" t="str">
            <v>JUL</v>
          </cell>
          <cell r="H39" t="str">
            <v>Richardson</v>
          </cell>
          <cell r="I39" t="str">
            <v>Lehmann</v>
          </cell>
          <cell r="J39" t="str">
            <v>Deposit--2 Months</v>
          </cell>
          <cell r="K39" t="str">
            <v>LISA</v>
          </cell>
          <cell r="L39" t="str">
            <v>None</v>
          </cell>
          <cell r="M39">
            <v>944000</v>
          </cell>
          <cell r="N39">
            <v>115000</v>
          </cell>
          <cell r="O39" t="str">
            <v>CARE-S</v>
          </cell>
          <cell r="P39" t="str">
            <v>LOCAL</v>
          </cell>
          <cell r="Q39">
            <v>718</v>
          </cell>
          <cell r="R39">
            <v>0</v>
          </cell>
          <cell r="S39">
            <v>100000</v>
          </cell>
          <cell r="T39">
            <v>1.1499999999999999</v>
          </cell>
          <cell r="U39">
            <v>142506.42000000001</v>
          </cell>
          <cell r="V39">
            <v>54288.160000000003</v>
          </cell>
          <cell r="W39">
            <v>196794.58</v>
          </cell>
          <cell r="X39">
            <v>40716.120000000003</v>
          </cell>
          <cell r="Y39">
            <v>12824.2</v>
          </cell>
          <cell r="Z39">
            <v>0</v>
          </cell>
          <cell r="AA39">
            <v>0</v>
          </cell>
          <cell r="AB39">
            <v>428267.1</v>
          </cell>
          <cell r="AC39">
            <v>678602</v>
          </cell>
          <cell r="AD39">
            <v>220</v>
          </cell>
          <cell r="AE39">
            <v>678822</v>
          </cell>
          <cell r="AF39">
            <v>0</v>
          </cell>
          <cell r="AG39">
            <v>0</v>
          </cell>
          <cell r="AH39">
            <v>3600</v>
          </cell>
          <cell r="AI39">
            <v>5496725</v>
          </cell>
          <cell r="AJ39">
            <v>6175327</v>
          </cell>
          <cell r="AK39">
            <v>678602</v>
          </cell>
          <cell r="AL39">
            <v>6175327</v>
          </cell>
          <cell r="AM39">
            <v>0</v>
          </cell>
          <cell r="AN39">
            <v>0</v>
          </cell>
          <cell r="AO39">
            <v>0</v>
          </cell>
          <cell r="AP39">
            <v>0</v>
          </cell>
          <cell r="AQ39">
            <v>315562</v>
          </cell>
          <cell r="AR39">
            <v>0</v>
          </cell>
          <cell r="AS39">
            <v>315562</v>
          </cell>
          <cell r="AT39">
            <v>561814.21906633</v>
          </cell>
          <cell r="AU39">
            <v>-194954.21906633</v>
          </cell>
          <cell r="AW39">
            <v>5812287</v>
          </cell>
          <cell r="AX39">
            <v>89608</v>
          </cell>
          <cell r="AY39">
            <v>5901895</v>
          </cell>
          <cell r="AZ39">
            <v>0</v>
          </cell>
          <cell r="BA39">
            <v>5901895</v>
          </cell>
          <cell r="BB39">
            <v>0</v>
          </cell>
          <cell r="BC39">
            <v>5901895</v>
          </cell>
          <cell r="BD39">
            <v>220</v>
          </cell>
          <cell r="BE39">
            <v>678602</v>
          </cell>
          <cell r="BF39">
            <v>3600</v>
          </cell>
          <cell r="BH39">
            <v>6584317</v>
          </cell>
          <cell r="BI39">
            <v>315562</v>
          </cell>
          <cell r="BJ39">
            <v>6268755</v>
          </cell>
          <cell r="BK39">
            <v>0</v>
          </cell>
          <cell r="BL39">
            <v>6268755</v>
          </cell>
        </row>
        <row r="40">
          <cell r="B40" t="str">
            <v>CHESAPEAKE PUBLISHING</v>
          </cell>
          <cell r="C40">
            <v>0</v>
          </cell>
          <cell r="D40">
            <v>1900094</v>
          </cell>
          <cell r="E40">
            <v>17940</v>
          </cell>
          <cell r="F40" t="str">
            <v>ASC</v>
          </cell>
          <cell r="G40" t="str">
            <v>JAN</v>
          </cell>
          <cell r="H40" t="str">
            <v>Lentz</v>
          </cell>
          <cell r="I40" t="str">
            <v>Fox</v>
          </cell>
          <cell r="J40" t="str">
            <v>Direct Debit--Weekly</v>
          </cell>
          <cell r="K40" t="str">
            <v>BARBARA</v>
          </cell>
          <cell r="L40" t="str">
            <v>Acordia NorthEast</v>
          </cell>
          <cell r="M40">
            <v>0</v>
          </cell>
          <cell r="N40">
            <v>34200</v>
          </cell>
          <cell r="O40" t="str">
            <v>NASCO</v>
          </cell>
          <cell r="P40" t="str">
            <v>NATIONAL</v>
          </cell>
          <cell r="Q40">
            <v>256</v>
          </cell>
          <cell r="R40">
            <v>0</v>
          </cell>
          <cell r="S40">
            <v>75000</v>
          </cell>
          <cell r="T40">
            <v>0</v>
          </cell>
          <cell r="U40">
            <v>136438.20000000001</v>
          </cell>
          <cell r="V40">
            <v>0</v>
          </cell>
          <cell r="W40">
            <v>136438.20000000001</v>
          </cell>
          <cell r="X40">
            <v>11369.85</v>
          </cell>
          <cell r="Y40">
            <v>3789.95</v>
          </cell>
          <cell r="Z40">
            <v>0</v>
          </cell>
          <cell r="AA40">
            <v>34109.550000000003</v>
          </cell>
          <cell r="AB40">
            <v>193287.45</v>
          </cell>
          <cell r="AC40">
            <v>378995</v>
          </cell>
          <cell r="AD40">
            <v>-101</v>
          </cell>
          <cell r="AE40">
            <v>378894</v>
          </cell>
          <cell r="AF40">
            <v>0</v>
          </cell>
          <cell r="AG40">
            <v>0</v>
          </cell>
          <cell r="AH40">
            <v>0</v>
          </cell>
          <cell r="AI40">
            <v>1138175</v>
          </cell>
          <cell r="AJ40">
            <v>1517170</v>
          </cell>
          <cell r="AK40">
            <v>378995</v>
          </cell>
          <cell r="AL40">
            <v>1483060.45</v>
          </cell>
          <cell r="AM40">
            <v>0</v>
          </cell>
          <cell r="AN40">
            <v>0</v>
          </cell>
          <cell r="AO40">
            <v>0</v>
          </cell>
          <cell r="AP40">
            <v>0</v>
          </cell>
          <cell r="AQ40">
            <v>11932</v>
          </cell>
          <cell r="AR40">
            <v>0</v>
          </cell>
          <cell r="AS40">
            <v>11932</v>
          </cell>
          <cell r="AT40">
            <v>111460.70172256239</v>
          </cell>
          <cell r="AU40">
            <v>221391.74827743764</v>
          </cell>
          <cell r="AW40">
            <v>1150107</v>
          </cell>
          <cell r="AX40">
            <v>5593</v>
          </cell>
          <cell r="AY40">
            <v>1155700</v>
          </cell>
          <cell r="AZ40">
            <v>0</v>
          </cell>
          <cell r="BA40">
            <v>1155700</v>
          </cell>
          <cell r="BB40">
            <v>0</v>
          </cell>
          <cell r="BC40">
            <v>1155700</v>
          </cell>
          <cell r="BD40">
            <v>-101</v>
          </cell>
          <cell r="BE40">
            <v>378995</v>
          </cell>
          <cell r="BF40">
            <v>0</v>
          </cell>
          <cell r="BH40">
            <v>1534594</v>
          </cell>
          <cell r="BI40">
            <v>11932</v>
          </cell>
          <cell r="BJ40">
            <v>1522662</v>
          </cell>
          <cell r="BK40">
            <v>0</v>
          </cell>
          <cell r="BL40">
            <v>1522662</v>
          </cell>
        </row>
        <row r="41">
          <cell r="B41" t="str">
            <v>CIENA</v>
          </cell>
          <cell r="C41">
            <v>0</v>
          </cell>
          <cell r="D41">
            <v>1900532</v>
          </cell>
          <cell r="E41">
            <v>65740</v>
          </cell>
          <cell r="F41" t="str">
            <v>ASC</v>
          </cell>
          <cell r="G41" t="str">
            <v>FEB</v>
          </cell>
          <cell r="H41" t="str">
            <v>Daniels</v>
          </cell>
          <cell r="I41" t="str">
            <v>Patton</v>
          </cell>
          <cell r="J41" t="str">
            <v>Direct Debit--Weekly</v>
          </cell>
          <cell r="K41" t="str">
            <v>NETTIE</v>
          </cell>
          <cell r="L41" t="str">
            <v>NONE</v>
          </cell>
          <cell r="M41">
            <v>0</v>
          </cell>
          <cell r="N41">
            <v>0</v>
          </cell>
          <cell r="O41" t="str">
            <v>NASCO</v>
          </cell>
          <cell r="P41" t="str">
            <v>NATIONAL</v>
          </cell>
          <cell r="Q41">
            <v>397</v>
          </cell>
          <cell r="R41">
            <v>0</v>
          </cell>
          <cell r="S41">
            <v>0</v>
          </cell>
          <cell r="T41">
            <v>0</v>
          </cell>
          <cell r="U41">
            <v>0</v>
          </cell>
          <cell r="V41">
            <v>0</v>
          </cell>
          <cell r="W41">
            <v>0</v>
          </cell>
          <cell r="X41">
            <v>7250.6</v>
          </cell>
          <cell r="Y41">
            <v>0</v>
          </cell>
          <cell r="Z41">
            <v>0</v>
          </cell>
          <cell r="AA41">
            <v>0</v>
          </cell>
          <cell r="AB41">
            <v>174014.4</v>
          </cell>
          <cell r="AC41">
            <v>181265</v>
          </cell>
          <cell r="AD41">
            <v>0</v>
          </cell>
          <cell r="AE41">
            <v>181265</v>
          </cell>
          <cell r="AF41">
            <v>0</v>
          </cell>
          <cell r="AG41">
            <v>0</v>
          </cell>
          <cell r="AH41">
            <v>-4493</v>
          </cell>
          <cell r="AI41">
            <v>1943429</v>
          </cell>
          <cell r="AJ41">
            <v>2124694</v>
          </cell>
          <cell r="AK41">
            <v>181265</v>
          </cell>
          <cell r="AL41">
            <v>2124694</v>
          </cell>
          <cell r="AM41">
            <v>0</v>
          </cell>
          <cell r="AN41">
            <v>0</v>
          </cell>
          <cell r="AO41">
            <v>0</v>
          </cell>
          <cell r="AP41">
            <v>0</v>
          </cell>
          <cell r="AQ41">
            <v>0</v>
          </cell>
          <cell r="AR41">
            <v>0</v>
          </cell>
          <cell r="AS41">
            <v>0</v>
          </cell>
          <cell r="AT41">
            <v>191639.4028500524</v>
          </cell>
          <cell r="AU41">
            <v>-14867.4028500524</v>
          </cell>
          <cell r="AW41">
            <v>1943429</v>
          </cell>
          <cell r="AX41">
            <v>45048</v>
          </cell>
          <cell r="AY41">
            <v>1988477</v>
          </cell>
          <cell r="AZ41">
            <v>0</v>
          </cell>
          <cell r="BA41">
            <v>1988477</v>
          </cell>
          <cell r="BB41">
            <v>0</v>
          </cell>
          <cell r="BC41">
            <v>1988477</v>
          </cell>
          <cell r="BD41">
            <v>0</v>
          </cell>
          <cell r="BE41">
            <v>181265</v>
          </cell>
          <cell r="BF41">
            <v>-4493</v>
          </cell>
          <cell r="BH41">
            <v>2165249</v>
          </cell>
          <cell r="BI41">
            <v>0</v>
          </cell>
          <cell r="BJ41">
            <v>2165249</v>
          </cell>
          <cell r="BK41">
            <v>0</v>
          </cell>
          <cell r="BL41">
            <v>2165249</v>
          </cell>
        </row>
        <row r="42">
          <cell r="B42" t="str">
            <v>CITY OF ANNAPOLIS</v>
          </cell>
          <cell r="C42">
            <v>0</v>
          </cell>
          <cell r="D42" t="str">
            <v>n/a</v>
          </cell>
          <cell r="E42">
            <v>12598</v>
          </cell>
          <cell r="F42" t="str">
            <v>ASC</v>
          </cell>
          <cell r="G42" t="str">
            <v>JUL</v>
          </cell>
          <cell r="H42" t="str">
            <v>Hauff</v>
          </cell>
          <cell r="I42" t="str">
            <v>Heinze</v>
          </cell>
          <cell r="J42" t="str">
            <v>Weekly Wire</v>
          </cell>
          <cell r="K42" t="str">
            <v>NETTIE</v>
          </cell>
          <cell r="L42">
            <v>0</v>
          </cell>
          <cell r="M42">
            <v>0</v>
          </cell>
          <cell r="N42">
            <v>0</v>
          </cell>
          <cell r="O42" t="str">
            <v>CARE</v>
          </cell>
          <cell r="P42" t="str">
            <v>LOCAL</v>
          </cell>
          <cell r="Q42">
            <v>551</v>
          </cell>
          <cell r="R42">
            <v>0</v>
          </cell>
          <cell r="S42">
            <v>0</v>
          </cell>
          <cell r="T42">
            <v>0</v>
          </cell>
          <cell r="U42">
            <v>0</v>
          </cell>
          <cell r="V42">
            <v>0</v>
          </cell>
          <cell r="W42">
            <v>0</v>
          </cell>
          <cell r="X42">
            <v>8521.2800000000007</v>
          </cell>
          <cell r="Y42">
            <v>10651.6</v>
          </cell>
          <cell r="Z42">
            <v>0</v>
          </cell>
          <cell r="AA42">
            <v>44556.37</v>
          </cell>
          <cell r="AB42">
            <v>380061.75</v>
          </cell>
          <cell r="AC42">
            <v>443791</v>
          </cell>
          <cell r="AD42">
            <v>0</v>
          </cell>
          <cell r="AE42">
            <v>443791</v>
          </cell>
          <cell r="AF42">
            <v>0</v>
          </cell>
          <cell r="AG42">
            <v>0</v>
          </cell>
          <cell r="AH42">
            <v>0</v>
          </cell>
          <cell r="AI42">
            <v>3059381</v>
          </cell>
          <cell r="AJ42">
            <v>3503172</v>
          </cell>
          <cell r="AK42">
            <v>443791</v>
          </cell>
          <cell r="AL42">
            <v>3458615.63</v>
          </cell>
          <cell r="AM42">
            <v>0</v>
          </cell>
          <cell r="AN42">
            <v>0</v>
          </cell>
          <cell r="AO42">
            <v>0</v>
          </cell>
          <cell r="AP42">
            <v>0</v>
          </cell>
          <cell r="AQ42">
            <v>0</v>
          </cell>
          <cell r="AR42">
            <v>0</v>
          </cell>
          <cell r="AS42">
            <v>0</v>
          </cell>
          <cell r="AT42">
            <v>301236.95596690429</v>
          </cell>
          <cell r="AU42">
            <v>97997.674033095711</v>
          </cell>
          <cell r="AW42">
            <v>3059381</v>
          </cell>
          <cell r="AX42">
            <v>31982</v>
          </cell>
          <cell r="AY42">
            <v>3091363</v>
          </cell>
          <cell r="AZ42">
            <v>0</v>
          </cell>
          <cell r="BA42">
            <v>3091363</v>
          </cell>
          <cell r="BB42">
            <v>0</v>
          </cell>
          <cell r="BC42">
            <v>3091363</v>
          </cell>
          <cell r="BD42">
            <v>0</v>
          </cell>
          <cell r="BE42">
            <v>443791</v>
          </cell>
          <cell r="BF42">
            <v>0</v>
          </cell>
          <cell r="BH42">
            <v>3535154</v>
          </cell>
          <cell r="BI42">
            <v>0</v>
          </cell>
          <cell r="BJ42">
            <v>3535154</v>
          </cell>
          <cell r="BK42">
            <v>0</v>
          </cell>
          <cell r="BL42">
            <v>3535154</v>
          </cell>
        </row>
        <row r="43">
          <cell r="B43" t="str">
            <v>CITY OF BALT. BD OF ED RETRO</v>
          </cell>
          <cell r="C43">
            <v>0</v>
          </cell>
          <cell r="D43" t="str">
            <v>n/a</v>
          </cell>
          <cell r="E43">
            <v>63584</v>
          </cell>
          <cell r="F43" t="str">
            <v>Standard Retro</v>
          </cell>
          <cell r="G43" t="str">
            <v>JAN</v>
          </cell>
          <cell r="H43" t="str">
            <v>Parker Mann</v>
          </cell>
          <cell r="I43" t="str">
            <v>Tomko</v>
          </cell>
          <cell r="J43" t="str">
            <v>Retrospective</v>
          </cell>
          <cell r="K43" t="str">
            <v>LISA</v>
          </cell>
          <cell r="L43" t="str">
            <v>None</v>
          </cell>
          <cell r="M43">
            <v>0</v>
          </cell>
          <cell r="N43">
            <v>0</v>
          </cell>
          <cell r="O43" t="str">
            <v>CARE</v>
          </cell>
          <cell r="P43" t="str">
            <v>LOCAL</v>
          </cell>
          <cell r="Q43">
            <v>6656</v>
          </cell>
          <cell r="R43">
            <v>0</v>
          </cell>
          <cell r="S43">
            <v>0</v>
          </cell>
          <cell r="T43">
            <v>0</v>
          </cell>
          <cell r="U43">
            <v>0</v>
          </cell>
          <cell r="V43">
            <v>0</v>
          </cell>
          <cell r="W43">
            <v>0</v>
          </cell>
          <cell r="X43">
            <v>0</v>
          </cell>
          <cell r="Y43">
            <v>0</v>
          </cell>
          <cell r="Z43">
            <v>0</v>
          </cell>
          <cell r="AA43">
            <v>0</v>
          </cell>
          <cell r="AB43">
            <v>2355253</v>
          </cell>
          <cell r="AC43">
            <v>2355253</v>
          </cell>
          <cell r="AD43">
            <v>8178</v>
          </cell>
          <cell r="AE43">
            <v>2363431</v>
          </cell>
          <cell r="AF43">
            <v>0</v>
          </cell>
          <cell r="AG43">
            <v>0</v>
          </cell>
          <cell r="AH43">
            <v>0</v>
          </cell>
          <cell r="AM43">
            <v>0</v>
          </cell>
          <cell r="AN43">
            <v>0</v>
          </cell>
          <cell r="AO43">
            <v>0</v>
          </cell>
          <cell r="AP43">
            <v>0</v>
          </cell>
          <cell r="AQ43">
            <v>0</v>
          </cell>
          <cell r="AR43">
            <v>0</v>
          </cell>
          <cell r="AS43">
            <v>0</v>
          </cell>
          <cell r="AT43">
            <v>4188130.2790420018</v>
          </cell>
          <cell r="AU43">
            <v>-1824699.2790420018</v>
          </cell>
          <cell r="AW43">
            <v>43380485</v>
          </cell>
          <cell r="AX43">
            <v>96022</v>
          </cell>
          <cell r="AY43">
            <v>43476507</v>
          </cell>
          <cell r="AZ43">
            <v>0</v>
          </cell>
          <cell r="BA43">
            <v>43476507</v>
          </cell>
          <cell r="BB43">
            <v>0</v>
          </cell>
          <cell r="BC43">
            <v>43476507</v>
          </cell>
          <cell r="BD43">
            <v>8178</v>
          </cell>
          <cell r="BE43">
            <v>2355253</v>
          </cell>
          <cell r="BF43">
            <v>0</v>
          </cell>
          <cell r="BH43">
            <v>45839938</v>
          </cell>
          <cell r="BI43">
            <v>0</v>
          </cell>
          <cell r="BJ43">
            <v>45839938</v>
          </cell>
          <cell r="BK43">
            <v>0</v>
          </cell>
          <cell r="BL43">
            <v>45839938</v>
          </cell>
        </row>
        <row r="44">
          <cell r="B44" t="str">
            <v>CITY OF BALTIMORE RETRO</v>
          </cell>
          <cell r="C44">
            <v>0</v>
          </cell>
          <cell r="D44" t="str">
            <v>n/a</v>
          </cell>
          <cell r="E44" t="str">
            <v>07495</v>
          </cell>
          <cell r="F44" t="str">
            <v>Standard Retro</v>
          </cell>
          <cell r="G44" t="str">
            <v>JAN</v>
          </cell>
          <cell r="H44" t="str">
            <v>Parker Mann</v>
          </cell>
          <cell r="I44" t="str">
            <v>Tomko</v>
          </cell>
          <cell r="J44" t="str">
            <v>Retrospective</v>
          </cell>
          <cell r="K44" t="str">
            <v>LISA</v>
          </cell>
          <cell r="L44" t="str">
            <v>None</v>
          </cell>
          <cell r="M44">
            <v>0</v>
          </cell>
          <cell r="N44">
            <v>0</v>
          </cell>
          <cell r="O44" t="str">
            <v>CARE</v>
          </cell>
          <cell r="P44" t="str">
            <v>LOCAL</v>
          </cell>
          <cell r="Q44">
            <v>27587</v>
          </cell>
          <cell r="R44">
            <v>0</v>
          </cell>
          <cell r="S44">
            <v>0</v>
          </cell>
          <cell r="T44">
            <v>0</v>
          </cell>
          <cell r="U44">
            <v>0</v>
          </cell>
          <cell r="V44">
            <v>0</v>
          </cell>
          <cell r="W44">
            <v>0</v>
          </cell>
          <cell r="X44">
            <v>0</v>
          </cell>
          <cell r="Y44">
            <v>0</v>
          </cell>
          <cell r="Z44">
            <v>0</v>
          </cell>
          <cell r="AA44">
            <v>0</v>
          </cell>
          <cell r="AB44">
            <v>7945182</v>
          </cell>
          <cell r="AC44">
            <v>7945182</v>
          </cell>
          <cell r="AD44">
            <v>38730</v>
          </cell>
          <cell r="AE44">
            <v>7983912</v>
          </cell>
          <cell r="AF44">
            <v>0</v>
          </cell>
          <cell r="AG44">
            <v>0</v>
          </cell>
          <cell r="AH44">
            <v>132918</v>
          </cell>
          <cell r="AI44">
            <v>108530497</v>
          </cell>
          <cell r="AJ44">
            <v>116475679</v>
          </cell>
          <cell r="AK44">
            <v>7945182</v>
          </cell>
          <cell r="AL44">
            <v>116475679</v>
          </cell>
          <cell r="AM44">
            <v>0</v>
          </cell>
          <cell r="AN44">
            <v>0</v>
          </cell>
          <cell r="AO44">
            <v>0</v>
          </cell>
          <cell r="AP44">
            <v>0</v>
          </cell>
          <cell r="AQ44">
            <v>0</v>
          </cell>
          <cell r="AR44">
            <v>0</v>
          </cell>
          <cell r="AS44">
            <v>0</v>
          </cell>
          <cell r="AT44">
            <v>10551761.984046098</v>
          </cell>
          <cell r="AU44">
            <v>-2434931.9840460978</v>
          </cell>
          <cell r="AW44">
            <v>108530497</v>
          </cell>
          <cell r="AX44">
            <v>378371</v>
          </cell>
          <cell r="AY44">
            <v>108908868</v>
          </cell>
          <cell r="AZ44">
            <v>0</v>
          </cell>
          <cell r="BA44">
            <v>108908868</v>
          </cell>
          <cell r="BB44">
            <v>0</v>
          </cell>
          <cell r="BC44">
            <v>108908868</v>
          </cell>
          <cell r="BD44">
            <v>38730</v>
          </cell>
          <cell r="BE44">
            <v>7945182</v>
          </cell>
          <cell r="BF44">
            <v>132918</v>
          </cell>
          <cell r="BH44">
            <v>117025698</v>
          </cell>
          <cell r="BI44">
            <v>0</v>
          </cell>
          <cell r="BJ44">
            <v>117025698</v>
          </cell>
          <cell r="BK44">
            <v>0</v>
          </cell>
          <cell r="BL44">
            <v>117025698</v>
          </cell>
        </row>
        <row r="45">
          <cell r="B45" t="str">
            <v>CJ MILLER</v>
          </cell>
          <cell r="C45">
            <v>0</v>
          </cell>
          <cell r="D45" t="str">
            <v>n/a</v>
          </cell>
          <cell r="E45">
            <v>62461</v>
          </cell>
          <cell r="F45" t="str">
            <v>ASC</v>
          </cell>
          <cell r="G45" t="str">
            <v>MAR</v>
          </cell>
          <cell r="H45" t="str">
            <v>Solloway</v>
          </cell>
          <cell r="I45" t="str">
            <v>Heinze</v>
          </cell>
          <cell r="J45" t="str">
            <v>Direct Debit--Weekly</v>
          </cell>
          <cell r="K45" t="str">
            <v>NETTIE</v>
          </cell>
          <cell r="L45" t="str">
            <v>Kelly &amp; Associates</v>
          </cell>
          <cell r="M45">
            <v>0</v>
          </cell>
          <cell r="N45">
            <v>0</v>
          </cell>
          <cell r="O45" t="str">
            <v>CARE</v>
          </cell>
          <cell r="P45" t="str">
            <v>LOCAL</v>
          </cell>
          <cell r="Q45">
            <v>192</v>
          </cell>
          <cell r="R45">
            <v>0</v>
          </cell>
          <cell r="S45">
            <v>0</v>
          </cell>
          <cell r="T45">
            <v>0</v>
          </cell>
          <cell r="U45">
            <v>0</v>
          </cell>
          <cell r="V45">
            <v>0</v>
          </cell>
          <cell r="W45">
            <v>0</v>
          </cell>
          <cell r="X45">
            <v>15049.53</v>
          </cell>
          <cell r="Y45">
            <v>0</v>
          </cell>
          <cell r="Z45">
            <v>0</v>
          </cell>
          <cell r="AA45">
            <v>53509.440000000002</v>
          </cell>
          <cell r="AB45">
            <v>98658.03</v>
          </cell>
          <cell r="AC45">
            <v>167217</v>
          </cell>
          <cell r="AD45">
            <v>0</v>
          </cell>
          <cell r="AE45">
            <v>167217</v>
          </cell>
          <cell r="AF45">
            <v>0</v>
          </cell>
          <cell r="AG45">
            <v>0</v>
          </cell>
          <cell r="AH45">
            <v>0</v>
          </cell>
          <cell r="AI45">
            <v>981645</v>
          </cell>
          <cell r="AJ45">
            <v>1148862</v>
          </cell>
          <cell r="AK45">
            <v>167217</v>
          </cell>
          <cell r="AL45">
            <v>1095352.56</v>
          </cell>
          <cell r="AM45">
            <v>0</v>
          </cell>
          <cell r="AN45">
            <v>0</v>
          </cell>
          <cell r="AO45">
            <v>0</v>
          </cell>
          <cell r="AP45">
            <v>0</v>
          </cell>
          <cell r="AQ45">
            <v>0</v>
          </cell>
          <cell r="AR45">
            <v>0</v>
          </cell>
          <cell r="AS45">
            <v>0</v>
          </cell>
          <cell r="AT45">
            <v>95357.615998157344</v>
          </cell>
          <cell r="AU45">
            <v>18349.944001842654</v>
          </cell>
          <cell r="AW45">
            <v>981645</v>
          </cell>
          <cell r="AX45">
            <v>3825</v>
          </cell>
          <cell r="AY45">
            <v>985470</v>
          </cell>
          <cell r="AZ45">
            <v>0</v>
          </cell>
          <cell r="BA45">
            <v>985470</v>
          </cell>
          <cell r="BB45">
            <v>0</v>
          </cell>
          <cell r="BC45">
            <v>985470</v>
          </cell>
          <cell r="BD45">
            <v>0</v>
          </cell>
          <cell r="BE45">
            <v>167217</v>
          </cell>
          <cell r="BF45">
            <v>0</v>
          </cell>
          <cell r="BH45">
            <v>1152687</v>
          </cell>
          <cell r="BI45">
            <v>0</v>
          </cell>
          <cell r="BJ45">
            <v>1152687</v>
          </cell>
          <cell r="BK45">
            <v>0</v>
          </cell>
          <cell r="BL45">
            <v>1152687</v>
          </cell>
        </row>
        <row r="46">
          <cell r="B46" t="str">
            <v>COLUMBIA NATIONAL</v>
          </cell>
          <cell r="C46">
            <v>0</v>
          </cell>
          <cell r="D46">
            <v>1900174</v>
          </cell>
          <cell r="E46">
            <v>27416</v>
          </cell>
          <cell r="F46" t="str">
            <v>ASC</v>
          </cell>
          <cell r="G46" t="str">
            <v>termed 6/04</v>
          </cell>
          <cell r="H46" t="str">
            <v>Michael</v>
          </cell>
          <cell r="I46" t="str">
            <v>Maier</v>
          </cell>
          <cell r="J46" t="str">
            <v>Deposit--2 Months</v>
          </cell>
          <cell r="K46" t="str">
            <v>BARBARA</v>
          </cell>
          <cell r="L46" t="str">
            <v>None</v>
          </cell>
          <cell r="M46">
            <v>154000</v>
          </cell>
          <cell r="N46">
            <v>21800</v>
          </cell>
          <cell r="O46" t="str">
            <v>NASCO</v>
          </cell>
          <cell r="P46" t="str">
            <v>NATIONAL</v>
          </cell>
          <cell r="Q46" t="str">
            <v>run-out</v>
          </cell>
          <cell r="R46">
            <v>0</v>
          </cell>
          <cell r="S46">
            <v>50000</v>
          </cell>
          <cell r="T46">
            <v>1.25</v>
          </cell>
          <cell r="U46">
            <v>55607.37</v>
          </cell>
          <cell r="V46">
            <v>11406.64</v>
          </cell>
          <cell r="W46">
            <v>67014.009999999995</v>
          </cell>
          <cell r="X46">
            <v>4277.49</v>
          </cell>
          <cell r="Y46">
            <v>2851.66</v>
          </cell>
          <cell r="Z46">
            <v>0</v>
          </cell>
          <cell r="AA46">
            <v>0</v>
          </cell>
          <cell r="AB46">
            <v>78073.84</v>
          </cell>
          <cell r="AC46">
            <v>152217</v>
          </cell>
          <cell r="AD46">
            <v>0</v>
          </cell>
          <cell r="AE46">
            <v>152217</v>
          </cell>
          <cell r="AF46">
            <v>0</v>
          </cell>
          <cell r="AG46">
            <v>0</v>
          </cell>
          <cell r="AH46">
            <v>0</v>
          </cell>
          <cell r="AI46">
            <v>415417</v>
          </cell>
          <cell r="AJ46">
            <v>567634</v>
          </cell>
          <cell r="AK46">
            <v>152217</v>
          </cell>
          <cell r="AL46">
            <v>567634</v>
          </cell>
          <cell r="AM46">
            <v>0</v>
          </cell>
          <cell r="AN46">
            <v>0</v>
          </cell>
          <cell r="AO46">
            <v>0</v>
          </cell>
          <cell r="AP46">
            <v>0</v>
          </cell>
          <cell r="AQ46">
            <v>0</v>
          </cell>
          <cell r="AR46">
            <v>0</v>
          </cell>
          <cell r="AS46">
            <v>0</v>
          </cell>
          <cell r="AT46">
            <v>40272.014871584528</v>
          </cell>
          <cell r="AU46">
            <v>111944.98512841547</v>
          </cell>
          <cell r="AW46">
            <v>415417</v>
          </cell>
          <cell r="AX46">
            <v>18523</v>
          </cell>
          <cell r="AY46">
            <v>433940</v>
          </cell>
          <cell r="AZ46">
            <v>0</v>
          </cell>
          <cell r="BA46">
            <v>433940</v>
          </cell>
          <cell r="BB46">
            <v>0</v>
          </cell>
          <cell r="BC46">
            <v>433940</v>
          </cell>
          <cell r="BD46">
            <v>0</v>
          </cell>
          <cell r="BE46">
            <v>152217</v>
          </cell>
          <cell r="BF46">
            <v>0</v>
          </cell>
          <cell r="BH46">
            <v>586157</v>
          </cell>
          <cell r="BI46">
            <v>0</v>
          </cell>
          <cell r="BJ46">
            <v>586157</v>
          </cell>
          <cell r="BK46">
            <v>0</v>
          </cell>
          <cell r="BL46">
            <v>586157</v>
          </cell>
        </row>
        <row r="47">
          <cell r="B47" t="str">
            <v>COMPUDYNE</v>
          </cell>
          <cell r="C47">
            <v>0</v>
          </cell>
          <cell r="D47">
            <v>1900362</v>
          </cell>
          <cell r="E47">
            <v>60328</v>
          </cell>
          <cell r="F47" t="str">
            <v>ASC</v>
          </cell>
          <cell r="G47" t="str">
            <v>MAR</v>
          </cell>
          <cell r="H47" t="str">
            <v>Richardson</v>
          </cell>
          <cell r="I47" t="str">
            <v>Waters</v>
          </cell>
          <cell r="J47" t="str">
            <v>Direct Debit--Weekly</v>
          </cell>
          <cell r="K47" t="str">
            <v>BARBARA</v>
          </cell>
          <cell r="L47" t="str">
            <v>Green Financial</v>
          </cell>
          <cell r="M47">
            <v>0</v>
          </cell>
          <cell r="N47">
            <v>17072</v>
          </cell>
          <cell r="O47" t="str">
            <v>NASCO</v>
          </cell>
          <cell r="P47" t="str">
            <v>NATIONAL</v>
          </cell>
          <cell r="Q47">
            <v>633</v>
          </cell>
          <cell r="R47">
            <v>0</v>
          </cell>
          <cell r="S47">
            <v>0</v>
          </cell>
          <cell r="T47">
            <v>0</v>
          </cell>
          <cell r="U47">
            <v>0</v>
          </cell>
          <cell r="V47">
            <v>0</v>
          </cell>
          <cell r="W47">
            <v>0</v>
          </cell>
          <cell r="X47">
            <v>0</v>
          </cell>
          <cell r="Y47">
            <v>24251.279999999999</v>
          </cell>
          <cell r="Z47">
            <v>0</v>
          </cell>
          <cell r="AA47">
            <v>76795.72</v>
          </cell>
          <cell r="AB47">
            <v>303141</v>
          </cell>
          <cell r="AC47">
            <v>404188</v>
          </cell>
          <cell r="AD47">
            <v>-45</v>
          </cell>
          <cell r="AE47">
            <v>404143</v>
          </cell>
          <cell r="AF47">
            <v>0</v>
          </cell>
          <cell r="AG47">
            <v>0</v>
          </cell>
          <cell r="AH47">
            <v>-12162</v>
          </cell>
          <cell r="AI47">
            <v>3635185</v>
          </cell>
          <cell r="AJ47">
            <v>4039373</v>
          </cell>
          <cell r="AK47">
            <v>404188</v>
          </cell>
          <cell r="AL47">
            <v>3962577.28</v>
          </cell>
          <cell r="AM47">
            <v>0</v>
          </cell>
          <cell r="AN47">
            <v>0</v>
          </cell>
          <cell r="AO47">
            <v>0</v>
          </cell>
          <cell r="AP47">
            <v>0</v>
          </cell>
          <cell r="AQ47">
            <v>0</v>
          </cell>
          <cell r="AR47">
            <v>0</v>
          </cell>
          <cell r="AS47">
            <v>0</v>
          </cell>
          <cell r="AT47">
            <v>350444.94506346964</v>
          </cell>
          <cell r="AU47">
            <v>-35259.665063469613</v>
          </cell>
          <cell r="AW47">
            <v>3635185</v>
          </cell>
          <cell r="AX47">
            <v>104915</v>
          </cell>
          <cell r="AY47">
            <v>3740100</v>
          </cell>
          <cell r="AZ47">
            <v>0</v>
          </cell>
          <cell r="BA47">
            <v>3740100</v>
          </cell>
          <cell r="BB47">
            <v>0</v>
          </cell>
          <cell r="BC47">
            <v>3740100</v>
          </cell>
          <cell r="BD47">
            <v>-45</v>
          </cell>
          <cell r="BE47">
            <v>404188</v>
          </cell>
          <cell r="BF47">
            <v>-12162</v>
          </cell>
          <cell r="BH47">
            <v>4132081</v>
          </cell>
          <cell r="BI47">
            <v>0</v>
          </cell>
          <cell r="BJ47">
            <v>4132081</v>
          </cell>
          <cell r="BK47">
            <v>0</v>
          </cell>
          <cell r="BL47">
            <v>4132081</v>
          </cell>
        </row>
        <row r="48">
          <cell r="B48" t="str">
            <v>CONSTELLATION ENERGY GROUP</v>
          </cell>
          <cell r="C48" t="str">
            <v>BGE</v>
          </cell>
          <cell r="D48">
            <v>1900292</v>
          </cell>
          <cell r="E48">
            <v>54748</v>
          </cell>
          <cell r="F48" t="str">
            <v>ASC</v>
          </cell>
          <cell r="G48" t="str">
            <v>JAN</v>
          </cell>
          <cell r="H48" t="str">
            <v>Richardson</v>
          </cell>
          <cell r="I48" t="str">
            <v>Fox</v>
          </cell>
          <cell r="J48" t="str">
            <v>Deposit-2 Month</v>
          </cell>
          <cell r="K48" t="str">
            <v>DONNA</v>
          </cell>
          <cell r="L48" t="str">
            <v>Aon</v>
          </cell>
          <cell r="M48">
            <v>5742071</v>
          </cell>
          <cell r="N48">
            <v>856900</v>
          </cell>
          <cell r="O48" t="str">
            <v>NASCO-S</v>
          </cell>
          <cell r="P48" t="str">
            <v>NATIONAL</v>
          </cell>
          <cell r="Q48">
            <v>16920</v>
          </cell>
          <cell r="R48">
            <v>0</v>
          </cell>
          <cell r="S48">
            <v>0</v>
          </cell>
          <cell r="T48">
            <v>0</v>
          </cell>
          <cell r="U48">
            <v>0</v>
          </cell>
          <cell r="V48">
            <v>0</v>
          </cell>
          <cell r="W48">
            <v>0</v>
          </cell>
          <cell r="X48">
            <v>0</v>
          </cell>
          <cell r="Y48">
            <v>0</v>
          </cell>
          <cell r="Z48">
            <v>0</v>
          </cell>
          <cell r="AA48">
            <v>0</v>
          </cell>
          <cell r="AB48">
            <v>3736529</v>
          </cell>
          <cell r="AC48">
            <v>3736529</v>
          </cell>
          <cell r="AD48">
            <v>11286</v>
          </cell>
          <cell r="AE48">
            <v>3747815</v>
          </cell>
          <cell r="AF48">
            <v>0</v>
          </cell>
          <cell r="AG48">
            <v>0</v>
          </cell>
          <cell r="AH48">
            <v>-39337</v>
          </cell>
          <cell r="AI48">
            <v>30002085</v>
          </cell>
          <cell r="AJ48">
            <v>33738614</v>
          </cell>
          <cell r="AK48">
            <v>3736529</v>
          </cell>
          <cell r="AL48">
            <v>33738614</v>
          </cell>
          <cell r="AM48">
            <v>0</v>
          </cell>
          <cell r="AN48">
            <v>0</v>
          </cell>
          <cell r="AO48">
            <v>0</v>
          </cell>
          <cell r="AP48">
            <v>0</v>
          </cell>
          <cell r="AQ48">
            <v>0</v>
          </cell>
          <cell r="AR48">
            <v>0</v>
          </cell>
          <cell r="AS48">
            <v>0</v>
          </cell>
          <cell r="AT48">
            <v>2914196.2543622917</v>
          </cell>
          <cell r="AU48">
            <v>794281.74563770834</v>
          </cell>
          <cell r="AW48">
            <v>30002085</v>
          </cell>
          <cell r="AX48">
            <v>299248</v>
          </cell>
          <cell r="AY48">
            <v>30301333</v>
          </cell>
          <cell r="AZ48">
            <v>0</v>
          </cell>
          <cell r="BA48">
            <v>30301333</v>
          </cell>
          <cell r="BB48">
            <v>0</v>
          </cell>
          <cell r="BC48">
            <v>30301333</v>
          </cell>
          <cell r="BD48">
            <v>11286</v>
          </cell>
          <cell r="BE48">
            <v>3736529</v>
          </cell>
          <cell r="BF48">
            <v>-39337</v>
          </cell>
          <cell r="BH48">
            <v>34009811</v>
          </cell>
          <cell r="BI48">
            <v>0</v>
          </cell>
          <cell r="BJ48">
            <v>34009811</v>
          </cell>
          <cell r="BK48">
            <v>0</v>
          </cell>
          <cell r="BL48">
            <v>34009811</v>
          </cell>
        </row>
        <row r="49">
          <cell r="B49" t="str">
            <v>CORVIS</v>
          </cell>
          <cell r="C49">
            <v>0</v>
          </cell>
          <cell r="D49" t="str">
            <v>n/a</v>
          </cell>
          <cell r="E49">
            <v>61500</v>
          </cell>
          <cell r="F49" t="str">
            <v>ASC</v>
          </cell>
          <cell r="G49" t="str">
            <v>termed 10/04</v>
          </cell>
          <cell r="H49" t="str">
            <v>Michael</v>
          </cell>
          <cell r="I49" t="str">
            <v>Engel</v>
          </cell>
          <cell r="J49" t="str">
            <v>Weekly Wire</v>
          </cell>
          <cell r="K49" t="str">
            <v>LISA</v>
          </cell>
          <cell r="L49" t="str">
            <v>Crawford, Slevin &amp; Hicks</v>
          </cell>
          <cell r="M49">
            <v>0</v>
          </cell>
          <cell r="N49">
            <v>80000</v>
          </cell>
          <cell r="O49" t="str">
            <v>CARE</v>
          </cell>
          <cell r="P49" t="str">
            <v>LOCAL</v>
          </cell>
          <cell r="Q49" t="str">
            <v>termed</v>
          </cell>
          <cell r="R49">
            <v>0</v>
          </cell>
          <cell r="S49">
            <v>100000</v>
          </cell>
          <cell r="T49">
            <v>1.25</v>
          </cell>
          <cell r="U49">
            <v>40896.57</v>
          </cell>
          <cell r="V49">
            <v>6196.45</v>
          </cell>
          <cell r="W49">
            <v>47093.02</v>
          </cell>
          <cell r="X49">
            <v>0</v>
          </cell>
          <cell r="Y49">
            <v>3717.87</v>
          </cell>
          <cell r="Z49">
            <v>0</v>
          </cell>
          <cell r="AA49">
            <v>16110.77</v>
          </cell>
          <cell r="AB49">
            <v>62469.34</v>
          </cell>
          <cell r="AC49">
            <v>129391</v>
          </cell>
          <cell r="AD49">
            <v>25</v>
          </cell>
          <cell r="AE49">
            <v>129416</v>
          </cell>
          <cell r="AF49">
            <v>0</v>
          </cell>
          <cell r="AG49">
            <v>0</v>
          </cell>
          <cell r="AH49">
            <v>0</v>
          </cell>
          <cell r="AI49">
            <v>757507</v>
          </cell>
          <cell r="AJ49">
            <v>886898</v>
          </cell>
          <cell r="AK49">
            <v>129391</v>
          </cell>
          <cell r="AL49">
            <v>870787.23</v>
          </cell>
          <cell r="AM49">
            <v>0</v>
          </cell>
          <cell r="AN49">
            <v>0</v>
          </cell>
          <cell r="AO49">
            <v>0</v>
          </cell>
          <cell r="AP49">
            <v>0</v>
          </cell>
          <cell r="AQ49">
            <v>0</v>
          </cell>
          <cell r="AR49">
            <v>0</v>
          </cell>
          <cell r="AS49">
            <v>0</v>
          </cell>
          <cell r="AT49">
            <v>71581.86712838721</v>
          </cell>
          <cell r="AU49">
            <v>41723.362871612786</v>
          </cell>
          <cell r="AW49">
            <v>757507</v>
          </cell>
          <cell r="AX49">
            <v>12112</v>
          </cell>
          <cell r="AY49">
            <v>769619</v>
          </cell>
          <cell r="AZ49">
            <v>0</v>
          </cell>
          <cell r="BA49">
            <v>769619</v>
          </cell>
          <cell r="BB49">
            <v>0</v>
          </cell>
          <cell r="BC49">
            <v>769619</v>
          </cell>
          <cell r="BD49">
            <v>25</v>
          </cell>
          <cell r="BE49">
            <v>129391</v>
          </cell>
          <cell r="BF49">
            <v>0</v>
          </cell>
          <cell r="BH49">
            <v>899035</v>
          </cell>
          <cell r="BI49">
            <v>0</v>
          </cell>
          <cell r="BJ49">
            <v>899035</v>
          </cell>
          <cell r="BK49">
            <v>0</v>
          </cell>
          <cell r="BL49">
            <v>899035</v>
          </cell>
        </row>
        <row r="50">
          <cell r="B50" t="str">
            <v>DANIEL G SCHUSTER INC</v>
          </cell>
          <cell r="C50">
            <v>0</v>
          </cell>
          <cell r="D50" t="str">
            <v>n/a</v>
          </cell>
          <cell r="E50">
            <v>55220</v>
          </cell>
          <cell r="F50" t="str">
            <v>ASC</v>
          </cell>
          <cell r="G50" t="str">
            <v>MAY</v>
          </cell>
          <cell r="H50" t="str">
            <v>Howard</v>
          </cell>
          <cell r="I50" t="str">
            <v>Pederson</v>
          </cell>
          <cell r="J50" t="str">
            <v>Deposit--2 months</v>
          </cell>
          <cell r="K50" t="str">
            <v>LISA</v>
          </cell>
          <cell r="L50" t="str">
            <v>Kelly &amp; Associates</v>
          </cell>
          <cell r="M50">
            <v>214800</v>
          </cell>
          <cell r="N50">
            <v>40200</v>
          </cell>
          <cell r="O50" t="str">
            <v>EAB</v>
          </cell>
          <cell r="P50" t="str">
            <v>LOCAL</v>
          </cell>
          <cell r="Q50">
            <v>346</v>
          </cell>
          <cell r="R50">
            <v>0</v>
          </cell>
          <cell r="S50">
            <v>50000</v>
          </cell>
          <cell r="T50">
            <v>1.25</v>
          </cell>
          <cell r="U50">
            <v>142955.93</v>
          </cell>
          <cell r="V50">
            <v>10460.19</v>
          </cell>
          <cell r="W50">
            <v>153416.12</v>
          </cell>
          <cell r="X50">
            <v>0</v>
          </cell>
          <cell r="Y50">
            <v>0</v>
          </cell>
          <cell r="Z50">
            <v>0</v>
          </cell>
          <cell r="AA50">
            <v>6973.46</v>
          </cell>
          <cell r="AB50">
            <v>188283.42</v>
          </cell>
          <cell r="AC50">
            <v>348673</v>
          </cell>
          <cell r="AD50">
            <v>0</v>
          </cell>
          <cell r="AE50">
            <v>348673</v>
          </cell>
          <cell r="AF50">
            <v>0</v>
          </cell>
          <cell r="AG50">
            <v>0</v>
          </cell>
          <cell r="AH50">
            <v>0</v>
          </cell>
          <cell r="AI50">
            <v>1040604</v>
          </cell>
          <cell r="AJ50">
            <v>1389277</v>
          </cell>
          <cell r="AK50">
            <v>348673</v>
          </cell>
          <cell r="AL50">
            <v>1382303.54</v>
          </cell>
          <cell r="AM50">
            <v>0</v>
          </cell>
          <cell r="AN50">
            <v>0</v>
          </cell>
          <cell r="AO50">
            <v>0</v>
          </cell>
          <cell r="AP50">
            <v>0</v>
          </cell>
          <cell r="AQ50">
            <v>0</v>
          </cell>
          <cell r="AR50">
            <v>0</v>
          </cell>
          <cell r="AS50">
            <v>0</v>
          </cell>
          <cell r="AT50">
            <v>103377.32932102455</v>
          </cell>
          <cell r="AU50">
            <v>238322.21067897545</v>
          </cell>
          <cell r="AW50">
            <v>1040604</v>
          </cell>
          <cell r="AX50">
            <v>3694</v>
          </cell>
          <cell r="AY50">
            <v>1044298</v>
          </cell>
          <cell r="AZ50">
            <v>0</v>
          </cell>
          <cell r="BA50">
            <v>1044298</v>
          </cell>
          <cell r="BB50">
            <v>0</v>
          </cell>
          <cell r="BC50">
            <v>1044298</v>
          </cell>
          <cell r="BD50">
            <v>0</v>
          </cell>
          <cell r="BE50">
            <v>348673</v>
          </cell>
          <cell r="BF50">
            <v>0</v>
          </cell>
          <cell r="BH50">
            <v>1392971</v>
          </cell>
          <cell r="BI50">
            <v>0</v>
          </cell>
          <cell r="BJ50">
            <v>1392971</v>
          </cell>
          <cell r="BK50">
            <v>0</v>
          </cell>
          <cell r="BL50">
            <v>1392971</v>
          </cell>
        </row>
        <row r="51">
          <cell r="B51" t="str">
            <v>DIAMOND COMICS</v>
          </cell>
          <cell r="C51">
            <v>0</v>
          </cell>
          <cell r="D51">
            <v>1900070</v>
          </cell>
          <cell r="E51">
            <v>52326</v>
          </cell>
          <cell r="F51" t="str">
            <v>ASC</v>
          </cell>
          <cell r="G51" t="str">
            <v>JAN</v>
          </cell>
          <cell r="H51" t="str">
            <v>Flowers</v>
          </cell>
          <cell r="I51" t="str">
            <v>Waters</v>
          </cell>
          <cell r="J51" t="str">
            <v>Direct Debit--Weekly</v>
          </cell>
          <cell r="K51" t="str">
            <v>LISA</v>
          </cell>
          <cell r="L51" t="str">
            <v>The Mather Companies</v>
          </cell>
          <cell r="M51">
            <v>0</v>
          </cell>
          <cell r="N51">
            <v>32000</v>
          </cell>
          <cell r="O51" t="str">
            <v>NASCO</v>
          </cell>
          <cell r="P51" t="str">
            <v>NATIONAL</v>
          </cell>
          <cell r="Q51">
            <v>302</v>
          </cell>
          <cell r="R51">
            <v>0</v>
          </cell>
          <cell r="S51">
            <v>75000</v>
          </cell>
          <cell r="T51">
            <v>1.25</v>
          </cell>
          <cell r="U51">
            <v>77749.440000000002</v>
          </cell>
          <cell r="V51">
            <v>16197.8</v>
          </cell>
          <cell r="W51">
            <v>93947.24</v>
          </cell>
          <cell r="X51">
            <v>9718.68</v>
          </cell>
          <cell r="Y51">
            <v>0</v>
          </cell>
          <cell r="Z51">
            <v>0</v>
          </cell>
          <cell r="AA51">
            <v>25916.48</v>
          </cell>
          <cell r="AB51">
            <v>194373.6</v>
          </cell>
          <cell r="AC51">
            <v>323956</v>
          </cell>
          <cell r="AD51">
            <v>0</v>
          </cell>
          <cell r="AE51">
            <v>323956</v>
          </cell>
          <cell r="AF51">
            <v>0</v>
          </cell>
          <cell r="AG51">
            <v>0</v>
          </cell>
          <cell r="AH51">
            <v>-6233</v>
          </cell>
          <cell r="AI51">
            <v>847668</v>
          </cell>
          <cell r="AJ51">
            <v>1171624</v>
          </cell>
          <cell r="AK51">
            <v>323956</v>
          </cell>
          <cell r="AL51">
            <v>1145707.52</v>
          </cell>
          <cell r="AM51">
            <v>0</v>
          </cell>
          <cell r="AN51">
            <v>0</v>
          </cell>
          <cell r="AO51">
            <v>0</v>
          </cell>
          <cell r="AP51">
            <v>0</v>
          </cell>
          <cell r="AQ51">
            <v>11248</v>
          </cell>
          <cell r="AR51">
            <v>40051</v>
          </cell>
          <cell r="AS51">
            <v>51299</v>
          </cell>
          <cell r="AT51">
            <v>89681.398272563965</v>
          </cell>
          <cell r="AU51">
            <v>150826.12172743605</v>
          </cell>
          <cell r="AW51">
            <v>898967</v>
          </cell>
          <cell r="AX51">
            <v>24623</v>
          </cell>
          <cell r="AY51">
            <v>923590</v>
          </cell>
          <cell r="AZ51">
            <v>0</v>
          </cell>
          <cell r="BA51">
            <v>923590</v>
          </cell>
          <cell r="BB51">
            <v>0</v>
          </cell>
          <cell r="BC51">
            <v>923590</v>
          </cell>
          <cell r="BD51">
            <v>0</v>
          </cell>
          <cell r="BE51">
            <v>323956</v>
          </cell>
          <cell r="BF51">
            <v>-6233</v>
          </cell>
          <cell r="BH51">
            <v>1241313</v>
          </cell>
          <cell r="BI51">
            <v>51299</v>
          </cell>
          <cell r="BJ51">
            <v>1190014</v>
          </cell>
          <cell r="BK51">
            <v>0</v>
          </cell>
          <cell r="BL51">
            <v>1190014</v>
          </cell>
        </row>
        <row r="52">
          <cell r="B52" t="str">
            <v>DIGEX</v>
          </cell>
          <cell r="C52">
            <v>0</v>
          </cell>
          <cell r="D52">
            <v>1900288</v>
          </cell>
          <cell r="E52">
            <v>61863</v>
          </cell>
          <cell r="F52" t="str">
            <v>ASC</v>
          </cell>
          <cell r="G52" t="str">
            <v>JAN</v>
          </cell>
          <cell r="H52" t="str">
            <v>Lentz</v>
          </cell>
          <cell r="I52" t="str">
            <v>Dunn</v>
          </cell>
          <cell r="J52" t="str">
            <v>Weekly Wire</v>
          </cell>
          <cell r="K52" t="str">
            <v>BARBARA</v>
          </cell>
          <cell r="L52" t="str">
            <v>Watson Wyatt</v>
          </cell>
          <cell r="M52">
            <v>0</v>
          </cell>
          <cell r="N52">
            <v>126643</v>
          </cell>
          <cell r="O52" t="str">
            <v>Nasco</v>
          </cell>
          <cell r="P52" t="str">
            <v>NATIONAL</v>
          </cell>
          <cell r="Q52">
            <v>436</v>
          </cell>
          <cell r="R52">
            <v>0</v>
          </cell>
          <cell r="S52">
            <v>200000</v>
          </cell>
          <cell r="T52">
            <v>1.25</v>
          </cell>
          <cell r="U52">
            <v>19581.060000000001</v>
          </cell>
          <cell r="V52">
            <v>13054.04</v>
          </cell>
          <cell r="W52">
            <v>32635.1</v>
          </cell>
          <cell r="X52">
            <v>0</v>
          </cell>
          <cell r="Y52">
            <v>0</v>
          </cell>
          <cell r="Z52">
            <v>0</v>
          </cell>
          <cell r="AA52">
            <v>0</v>
          </cell>
          <cell r="AB52">
            <v>293715.90000000002</v>
          </cell>
          <cell r="AC52">
            <v>326351</v>
          </cell>
          <cell r="AD52">
            <v>121</v>
          </cell>
          <cell r="AE52">
            <v>326472</v>
          </cell>
          <cell r="AF52">
            <v>0</v>
          </cell>
          <cell r="AG52">
            <v>0</v>
          </cell>
          <cell r="AH52">
            <v>0</v>
          </cell>
          <cell r="AI52">
            <v>2779974</v>
          </cell>
          <cell r="AJ52">
            <v>3106325</v>
          </cell>
          <cell r="AK52">
            <v>326351</v>
          </cell>
          <cell r="AL52">
            <v>3106325</v>
          </cell>
          <cell r="AM52">
            <v>0</v>
          </cell>
          <cell r="AN52">
            <v>0</v>
          </cell>
          <cell r="AO52">
            <v>0</v>
          </cell>
          <cell r="AP52">
            <v>0</v>
          </cell>
          <cell r="AQ52">
            <v>171705</v>
          </cell>
          <cell r="AR52">
            <v>0</v>
          </cell>
          <cell r="AS52">
            <v>171705</v>
          </cell>
          <cell r="AT52">
            <v>286350.81772649707</v>
          </cell>
          <cell r="AU52">
            <v>-131583.81772649707</v>
          </cell>
          <cell r="AW52">
            <v>2951679</v>
          </cell>
          <cell r="AX52">
            <v>28002</v>
          </cell>
          <cell r="AY52">
            <v>2979681</v>
          </cell>
          <cell r="AZ52">
            <v>0</v>
          </cell>
          <cell r="BA52">
            <v>2979681</v>
          </cell>
          <cell r="BB52">
            <v>0</v>
          </cell>
          <cell r="BC52">
            <v>2979681</v>
          </cell>
          <cell r="BD52">
            <v>121</v>
          </cell>
          <cell r="BE52">
            <v>326351</v>
          </cell>
          <cell r="BF52">
            <v>0</v>
          </cell>
          <cell r="BH52">
            <v>3306153</v>
          </cell>
          <cell r="BI52">
            <v>171705</v>
          </cell>
          <cell r="BJ52">
            <v>3134448</v>
          </cell>
          <cell r="BK52">
            <v>0</v>
          </cell>
          <cell r="BL52">
            <v>3134448</v>
          </cell>
        </row>
        <row r="53">
          <cell r="B53" t="str">
            <v>DRAPER COMMUNICATIONS</v>
          </cell>
          <cell r="C53">
            <v>0</v>
          </cell>
          <cell r="D53">
            <v>1900207</v>
          </cell>
          <cell r="E53">
            <v>29216</v>
          </cell>
          <cell r="F53" t="str">
            <v>ASC</v>
          </cell>
          <cell r="G53" t="str">
            <v>MAY</v>
          </cell>
          <cell r="H53" t="str">
            <v>Delong</v>
          </cell>
          <cell r="I53" t="str">
            <v>Engel</v>
          </cell>
          <cell r="J53" t="str">
            <v>Deposit--2 Months</v>
          </cell>
          <cell r="K53" t="str">
            <v>BARBARA</v>
          </cell>
          <cell r="L53" t="str">
            <v>Huber, Oros &amp; Co.</v>
          </cell>
          <cell r="M53">
            <v>50000</v>
          </cell>
          <cell r="N53">
            <v>0</v>
          </cell>
          <cell r="O53" t="str">
            <v>NASCO</v>
          </cell>
          <cell r="P53" t="str">
            <v>LOCAL</v>
          </cell>
          <cell r="Q53">
            <v>159</v>
          </cell>
          <cell r="R53">
            <v>0</v>
          </cell>
          <cell r="S53">
            <v>75000</v>
          </cell>
          <cell r="T53">
            <v>1.25</v>
          </cell>
          <cell r="U53">
            <v>50720.3</v>
          </cell>
          <cell r="V53">
            <v>10925.26</v>
          </cell>
          <cell r="W53">
            <v>61645.56</v>
          </cell>
          <cell r="X53">
            <v>0</v>
          </cell>
          <cell r="Y53">
            <v>4893.96</v>
          </cell>
          <cell r="Z53">
            <v>0</v>
          </cell>
          <cell r="AA53">
            <v>9787.92</v>
          </cell>
          <cell r="AB53">
            <v>86804.56</v>
          </cell>
          <cell r="AC53">
            <v>163132</v>
          </cell>
          <cell r="AD53">
            <v>0</v>
          </cell>
          <cell r="AE53">
            <v>163132</v>
          </cell>
          <cell r="AF53">
            <v>0</v>
          </cell>
          <cell r="AG53">
            <v>0</v>
          </cell>
          <cell r="AH53">
            <v>0</v>
          </cell>
          <cell r="AI53">
            <v>510975</v>
          </cell>
          <cell r="AJ53">
            <v>674107</v>
          </cell>
          <cell r="AK53">
            <v>163132</v>
          </cell>
          <cell r="AL53">
            <v>664319.07999999996</v>
          </cell>
          <cell r="AM53">
            <v>0</v>
          </cell>
          <cell r="AN53">
            <v>0</v>
          </cell>
          <cell r="AO53">
            <v>0</v>
          </cell>
          <cell r="AP53">
            <v>0</v>
          </cell>
          <cell r="AQ53">
            <v>0</v>
          </cell>
          <cell r="AR53">
            <v>0</v>
          </cell>
          <cell r="AS53">
            <v>0</v>
          </cell>
          <cell r="AT53">
            <v>49531.029318645938</v>
          </cell>
          <cell r="AU53">
            <v>103813.05068135407</v>
          </cell>
          <cell r="AW53">
            <v>510975</v>
          </cell>
          <cell r="AX53">
            <v>1439</v>
          </cell>
          <cell r="AY53">
            <v>512414</v>
          </cell>
          <cell r="AZ53">
            <v>0</v>
          </cell>
          <cell r="BA53">
            <v>512414</v>
          </cell>
          <cell r="BB53">
            <v>0</v>
          </cell>
          <cell r="BC53">
            <v>512414</v>
          </cell>
          <cell r="BD53">
            <v>0</v>
          </cell>
          <cell r="BE53">
            <v>163132</v>
          </cell>
          <cell r="BF53">
            <v>0</v>
          </cell>
          <cell r="BH53">
            <v>675546</v>
          </cell>
          <cell r="BI53">
            <v>0</v>
          </cell>
          <cell r="BJ53">
            <v>675546</v>
          </cell>
          <cell r="BK53">
            <v>0</v>
          </cell>
          <cell r="BL53">
            <v>675546</v>
          </cell>
        </row>
        <row r="54">
          <cell r="B54" t="str">
            <v>DUNBAR ARMORED</v>
          </cell>
          <cell r="C54">
            <v>0</v>
          </cell>
          <cell r="D54">
            <v>1900173</v>
          </cell>
          <cell r="E54">
            <v>29032</v>
          </cell>
          <cell r="F54" t="str">
            <v>ASC</v>
          </cell>
          <cell r="G54" t="str">
            <v>JAN</v>
          </cell>
          <cell r="H54" t="str">
            <v>Michael</v>
          </cell>
          <cell r="I54" t="str">
            <v>Engel</v>
          </cell>
          <cell r="J54" t="str">
            <v>Weekly Wire</v>
          </cell>
          <cell r="K54" t="str">
            <v>NETTIE</v>
          </cell>
          <cell r="L54" t="str">
            <v>Wachovia</v>
          </cell>
          <cell r="M54">
            <v>0</v>
          </cell>
          <cell r="N54">
            <v>53000</v>
          </cell>
          <cell r="O54" t="str">
            <v>NASCO</v>
          </cell>
          <cell r="P54" t="str">
            <v>NATIONAL</v>
          </cell>
          <cell r="Q54">
            <v>1295</v>
          </cell>
          <cell r="R54">
            <v>0</v>
          </cell>
          <cell r="S54">
            <v>100000</v>
          </cell>
          <cell r="T54">
            <v>1.25</v>
          </cell>
          <cell r="U54">
            <v>569490.18000000005</v>
          </cell>
          <cell r="V54">
            <v>13559.29</v>
          </cell>
          <cell r="W54">
            <v>583049.47</v>
          </cell>
          <cell r="X54">
            <v>67796.45</v>
          </cell>
          <cell r="Y54">
            <v>0</v>
          </cell>
          <cell r="Z54">
            <v>0</v>
          </cell>
          <cell r="AA54">
            <v>94915.03</v>
          </cell>
          <cell r="AB54">
            <v>610168.05000000005</v>
          </cell>
          <cell r="AC54">
            <v>1355929</v>
          </cell>
          <cell r="AD54">
            <v>-179</v>
          </cell>
          <cell r="AE54">
            <v>1355750</v>
          </cell>
          <cell r="AF54">
            <v>0</v>
          </cell>
          <cell r="AG54">
            <v>0</v>
          </cell>
          <cell r="AH54">
            <v>-9753</v>
          </cell>
          <cell r="AI54">
            <v>4646873</v>
          </cell>
          <cell r="AJ54">
            <v>6002802</v>
          </cell>
          <cell r="AK54">
            <v>1355929</v>
          </cell>
          <cell r="AL54">
            <v>5907886.9699999997</v>
          </cell>
          <cell r="AM54">
            <v>0</v>
          </cell>
          <cell r="AN54">
            <v>0</v>
          </cell>
          <cell r="AO54">
            <v>0</v>
          </cell>
          <cell r="AP54">
            <v>0</v>
          </cell>
          <cell r="AQ54">
            <v>63215</v>
          </cell>
          <cell r="AR54">
            <v>0</v>
          </cell>
          <cell r="AS54">
            <v>63215</v>
          </cell>
          <cell r="AT54">
            <v>461322.77918613015</v>
          </cell>
          <cell r="AU54">
            <v>726544.19081386982</v>
          </cell>
          <cell r="AW54">
            <v>4710088</v>
          </cell>
          <cell r="AX54">
            <v>115217</v>
          </cell>
          <cell r="AY54">
            <v>4825305</v>
          </cell>
          <cell r="AZ54">
            <v>0</v>
          </cell>
          <cell r="BA54">
            <v>4825305</v>
          </cell>
          <cell r="BB54">
            <v>0</v>
          </cell>
          <cell r="BC54">
            <v>4825305</v>
          </cell>
          <cell r="BD54">
            <v>-179</v>
          </cell>
          <cell r="BE54">
            <v>1355929</v>
          </cell>
          <cell r="BF54">
            <v>-9753</v>
          </cell>
          <cell r="BH54">
            <v>6171302</v>
          </cell>
          <cell r="BI54">
            <v>63215</v>
          </cell>
          <cell r="BJ54">
            <v>6108087</v>
          </cell>
          <cell r="BK54">
            <v>0</v>
          </cell>
          <cell r="BL54">
            <v>6108087</v>
          </cell>
        </row>
        <row r="55">
          <cell r="B55" t="str">
            <v>DURON INC</v>
          </cell>
          <cell r="C55">
            <v>0</v>
          </cell>
          <cell r="D55">
            <v>1900076</v>
          </cell>
          <cell r="E55">
            <v>56824</v>
          </cell>
          <cell r="F55" t="str">
            <v>ASC</v>
          </cell>
          <cell r="G55" t="str">
            <v>JAN</v>
          </cell>
          <cell r="H55" t="str">
            <v>Delong</v>
          </cell>
          <cell r="I55" t="str">
            <v>Engel</v>
          </cell>
          <cell r="J55" t="str">
            <v>Direct Debit--Weekly</v>
          </cell>
          <cell r="K55" t="str">
            <v>NETTIE</v>
          </cell>
          <cell r="L55" t="str">
            <v>Wachovia</v>
          </cell>
          <cell r="M55">
            <v>0</v>
          </cell>
          <cell r="N55">
            <v>27000</v>
          </cell>
          <cell r="O55" t="str">
            <v>NASCO</v>
          </cell>
          <cell r="P55" t="str">
            <v>NATIONAL</v>
          </cell>
          <cell r="Q55">
            <v>1405</v>
          </cell>
          <cell r="R55">
            <v>0</v>
          </cell>
          <cell r="S55">
            <v>0</v>
          </cell>
          <cell r="T55">
            <v>1.25</v>
          </cell>
          <cell r="U55">
            <v>0</v>
          </cell>
          <cell r="V55">
            <v>56344.98</v>
          </cell>
          <cell r="W55">
            <v>56344.98</v>
          </cell>
          <cell r="X55">
            <v>0</v>
          </cell>
          <cell r="Y55">
            <v>0</v>
          </cell>
          <cell r="Z55">
            <v>0</v>
          </cell>
          <cell r="AA55">
            <v>140862.45000000001</v>
          </cell>
          <cell r="AB55">
            <v>741875.57</v>
          </cell>
          <cell r="AC55">
            <v>939083</v>
          </cell>
          <cell r="AD55">
            <v>22</v>
          </cell>
          <cell r="AE55">
            <v>939105</v>
          </cell>
          <cell r="AF55">
            <v>0</v>
          </cell>
          <cell r="AG55">
            <v>0</v>
          </cell>
          <cell r="AH55">
            <v>3600</v>
          </cell>
          <cell r="AI55">
            <v>6821824</v>
          </cell>
          <cell r="AJ55">
            <v>7760907</v>
          </cell>
          <cell r="AK55">
            <v>939083</v>
          </cell>
          <cell r="AL55">
            <v>7620044.5499999998</v>
          </cell>
          <cell r="AM55">
            <v>0</v>
          </cell>
          <cell r="AN55">
            <v>0</v>
          </cell>
          <cell r="AO55">
            <v>0</v>
          </cell>
          <cell r="AP55">
            <v>0</v>
          </cell>
          <cell r="AQ55">
            <v>0</v>
          </cell>
          <cell r="AR55">
            <v>0</v>
          </cell>
          <cell r="AS55">
            <v>0</v>
          </cell>
          <cell r="AT55">
            <v>661436.97640930163</v>
          </cell>
          <cell r="AU55">
            <v>140405.57359069842</v>
          </cell>
          <cell r="AW55">
            <v>6821824</v>
          </cell>
          <cell r="AX55">
            <v>105646</v>
          </cell>
          <cell r="AY55">
            <v>6927470</v>
          </cell>
          <cell r="AZ55">
            <v>0</v>
          </cell>
          <cell r="BA55">
            <v>6927470</v>
          </cell>
          <cell r="BB55">
            <v>0</v>
          </cell>
          <cell r="BC55">
            <v>6927470</v>
          </cell>
          <cell r="BD55">
            <v>22</v>
          </cell>
          <cell r="BE55">
            <v>939083</v>
          </cell>
          <cell r="BF55">
            <v>3600</v>
          </cell>
          <cell r="BH55">
            <v>7870175</v>
          </cell>
          <cell r="BI55">
            <v>0</v>
          </cell>
          <cell r="BJ55">
            <v>7870175</v>
          </cell>
          <cell r="BK55">
            <v>0</v>
          </cell>
          <cell r="BL55">
            <v>7870175</v>
          </cell>
        </row>
        <row r="56">
          <cell r="B56" t="str">
            <v>DUTY FREE AMERICAS</v>
          </cell>
          <cell r="C56" t="str">
            <v>WORLD DUTY</v>
          </cell>
          <cell r="D56">
            <v>1900284</v>
          </cell>
          <cell r="E56">
            <v>59982</v>
          </cell>
          <cell r="F56">
            <v>0</v>
          </cell>
          <cell r="G56" t="str">
            <v>termed 2/04</v>
          </cell>
          <cell r="H56" t="str">
            <v>Michael</v>
          </cell>
          <cell r="I56" t="str">
            <v>Drusano</v>
          </cell>
          <cell r="J56" t="str">
            <v>Direct Debit--Weekly</v>
          </cell>
          <cell r="K56" t="str">
            <v>NETTIE</v>
          </cell>
          <cell r="L56" t="str">
            <v>None</v>
          </cell>
          <cell r="M56">
            <v>0</v>
          </cell>
          <cell r="N56">
            <v>21000</v>
          </cell>
          <cell r="O56" t="str">
            <v>NASCO</v>
          </cell>
          <cell r="P56" t="str">
            <v>NATIONAL</v>
          </cell>
          <cell r="Q56" t="str">
            <v>run-out</v>
          </cell>
          <cell r="R56">
            <v>0</v>
          </cell>
          <cell r="S56">
            <v>150000</v>
          </cell>
          <cell r="T56">
            <v>1.25</v>
          </cell>
          <cell r="U56">
            <v>11090.25</v>
          </cell>
          <cell r="V56">
            <v>2053.75</v>
          </cell>
          <cell r="W56">
            <v>13144</v>
          </cell>
          <cell r="X56">
            <v>0</v>
          </cell>
          <cell r="Y56">
            <v>1643</v>
          </cell>
          <cell r="Z56">
            <v>0</v>
          </cell>
          <cell r="AA56">
            <v>0</v>
          </cell>
          <cell r="AB56">
            <v>69977</v>
          </cell>
          <cell r="AC56">
            <v>84764</v>
          </cell>
          <cell r="AD56">
            <v>5</v>
          </cell>
          <cell r="AE56">
            <v>84769</v>
          </cell>
          <cell r="AF56">
            <v>0</v>
          </cell>
          <cell r="AG56">
            <v>0</v>
          </cell>
          <cell r="AH56">
            <v>0</v>
          </cell>
          <cell r="AI56">
            <v>506660</v>
          </cell>
          <cell r="AJ56">
            <v>591424</v>
          </cell>
          <cell r="AK56">
            <v>84764</v>
          </cell>
          <cell r="AL56">
            <v>591424</v>
          </cell>
          <cell r="AM56">
            <v>0</v>
          </cell>
          <cell r="AN56">
            <v>0</v>
          </cell>
          <cell r="AO56">
            <v>0</v>
          </cell>
          <cell r="AP56">
            <v>0</v>
          </cell>
          <cell r="AQ56">
            <v>0</v>
          </cell>
          <cell r="AR56">
            <v>0</v>
          </cell>
          <cell r="AS56">
            <v>0</v>
          </cell>
          <cell r="AT56">
            <v>49531.152202716636</v>
          </cell>
          <cell r="AU56">
            <v>35237.847797283364</v>
          </cell>
          <cell r="AW56">
            <v>506660</v>
          </cell>
          <cell r="AX56">
            <v>29860</v>
          </cell>
          <cell r="AY56">
            <v>536520</v>
          </cell>
          <cell r="AZ56">
            <v>0</v>
          </cell>
          <cell r="BA56">
            <v>536520</v>
          </cell>
          <cell r="BB56">
            <v>0</v>
          </cell>
          <cell r="BC56">
            <v>536520</v>
          </cell>
          <cell r="BD56">
            <v>5</v>
          </cell>
          <cell r="BE56">
            <v>84764</v>
          </cell>
          <cell r="BF56">
            <v>0</v>
          </cell>
          <cell r="BH56">
            <v>621289</v>
          </cell>
          <cell r="BI56">
            <v>0</v>
          </cell>
          <cell r="BJ56">
            <v>621289</v>
          </cell>
          <cell r="BK56">
            <v>0</v>
          </cell>
          <cell r="BL56">
            <v>621289</v>
          </cell>
        </row>
        <row r="57">
          <cell r="B57" t="str">
            <v>DVCC</v>
          </cell>
          <cell r="C57">
            <v>0</v>
          </cell>
          <cell r="D57">
            <v>1900009</v>
          </cell>
          <cell r="E57">
            <v>48987</v>
          </cell>
          <cell r="F57" t="str">
            <v>ASC</v>
          </cell>
          <cell r="G57" t="str">
            <v>JAN</v>
          </cell>
          <cell r="H57" t="str">
            <v>McManus</v>
          </cell>
          <cell r="I57" t="str">
            <v>Waters</v>
          </cell>
          <cell r="J57" t="str">
            <v>Weekly Check</v>
          </cell>
          <cell r="K57" t="str">
            <v>GINNY</v>
          </cell>
          <cell r="L57" t="str">
            <v>Laslett Blue</v>
          </cell>
          <cell r="M57">
            <v>0</v>
          </cell>
          <cell r="N57">
            <v>0</v>
          </cell>
          <cell r="O57" t="str">
            <v>NASCO-S</v>
          </cell>
          <cell r="P57" t="str">
            <v>NATIONAL</v>
          </cell>
          <cell r="Q57">
            <v>814</v>
          </cell>
          <cell r="R57">
            <v>0</v>
          </cell>
          <cell r="S57">
            <v>0</v>
          </cell>
          <cell r="T57">
            <v>0</v>
          </cell>
          <cell r="U57">
            <v>0</v>
          </cell>
          <cell r="V57">
            <v>0</v>
          </cell>
          <cell r="W57">
            <v>0</v>
          </cell>
          <cell r="X57">
            <v>0</v>
          </cell>
          <cell r="Y57">
            <v>0</v>
          </cell>
          <cell r="Z57">
            <v>0</v>
          </cell>
          <cell r="AA57">
            <v>0</v>
          </cell>
          <cell r="AB57">
            <v>151382</v>
          </cell>
          <cell r="AC57">
            <v>151382</v>
          </cell>
          <cell r="AD57">
            <v>194</v>
          </cell>
          <cell r="AE57">
            <v>151576</v>
          </cell>
          <cell r="AF57">
            <v>0</v>
          </cell>
          <cell r="AG57">
            <v>0</v>
          </cell>
          <cell r="AH57">
            <v>0</v>
          </cell>
          <cell r="AI57">
            <v>2205013</v>
          </cell>
          <cell r="AJ57">
            <v>2356395</v>
          </cell>
          <cell r="AK57">
            <v>151382</v>
          </cell>
          <cell r="AL57">
            <v>2356395</v>
          </cell>
          <cell r="AM57">
            <v>0</v>
          </cell>
          <cell r="AN57">
            <v>0</v>
          </cell>
          <cell r="AO57">
            <v>0</v>
          </cell>
          <cell r="AP57">
            <v>0</v>
          </cell>
          <cell r="AQ57">
            <v>0</v>
          </cell>
          <cell r="AR57">
            <v>0</v>
          </cell>
          <cell r="AS57">
            <v>0</v>
          </cell>
          <cell r="AT57">
            <v>215597.95688253574</v>
          </cell>
          <cell r="AU57">
            <v>-64021.956882535742</v>
          </cell>
          <cell r="AW57">
            <v>2205013</v>
          </cell>
          <cell r="AX57">
            <v>111735</v>
          </cell>
          <cell r="AY57">
            <v>2316748</v>
          </cell>
          <cell r="AZ57">
            <v>0</v>
          </cell>
          <cell r="BA57">
            <v>2316748</v>
          </cell>
          <cell r="BB57">
            <v>0</v>
          </cell>
          <cell r="BC57">
            <v>2316748</v>
          </cell>
          <cell r="BD57">
            <v>194</v>
          </cell>
          <cell r="BE57">
            <v>151382</v>
          </cell>
          <cell r="BF57">
            <v>0</v>
          </cell>
          <cell r="BH57">
            <v>2468324</v>
          </cell>
          <cell r="BI57">
            <v>0</v>
          </cell>
          <cell r="BJ57">
            <v>2468324</v>
          </cell>
          <cell r="BK57">
            <v>0</v>
          </cell>
          <cell r="BL57">
            <v>2468324</v>
          </cell>
        </row>
        <row r="58">
          <cell r="B58" t="str">
            <v>EA ENGINEERING</v>
          </cell>
          <cell r="C58">
            <v>0</v>
          </cell>
          <cell r="D58">
            <v>1900024</v>
          </cell>
          <cell r="E58">
            <v>44713</v>
          </cell>
          <cell r="F58" t="str">
            <v>ASC</v>
          </cell>
          <cell r="G58" t="str">
            <v>JAN</v>
          </cell>
          <cell r="H58" t="str">
            <v>Delong</v>
          </cell>
          <cell r="I58" t="str">
            <v>Drusano</v>
          </cell>
          <cell r="J58" t="str">
            <v>Direct Debit--Weekly</v>
          </cell>
          <cell r="K58" t="str">
            <v>BARBARA</v>
          </cell>
          <cell r="L58" t="str">
            <v>Huber, Oros &amp; Co.</v>
          </cell>
          <cell r="M58">
            <v>0</v>
          </cell>
          <cell r="N58">
            <v>14342</v>
          </cell>
          <cell r="O58" t="str">
            <v>NASCO</v>
          </cell>
          <cell r="P58" t="str">
            <v>NATIONAL</v>
          </cell>
          <cell r="Q58">
            <v>287</v>
          </cell>
          <cell r="R58">
            <v>0</v>
          </cell>
          <cell r="S58">
            <v>75000</v>
          </cell>
          <cell r="T58">
            <v>1.25</v>
          </cell>
          <cell r="U58">
            <v>91874.19</v>
          </cell>
          <cell r="V58">
            <v>19972.650000000001</v>
          </cell>
          <cell r="W58">
            <v>111846.84</v>
          </cell>
          <cell r="X58">
            <v>11983.59</v>
          </cell>
          <cell r="Y58">
            <v>0</v>
          </cell>
          <cell r="Z58">
            <v>0</v>
          </cell>
          <cell r="AA58">
            <v>71901.539999999994</v>
          </cell>
          <cell r="AB58">
            <v>203721.03</v>
          </cell>
          <cell r="AC58">
            <v>399453</v>
          </cell>
          <cell r="AD58">
            <v>1</v>
          </cell>
          <cell r="AE58">
            <v>399454</v>
          </cell>
          <cell r="AF58">
            <v>0</v>
          </cell>
          <cell r="AG58">
            <v>0</v>
          </cell>
          <cell r="AH58">
            <v>0</v>
          </cell>
          <cell r="AI58">
            <v>867098</v>
          </cell>
          <cell r="AJ58">
            <v>1266551</v>
          </cell>
          <cell r="AK58">
            <v>399453</v>
          </cell>
          <cell r="AL58">
            <v>1194649.46</v>
          </cell>
          <cell r="AM58">
            <v>0</v>
          </cell>
          <cell r="AN58">
            <v>0</v>
          </cell>
          <cell r="AO58">
            <v>0</v>
          </cell>
          <cell r="AP58">
            <v>0</v>
          </cell>
          <cell r="AQ58">
            <v>0</v>
          </cell>
          <cell r="AR58">
            <v>0</v>
          </cell>
          <cell r="AS58">
            <v>0</v>
          </cell>
          <cell r="AT58">
            <v>84413.6159997738</v>
          </cell>
          <cell r="AU58">
            <v>243138.84400022618</v>
          </cell>
          <cell r="AW58">
            <v>867098</v>
          </cell>
          <cell r="AX58">
            <v>39530</v>
          </cell>
          <cell r="AY58">
            <v>906628</v>
          </cell>
          <cell r="AZ58">
            <v>0</v>
          </cell>
          <cell r="BA58">
            <v>906628</v>
          </cell>
          <cell r="BB58">
            <v>0</v>
          </cell>
          <cell r="BC58">
            <v>906628</v>
          </cell>
          <cell r="BD58">
            <v>1</v>
          </cell>
          <cell r="BE58">
            <v>399453</v>
          </cell>
          <cell r="BF58">
            <v>0</v>
          </cell>
          <cell r="BH58">
            <v>1306082</v>
          </cell>
          <cell r="BI58">
            <v>0</v>
          </cell>
          <cell r="BJ58">
            <v>1306082</v>
          </cell>
          <cell r="BK58">
            <v>0</v>
          </cell>
          <cell r="BL58">
            <v>1306082</v>
          </cell>
        </row>
        <row r="59">
          <cell r="B59" t="str">
            <v>EAI CORPORATION</v>
          </cell>
          <cell r="C59">
            <v>0</v>
          </cell>
          <cell r="D59">
            <v>1900479</v>
          </cell>
          <cell r="E59">
            <v>52612</v>
          </cell>
          <cell r="F59" t="str">
            <v>ASC</v>
          </cell>
          <cell r="G59" t="str">
            <v>JUL</v>
          </cell>
          <cell r="H59" t="str">
            <v>Lentz</v>
          </cell>
          <cell r="I59" t="str">
            <v>Waters</v>
          </cell>
          <cell r="J59" t="str">
            <v>Direct Debit--Weekly</v>
          </cell>
          <cell r="K59" t="str">
            <v>LISA</v>
          </cell>
          <cell r="L59">
            <v>0</v>
          </cell>
          <cell r="M59">
            <v>0</v>
          </cell>
          <cell r="N59">
            <v>0</v>
          </cell>
          <cell r="O59" t="str">
            <v>NASCO</v>
          </cell>
          <cell r="P59" t="str">
            <v>NATIONAL</v>
          </cell>
          <cell r="Q59">
            <v>393</v>
          </cell>
          <cell r="R59">
            <v>0</v>
          </cell>
          <cell r="S59">
            <v>75000</v>
          </cell>
          <cell r="T59">
            <v>1.25</v>
          </cell>
          <cell r="U59">
            <v>171800.82</v>
          </cell>
          <cell r="V59">
            <v>30042.81</v>
          </cell>
          <cell r="W59">
            <v>201843.63</v>
          </cell>
          <cell r="X59">
            <v>0</v>
          </cell>
          <cell r="Y59">
            <v>8843.1299999999992</v>
          </cell>
          <cell r="Z59">
            <v>0</v>
          </cell>
          <cell r="AA59">
            <v>75300.570000000007</v>
          </cell>
          <cell r="AB59">
            <v>173537.67</v>
          </cell>
          <cell r="AC59">
            <v>459525</v>
          </cell>
          <cell r="AD59">
            <v>0</v>
          </cell>
          <cell r="AE59">
            <v>459525</v>
          </cell>
          <cell r="AF59">
            <v>0</v>
          </cell>
          <cell r="AG59">
            <v>0</v>
          </cell>
          <cell r="AH59">
            <v>0</v>
          </cell>
          <cell r="AI59">
            <v>1401757</v>
          </cell>
          <cell r="AJ59">
            <v>1861282</v>
          </cell>
          <cell r="AK59">
            <v>459525</v>
          </cell>
          <cell r="AL59">
            <v>1785981.43</v>
          </cell>
          <cell r="AM59">
            <v>0</v>
          </cell>
          <cell r="AN59">
            <v>0</v>
          </cell>
          <cell r="AO59">
            <v>0</v>
          </cell>
          <cell r="AP59">
            <v>0</v>
          </cell>
          <cell r="AQ59">
            <v>10403</v>
          </cell>
          <cell r="AR59">
            <v>0</v>
          </cell>
          <cell r="AS59">
            <v>10403</v>
          </cell>
          <cell r="AT59">
            <v>137719.68658180625</v>
          </cell>
          <cell r="AU59">
            <v>236101.74341819374</v>
          </cell>
          <cell r="AW59">
            <v>1412160</v>
          </cell>
          <cell r="AX59">
            <v>8520</v>
          </cell>
          <cell r="AY59">
            <v>1420680</v>
          </cell>
          <cell r="AZ59">
            <v>0</v>
          </cell>
          <cell r="BA59">
            <v>1420680</v>
          </cell>
          <cell r="BB59">
            <v>0</v>
          </cell>
          <cell r="BC59">
            <v>1420680</v>
          </cell>
          <cell r="BD59">
            <v>0</v>
          </cell>
          <cell r="BE59">
            <v>459525</v>
          </cell>
          <cell r="BF59">
            <v>0</v>
          </cell>
          <cell r="BH59">
            <v>1880205</v>
          </cell>
          <cell r="BI59">
            <v>10403</v>
          </cell>
          <cell r="BJ59">
            <v>1869802</v>
          </cell>
          <cell r="BK59">
            <v>0</v>
          </cell>
          <cell r="BL59">
            <v>1869802</v>
          </cell>
        </row>
        <row r="60">
          <cell r="B60" t="str">
            <v>EDUCATE</v>
          </cell>
          <cell r="C60">
            <v>0</v>
          </cell>
          <cell r="D60">
            <v>1900534</v>
          </cell>
          <cell r="E60">
            <v>65575</v>
          </cell>
          <cell r="F60" t="str">
            <v>ASC-Adjustable Retro</v>
          </cell>
          <cell r="G60" t="str">
            <v>JAN</v>
          </cell>
          <cell r="H60" t="str">
            <v>Delong</v>
          </cell>
          <cell r="I60" t="str">
            <v>Engel</v>
          </cell>
          <cell r="J60" t="str">
            <v>Direct Debit--Weekly</v>
          </cell>
          <cell r="K60" t="str">
            <v>BARBARA</v>
          </cell>
          <cell r="L60" t="str">
            <v>Huber, Oros &amp; Co.</v>
          </cell>
          <cell r="M60">
            <v>0</v>
          </cell>
          <cell r="N60">
            <v>80400</v>
          </cell>
          <cell r="O60" t="str">
            <v>NASCO</v>
          </cell>
          <cell r="P60" t="str">
            <v>NATIONAL</v>
          </cell>
          <cell r="Q60">
            <v>1406</v>
          </cell>
          <cell r="R60">
            <v>0</v>
          </cell>
          <cell r="S60">
            <v>150000</v>
          </cell>
          <cell r="T60">
            <v>1.25</v>
          </cell>
          <cell r="U60">
            <v>163966.32</v>
          </cell>
          <cell r="V60">
            <v>35135.64</v>
          </cell>
          <cell r="W60">
            <v>199101.96</v>
          </cell>
          <cell r="X60">
            <v>58559.4</v>
          </cell>
          <cell r="Y60">
            <v>35135.64</v>
          </cell>
          <cell r="Z60">
            <v>0</v>
          </cell>
          <cell r="AA60">
            <v>210813.84</v>
          </cell>
          <cell r="AB60">
            <v>667577.16</v>
          </cell>
          <cell r="AC60">
            <v>1171188</v>
          </cell>
          <cell r="AD60">
            <v>0</v>
          </cell>
          <cell r="AE60">
            <v>1171188</v>
          </cell>
          <cell r="AF60">
            <v>0</v>
          </cell>
          <cell r="AG60">
            <v>0</v>
          </cell>
          <cell r="AH60">
            <v>0</v>
          </cell>
          <cell r="AI60">
            <v>4685255</v>
          </cell>
          <cell r="AJ60">
            <v>5856443</v>
          </cell>
          <cell r="AK60">
            <v>1171188</v>
          </cell>
          <cell r="AL60">
            <v>5645629.1600000001</v>
          </cell>
          <cell r="AM60">
            <v>0</v>
          </cell>
          <cell r="AN60">
            <v>0</v>
          </cell>
          <cell r="AO60">
            <v>0</v>
          </cell>
          <cell r="AP60">
            <v>0</v>
          </cell>
          <cell r="AQ60">
            <v>19694</v>
          </cell>
          <cell r="AR60">
            <v>0</v>
          </cell>
          <cell r="AS60">
            <v>19694</v>
          </cell>
          <cell r="AT60">
            <v>456938.90206200059</v>
          </cell>
          <cell r="AU60">
            <v>483741.25793799944</v>
          </cell>
          <cell r="AW60">
            <v>4704949</v>
          </cell>
          <cell r="AX60">
            <v>239674</v>
          </cell>
          <cell r="AY60">
            <v>4944623</v>
          </cell>
          <cell r="AZ60">
            <v>0</v>
          </cell>
          <cell r="BA60">
            <v>4944623</v>
          </cell>
          <cell r="BB60">
            <v>0</v>
          </cell>
          <cell r="BC60">
            <v>4944623</v>
          </cell>
          <cell r="BD60">
            <v>0</v>
          </cell>
          <cell r="BE60">
            <v>1171188</v>
          </cell>
          <cell r="BF60">
            <v>0</v>
          </cell>
          <cell r="BH60">
            <v>6115811</v>
          </cell>
          <cell r="BI60">
            <v>19694</v>
          </cell>
          <cell r="BJ60">
            <v>6096117</v>
          </cell>
          <cell r="BK60">
            <v>0</v>
          </cell>
          <cell r="BL60">
            <v>6096117</v>
          </cell>
        </row>
        <row r="61">
          <cell r="B61" t="str">
            <v>ENTERPRISE FOUNDATION</v>
          </cell>
          <cell r="C61">
            <v>0</v>
          </cell>
          <cell r="D61" t="str">
            <v>n/a</v>
          </cell>
          <cell r="E61">
            <v>27413</v>
          </cell>
          <cell r="F61" t="str">
            <v>ASC</v>
          </cell>
          <cell r="G61" t="str">
            <v>JAN</v>
          </cell>
          <cell r="H61" t="str">
            <v>Flowers</v>
          </cell>
          <cell r="I61" t="str">
            <v>Heinze</v>
          </cell>
          <cell r="J61" t="str">
            <v>Direct Debit--Weekly</v>
          </cell>
          <cell r="K61" t="str">
            <v>BARBARA</v>
          </cell>
          <cell r="L61" t="str">
            <v>Benefit Mall</v>
          </cell>
          <cell r="M61">
            <v>0</v>
          </cell>
          <cell r="N61">
            <v>61500</v>
          </cell>
          <cell r="O61" t="str">
            <v>CARE</v>
          </cell>
          <cell r="P61" t="str">
            <v>LOCAL</v>
          </cell>
          <cell r="Q61">
            <v>368</v>
          </cell>
          <cell r="R61">
            <v>0</v>
          </cell>
          <cell r="S61">
            <v>50000</v>
          </cell>
          <cell r="T61">
            <v>1.25</v>
          </cell>
          <cell r="U61">
            <v>181037.22</v>
          </cell>
          <cell r="V61">
            <v>4641.9799999999996</v>
          </cell>
          <cell r="W61">
            <v>185679.2</v>
          </cell>
          <cell r="X61">
            <v>0</v>
          </cell>
          <cell r="Y61">
            <v>0</v>
          </cell>
          <cell r="Z61">
            <v>0</v>
          </cell>
          <cell r="AA61">
            <v>83555.64</v>
          </cell>
          <cell r="AB61">
            <v>194963.16</v>
          </cell>
          <cell r="AC61">
            <v>464198</v>
          </cell>
          <cell r="AD61">
            <v>0</v>
          </cell>
          <cell r="AE61">
            <v>464198</v>
          </cell>
          <cell r="AF61">
            <v>0</v>
          </cell>
          <cell r="AG61">
            <v>0</v>
          </cell>
          <cell r="AH61">
            <v>0</v>
          </cell>
          <cell r="AI61">
            <v>1297183</v>
          </cell>
          <cell r="AJ61">
            <v>1761381</v>
          </cell>
          <cell r="AK61">
            <v>464198</v>
          </cell>
          <cell r="AL61">
            <v>1677825.36</v>
          </cell>
          <cell r="AM61">
            <v>0</v>
          </cell>
          <cell r="AN61">
            <v>0</v>
          </cell>
          <cell r="AO61">
            <v>0</v>
          </cell>
          <cell r="AP61">
            <v>0</v>
          </cell>
          <cell r="AQ61">
            <v>0</v>
          </cell>
          <cell r="AR61">
            <v>0</v>
          </cell>
          <cell r="AS61">
            <v>0</v>
          </cell>
          <cell r="AT61">
            <v>125197.76751649147</v>
          </cell>
          <cell r="AU61">
            <v>255444.59248350852</v>
          </cell>
          <cell r="AW61">
            <v>1297183</v>
          </cell>
          <cell r="AX61">
            <v>39984</v>
          </cell>
          <cell r="AY61">
            <v>1337167</v>
          </cell>
          <cell r="AZ61">
            <v>0</v>
          </cell>
          <cell r="BA61">
            <v>1337167</v>
          </cell>
          <cell r="BB61">
            <v>0</v>
          </cell>
          <cell r="BC61">
            <v>1337167</v>
          </cell>
          <cell r="BD61">
            <v>0</v>
          </cell>
          <cell r="BE61">
            <v>464198</v>
          </cell>
          <cell r="BF61">
            <v>0</v>
          </cell>
          <cell r="BH61">
            <v>1801365</v>
          </cell>
          <cell r="BI61">
            <v>0</v>
          </cell>
          <cell r="BJ61">
            <v>1801365</v>
          </cell>
          <cell r="BK61">
            <v>0</v>
          </cell>
          <cell r="BL61">
            <v>1801365</v>
          </cell>
        </row>
        <row r="62">
          <cell r="B62" t="str">
            <v>ESMEC DENTAL &amp; DRUG</v>
          </cell>
          <cell r="C62">
            <v>0</v>
          </cell>
          <cell r="D62" t="str">
            <v>n/a</v>
          </cell>
          <cell r="E62" t="str">
            <v>08266</v>
          </cell>
          <cell r="F62" t="str">
            <v>ASC</v>
          </cell>
          <cell r="G62" t="str">
            <v>SEP</v>
          </cell>
          <cell r="H62" t="str">
            <v>Hauff</v>
          </cell>
          <cell r="I62" t="str">
            <v>Tilghman</v>
          </cell>
          <cell r="J62" t="str">
            <v>Deposit--2 Months</v>
          </cell>
          <cell r="K62" t="str">
            <v>BARBARA</v>
          </cell>
          <cell r="L62" t="str">
            <v>None</v>
          </cell>
          <cell r="M62">
            <v>1375382</v>
          </cell>
          <cell r="N62">
            <v>0</v>
          </cell>
          <cell r="O62" t="str">
            <v>CARE-S</v>
          </cell>
          <cell r="P62" t="str">
            <v>LOCAL</v>
          </cell>
          <cell r="Q62" t="str">
            <v>dental/drug</v>
          </cell>
          <cell r="R62">
            <v>0</v>
          </cell>
          <cell r="S62">
            <v>0</v>
          </cell>
          <cell r="T62">
            <v>0</v>
          </cell>
          <cell r="U62">
            <v>0</v>
          </cell>
          <cell r="V62">
            <v>0</v>
          </cell>
          <cell r="W62">
            <v>0</v>
          </cell>
          <cell r="X62">
            <v>0</v>
          </cell>
          <cell r="Y62">
            <v>0</v>
          </cell>
          <cell r="Z62">
            <v>0</v>
          </cell>
          <cell r="AA62">
            <v>0</v>
          </cell>
          <cell r="AB62">
            <v>337430</v>
          </cell>
          <cell r="AC62">
            <v>337430</v>
          </cell>
          <cell r="AD62">
            <v>0</v>
          </cell>
          <cell r="AE62">
            <v>337430</v>
          </cell>
          <cell r="AF62">
            <v>0</v>
          </cell>
          <cell r="AG62">
            <v>0</v>
          </cell>
          <cell r="AH62">
            <v>0</v>
          </cell>
          <cell r="AI62">
            <v>10530862</v>
          </cell>
          <cell r="AJ62">
            <v>10868292</v>
          </cell>
          <cell r="AK62">
            <v>337430</v>
          </cell>
          <cell r="AL62">
            <v>10868292</v>
          </cell>
          <cell r="AM62">
            <v>0</v>
          </cell>
          <cell r="AN62">
            <v>0</v>
          </cell>
          <cell r="AO62">
            <v>0</v>
          </cell>
          <cell r="AP62">
            <v>0</v>
          </cell>
          <cell r="AQ62">
            <v>0</v>
          </cell>
          <cell r="AR62">
            <v>0</v>
          </cell>
          <cell r="AS62">
            <v>0</v>
          </cell>
          <cell r="AT62">
            <v>1023529.3686947498</v>
          </cell>
          <cell r="AU62">
            <v>-686099.36869474978</v>
          </cell>
          <cell r="AW62">
            <v>10530862</v>
          </cell>
          <cell r="AX62">
            <v>0</v>
          </cell>
          <cell r="AY62">
            <v>10530862</v>
          </cell>
          <cell r="AZ62">
            <v>0</v>
          </cell>
          <cell r="BA62">
            <v>10530862</v>
          </cell>
          <cell r="BB62">
            <v>0</v>
          </cell>
          <cell r="BC62">
            <v>10530862</v>
          </cell>
          <cell r="BD62">
            <v>0</v>
          </cell>
          <cell r="BE62">
            <v>337430</v>
          </cell>
          <cell r="BF62">
            <v>0</v>
          </cell>
          <cell r="BH62">
            <v>10868292</v>
          </cell>
          <cell r="BI62">
            <v>0</v>
          </cell>
          <cell r="BJ62">
            <v>10868292</v>
          </cell>
          <cell r="BK62">
            <v>0</v>
          </cell>
          <cell r="BL62">
            <v>10868292</v>
          </cell>
        </row>
        <row r="63">
          <cell r="B63" t="str">
            <v>ESMEC MEDICAL RETRO</v>
          </cell>
          <cell r="C63">
            <v>0</v>
          </cell>
          <cell r="D63" t="str">
            <v>n/a</v>
          </cell>
          <cell r="E63" t="str">
            <v>08266</v>
          </cell>
          <cell r="F63" t="str">
            <v>Modified Retro</v>
          </cell>
          <cell r="G63" t="str">
            <v>SEP</v>
          </cell>
          <cell r="H63" t="str">
            <v>Hauff</v>
          </cell>
          <cell r="I63" t="str">
            <v>Tilghman</v>
          </cell>
          <cell r="J63" t="str">
            <v>Retrospective</v>
          </cell>
          <cell r="K63" t="str">
            <v>BARBARA</v>
          </cell>
          <cell r="L63" t="str">
            <v>None</v>
          </cell>
          <cell r="M63">
            <v>0</v>
          </cell>
          <cell r="N63">
            <v>0</v>
          </cell>
          <cell r="O63" t="str">
            <v>CARE</v>
          </cell>
          <cell r="P63" t="str">
            <v>LOCAL</v>
          </cell>
          <cell r="Q63">
            <v>4714</v>
          </cell>
          <cell r="R63">
            <v>0</v>
          </cell>
          <cell r="S63">
            <v>150000</v>
          </cell>
          <cell r="T63">
            <v>1.1499999999999999</v>
          </cell>
          <cell r="U63">
            <v>599045.24</v>
          </cell>
          <cell r="V63">
            <v>195744.18</v>
          </cell>
          <cell r="W63">
            <v>794789.42</v>
          </cell>
          <cell r="X63">
            <v>195744.18</v>
          </cell>
          <cell r="Y63">
            <v>106870.72</v>
          </cell>
          <cell r="Z63">
            <v>0</v>
          </cell>
          <cell r="AA63">
            <v>0</v>
          </cell>
          <cell r="AB63">
            <v>2164998.6800000002</v>
          </cell>
          <cell r="AC63">
            <v>3262403</v>
          </cell>
          <cell r="AD63">
            <v>1319</v>
          </cell>
          <cell r="AE63">
            <v>3263722</v>
          </cell>
          <cell r="AF63">
            <v>0</v>
          </cell>
          <cell r="AG63">
            <v>0</v>
          </cell>
          <cell r="AH63">
            <v>0</v>
          </cell>
          <cell r="AI63">
            <v>20624453</v>
          </cell>
          <cell r="AJ63">
            <v>23886856</v>
          </cell>
          <cell r="AK63">
            <v>3262403</v>
          </cell>
          <cell r="AL63">
            <v>23886856</v>
          </cell>
          <cell r="AM63">
            <v>0</v>
          </cell>
          <cell r="AN63">
            <v>0</v>
          </cell>
          <cell r="AO63">
            <v>0</v>
          </cell>
          <cell r="AP63">
            <v>0</v>
          </cell>
          <cell r="AQ63">
            <v>693295</v>
          </cell>
          <cell r="AR63">
            <v>0</v>
          </cell>
          <cell r="AS63">
            <v>693295</v>
          </cell>
          <cell r="AT63">
            <v>2076783.9543179476</v>
          </cell>
          <cell r="AU63">
            <v>493643.04568205238</v>
          </cell>
          <cell r="AW63">
            <v>21317748</v>
          </cell>
          <cell r="AX63">
            <v>98378</v>
          </cell>
          <cell r="AY63">
            <v>21416126</v>
          </cell>
          <cell r="AZ63">
            <v>0</v>
          </cell>
          <cell r="BA63">
            <v>21416126</v>
          </cell>
          <cell r="BB63">
            <v>0</v>
          </cell>
          <cell r="BC63">
            <v>21416126</v>
          </cell>
          <cell r="BD63">
            <v>1319</v>
          </cell>
          <cell r="BE63">
            <v>3262403</v>
          </cell>
          <cell r="BF63">
            <v>0</v>
          </cell>
          <cell r="BH63">
            <v>24679848</v>
          </cell>
          <cell r="BI63">
            <v>693295</v>
          </cell>
          <cell r="BJ63">
            <v>23986553</v>
          </cell>
          <cell r="BK63">
            <v>0</v>
          </cell>
          <cell r="BL63">
            <v>23986553</v>
          </cell>
        </row>
        <row r="64">
          <cell r="B64" t="str">
            <v>EVAPCO</v>
          </cell>
          <cell r="C64">
            <v>0</v>
          </cell>
          <cell r="D64">
            <v>1900143</v>
          </cell>
          <cell r="E64">
            <v>9136</v>
          </cell>
          <cell r="F64" t="str">
            <v>ASC</v>
          </cell>
          <cell r="G64" t="str">
            <v>JUN</v>
          </cell>
          <cell r="H64" t="str">
            <v>Hauff</v>
          </cell>
          <cell r="I64" t="str">
            <v>Maier</v>
          </cell>
          <cell r="J64" t="str">
            <v>Deposit--2 Months</v>
          </cell>
          <cell r="K64" t="str">
            <v>BARBARA</v>
          </cell>
          <cell r="L64" t="str">
            <v>None</v>
          </cell>
          <cell r="M64">
            <v>670000</v>
          </cell>
          <cell r="N64">
            <v>69000</v>
          </cell>
          <cell r="O64" t="str">
            <v>NASCO-S</v>
          </cell>
          <cell r="P64" t="str">
            <v>NATIONAL</v>
          </cell>
          <cell r="Q64">
            <v>735</v>
          </cell>
          <cell r="R64">
            <v>0</v>
          </cell>
          <cell r="S64">
            <v>100000</v>
          </cell>
          <cell r="T64">
            <v>1.1499999999999999</v>
          </cell>
          <cell r="U64">
            <v>219644.61</v>
          </cell>
          <cell r="V64">
            <v>85023.72</v>
          </cell>
          <cell r="W64">
            <v>304668.33</v>
          </cell>
          <cell r="X64">
            <v>35426.550000000003</v>
          </cell>
          <cell r="Y64">
            <v>0</v>
          </cell>
          <cell r="Z64">
            <v>0</v>
          </cell>
          <cell r="AA64">
            <v>0</v>
          </cell>
          <cell r="AB64">
            <v>368436.12</v>
          </cell>
          <cell r="AC64">
            <v>708531</v>
          </cell>
          <cell r="AD64">
            <v>0</v>
          </cell>
          <cell r="AE64">
            <v>708531</v>
          </cell>
          <cell r="AF64">
            <v>0</v>
          </cell>
          <cell r="AG64">
            <v>0</v>
          </cell>
          <cell r="AH64">
            <v>0</v>
          </cell>
          <cell r="AI64">
            <v>3581641</v>
          </cell>
          <cell r="AJ64">
            <v>4290172</v>
          </cell>
          <cell r="AK64">
            <v>708531</v>
          </cell>
          <cell r="AL64">
            <v>4290172</v>
          </cell>
          <cell r="AM64">
            <v>0</v>
          </cell>
          <cell r="AN64">
            <v>0</v>
          </cell>
          <cell r="AO64">
            <v>0</v>
          </cell>
          <cell r="AP64">
            <v>0</v>
          </cell>
          <cell r="AQ64">
            <v>49044</v>
          </cell>
          <cell r="AR64">
            <v>0</v>
          </cell>
          <cell r="AS64">
            <v>49044</v>
          </cell>
          <cell r="AT64">
            <v>351540.06181072653</v>
          </cell>
          <cell r="AU64">
            <v>307946.93818927347</v>
          </cell>
          <cell r="AW64">
            <v>3630685</v>
          </cell>
          <cell r="AX64">
            <v>67452</v>
          </cell>
          <cell r="AY64">
            <v>3698137</v>
          </cell>
          <cell r="AZ64">
            <v>0</v>
          </cell>
          <cell r="BA64">
            <v>3698137</v>
          </cell>
          <cell r="BB64">
            <v>0</v>
          </cell>
          <cell r="BC64">
            <v>3698137</v>
          </cell>
          <cell r="BD64">
            <v>0</v>
          </cell>
          <cell r="BE64">
            <v>708531</v>
          </cell>
          <cell r="BF64">
            <v>0</v>
          </cell>
          <cell r="BH64">
            <v>4406668</v>
          </cell>
          <cell r="BI64">
            <v>49044</v>
          </cell>
          <cell r="BJ64">
            <v>4357624</v>
          </cell>
          <cell r="BK64">
            <v>0</v>
          </cell>
          <cell r="BL64">
            <v>4357624</v>
          </cell>
        </row>
        <row r="65">
          <cell r="B65" t="str">
            <v>FIELDSTONE MORTGAGE COMPANY</v>
          </cell>
          <cell r="C65">
            <v>0</v>
          </cell>
          <cell r="D65">
            <v>1900332</v>
          </cell>
          <cell r="E65">
            <v>62874</v>
          </cell>
          <cell r="F65">
            <v>0</v>
          </cell>
          <cell r="G65" t="str">
            <v>JUL</v>
          </cell>
          <cell r="H65" t="str">
            <v>Flowers</v>
          </cell>
          <cell r="I65" t="str">
            <v>Engel</v>
          </cell>
          <cell r="J65" t="str">
            <v>Weekly Wire</v>
          </cell>
          <cell r="K65" t="str">
            <v>DONNA</v>
          </cell>
          <cell r="L65" t="str">
            <v>Crawford, Slevin &amp; Hicks</v>
          </cell>
          <cell r="M65">
            <v>0</v>
          </cell>
          <cell r="N65">
            <v>21000</v>
          </cell>
          <cell r="O65" t="str">
            <v>NASCO</v>
          </cell>
          <cell r="P65" t="str">
            <v>NATIONAL</v>
          </cell>
          <cell r="Q65">
            <v>1075</v>
          </cell>
          <cell r="R65">
            <v>0</v>
          </cell>
          <cell r="S65">
            <v>100000</v>
          </cell>
          <cell r="T65">
            <v>1.25</v>
          </cell>
          <cell r="U65">
            <v>173370.55</v>
          </cell>
          <cell r="V65">
            <v>7537.85</v>
          </cell>
          <cell r="W65">
            <v>180908.4</v>
          </cell>
          <cell r="X65">
            <v>0</v>
          </cell>
          <cell r="Y65">
            <v>15075.7</v>
          </cell>
          <cell r="Z65">
            <v>0</v>
          </cell>
          <cell r="AA65">
            <v>211059.8</v>
          </cell>
          <cell r="AB65">
            <v>346741.1</v>
          </cell>
          <cell r="AC65">
            <v>753785</v>
          </cell>
          <cell r="AD65">
            <v>136</v>
          </cell>
          <cell r="AE65">
            <v>753921</v>
          </cell>
          <cell r="AF65">
            <v>0</v>
          </cell>
          <cell r="AG65">
            <v>0</v>
          </cell>
          <cell r="AH65">
            <v>0</v>
          </cell>
          <cell r="AI65">
            <v>2273045</v>
          </cell>
          <cell r="AJ65">
            <v>3026830</v>
          </cell>
          <cell r="AK65">
            <v>753785</v>
          </cell>
          <cell r="AL65">
            <v>2815770.2</v>
          </cell>
          <cell r="AM65">
            <v>0</v>
          </cell>
          <cell r="AN65">
            <v>0</v>
          </cell>
          <cell r="AO65">
            <v>0</v>
          </cell>
          <cell r="AP65">
            <v>0</v>
          </cell>
          <cell r="AQ65">
            <v>0</v>
          </cell>
          <cell r="AR65">
            <v>0</v>
          </cell>
          <cell r="AS65">
            <v>0</v>
          </cell>
          <cell r="AT65">
            <v>229494.30673885351</v>
          </cell>
          <cell r="AU65">
            <v>313366.89326114644</v>
          </cell>
          <cell r="AW65">
            <v>2273045</v>
          </cell>
          <cell r="AX65">
            <v>58803</v>
          </cell>
          <cell r="AY65">
            <v>2331848</v>
          </cell>
          <cell r="AZ65">
            <v>0</v>
          </cell>
          <cell r="BA65">
            <v>2331848</v>
          </cell>
          <cell r="BB65">
            <v>0</v>
          </cell>
          <cell r="BC65">
            <v>2331848</v>
          </cell>
          <cell r="BD65">
            <v>136</v>
          </cell>
          <cell r="BE65">
            <v>753785</v>
          </cell>
          <cell r="BF65">
            <v>0</v>
          </cell>
          <cell r="BH65">
            <v>3085769</v>
          </cell>
          <cell r="BI65">
            <v>0</v>
          </cell>
          <cell r="BJ65">
            <v>3085769</v>
          </cell>
          <cell r="BK65">
            <v>0</v>
          </cell>
          <cell r="BL65">
            <v>3085769</v>
          </cell>
        </row>
        <row r="66">
          <cell r="B66" t="str">
            <v>FREDERICK CO P S</v>
          </cell>
          <cell r="C66">
            <v>0</v>
          </cell>
          <cell r="D66" t="str">
            <v>n/a</v>
          </cell>
          <cell r="E66">
            <v>57887</v>
          </cell>
          <cell r="F66" t="str">
            <v>ASC</v>
          </cell>
          <cell r="G66" t="str">
            <v>JUL</v>
          </cell>
          <cell r="H66" t="str">
            <v>Michael</v>
          </cell>
          <cell r="I66" t="str">
            <v>Lopez</v>
          </cell>
          <cell r="J66" t="str">
            <v>Deposit--2 Months</v>
          </cell>
          <cell r="K66" t="str">
            <v>BARBARA</v>
          </cell>
          <cell r="L66" t="str">
            <v>None</v>
          </cell>
          <cell r="M66">
            <v>3200000</v>
          </cell>
          <cell r="N66">
            <v>600000</v>
          </cell>
          <cell r="O66" t="str">
            <v>CARE-S</v>
          </cell>
          <cell r="P66" t="str">
            <v>LOCAL</v>
          </cell>
          <cell r="Q66">
            <v>5690</v>
          </cell>
          <cell r="R66">
            <v>0</v>
          </cell>
          <cell r="S66">
            <v>250000</v>
          </cell>
          <cell r="T66">
            <v>0</v>
          </cell>
          <cell r="U66">
            <v>356789.57</v>
          </cell>
          <cell r="V66">
            <v>0</v>
          </cell>
          <cell r="W66">
            <v>356789.57</v>
          </cell>
          <cell r="X66">
            <v>279548.17</v>
          </cell>
          <cell r="Y66">
            <v>203307.76</v>
          </cell>
          <cell r="Z66">
            <v>0</v>
          </cell>
          <cell r="AA66">
            <v>0</v>
          </cell>
          <cell r="AB66">
            <v>1701701.5</v>
          </cell>
          <cell r="AC66">
            <v>2541347</v>
          </cell>
          <cell r="AD66">
            <v>1101</v>
          </cell>
          <cell r="AE66">
            <v>2542448</v>
          </cell>
          <cell r="AF66">
            <v>0</v>
          </cell>
          <cell r="AG66">
            <v>0</v>
          </cell>
          <cell r="AH66">
            <v>0</v>
          </cell>
          <cell r="AI66">
            <v>22767875</v>
          </cell>
          <cell r="AJ66">
            <v>25309222</v>
          </cell>
          <cell r="AK66">
            <v>2541347</v>
          </cell>
          <cell r="AL66">
            <v>25309222</v>
          </cell>
          <cell r="AM66">
            <v>0</v>
          </cell>
          <cell r="AN66">
            <v>0</v>
          </cell>
          <cell r="AO66">
            <v>0</v>
          </cell>
          <cell r="AP66">
            <v>0</v>
          </cell>
          <cell r="AQ66">
            <v>508489</v>
          </cell>
          <cell r="AR66">
            <v>0</v>
          </cell>
          <cell r="AS66">
            <v>508489</v>
          </cell>
          <cell r="AT66">
            <v>2265127.5251364573</v>
          </cell>
          <cell r="AU66">
            <v>-231168.52513645729</v>
          </cell>
          <cell r="AW66">
            <v>23276364</v>
          </cell>
          <cell r="AX66">
            <v>235542</v>
          </cell>
          <cell r="AY66">
            <v>23511906</v>
          </cell>
          <cell r="AZ66">
            <v>0</v>
          </cell>
          <cell r="BA66">
            <v>23511906</v>
          </cell>
          <cell r="BB66">
            <v>0</v>
          </cell>
          <cell r="BC66">
            <v>23511906</v>
          </cell>
          <cell r="BD66">
            <v>1101</v>
          </cell>
          <cell r="BE66">
            <v>2541347</v>
          </cell>
          <cell r="BF66">
            <v>0</v>
          </cell>
          <cell r="BH66">
            <v>26054354</v>
          </cell>
          <cell r="BI66">
            <v>508489</v>
          </cell>
          <cell r="BJ66">
            <v>25545865</v>
          </cell>
          <cell r="BK66">
            <v>0</v>
          </cell>
          <cell r="BL66">
            <v>25545865</v>
          </cell>
        </row>
        <row r="67">
          <cell r="B67" t="str">
            <v>FTI CONSULTING</v>
          </cell>
          <cell r="C67">
            <v>0</v>
          </cell>
          <cell r="D67">
            <v>1900445</v>
          </cell>
          <cell r="E67">
            <v>63835</v>
          </cell>
          <cell r="F67" t="str">
            <v>ASC</v>
          </cell>
          <cell r="G67" t="str">
            <v>JAN</v>
          </cell>
          <cell r="H67" t="str">
            <v>Michael</v>
          </cell>
          <cell r="I67" t="str">
            <v>Patton</v>
          </cell>
          <cell r="J67" t="str">
            <v>Direct Debit--Weekly</v>
          </cell>
          <cell r="K67" t="str">
            <v>NETTIE</v>
          </cell>
          <cell r="L67" t="str">
            <v>RCM&amp;D</v>
          </cell>
          <cell r="M67">
            <v>0</v>
          </cell>
          <cell r="N67">
            <v>19000</v>
          </cell>
          <cell r="O67" t="str">
            <v>NASCO</v>
          </cell>
          <cell r="P67" t="str">
            <v>NATIONAL</v>
          </cell>
          <cell r="Q67">
            <v>981</v>
          </cell>
          <cell r="R67">
            <v>0</v>
          </cell>
          <cell r="S67">
            <v>75000</v>
          </cell>
          <cell r="T67">
            <v>1.25</v>
          </cell>
          <cell r="U67">
            <v>476749.52</v>
          </cell>
          <cell r="V67">
            <v>51820.6</v>
          </cell>
          <cell r="W67">
            <v>528570.12</v>
          </cell>
          <cell r="X67">
            <v>0</v>
          </cell>
          <cell r="Y67">
            <v>0</v>
          </cell>
          <cell r="Z67">
            <v>0</v>
          </cell>
          <cell r="AA67">
            <v>51820.6</v>
          </cell>
          <cell r="AB67">
            <v>456021.28</v>
          </cell>
          <cell r="AC67">
            <v>1036412</v>
          </cell>
          <cell r="AD67">
            <v>0</v>
          </cell>
          <cell r="AE67">
            <v>1036412</v>
          </cell>
          <cell r="AF67">
            <v>0</v>
          </cell>
          <cell r="AG67">
            <v>0</v>
          </cell>
          <cell r="AH67">
            <v>0</v>
          </cell>
          <cell r="AI67">
            <v>4782781</v>
          </cell>
          <cell r="AJ67">
            <v>5819193</v>
          </cell>
          <cell r="AK67">
            <v>1036412</v>
          </cell>
          <cell r="AL67">
            <v>5767372.4000000004</v>
          </cell>
          <cell r="AM67">
            <v>0</v>
          </cell>
          <cell r="AN67">
            <v>0</v>
          </cell>
          <cell r="AO67">
            <v>0</v>
          </cell>
          <cell r="AP67">
            <v>0</v>
          </cell>
          <cell r="AQ67">
            <v>682295</v>
          </cell>
          <cell r="AR67">
            <v>0</v>
          </cell>
          <cell r="AS67">
            <v>682295</v>
          </cell>
          <cell r="AT67">
            <v>525152.22258923412</v>
          </cell>
          <cell r="AU67">
            <v>-222855.8225892341</v>
          </cell>
          <cell r="AW67">
            <v>5465076</v>
          </cell>
          <cell r="AX67">
            <v>83310</v>
          </cell>
          <cell r="AY67">
            <v>5548386</v>
          </cell>
          <cell r="AZ67">
            <v>0</v>
          </cell>
          <cell r="BA67">
            <v>5548386</v>
          </cell>
          <cell r="BB67">
            <v>0</v>
          </cell>
          <cell r="BC67">
            <v>5548386</v>
          </cell>
          <cell r="BD67">
            <v>0</v>
          </cell>
          <cell r="BE67">
            <v>1036412</v>
          </cell>
          <cell r="BF67">
            <v>0</v>
          </cell>
          <cell r="BH67">
            <v>6584798</v>
          </cell>
          <cell r="BI67">
            <v>682295</v>
          </cell>
          <cell r="BJ67">
            <v>5902503</v>
          </cell>
          <cell r="BK67">
            <v>0</v>
          </cell>
          <cell r="BL67">
            <v>5902503</v>
          </cell>
        </row>
        <row r="68">
          <cell r="B68" t="str">
            <v>GAMES WORKSHOP</v>
          </cell>
          <cell r="C68">
            <v>0</v>
          </cell>
          <cell r="D68">
            <v>1900552</v>
          </cell>
          <cell r="E68">
            <v>65730</v>
          </cell>
          <cell r="F68" t="str">
            <v>ASC</v>
          </cell>
          <cell r="G68" t="str">
            <v>JAN</v>
          </cell>
          <cell r="H68" t="str">
            <v>Parker Mann</v>
          </cell>
          <cell r="I68" t="str">
            <v>Grabarek</v>
          </cell>
          <cell r="J68" t="str">
            <v>Direct Debit--Weekly</v>
          </cell>
          <cell r="K68" t="str">
            <v>LISA</v>
          </cell>
          <cell r="L68" t="str">
            <v>None</v>
          </cell>
          <cell r="M68">
            <v>0</v>
          </cell>
          <cell r="N68">
            <v>0</v>
          </cell>
          <cell r="O68" t="str">
            <v>NASCO</v>
          </cell>
          <cell r="P68" t="str">
            <v>NATIONAL</v>
          </cell>
          <cell r="Q68">
            <v>300</v>
          </cell>
          <cell r="R68">
            <v>0</v>
          </cell>
          <cell r="S68">
            <v>0</v>
          </cell>
          <cell r="T68">
            <v>0</v>
          </cell>
          <cell r="U68">
            <v>0</v>
          </cell>
          <cell r="V68">
            <v>0</v>
          </cell>
          <cell r="W68">
            <v>0</v>
          </cell>
          <cell r="X68">
            <v>0</v>
          </cell>
          <cell r="Y68">
            <v>0</v>
          </cell>
          <cell r="Z68">
            <v>0</v>
          </cell>
          <cell r="AA68">
            <v>0</v>
          </cell>
          <cell r="AB68">
            <v>232967</v>
          </cell>
          <cell r="AC68">
            <v>232967</v>
          </cell>
          <cell r="AD68">
            <v>0</v>
          </cell>
          <cell r="AE68">
            <v>232967</v>
          </cell>
          <cell r="AF68">
            <v>0</v>
          </cell>
          <cell r="AG68">
            <v>0</v>
          </cell>
          <cell r="AH68">
            <v>0</v>
          </cell>
          <cell r="AI68">
            <v>792014</v>
          </cell>
          <cell r="AJ68">
            <v>1024981</v>
          </cell>
          <cell r="AK68">
            <v>232967</v>
          </cell>
          <cell r="AL68">
            <v>1024981</v>
          </cell>
          <cell r="AM68">
            <v>0</v>
          </cell>
          <cell r="AN68">
            <v>0</v>
          </cell>
          <cell r="AO68">
            <v>0</v>
          </cell>
          <cell r="AP68">
            <v>0</v>
          </cell>
          <cell r="AQ68">
            <v>0</v>
          </cell>
          <cell r="AR68">
            <v>0</v>
          </cell>
          <cell r="AS68">
            <v>0</v>
          </cell>
          <cell r="AT68">
            <v>77217.777231051077</v>
          </cell>
          <cell r="AU68">
            <v>155749.22276894894</v>
          </cell>
          <cell r="AW68">
            <v>792014</v>
          </cell>
          <cell r="AX68">
            <v>38291</v>
          </cell>
          <cell r="AY68">
            <v>830305</v>
          </cell>
          <cell r="AZ68">
            <v>0</v>
          </cell>
          <cell r="BA68">
            <v>830305</v>
          </cell>
          <cell r="BB68">
            <v>0</v>
          </cell>
          <cell r="BC68">
            <v>830305</v>
          </cell>
          <cell r="BD68">
            <v>0</v>
          </cell>
          <cell r="BE68">
            <v>232967</v>
          </cell>
          <cell r="BF68">
            <v>0</v>
          </cell>
          <cell r="BH68">
            <v>1063272</v>
          </cell>
          <cell r="BI68">
            <v>0</v>
          </cell>
          <cell r="BJ68">
            <v>1063272</v>
          </cell>
          <cell r="BK68">
            <v>0</v>
          </cell>
          <cell r="BL68">
            <v>1063272</v>
          </cell>
        </row>
        <row r="69">
          <cell r="B69" t="str">
            <v>GBMC</v>
          </cell>
          <cell r="C69">
            <v>0</v>
          </cell>
          <cell r="D69">
            <v>1900330</v>
          </cell>
          <cell r="E69">
            <v>61838</v>
          </cell>
          <cell r="F69" t="str">
            <v>ASC</v>
          </cell>
          <cell r="G69" t="str">
            <v>JAN</v>
          </cell>
          <cell r="H69" t="str">
            <v>Lentz</v>
          </cell>
          <cell r="I69" t="str">
            <v>Drumgoole</v>
          </cell>
          <cell r="J69" t="str">
            <v>Weekly Wire</v>
          </cell>
          <cell r="K69" t="str">
            <v>LISA</v>
          </cell>
          <cell r="L69" t="str">
            <v>model</v>
          </cell>
          <cell r="M69">
            <v>0</v>
          </cell>
          <cell r="N69">
            <v>263122</v>
          </cell>
          <cell r="O69" t="str">
            <v>NASCO</v>
          </cell>
          <cell r="P69" t="str">
            <v>LOCAL</v>
          </cell>
          <cell r="Q69">
            <v>1810</v>
          </cell>
          <cell r="R69">
            <v>0</v>
          </cell>
          <cell r="S69">
            <v>150000</v>
          </cell>
          <cell r="T69">
            <v>0</v>
          </cell>
          <cell r="U69">
            <v>462313.85</v>
          </cell>
          <cell r="V69">
            <v>0</v>
          </cell>
          <cell r="W69">
            <v>462313.85</v>
          </cell>
          <cell r="X69">
            <v>0</v>
          </cell>
          <cell r="Y69">
            <v>29826.7</v>
          </cell>
          <cell r="Z69">
            <v>0</v>
          </cell>
          <cell r="AA69">
            <v>223700.25</v>
          </cell>
          <cell r="AB69">
            <v>775494.2</v>
          </cell>
          <cell r="AC69">
            <v>1491335</v>
          </cell>
          <cell r="AD69">
            <v>-94</v>
          </cell>
          <cell r="AE69">
            <v>1491241</v>
          </cell>
          <cell r="AF69">
            <v>0</v>
          </cell>
          <cell r="AG69">
            <v>0</v>
          </cell>
          <cell r="AH69">
            <v>-704</v>
          </cell>
          <cell r="AI69">
            <v>8996446</v>
          </cell>
          <cell r="AJ69">
            <v>10487781</v>
          </cell>
          <cell r="AK69">
            <v>1491335</v>
          </cell>
          <cell r="AL69">
            <v>10264080.75</v>
          </cell>
          <cell r="AM69">
            <v>0</v>
          </cell>
          <cell r="AN69">
            <v>0</v>
          </cell>
          <cell r="AO69">
            <v>0</v>
          </cell>
          <cell r="AP69">
            <v>0</v>
          </cell>
          <cell r="AQ69">
            <v>272449</v>
          </cell>
          <cell r="AR69">
            <v>0</v>
          </cell>
          <cell r="AS69">
            <v>272449</v>
          </cell>
          <cell r="AT69">
            <v>896745.3681434918</v>
          </cell>
          <cell r="AU69">
            <v>97642.381856508204</v>
          </cell>
          <cell r="AW69">
            <v>9268895</v>
          </cell>
          <cell r="AX69">
            <v>13523</v>
          </cell>
          <cell r="AY69">
            <v>9282418</v>
          </cell>
          <cell r="AZ69">
            <v>0</v>
          </cell>
          <cell r="BA69">
            <v>9282418</v>
          </cell>
          <cell r="BB69">
            <v>0</v>
          </cell>
          <cell r="BC69">
            <v>9282418</v>
          </cell>
          <cell r="BD69">
            <v>-94</v>
          </cell>
          <cell r="BE69">
            <v>1491335</v>
          </cell>
          <cell r="BF69">
            <v>-704</v>
          </cell>
          <cell r="BH69">
            <v>10772955</v>
          </cell>
          <cell r="BI69">
            <v>272449</v>
          </cell>
          <cell r="BJ69">
            <v>10500506</v>
          </cell>
          <cell r="BK69">
            <v>0</v>
          </cell>
          <cell r="BL69">
            <v>10500506</v>
          </cell>
        </row>
        <row r="70">
          <cell r="B70" t="str">
            <v>GENE LOGIC</v>
          </cell>
          <cell r="C70">
            <v>0</v>
          </cell>
          <cell r="D70">
            <v>1900475</v>
          </cell>
          <cell r="E70">
            <v>65160</v>
          </cell>
          <cell r="F70" t="str">
            <v>ASC</v>
          </cell>
          <cell r="G70" t="str">
            <v>SEP-DEC 05</v>
          </cell>
          <cell r="H70" t="str">
            <v>Michael</v>
          </cell>
          <cell r="I70" t="str">
            <v>Engel</v>
          </cell>
          <cell r="J70" t="str">
            <v>Direct Debit--Weekly</v>
          </cell>
          <cell r="K70" t="str">
            <v>NETTIE</v>
          </cell>
          <cell r="L70" t="str">
            <v>Wachovia</v>
          </cell>
          <cell r="M70">
            <v>0</v>
          </cell>
          <cell r="N70">
            <v>66000</v>
          </cell>
          <cell r="O70" t="str">
            <v>NASCO</v>
          </cell>
          <cell r="P70" t="str">
            <v>NATIONAL</v>
          </cell>
          <cell r="Q70">
            <v>368</v>
          </cell>
          <cell r="R70">
            <v>0</v>
          </cell>
          <cell r="S70">
            <v>0</v>
          </cell>
          <cell r="T70">
            <v>0</v>
          </cell>
          <cell r="U70">
            <v>0</v>
          </cell>
          <cell r="V70">
            <v>0</v>
          </cell>
          <cell r="W70">
            <v>0</v>
          </cell>
          <cell r="X70">
            <v>0</v>
          </cell>
          <cell r="Y70">
            <v>10810.3</v>
          </cell>
          <cell r="Z70">
            <v>0</v>
          </cell>
          <cell r="AA70">
            <v>33862.800000000003</v>
          </cell>
          <cell r="AB70">
            <v>171532.9</v>
          </cell>
          <cell r="AC70">
            <v>216206</v>
          </cell>
          <cell r="AD70">
            <v>0</v>
          </cell>
          <cell r="AE70">
            <v>216206</v>
          </cell>
          <cell r="AF70">
            <v>0</v>
          </cell>
          <cell r="AG70">
            <v>0</v>
          </cell>
          <cell r="AH70">
            <v>0</v>
          </cell>
          <cell r="AI70">
            <v>1185129</v>
          </cell>
          <cell r="AJ70">
            <v>1401335</v>
          </cell>
          <cell r="AK70">
            <v>216206</v>
          </cell>
          <cell r="AL70">
            <v>1367472.2</v>
          </cell>
          <cell r="AM70">
            <v>0</v>
          </cell>
          <cell r="AN70">
            <v>0</v>
          </cell>
          <cell r="AO70">
            <v>0</v>
          </cell>
          <cell r="AP70">
            <v>0</v>
          </cell>
          <cell r="AQ70">
            <v>0</v>
          </cell>
          <cell r="AR70">
            <v>0</v>
          </cell>
          <cell r="AS70">
            <v>0</v>
          </cell>
          <cell r="AT70">
            <v>113330.95452641549</v>
          </cell>
          <cell r="AU70">
            <v>69012.245473584524</v>
          </cell>
          <cell r="AW70">
            <v>1185129</v>
          </cell>
          <cell r="AX70">
            <v>13563</v>
          </cell>
          <cell r="AY70">
            <v>1198692</v>
          </cell>
          <cell r="AZ70">
            <v>0</v>
          </cell>
          <cell r="BA70">
            <v>1198692</v>
          </cell>
          <cell r="BB70">
            <v>0</v>
          </cell>
          <cell r="BC70">
            <v>1198692</v>
          </cell>
          <cell r="BD70">
            <v>0</v>
          </cell>
          <cell r="BE70">
            <v>216206</v>
          </cell>
          <cell r="BF70">
            <v>0</v>
          </cell>
          <cell r="BH70">
            <v>1414898</v>
          </cell>
          <cell r="BI70">
            <v>0</v>
          </cell>
          <cell r="BJ70">
            <v>1414898</v>
          </cell>
          <cell r="BK70">
            <v>0</v>
          </cell>
          <cell r="BL70">
            <v>1414898</v>
          </cell>
        </row>
        <row r="71">
          <cell r="B71" t="str">
            <v>GRAULS MARKET</v>
          </cell>
          <cell r="C71">
            <v>0</v>
          </cell>
          <cell r="D71" t="str">
            <v>n/a</v>
          </cell>
          <cell r="E71">
            <v>28563</v>
          </cell>
          <cell r="F71">
            <v>0</v>
          </cell>
          <cell r="G71" t="str">
            <v>termed 7/03</v>
          </cell>
          <cell r="H71" t="str">
            <v>Flowers</v>
          </cell>
          <cell r="I71" t="str">
            <v>Engel</v>
          </cell>
          <cell r="J71" t="str">
            <v>Direct Debit--Weekly</v>
          </cell>
          <cell r="K71" t="str">
            <v>LISA</v>
          </cell>
          <cell r="L71" t="str">
            <v>Kelly &amp; Associates</v>
          </cell>
          <cell r="M71">
            <v>0</v>
          </cell>
          <cell r="N71">
            <v>22300</v>
          </cell>
          <cell r="O71" t="str">
            <v>CARE</v>
          </cell>
          <cell r="P71" t="str">
            <v>LOCAL</v>
          </cell>
          <cell r="Q71" t="str">
            <v>termed</v>
          </cell>
          <cell r="R71">
            <v>0</v>
          </cell>
          <cell r="S71">
            <v>0</v>
          </cell>
          <cell r="T71">
            <v>0</v>
          </cell>
          <cell r="U71">
            <v>0</v>
          </cell>
          <cell r="V71">
            <v>0</v>
          </cell>
          <cell r="W71">
            <v>0</v>
          </cell>
          <cell r="X71">
            <v>0</v>
          </cell>
          <cell r="Y71">
            <v>0</v>
          </cell>
          <cell r="Z71">
            <v>0</v>
          </cell>
          <cell r="AA71">
            <v>0</v>
          </cell>
          <cell r="AB71">
            <v>348</v>
          </cell>
          <cell r="AC71">
            <v>348</v>
          </cell>
          <cell r="AD71">
            <v>53</v>
          </cell>
          <cell r="AE71">
            <v>401</v>
          </cell>
          <cell r="AF71">
            <v>0</v>
          </cell>
          <cell r="AG71">
            <v>0</v>
          </cell>
          <cell r="AH71">
            <v>0</v>
          </cell>
          <cell r="AI71">
            <v>-1215</v>
          </cell>
          <cell r="AJ71">
            <v>-867</v>
          </cell>
          <cell r="AK71">
            <v>348</v>
          </cell>
          <cell r="AL71">
            <v>-867</v>
          </cell>
          <cell r="AM71">
            <v>0</v>
          </cell>
          <cell r="AN71">
            <v>0</v>
          </cell>
          <cell r="AO71">
            <v>0</v>
          </cell>
          <cell r="AP71">
            <v>0</v>
          </cell>
          <cell r="AQ71">
            <v>0</v>
          </cell>
          <cell r="AR71">
            <v>0</v>
          </cell>
          <cell r="AS71">
            <v>0</v>
          </cell>
          <cell r="AT71">
            <v>-126.28550739296566</v>
          </cell>
          <cell r="AU71">
            <v>527.28550739296566</v>
          </cell>
          <cell r="AW71">
            <v>-1215</v>
          </cell>
          <cell r="AX71">
            <v>1</v>
          </cell>
          <cell r="AY71">
            <v>-1214</v>
          </cell>
          <cell r="AZ71">
            <v>0</v>
          </cell>
          <cell r="BA71">
            <v>-1214</v>
          </cell>
          <cell r="BB71">
            <v>0</v>
          </cell>
          <cell r="BC71">
            <v>-1214</v>
          </cell>
          <cell r="BD71">
            <v>53</v>
          </cell>
          <cell r="BE71">
            <v>348</v>
          </cell>
          <cell r="BF71">
            <v>0</v>
          </cell>
          <cell r="BH71">
            <v>-813</v>
          </cell>
          <cell r="BI71">
            <v>0</v>
          </cell>
          <cell r="BJ71">
            <v>-813</v>
          </cell>
          <cell r="BK71">
            <v>0</v>
          </cell>
          <cell r="BL71">
            <v>-813</v>
          </cell>
        </row>
        <row r="72">
          <cell r="B72" t="str">
            <v>GTS DURATEK</v>
          </cell>
          <cell r="C72">
            <v>0</v>
          </cell>
          <cell r="D72">
            <v>1900120</v>
          </cell>
          <cell r="E72">
            <v>59327</v>
          </cell>
          <cell r="F72" t="str">
            <v>ASC</v>
          </cell>
          <cell r="G72" t="str">
            <v>JAN</v>
          </cell>
          <cell r="H72" t="str">
            <v>Richardson</v>
          </cell>
          <cell r="I72" t="str">
            <v>Patton</v>
          </cell>
          <cell r="J72" t="str">
            <v>Direct Debit--Weekly</v>
          </cell>
          <cell r="K72" t="str">
            <v>LISA</v>
          </cell>
          <cell r="L72" t="str">
            <v>Aon</v>
          </cell>
          <cell r="M72">
            <v>0</v>
          </cell>
          <cell r="N72">
            <v>17065</v>
          </cell>
          <cell r="O72" t="str">
            <v>NASCO</v>
          </cell>
          <cell r="P72" t="str">
            <v>NATIONAL</v>
          </cell>
          <cell r="Q72">
            <v>936</v>
          </cell>
          <cell r="R72">
            <v>0</v>
          </cell>
          <cell r="S72">
            <v>150000</v>
          </cell>
          <cell r="T72">
            <v>1.25</v>
          </cell>
          <cell r="U72">
            <v>303207.58</v>
          </cell>
          <cell r="V72">
            <v>17835.740000000002</v>
          </cell>
          <cell r="W72">
            <v>321043.32</v>
          </cell>
          <cell r="X72">
            <v>71342.960000000006</v>
          </cell>
          <cell r="Y72">
            <v>0</v>
          </cell>
          <cell r="Z72">
            <v>0</v>
          </cell>
          <cell r="AA72">
            <v>0</v>
          </cell>
          <cell r="AB72">
            <v>499400.72</v>
          </cell>
          <cell r="AC72">
            <v>891787</v>
          </cell>
          <cell r="AD72">
            <v>-28</v>
          </cell>
          <cell r="AE72">
            <v>891759</v>
          </cell>
          <cell r="AF72">
            <v>0</v>
          </cell>
          <cell r="AG72">
            <v>0</v>
          </cell>
          <cell r="AH72">
            <v>0</v>
          </cell>
          <cell r="AI72">
            <v>5315655</v>
          </cell>
          <cell r="AJ72">
            <v>6207442</v>
          </cell>
          <cell r="AK72">
            <v>891787</v>
          </cell>
          <cell r="AL72">
            <v>6207442</v>
          </cell>
          <cell r="AM72">
            <v>0</v>
          </cell>
          <cell r="AN72">
            <v>0</v>
          </cell>
          <cell r="AO72">
            <v>0</v>
          </cell>
          <cell r="AP72">
            <v>0</v>
          </cell>
          <cell r="AQ72">
            <v>0</v>
          </cell>
          <cell r="AR72">
            <v>0</v>
          </cell>
          <cell r="AS72">
            <v>0</v>
          </cell>
          <cell r="AT72">
            <v>519309.83170887316</v>
          </cell>
          <cell r="AU72">
            <v>372449.16829112684</v>
          </cell>
          <cell r="AW72">
            <v>5315655</v>
          </cell>
          <cell r="AX72">
            <v>66550</v>
          </cell>
          <cell r="AY72">
            <v>5382205</v>
          </cell>
          <cell r="AZ72">
            <v>0</v>
          </cell>
          <cell r="BA72">
            <v>5382205</v>
          </cell>
          <cell r="BB72">
            <v>0</v>
          </cell>
          <cell r="BC72">
            <v>5382205</v>
          </cell>
          <cell r="BD72">
            <v>-28</v>
          </cell>
          <cell r="BE72">
            <v>891787</v>
          </cell>
          <cell r="BF72">
            <v>0</v>
          </cell>
          <cell r="BH72">
            <v>6273964</v>
          </cell>
          <cell r="BI72">
            <v>0</v>
          </cell>
          <cell r="BJ72">
            <v>6273964</v>
          </cell>
          <cell r="BK72">
            <v>0</v>
          </cell>
          <cell r="BL72">
            <v>6273964</v>
          </cell>
        </row>
        <row r="73">
          <cell r="B73" t="str">
            <v>H&amp;S BAKERY</v>
          </cell>
          <cell r="C73">
            <v>0</v>
          </cell>
          <cell r="D73">
            <v>1900204</v>
          </cell>
          <cell r="E73">
            <v>10058</v>
          </cell>
          <cell r="F73" t="str">
            <v>ASC</v>
          </cell>
          <cell r="G73" t="str">
            <v>JAN</v>
          </cell>
          <cell r="H73" t="str">
            <v>Richardson</v>
          </cell>
          <cell r="I73" t="str">
            <v>Drusano</v>
          </cell>
          <cell r="J73" t="str">
            <v>Deposit--2 Month</v>
          </cell>
          <cell r="K73" t="str">
            <v>LISA</v>
          </cell>
          <cell r="L73" t="str">
            <v>None</v>
          </cell>
          <cell r="M73">
            <v>1108919</v>
          </cell>
          <cell r="N73">
            <v>93736</v>
          </cell>
          <cell r="O73" t="str">
            <v>NASCO-S</v>
          </cell>
          <cell r="P73" t="str">
            <v>NATIONAL</v>
          </cell>
          <cell r="Q73">
            <v>1700</v>
          </cell>
          <cell r="R73">
            <v>0</v>
          </cell>
          <cell r="S73">
            <v>125000</v>
          </cell>
          <cell r="T73">
            <v>1.25</v>
          </cell>
          <cell r="U73">
            <v>718437.72</v>
          </cell>
          <cell r="V73">
            <v>17105.66</v>
          </cell>
          <cell r="W73">
            <v>735543.38</v>
          </cell>
          <cell r="X73">
            <v>119739.62</v>
          </cell>
          <cell r="Y73">
            <v>0</v>
          </cell>
          <cell r="Z73">
            <v>0</v>
          </cell>
          <cell r="AA73">
            <v>0</v>
          </cell>
          <cell r="AB73">
            <v>855283</v>
          </cell>
          <cell r="AC73">
            <v>1710566</v>
          </cell>
          <cell r="AD73">
            <v>30</v>
          </cell>
          <cell r="AE73">
            <v>1710596</v>
          </cell>
          <cell r="AF73">
            <v>0</v>
          </cell>
          <cell r="AG73">
            <v>0</v>
          </cell>
          <cell r="AH73">
            <v>0</v>
          </cell>
          <cell r="AI73">
            <v>10933625</v>
          </cell>
          <cell r="AJ73">
            <v>12644191</v>
          </cell>
          <cell r="AK73">
            <v>1710566</v>
          </cell>
          <cell r="AL73">
            <v>12644191</v>
          </cell>
          <cell r="AM73">
            <v>0</v>
          </cell>
          <cell r="AN73">
            <v>0</v>
          </cell>
          <cell r="AO73">
            <v>0</v>
          </cell>
          <cell r="AP73">
            <v>0</v>
          </cell>
          <cell r="AQ73">
            <v>808581</v>
          </cell>
          <cell r="AR73">
            <v>0</v>
          </cell>
          <cell r="AS73">
            <v>808581</v>
          </cell>
          <cell r="AT73">
            <v>1141863.0531719669</v>
          </cell>
          <cell r="AU73">
            <v>-239848.05317196692</v>
          </cell>
          <cell r="AW73">
            <v>11742206</v>
          </cell>
          <cell r="AX73">
            <v>327350</v>
          </cell>
          <cell r="AY73">
            <v>12069556</v>
          </cell>
          <cell r="AZ73">
            <v>1691192</v>
          </cell>
          <cell r="BA73">
            <v>13760748</v>
          </cell>
          <cell r="BB73">
            <v>0</v>
          </cell>
          <cell r="BC73">
            <v>13760748</v>
          </cell>
          <cell r="BD73">
            <v>30</v>
          </cell>
          <cell r="BE73">
            <v>1710566</v>
          </cell>
          <cell r="BF73">
            <v>0</v>
          </cell>
          <cell r="BH73">
            <v>15471344</v>
          </cell>
          <cell r="BI73">
            <v>808581</v>
          </cell>
          <cell r="BJ73">
            <v>14662763</v>
          </cell>
          <cell r="BK73">
            <v>0</v>
          </cell>
          <cell r="BL73">
            <v>14662763</v>
          </cell>
        </row>
        <row r="74">
          <cell r="B74" t="str">
            <v>HANLEY WOOD</v>
          </cell>
          <cell r="C74">
            <v>0</v>
          </cell>
          <cell r="D74">
            <v>1900321</v>
          </cell>
          <cell r="E74">
            <v>61846</v>
          </cell>
          <cell r="F74" t="str">
            <v>ASC-Adjustable Retro</v>
          </cell>
          <cell r="G74" t="str">
            <v>JAN</v>
          </cell>
          <cell r="H74" t="str">
            <v>McManus</v>
          </cell>
          <cell r="I74" t="str">
            <v>Drusano</v>
          </cell>
          <cell r="J74" t="str">
            <v>Direct Debit--Weekly</v>
          </cell>
          <cell r="K74" t="str">
            <v>LISA</v>
          </cell>
          <cell r="L74" t="str">
            <v>Huber, Oros &amp; Co.</v>
          </cell>
          <cell r="M74">
            <v>0</v>
          </cell>
          <cell r="N74">
            <v>6463</v>
          </cell>
          <cell r="O74" t="str">
            <v>NASCO</v>
          </cell>
          <cell r="P74" t="str">
            <v>NATIONAL</v>
          </cell>
          <cell r="Q74">
            <v>494</v>
          </cell>
          <cell r="R74">
            <v>0</v>
          </cell>
          <cell r="S74">
            <v>75000</v>
          </cell>
          <cell r="T74">
            <v>1.25</v>
          </cell>
          <cell r="U74">
            <v>233427.16</v>
          </cell>
          <cell r="V74">
            <v>61428.2</v>
          </cell>
          <cell r="W74">
            <v>294855.36</v>
          </cell>
          <cell r="X74">
            <v>0</v>
          </cell>
          <cell r="Y74">
            <v>0</v>
          </cell>
          <cell r="Z74">
            <v>0</v>
          </cell>
          <cell r="AA74">
            <v>73713.84</v>
          </cell>
          <cell r="AB74">
            <v>245712.8</v>
          </cell>
          <cell r="AC74">
            <v>614282</v>
          </cell>
          <cell r="AD74">
            <v>0</v>
          </cell>
          <cell r="AE74">
            <v>614282</v>
          </cell>
          <cell r="AF74">
            <v>0</v>
          </cell>
          <cell r="AG74">
            <v>0</v>
          </cell>
          <cell r="AH74">
            <v>0</v>
          </cell>
          <cell r="AI74">
            <v>1693758</v>
          </cell>
          <cell r="AJ74">
            <v>2308040</v>
          </cell>
          <cell r="AK74">
            <v>614282</v>
          </cell>
          <cell r="AL74">
            <v>2234326.16</v>
          </cell>
          <cell r="AM74">
            <v>0</v>
          </cell>
          <cell r="AN74">
            <v>0</v>
          </cell>
          <cell r="AO74">
            <v>0</v>
          </cell>
          <cell r="AP74">
            <v>0</v>
          </cell>
          <cell r="AQ74">
            <v>482288</v>
          </cell>
          <cell r="AR74">
            <v>0</v>
          </cell>
          <cell r="AS74">
            <v>482288</v>
          </cell>
          <cell r="AT74">
            <v>208435.92539270213</v>
          </cell>
          <cell r="AU74">
            <v>-150155.7653927021</v>
          </cell>
          <cell r="AW74">
            <v>2176046</v>
          </cell>
          <cell r="AX74">
            <v>135738</v>
          </cell>
          <cell r="AY74">
            <v>2311784</v>
          </cell>
          <cell r="AZ74">
            <v>0</v>
          </cell>
          <cell r="BA74">
            <v>2311784</v>
          </cell>
          <cell r="BB74">
            <v>0</v>
          </cell>
          <cell r="BC74">
            <v>2311784</v>
          </cell>
          <cell r="BD74">
            <v>0</v>
          </cell>
          <cell r="BE74">
            <v>614282</v>
          </cell>
          <cell r="BF74">
            <v>0</v>
          </cell>
          <cell r="BH74">
            <v>2926066</v>
          </cell>
          <cell r="BI74">
            <v>482288</v>
          </cell>
          <cell r="BJ74">
            <v>2443778</v>
          </cell>
          <cell r="BK74">
            <v>0</v>
          </cell>
          <cell r="BL74">
            <v>2443778</v>
          </cell>
        </row>
        <row r="75">
          <cell r="B75" t="str">
            <v>HARFORD CO BD &amp; GOVT RETRO</v>
          </cell>
          <cell r="C75">
            <v>0</v>
          </cell>
          <cell r="D75" t="str">
            <v>n/a</v>
          </cell>
          <cell r="E75">
            <v>10383</v>
          </cell>
          <cell r="F75" t="str">
            <v>Modified Retro</v>
          </cell>
          <cell r="G75" t="str">
            <v>JUL</v>
          </cell>
          <cell r="H75" t="str">
            <v>Parker Mann</v>
          </cell>
          <cell r="I75" t="str">
            <v>Drusano</v>
          </cell>
          <cell r="J75" t="str">
            <v>Retrospective</v>
          </cell>
          <cell r="K75" t="str">
            <v>BARBARA</v>
          </cell>
          <cell r="L75" t="str">
            <v>None</v>
          </cell>
          <cell r="M75">
            <v>0</v>
          </cell>
          <cell r="N75">
            <v>0</v>
          </cell>
          <cell r="O75" t="str">
            <v>CARE</v>
          </cell>
          <cell r="P75" t="str">
            <v>LOCAL</v>
          </cell>
          <cell r="Q75">
            <v>7336</v>
          </cell>
          <cell r="R75">
            <v>0</v>
          </cell>
          <cell r="S75">
            <v>250000</v>
          </cell>
          <cell r="T75">
            <v>1.5</v>
          </cell>
          <cell r="U75">
            <v>890947.18</v>
          </cell>
          <cell r="V75">
            <v>469671.3</v>
          </cell>
          <cell r="W75">
            <v>1360618.48</v>
          </cell>
          <cell r="X75">
            <v>0</v>
          </cell>
          <cell r="Y75">
            <v>104371.4</v>
          </cell>
          <cell r="Z75">
            <v>0</v>
          </cell>
          <cell r="AA75">
            <v>0</v>
          </cell>
          <cell r="AB75">
            <v>3753580.12</v>
          </cell>
          <cell r="AC75">
            <v>5218570</v>
          </cell>
          <cell r="AD75">
            <v>11518</v>
          </cell>
          <cell r="AE75">
            <v>5230088</v>
          </cell>
          <cell r="AF75">
            <v>0</v>
          </cell>
          <cell r="AG75">
            <v>0</v>
          </cell>
          <cell r="AH75">
            <v>0</v>
          </cell>
          <cell r="AI75">
            <v>47238250</v>
          </cell>
          <cell r="AJ75">
            <v>52456820</v>
          </cell>
          <cell r="AK75">
            <v>5218570</v>
          </cell>
          <cell r="AL75">
            <v>52456820</v>
          </cell>
          <cell r="AM75">
            <v>0</v>
          </cell>
          <cell r="AN75">
            <v>0</v>
          </cell>
          <cell r="AO75">
            <v>0</v>
          </cell>
          <cell r="AP75">
            <v>0</v>
          </cell>
          <cell r="AQ75">
            <v>0</v>
          </cell>
          <cell r="AR75">
            <v>0</v>
          </cell>
          <cell r="AS75">
            <v>0</v>
          </cell>
          <cell r="AT75">
            <v>4596138.066015481</v>
          </cell>
          <cell r="AU75">
            <v>633949.93398451898</v>
          </cell>
          <cell r="AW75">
            <v>47238250</v>
          </cell>
          <cell r="AX75">
            <v>149304</v>
          </cell>
          <cell r="AY75">
            <v>47387554</v>
          </cell>
          <cell r="AZ75">
            <v>0</v>
          </cell>
          <cell r="BA75">
            <v>47387554</v>
          </cell>
          <cell r="BB75">
            <v>0</v>
          </cell>
          <cell r="BC75">
            <v>47387554</v>
          </cell>
          <cell r="BD75">
            <v>11518</v>
          </cell>
          <cell r="BE75">
            <v>5218570</v>
          </cell>
          <cell r="BF75">
            <v>0</v>
          </cell>
          <cell r="BH75">
            <v>52617642</v>
          </cell>
          <cell r="BI75">
            <v>0</v>
          </cell>
          <cell r="BJ75">
            <v>52617642</v>
          </cell>
          <cell r="BK75">
            <v>0</v>
          </cell>
          <cell r="BL75">
            <v>52617642</v>
          </cell>
        </row>
        <row r="76">
          <cell r="B76" t="str">
            <v>HOMEWOOD RETIREMENT</v>
          </cell>
          <cell r="C76">
            <v>0</v>
          </cell>
          <cell r="D76">
            <v>1900003</v>
          </cell>
          <cell r="E76">
            <v>50951</v>
          </cell>
          <cell r="F76" t="str">
            <v>ASC</v>
          </cell>
          <cell r="G76" t="str">
            <v>JAN</v>
          </cell>
          <cell r="H76" t="str">
            <v>Michael</v>
          </cell>
          <cell r="I76" t="str">
            <v>Engel</v>
          </cell>
          <cell r="J76" t="str">
            <v>Direct Debit--Weekly</v>
          </cell>
          <cell r="K76" t="str">
            <v>BARBARA</v>
          </cell>
          <cell r="L76" t="str">
            <v>Wachovia</v>
          </cell>
          <cell r="M76">
            <v>0</v>
          </cell>
          <cell r="N76">
            <v>45000</v>
          </cell>
          <cell r="O76" t="str">
            <v>NASCO</v>
          </cell>
          <cell r="P76" t="str">
            <v>NATIONAL</v>
          </cell>
          <cell r="Q76">
            <v>627</v>
          </cell>
          <cell r="R76">
            <v>0</v>
          </cell>
          <cell r="S76">
            <v>75000</v>
          </cell>
          <cell r="T76">
            <v>1.25</v>
          </cell>
          <cell r="U76">
            <v>170826.76</v>
          </cell>
          <cell r="V76">
            <v>26281.040000000001</v>
          </cell>
          <cell r="W76">
            <v>197107.8</v>
          </cell>
          <cell r="X76">
            <v>19710.78</v>
          </cell>
          <cell r="Y76">
            <v>19710.78</v>
          </cell>
          <cell r="Z76">
            <v>0</v>
          </cell>
          <cell r="AA76">
            <v>131405.20000000001</v>
          </cell>
          <cell r="AB76">
            <v>289091.44</v>
          </cell>
          <cell r="AC76">
            <v>657026</v>
          </cell>
          <cell r="AD76">
            <v>0</v>
          </cell>
          <cell r="AE76">
            <v>657026</v>
          </cell>
          <cell r="AF76">
            <v>0</v>
          </cell>
          <cell r="AG76">
            <v>0</v>
          </cell>
          <cell r="AH76">
            <v>7200</v>
          </cell>
          <cell r="AI76">
            <v>2738079</v>
          </cell>
          <cell r="AJ76">
            <v>3395105</v>
          </cell>
          <cell r="AK76">
            <v>657026</v>
          </cell>
          <cell r="AL76">
            <v>3263699.8</v>
          </cell>
          <cell r="AM76">
            <v>0</v>
          </cell>
          <cell r="AN76">
            <v>0</v>
          </cell>
          <cell r="AO76">
            <v>0</v>
          </cell>
          <cell r="AP76">
            <v>0</v>
          </cell>
          <cell r="AQ76">
            <v>38361</v>
          </cell>
          <cell r="AR76">
            <v>0</v>
          </cell>
          <cell r="AS76">
            <v>38361</v>
          </cell>
          <cell r="AT76">
            <v>270438.85931391665</v>
          </cell>
          <cell r="AU76">
            <v>224020.9406860834</v>
          </cell>
          <cell r="AW76">
            <v>2776440</v>
          </cell>
          <cell r="AX76">
            <v>101020</v>
          </cell>
          <cell r="AY76">
            <v>2877460</v>
          </cell>
          <cell r="AZ76">
            <v>0</v>
          </cell>
          <cell r="BA76">
            <v>2877460</v>
          </cell>
          <cell r="BB76">
            <v>0</v>
          </cell>
          <cell r="BC76">
            <v>2877460</v>
          </cell>
          <cell r="BD76">
            <v>0</v>
          </cell>
          <cell r="BE76">
            <v>657026</v>
          </cell>
          <cell r="BF76">
            <v>7200</v>
          </cell>
          <cell r="BH76">
            <v>3541686</v>
          </cell>
          <cell r="BI76">
            <v>38361</v>
          </cell>
          <cell r="BJ76">
            <v>3503325</v>
          </cell>
          <cell r="BK76">
            <v>0</v>
          </cell>
          <cell r="BL76">
            <v>3503325</v>
          </cell>
        </row>
        <row r="77">
          <cell r="B77" t="str">
            <v>HORIZON LINES</v>
          </cell>
          <cell r="C77">
            <v>0</v>
          </cell>
          <cell r="D77">
            <v>1900501</v>
          </cell>
          <cell r="E77">
            <v>65576</v>
          </cell>
          <cell r="F77" t="str">
            <v>ASC</v>
          </cell>
          <cell r="G77" t="str">
            <v>JAN</v>
          </cell>
          <cell r="H77" t="str">
            <v>McManus</v>
          </cell>
          <cell r="I77" t="str">
            <v>Engel</v>
          </cell>
          <cell r="J77" t="str">
            <v>Direct Debit--Weekly</v>
          </cell>
          <cell r="K77" t="str">
            <v>LISA</v>
          </cell>
          <cell r="L77" t="str">
            <v>Wachovia</v>
          </cell>
          <cell r="M77">
            <v>0</v>
          </cell>
          <cell r="N77">
            <v>0</v>
          </cell>
          <cell r="O77" t="str">
            <v>NASCO</v>
          </cell>
          <cell r="P77" t="str">
            <v>NATIONAL</v>
          </cell>
          <cell r="Q77">
            <v>393</v>
          </cell>
          <cell r="R77">
            <v>0</v>
          </cell>
          <cell r="S77">
            <v>0</v>
          </cell>
          <cell r="T77">
            <v>0</v>
          </cell>
          <cell r="U77">
            <v>0</v>
          </cell>
          <cell r="V77">
            <v>0</v>
          </cell>
          <cell r="W77">
            <v>0</v>
          </cell>
          <cell r="X77">
            <v>0</v>
          </cell>
          <cell r="Y77">
            <v>0</v>
          </cell>
          <cell r="Z77">
            <v>0</v>
          </cell>
          <cell r="AA77">
            <v>0</v>
          </cell>
          <cell r="AB77">
            <v>262333</v>
          </cell>
          <cell r="AC77">
            <v>262333</v>
          </cell>
          <cell r="AD77">
            <v>0</v>
          </cell>
          <cell r="AE77">
            <v>262333</v>
          </cell>
          <cell r="AF77">
            <v>0</v>
          </cell>
          <cell r="AG77">
            <v>0</v>
          </cell>
          <cell r="AH77">
            <v>0</v>
          </cell>
          <cell r="AI77">
            <v>1986902</v>
          </cell>
          <cell r="AJ77">
            <v>2249235</v>
          </cell>
          <cell r="AK77">
            <v>262333</v>
          </cell>
          <cell r="AL77">
            <v>2249235</v>
          </cell>
          <cell r="AM77">
            <v>0</v>
          </cell>
          <cell r="AN77">
            <v>0</v>
          </cell>
          <cell r="AO77">
            <v>0</v>
          </cell>
          <cell r="AP77">
            <v>0</v>
          </cell>
          <cell r="AQ77">
            <v>0</v>
          </cell>
          <cell r="AR77">
            <v>0</v>
          </cell>
          <cell r="AS77">
            <v>0</v>
          </cell>
          <cell r="AT77">
            <v>190601.96393550179</v>
          </cell>
          <cell r="AU77">
            <v>71731.036064498214</v>
          </cell>
          <cell r="AW77">
            <v>1986902</v>
          </cell>
          <cell r="AX77">
            <v>184415</v>
          </cell>
          <cell r="AY77">
            <v>2171317</v>
          </cell>
          <cell r="AZ77">
            <v>0</v>
          </cell>
          <cell r="BA77">
            <v>2171317</v>
          </cell>
          <cell r="BB77">
            <v>0</v>
          </cell>
          <cell r="BC77">
            <v>2171317</v>
          </cell>
          <cell r="BD77">
            <v>0</v>
          </cell>
          <cell r="BE77">
            <v>262333</v>
          </cell>
          <cell r="BF77">
            <v>0</v>
          </cell>
          <cell r="BH77">
            <v>2433650</v>
          </cell>
          <cell r="BI77">
            <v>0</v>
          </cell>
          <cell r="BJ77">
            <v>2433650</v>
          </cell>
          <cell r="BK77">
            <v>0</v>
          </cell>
          <cell r="BL77">
            <v>2433650</v>
          </cell>
        </row>
        <row r="78">
          <cell r="B78" t="str">
            <v>HOWARD CO GOVT</v>
          </cell>
          <cell r="C78">
            <v>0</v>
          </cell>
          <cell r="D78" t="str">
            <v>n/a</v>
          </cell>
          <cell r="E78">
            <v>10989</v>
          </cell>
          <cell r="F78" t="str">
            <v>ASC</v>
          </cell>
          <cell r="G78" t="str">
            <v>JUL</v>
          </cell>
          <cell r="H78" t="str">
            <v>Michael</v>
          </cell>
          <cell r="I78" t="str">
            <v>Drumgoole</v>
          </cell>
          <cell r="J78" t="str">
            <v>Deposit --2 month</v>
          </cell>
          <cell r="K78" t="str">
            <v>DONNA</v>
          </cell>
          <cell r="L78" t="str">
            <v>None</v>
          </cell>
          <cell r="M78">
            <v>1068696</v>
          </cell>
          <cell r="N78">
            <v>154569</v>
          </cell>
          <cell r="O78" t="str">
            <v>CARE-S</v>
          </cell>
          <cell r="P78" t="str">
            <v>LOCAL</v>
          </cell>
          <cell r="Q78">
            <v>905</v>
          </cell>
          <cell r="R78">
            <v>0</v>
          </cell>
          <cell r="S78">
            <v>125000</v>
          </cell>
          <cell r="T78">
            <v>1.1499999999999999</v>
          </cell>
          <cell r="U78">
            <v>233216.55</v>
          </cell>
          <cell r="V78">
            <v>50288.7</v>
          </cell>
          <cell r="W78">
            <v>283505.25</v>
          </cell>
          <cell r="X78">
            <v>25766.65</v>
          </cell>
          <cell r="Y78">
            <v>28736.400000000001</v>
          </cell>
          <cell r="Z78">
            <v>0</v>
          </cell>
          <cell r="AA78">
            <v>0</v>
          </cell>
          <cell r="AB78">
            <v>380401.7</v>
          </cell>
          <cell r="AC78">
            <v>718410</v>
          </cell>
          <cell r="AD78">
            <v>90</v>
          </cell>
          <cell r="AE78">
            <v>718500</v>
          </cell>
          <cell r="AF78">
            <v>0</v>
          </cell>
          <cell r="AG78">
            <v>0</v>
          </cell>
          <cell r="AH78">
            <v>0</v>
          </cell>
          <cell r="AI78">
            <v>6423933</v>
          </cell>
          <cell r="AJ78">
            <v>7142343</v>
          </cell>
          <cell r="AK78">
            <v>718410</v>
          </cell>
          <cell r="AL78">
            <v>7142343</v>
          </cell>
          <cell r="AM78">
            <v>0</v>
          </cell>
          <cell r="AN78">
            <v>0</v>
          </cell>
          <cell r="AO78">
            <v>0</v>
          </cell>
          <cell r="AP78">
            <v>0</v>
          </cell>
          <cell r="AQ78">
            <v>147716</v>
          </cell>
          <cell r="AR78">
            <v>0</v>
          </cell>
          <cell r="AS78">
            <v>147716</v>
          </cell>
          <cell r="AT78">
            <v>639685.1838663551</v>
          </cell>
          <cell r="AU78">
            <v>-68901.183866355103</v>
          </cell>
          <cell r="AW78">
            <v>6571649</v>
          </cell>
          <cell r="AX78">
            <v>26572</v>
          </cell>
          <cell r="AY78">
            <v>6598221</v>
          </cell>
          <cell r="AZ78">
            <v>0</v>
          </cell>
          <cell r="BA78">
            <v>6598221</v>
          </cell>
          <cell r="BB78">
            <v>0</v>
          </cell>
          <cell r="BC78">
            <v>6598221</v>
          </cell>
          <cell r="BD78">
            <v>90</v>
          </cell>
          <cell r="BE78">
            <v>718410</v>
          </cell>
          <cell r="BF78">
            <v>0</v>
          </cell>
          <cell r="BH78">
            <v>7316721</v>
          </cell>
          <cell r="BI78">
            <v>147716</v>
          </cell>
          <cell r="BJ78">
            <v>7169005</v>
          </cell>
          <cell r="BK78">
            <v>0</v>
          </cell>
          <cell r="BL78">
            <v>7169005</v>
          </cell>
        </row>
        <row r="79">
          <cell r="B79" t="str">
            <v>INTERNATIONAL CODE COUNCIL</v>
          </cell>
          <cell r="C79">
            <v>0</v>
          </cell>
          <cell r="D79">
            <v>1900484</v>
          </cell>
          <cell r="E79">
            <v>64778</v>
          </cell>
          <cell r="F79" t="str">
            <v>ASC</v>
          </cell>
          <cell r="G79" t="str">
            <v>JUL</v>
          </cell>
          <cell r="H79" t="str">
            <v>Mamoun</v>
          </cell>
          <cell r="I79" t="str">
            <v>Dunn</v>
          </cell>
          <cell r="J79" t="str">
            <v>Direct Debit--Weekly</v>
          </cell>
          <cell r="K79" t="str">
            <v>NETTIE</v>
          </cell>
          <cell r="L79" t="str">
            <v>None</v>
          </cell>
          <cell r="M79">
            <v>0</v>
          </cell>
          <cell r="N79">
            <v>0</v>
          </cell>
          <cell r="O79" t="str">
            <v>NASCO</v>
          </cell>
          <cell r="P79" t="str">
            <v>NATIONAL</v>
          </cell>
          <cell r="Q79">
            <v>338</v>
          </cell>
          <cell r="R79">
            <v>0</v>
          </cell>
          <cell r="S79">
            <v>50000</v>
          </cell>
          <cell r="T79">
            <v>1.25</v>
          </cell>
          <cell r="U79">
            <v>315696.96000000002</v>
          </cell>
          <cell r="V79">
            <v>52616.160000000003</v>
          </cell>
          <cell r="W79">
            <v>368313.12</v>
          </cell>
          <cell r="X79">
            <v>0</v>
          </cell>
          <cell r="Y79">
            <v>0</v>
          </cell>
          <cell r="Z79">
            <v>0</v>
          </cell>
          <cell r="AA79">
            <v>105232.32000000001</v>
          </cell>
          <cell r="AB79">
            <v>184156.56</v>
          </cell>
          <cell r="AC79">
            <v>657702</v>
          </cell>
          <cell r="AD79">
            <v>0</v>
          </cell>
          <cell r="AE79">
            <v>657702</v>
          </cell>
          <cell r="AF79">
            <v>0</v>
          </cell>
          <cell r="AG79">
            <v>0</v>
          </cell>
          <cell r="AH79">
            <v>0</v>
          </cell>
          <cell r="AI79">
            <v>2408909</v>
          </cell>
          <cell r="AJ79">
            <v>3066611</v>
          </cell>
          <cell r="AK79">
            <v>657702</v>
          </cell>
          <cell r="AL79">
            <v>2961378.68</v>
          </cell>
          <cell r="AM79">
            <v>0</v>
          </cell>
          <cell r="AN79">
            <v>0</v>
          </cell>
          <cell r="AO79">
            <v>0</v>
          </cell>
          <cell r="AP79">
            <v>0</v>
          </cell>
          <cell r="AQ79">
            <v>107279</v>
          </cell>
          <cell r="AR79">
            <v>0</v>
          </cell>
          <cell r="AS79">
            <v>107279</v>
          </cell>
          <cell r="AT79">
            <v>242750.653829171</v>
          </cell>
          <cell r="AU79">
            <v>202440.02617082905</v>
          </cell>
          <cell r="AW79">
            <v>2516188</v>
          </cell>
          <cell r="AX79">
            <v>140312</v>
          </cell>
          <cell r="AY79">
            <v>2656500</v>
          </cell>
          <cell r="AZ79">
            <v>0</v>
          </cell>
          <cell r="BA79">
            <v>2656500</v>
          </cell>
          <cell r="BB79">
            <v>0</v>
          </cell>
          <cell r="BC79">
            <v>2656500</v>
          </cell>
          <cell r="BD79">
            <v>0</v>
          </cell>
          <cell r="BE79">
            <v>657702</v>
          </cell>
          <cell r="BF79">
            <v>0</v>
          </cell>
          <cell r="BH79">
            <v>3314202</v>
          </cell>
          <cell r="BI79">
            <v>107279</v>
          </cell>
          <cell r="BJ79">
            <v>3206923</v>
          </cell>
          <cell r="BK79">
            <v>0</v>
          </cell>
          <cell r="BL79">
            <v>3206923</v>
          </cell>
        </row>
        <row r="80">
          <cell r="B80" t="str">
            <v>ISKY</v>
          </cell>
          <cell r="C80">
            <v>0</v>
          </cell>
          <cell r="D80">
            <v>1900084</v>
          </cell>
          <cell r="E80">
            <v>58510</v>
          </cell>
          <cell r="F80" t="str">
            <v>ASC</v>
          </cell>
          <cell r="G80" t="str">
            <v>SEP</v>
          </cell>
          <cell r="H80" t="str">
            <v>Parker Mann</v>
          </cell>
          <cell r="I80" t="str">
            <v>Engel</v>
          </cell>
          <cell r="J80" t="str">
            <v>Direct Debit--Weekly</v>
          </cell>
          <cell r="K80" t="str">
            <v>LISA</v>
          </cell>
          <cell r="L80" t="str">
            <v>Wachovia</v>
          </cell>
          <cell r="M80">
            <v>0</v>
          </cell>
          <cell r="N80">
            <v>55446</v>
          </cell>
          <cell r="O80" t="str">
            <v>NASCO</v>
          </cell>
          <cell r="P80" t="str">
            <v>NATIONAL</v>
          </cell>
          <cell r="Q80">
            <v>209</v>
          </cell>
          <cell r="R80">
            <v>0</v>
          </cell>
          <cell r="S80">
            <v>50000</v>
          </cell>
          <cell r="T80">
            <v>1.25</v>
          </cell>
          <cell r="U80">
            <v>90088.53</v>
          </cell>
          <cell r="V80">
            <v>27860.79</v>
          </cell>
          <cell r="W80">
            <v>117949.32</v>
          </cell>
          <cell r="X80">
            <v>11455.65</v>
          </cell>
          <cell r="Y80">
            <v>2687.61</v>
          </cell>
          <cell r="Z80">
            <v>0</v>
          </cell>
          <cell r="AA80">
            <v>52328.76</v>
          </cell>
          <cell r="AB80">
            <v>197433.66</v>
          </cell>
          <cell r="AC80">
            <v>381855</v>
          </cell>
          <cell r="AD80">
            <v>0</v>
          </cell>
          <cell r="AE80">
            <v>381855</v>
          </cell>
          <cell r="AF80">
            <v>0</v>
          </cell>
          <cell r="AG80">
            <v>0</v>
          </cell>
          <cell r="AH80">
            <v>0</v>
          </cell>
          <cell r="AI80">
            <v>1043348</v>
          </cell>
          <cell r="AJ80">
            <v>1425203</v>
          </cell>
          <cell r="AK80">
            <v>381855</v>
          </cell>
          <cell r="AL80">
            <v>1372874.24</v>
          </cell>
          <cell r="AM80">
            <v>0</v>
          </cell>
          <cell r="AN80">
            <v>0</v>
          </cell>
          <cell r="AO80">
            <v>0</v>
          </cell>
          <cell r="AP80">
            <v>0</v>
          </cell>
          <cell r="AQ80">
            <v>364820</v>
          </cell>
          <cell r="AR80">
            <v>-2668</v>
          </cell>
          <cell r="AS80">
            <v>362152</v>
          </cell>
          <cell r="AT80">
            <v>133199.66388430889</v>
          </cell>
          <cell r="AU80">
            <v>-165825.4238843089</v>
          </cell>
          <cell r="AW80">
            <v>1405500</v>
          </cell>
          <cell r="AX80">
            <v>6527</v>
          </cell>
          <cell r="AY80">
            <v>1412027</v>
          </cell>
          <cell r="AZ80">
            <v>0</v>
          </cell>
          <cell r="BA80">
            <v>1412027</v>
          </cell>
          <cell r="BB80">
            <v>0</v>
          </cell>
          <cell r="BC80">
            <v>1412027</v>
          </cell>
          <cell r="BD80">
            <v>0</v>
          </cell>
          <cell r="BE80">
            <v>381855</v>
          </cell>
          <cell r="BF80">
            <v>0</v>
          </cell>
          <cell r="BH80">
            <v>1793882</v>
          </cell>
          <cell r="BI80">
            <v>362152</v>
          </cell>
          <cell r="BJ80">
            <v>1431730</v>
          </cell>
          <cell r="BK80">
            <v>0</v>
          </cell>
          <cell r="BL80">
            <v>1431730</v>
          </cell>
        </row>
        <row r="81">
          <cell r="B81" t="str">
            <v>JOHNS HOPKINS SCHOOL DENTAL</v>
          </cell>
          <cell r="C81">
            <v>0</v>
          </cell>
          <cell r="D81" t="str">
            <v>n/a</v>
          </cell>
          <cell r="E81" t="str">
            <v>07249</v>
          </cell>
          <cell r="F81" t="str">
            <v>ASC</v>
          </cell>
          <cell r="G81" t="str">
            <v>JUL</v>
          </cell>
          <cell r="H81" t="str">
            <v>Howard</v>
          </cell>
          <cell r="I81" t="str">
            <v>Fox</v>
          </cell>
          <cell r="J81" t="str">
            <v>Deposit-2 Month</v>
          </cell>
          <cell r="K81" t="str">
            <v>DONNA</v>
          </cell>
          <cell r="L81" t="str">
            <v>None</v>
          </cell>
          <cell r="M81">
            <v>64600</v>
          </cell>
          <cell r="N81">
            <v>0</v>
          </cell>
          <cell r="O81" t="str">
            <v>CARE-S</v>
          </cell>
          <cell r="P81" t="str">
            <v>LOCAL</v>
          </cell>
          <cell r="Q81" t="str">
            <v>dental</v>
          </cell>
          <cell r="R81">
            <v>0</v>
          </cell>
          <cell r="S81">
            <v>0</v>
          </cell>
          <cell r="T81">
            <v>0</v>
          </cell>
          <cell r="U81">
            <v>0</v>
          </cell>
          <cell r="V81">
            <v>0</v>
          </cell>
          <cell r="W81">
            <v>0</v>
          </cell>
          <cell r="X81">
            <v>0</v>
          </cell>
          <cell r="Y81">
            <v>0</v>
          </cell>
          <cell r="Z81">
            <v>0</v>
          </cell>
          <cell r="AA81">
            <v>0</v>
          </cell>
          <cell r="AB81">
            <v>39288</v>
          </cell>
          <cell r="AC81">
            <v>39288</v>
          </cell>
          <cell r="AD81">
            <v>0</v>
          </cell>
          <cell r="AE81">
            <v>39288</v>
          </cell>
          <cell r="AF81">
            <v>0</v>
          </cell>
          <cell r="AG81">
            <v>0</v>
          </cell>
          <cell r="AH81">
            <v>-3539</v>
          </cell>
          <cell r="AI81">
            <v>411860</v>
          </cell>
          <cell r="AJ81">
            <v>451148</v>
          </cell>
          <cell r="AK81">
            <v>39288</v>
          </cell>
          <cell r="AL81">
            <v>451148</v>
          </cell>
          <cell r="AM81">
            <v>0</v>
          </cell>
          <cell r="AN81">
            <v>0</v>
          </cell>
          <cell r="AO81">
            <v>0</v>
          </cell>
          <cell r="AP81">
            <v>0</v>
          </cell>
          <cell r="AQ81">
            <v>0</v>
          </cell>
          <cell r="AR81">
            <v>0</v>
          </cell>
          <cell r="AS81">
            <v>0</v>
          </cell>
          <cell r="AT81">
            <v>40137.047593862902</v>
          </cell>
          <cell r="AU81">
            <v>-4388.0475938629024</v>
          </cell>
          <cell r="AW81">
            <v>411860</v>
          </cell>
          <cell r="AX81">
            <v>0</v>
          </cell>
          <cell r="AY81">
            <v>411860</v>
          </cell>
          <cell r="AZ81">
            <v>0</v>
          </cell>
          <cell r="BA81">
            <v>411860</v>
          </cell>
          <cell r="BB81">
            <v>0</v>
          </cell>
          <cell r="BC81">
            <v>411860</v>
          </cell>
          <cell r="BD81">
            <v>0</v>
          </cell>
          <cell r="BE81">
            <v>39288</v>
          </cell>
          <cell r="BF81">
            <v>-3539</v>
          </cell>
          <cell r="BH81">
            <v>447609</v>
          </cell>
          <cell r="BI81">
            <v>0</v>
          </cell>
          <cell r="BJ81">
            <v>447609</v>
          </cell>
          <cell r="BK81">
            <v>0</v>
          </cell>
          <cell r="BL81">
            <v>447609</v>
          </cell>
        </row>
        <row r="82">
          <cell r="B82" t="str">
            <v>JOHNS HOPKINS UNIVERSITY</v>
          </cell>
          <cell r="C82">
            <v>0</v>
          </cell>
          <cell r="D82" t="str">
            <v>n/a</v>
          </cell>
          <cell r="E82" t="str">
            <v>07518</v>
          </cell>
          <cell r="F82" t="str">
            <v>ASC</v>
          </cell>
          <cell r="G82" t="str">
            <v>JAN</v>
          </cell>
          <cell r="H82" t="str">
            <v>Howard</v>
          </cell>
          <cell r="I82" t="str">
            <v>Fox</v>
          </cell>
          <cell r="J82" t="str">
            <v>Deposit-2 Month</v>
          </cell>
          <cell r="K82" t="str">
            <v>DONNA</v>
          </cell>
          <cell r="L82" t="str">
            <v>None</v>
          </cell>
          <cell r="M82">
            <v>8463930</v>
          </cell>
          <cell r="N82">
            <v>1432269</v>
          </cell>
          <cell r="O82" t="str">
            <v>NASCO-S</v>
          </cell>
          <cell r="P82" t="str">
            <v>NATIONAL</v>
          </cell>
          <cell r="Q82">
            <v>7884</v>
          </cell>
          <cell r="R82">
            <v>0</v>
          </cell>
          <cell r="S82">
            <v>500000</v>
          </cell>
          <cell r="T82">
            <v>0</v>
          </cell>
          <cell r="U82">
            <v>125936.93</v>
          </cell>
          <cell r="V82">
            <v>0</v>
          </cell>
          <cell r="W82">
            <v>125936.93</v>
          </cell>
          <cell r="X82">
            <v>0</v>
          </cell>
          <cell r="Y82">
            <v>0</v>
          </cell>
          <cell r="Z82">
            <v>0</v>
          </cell>
          <cell r="AA82">
            <v>0</v>
          </cell>
          <cell r="AB82">
            <v>3447367.07</v>
          </cell>
          <cell r="AC82">
            <v>3573304</v>
          </cell>
          <cell r="AD82">
            <v>6567</v>
          </cell>
          <cell r="AE82">
            <v>3579871</v>
          </cell>
          <cell r="AF82">
            <v>0</v>
          </cell>
          <cell r="AG82">
            <v>0</v>
          </cell>
          <cell r="AH82">
            <v>13087</v>
          </cell>
          <cell r="AI82">
            <v>48478877</v>
          </cell>
          <cell r="AJ82">
            <v>52052181</v>
          </cell>
          <cell r="AK82">
            <v>3573304</v>
          </cell>
          <cell r="AL82">
            <v>52052181</v>
          </cell>
          <cell r="AM82">
            <v>0</v>
          </cell>
          <cell r="AN82">
            <v>0</v>
          </cell>
          <cell r="AO82">
            <v>0</v>
          </cell>
          <cell r="AP82">
            <v>0</v>
          </cell>
          <cell r="AQ82">
            <v>42191</v>
          </cell>
          <cell r="AR82">
            <v>0</v>
          </cell>
          <cell r="AS82">
            <v>42191</v>
          </cell>
          <cell r="AT82">
            <v>4730628.8922562581</v>
          </cell>
          <cell r="AU82">
            <v>-1179861.8922562581</v>
          </cell>
          <cell r="AW82">
            <v>48521068</v>
          </cell>
          <cell r="AX82">
            <v>111477</v>
          </cell>
          <cell r="AY82">
            <v>48632545</v>
          </cell>
          <cell r="AZ82">
            <v>0</v>
          </cell>
          <cell r="BA82">
            <v>48632545</v>
          </cell>
          <cell r="BB82">
            <v>0</v>
          </cell>
          <cell r="BC82">
            <v>48632545</v>
          </cell>
          <cell r="BD82">
            <v>6567</v>
          </cell>
          <cell r="BE82">
            <v>3573304</v>
          </cell>
          <cell r="BF82">
            <v>13087</v>
          </cell>
          <cell r="BH82">
            <v>52225503</v>
          </cell>
          <cell r="BI82">
            <v>42191</v>
          </cell>
          <cell r="BJ82">
            <v>52183312</v>
          </cell>
          <cell r="BK82">
            <v>0</v>
          </cell>
          <cell r="BL82">
            <v>52183312</v>
          </cell>
        </row>
        <row r="83">
          <cell r="B83" t="str">
            <v>JOSEPH A BANKS</v>
          </cell>
          <cell r="C83">
            <v>0</v>
          </cell>
          <cell r="D83">
            <v>1900031</v>
          </cell>
          <cell r="E83">
            <v>50349</v>
          </cell>
          <cell r="F83" t="str">
            <v>ASC-Minimum Premium</v>
          </cell>
          <cell r="G83" t="str">
            <v>APR</v>
          </cell>
          <cell r="H83" t="str">
            <v>Parker Mann</v>
          </cell>
          <cell r="I83" t="str">
            <v>Maier</v>
          </cell>
          <cell r="J83" t="str">
            <v>Deposit--2 Months</v>
          </cell>
          <cell r="K83" t="str">
            <v>LISA</v>
          </cell>
          <cell r="L83" t="str">
            <v>None</v>
          </cell>
          <cell r="M83">
            <v>466083</v>
          </cell>
          <cell r="N83">
            <v>83100</v>
          </cell>
          <cell r="O83" t="str">
            <v>NASCO-S</v>
          </cell>
          <cell r="P83" t="str">
            <v>NATIONAL</v>
          </cell>
          <cell r="Q83">
            <v>1138</v>
          </cell>
          <cell r="R83">
            <v>0</v>
          </cell>
          <cell r="S83">
            <v>125000</v>
          </cell>
          <cell r="T83">
            <v>1.25</v>
          </cell>
          <cell r="U83">
            <v>344732.99</v>
          </cell>
          <cell r="V83">
            <v>49918.31</v>
          </cell>
          <cell r="W83">
            <v>394651.3</v>
          </cell>
          <cell r="X83">
            <v>9390.36</v>
          </cell>
          <cell r="Y83">
            <v>4695.18</v>
          </cell>
          <cell r="Z83">
            <v>0</v>
          </cell>
          <cell r="AA83">
            <v>0</v>
          </cell>
          <cell r="AB83">
            <v>636581.16</v>
          </cell>
          <cell r="AC83">
            <v>1045318</v>
          </cell>
          <cell r="AD83">
            <v>0</v>
          </cell>
          <cell r="AE83">
            <v>1045318</v>
          </cell>
          <cell r="AF83">
            <v>0</v>
          </cell>
          <cell r="AG83">
            <v>0</v>
          </cell>
          <cell r="AH83">
            <v>-6100</v>
          </cell>
          <cell r="AI83">
            <v>5477057</v>
          </cell>
          <cell r="AJ83">
            <v>6522375</v>
          </cell>
          <cell r="AK83">
            <v>1045318</v>
          </cell>
          <cell r="AL83">
            <v>6522375</v>
          </cell>
          <cell r="AM83">
            <v>0</v>
          </cell>
          <cell r="AN83">
            <v>0</v>
          </cell>
          <cell r="AO83">
            <v>0</v>
          </cell>
          <cell r="AP83">
            <v>0</v>
          </cell>
          <cell r="AQ83">
            <v>58474</v>
          </cell>
          <cell r="AR83">
            <v>-138783</v>
          </cell>
          <cell r="AS83">
            <v>-80309</v>
          </cell>
          <cell r="AT83">
            <v>524801.83481039503</v>
          </cell>
          <cell r="AU83">
            <v>594725.16518960497</v>
          </cell>
          <cell r="AW83">
            <v>5396748</v>
          </cell>
          <cell r="AX83">
            <v>164548</v>
          </cell>
          <cell r="AY83">
            <v>5561296</v>
          </cell>
          <cell r="AZ83">
            <v>0</v>
          </cell>
          <cell r="BA83">
            <v>5561296</v>
          </cell>
          <cell r="BB83">
            <v>0</v>
          </cell>
          <cell r="BC83">
            <v>5561296</v>
          </cell>
          <cell r="BD83">
            <v>0</v>
          </cell>
          <cell r="BE83">
            <v>1045318</v>
          </cell>
          <cell r="BF83">
            <v>-6100</v>
          </cell>
          <cell r="BH83">
            <v>6600514</v>
          </cell>
          <cell r="BI83">
            <v>-80309</v>
          </cell>
          <cell r="BJ83">
            <v>6680823</v>
          </cell>
          <cell r="BK83">
            <v>0</v>
          </cell>
          <cell r="BL83">
            <v>6680823</v>
          </cell>
        </row>
        <row r="84">
          <cell r="B84" t="str">
            <v>K&amp;L MICROWAVE</v>
          </cell>
          <cell r="C84">
            <v>0</v>
          </cell>
          <cell r="D84" t="str">
            <v>n/a</v>
          </cell>
          <cell r="E84">
            <v>26198</v>
          </cell>
          <cell r="F84">
            <v>0</v>
          </cell>
          <cell r="G84" t="str">
            <v>termed 1/04</v>
          </cell>
          <cell r="H84" t="str">
            <v>Hauff</v>
          </cell>
          <cell r="I84" t="str">
            <v>Tilghman</v>
          </cell>
          <cell r="J84" t="str">
            <v>Deposit--2 Months</v>
          </cell>
          <cell r="K84" t="str">
            <v>BARBARA</v>
          </cell>
          <cell r="L84" t="str">
            <v>Silberstein</v>
          </cell>
          <cell r="M84">
            <v>526308</v>
          </cell>
          <cell r="N84">
            <v>63497</v>
          </cell>
          <cell r="O84" t="str">
            <v>CARE-S</v>
          </cell>
          <cell r="P84" t="str">
            <v>LOCAL</v>
          </cell>
          <cell r="Q84" t="str">
            <v>run-out</v>
          </cell>
          <cell r="R84">
            <v>0</v>
          </cell>
          <cell r="S84">
            <v>0</v>
          </cell>
          <cell r="T84">
            <v>0</v>
          </cell>
          <cell r="U84">
            <v>0</v>
          </cell>
          <cell r="V84">
            <v>0</v>
          </cell>
          <cell r="W84">
            <v>0</v>
          </cell>
          <cell r="X84">
            <v>0</v>
          </cell>
          <cell r="Y84">
            <v>0</v>
          </cell>
          <cell r="Z84">
            <v>0</v>
          </cell>
          <cell r="AA84">
            <v>0</v>
          </cell>
          <cell r="AB84">
            <v>18549</v>
          </cell>
          <cell r="AC84">
            <v>18549</v>
          </cell>
          <cell r="AD84">
            <v>1109</v>
          </cell>
          <cell r="AE84">
            <v>19658</v>
          </cell>
          <cell r="AF84">
            <v>0</v>
          </cell>
          <cell r="AG84">
            <v>0</v>
          </cell>
          <cell r="AH84">
            <v>-81</v>
          </cell>
          <cell r="AI84">
            <v>185661</v>
          </cell>
          <cell r="AJ84">
            <v>204210</v>
          </cell>
          <cell r="AK84">
            <v>18549</v>
          </cell>
          <cell r="AL84">
            <v>204210</v>
          </cell>
          <cell r="AM84">
            <v>0</v>
          </cell>
          <cell r="AN84">
            <v>0</v>
          </cell>
          <cell r="AO84">
            <v>0</v>
          </cell>
          <cell r="AP84">
            <v>0</v>
          </cell>
          <cell r="AQ84">
            <v>0</v>
          </cell>
          <cell r="AR84">
            <v>0</v>
          </cell>
          <cell r="AS84">
            <v>0</v>
          </cell>
          <cell r="AT84">
            <v>18142.964626328212</v>
          </cell>
          <cell r="AU84">
            <v>1434.035373671788</v>
          </cell>
          <cell r="AW84">
            <v>185661</v>
          </cell>
          <cell r="AX84">
            <v>4500</v>
          </cell>
          <cell r="AY84">
            <v>190161</v>
          </cell>
          <cell r="AZ84">
            <v>0</v>
          </cell>
          <cell r="BA84">
            <v>190161</v>
          </cell>
          <cell r="BB84">
            <v>0</v>
          </cell>
          <cell r="BC84">
            <v>190161</v>
          </cell>
          <cell r="BD84">
            <v>1109</v>
          </cell>
          <cell r="BE84">
            <v>18549</v>
          </cell>
          <cell r="BF84">
            <v>-81</v>
          </cell>
          <cell r="BH84">
            <v>209738</v>
          </cell>
          <cell r="BI84">
            <v>0</v>
          </cell>
          <cell r="BJ84">
            <v>209738</v>
          </cell>
          <cell r="BK84">
            <v>0</v>
          </cell>
          <cell r="BL84">
            <v>209738</v>
          </cell>
        </row>
        <row r="85">
          <cell r="B85" t="str">
            <v>KELLER FOUNDATION</v>
          </cell>
          <cell r="C85" t="str">
            <v>HAYWARD</v>
          </cell>
          <cell r="D85">
            <v>1900073</v>
          </cell>
          <cell r="E85">
            <v>53345</v>
          </cell>
          <cell r="F85" t="str">
            <v>ASC</v>
          </cell>
          <cell r="G85" t="str">
            <v>JAN</v>
          </cell>
          <cell r="H85" t="str">
            <v>Pospisil</v>
          </cell>
          <cell r="I85" t="str">
            <v>Maier</v>
          </cell>
          <cell r="J85" t="str">
            <v>Deposit--2 Month</v>
          </cell>
          <cell r="K85" t="str">
            <v>LISA</v>
          </cell>
          <cell r="L85" t="str">
            <v>None</v>
          </cell>
          <cell r="M85">
            <v>289306</v>
          </cell>
          <cell r="N85">
            <v>11905</v>
          </cell>
          <cell r="O85" t="str">
            <v>NASCO-S</v>
          </cell>
          <cell r="P85" t="str">
            <v>NATIONAL</v>
          </cell>
          <cell r="Q85">
            <v>658</v>
          </cell>
          <cell r="R85">
            <v>0</v>
          </cell>
          <cell r="S85">
            <v>0</v>
          </cell>
          <cell r="T85">
            <v>0</v>
          </cell>
          <cell r="U85">
            <v>0</v>
          </cell>
          <cell r="V85">
            <v>0</v>
          </cell>
          <cell r="W85">
            <v>0</v>
          </cell>
          <cell r="X85">
            <v>42847.92</v>
          </cell>
          <cell r="Y85">
            <v>0</v>
          </cell>
          <cell r="Z85">
            <v>0</v>
          </cell>
          <cell r="AA85">
            <v>57130.559999999998</v>
          </cell>
          <cell r="AB85">
            <v>376109.52</v>
          </cell>
          <cell r="AC85">
            <v>476088</v>
          </cell>
          <cell r="AD85">
            <v>0</v>
          </cell>
          <cell r="AE85">
            <v>476088</v>
          </cell>
          <cell r="AF85">
            <v>0</v>
          </cell>
          <cell r="AG85">
            <v>0</v>
          </cell>
          <cell r="AH85">
            <v>0</v>
          </cell>
          <cell r="AI85">
            <v>4188369</v>
          </cell>
          <cell r="AJ85">
            <v>4664457</v>
          </cell>
          <cell r="AK85">
            <v>476088</v>
          </cell>
          <cell r="AL85">
            <v>4607326.4400000004</v>
          </cell>
          <cell r="AM85">
            <v>0</v>
          </cell>
          <cell r="AN85">
            <v>0</v>
          </cell>
          <cell r="AO85">
            <v>0</v>
          </cell>
          <cell r="AP85">
            <v>0</v>
          </cell>
          <cell r="AQ85">
            <v>0</v>
          </cell>
          <cell r="AR85">
            <v>0</v>
          </cell>
          <cell r="AS85">
            <v>0</v>
          </cell>
          <cell r="AT85">
            <v>408831.8621207425</v>
          </cell>
          <cell r="AU85">
            <v>10125.5778792575</v>
          </cell>
          <cell r="AW85">
            <v>4188369</v>
          </cell>
          <cell r="AX85">
            <v>130816</v>
          </cell>
          <cell r="AY85">
            <v>4319185</v>
          </cell>
          <cell r="AZ85">
            <v>0</v>
          </cell>
          <cell r="BA85">
            <v>4319185</v>
          </cell>
          <cell r="BB85">
            <v>0</v>
          </cell>
          <cell r="BC85">
            <v>4319185</v>
          </cell>
          <cell r="BD85">
            <v>0</v>
          </cell>
          <cell r="BE85">
            <v>476088</v>
          </cell>
          <cell r="BF85">
            <v>0</v>
          </cell>
          <cell r="BH85">
            <v>4795273</v>
          </cell>
          <cell r="BI85">
            <v>0</v>
          </cell>
          <cell r="BJ85">
            <v>4795273</v>
          </cell>
          <cell r="BK85">
            <v>0</v>
          </cell>
          <cell r="BL85">
            <v>4795273</v>
          </cell>
        </row>
        <row r="86">
          <cell r="B86" t="str">
            <v>KETCHUM PUBLICATIONS</v>
          </cell>
          <cell r="C86">
            <v>0</v>
          </cell>
          <cell r="D86">
            <v>1900074</v>
          </cell>
          <cell r="E86">
            <v>53346</v>
          </cell>
          <cell r="F86" t="str">
            <v>ASC</v>
          </cell>
          <cell r="G86" t="str">
            <v>JAN</v>
          </cell>
          <cell r="H86" t="str">
            <v>Delong</v>
          </cell>
          <cell r="I86" t="str">
            <v>Waters</v>
          </cell>
          <cell r="J86" t="str">
            <v>Weekly Check</v>
          </cell>
          <cell r="K86" t="str">
            <v>GINNY</v>
          </cell>
          <cell r="L86" t="str">
            <v>Laslett Blue</v>
          </cell>
          <cell r="M86">
            <v>0</v>
          </cell>
          <cell r="N86">
            <v>0</v>
          </cell>
          <cell r="O86" t="str">
            <v>NASCO-S</v>
          </cell>
          <cell r="P86" t="str">
            <v>NATIONAL</v>
          </cell>
          <cell r="Q86">
            <v>520</v>
          </cell>
          <cell r="R86">
            <v>0</v>
          </cell>
          <cell r="S86">
            <v>0</v>
          </cell>
          <cell r="T86">
            <v>0</v>
          </cell>
          <cell r="U86">
            <v>0</v>
          </cell>
          <cell r="V86">
            <v>0</v>
          </cell>
          <cell r="W86">
            <v>0</v>
          </cell>
          <cell r="X86">
            <v>0</v>
          </cell>
          <cell r="Y86">
            <v>0</v>
          </cell>
          <cell r="Z86">
            <v>0</v>
          </cell>
          <cell r="AA86">
            <v>0</v>
          </cell>
          <cell r="AB86">
            <v>95829</v>
          </cell>
          <cell r="AC86">
            <v>95829</v>
          </cell>
          <cell r="AD86">
            <v>0</v>
          </cell>
          <cell r="AE86">
            <v>95829</v>
          </cell>
          <cell r="AF86">
            <v>0</v>
          </cell>
          <cell r="AG86">
            <v>0</v>
          </cell>
          <cell r="AH86">
            <v>0</v>
          </cell>
          <cell r="AI86">
            <v>626465</v>
          </cell>
          <cell r="AJ86">
            <v>722294</v>
          </cell>
          <cell r="AK86">
            <v>95829</v>
          </cell>
          <cell r="AL86">
            <v>722294</v>
          </cell>
          <cell r="AM86">
            <v>0</v>
          </cell>
          <cell r="AN86">
            <v>0</v>
          </cell>
          <cell r="AO86">
            <v>0</v>
          </cell>
          <cell r="AP86">
            <v>0</v>
          </cell>
          <cell r="AQ86">
            <v>0</v>
          </cell>
          <cell r="AR86">
            <v>0</v>
          </cell>
          <cell r="AS86">
            <v>0</v>
          </cell>
          <cell r="AT86">
            <v>56040.88412449848</v>
          </cell>
          <cell r="AU86">
            <v>39788.11587550152</v>
          </cell>
          <cell r="AW86">
            <v>626465</v>
          </cell>
          <cell r="AX86">
            <v>72721</v>
          </cell>
          <cell r="AY86">
            <v>699186</v>
          </cell>
          <cell r="AZ86">
            <v>0</v>
          </cell>
          <cell r="BA86">
            <v>699186</v>
          </cell>
          <cell r="BB86">
            <v>0</v>
          </cell>
          <cell r="BC86">
            <v>699186</v>
          </cell>
          <cell r="BD86">
            <v>0</v>
          </cell>
          <cell r="BE86">
            <v>95829</v>
          </cell>
          <cell r="BF86">
            <v>0</v>
          </cell>
          <cell r="BH86">
            <v>795015</v>
          </cell>
          <cell r="BI86">
            <v>0</v>
          </cell>
          <cell r="BJ86">
            <v>795015</v>
          </cell>
          <cell r="BK86">
            <v>0</v>
          </cell>
          <cell r="BL86">
            <v>795015</v>
          </cell>
        </row>
        <row r="87">
          <cell r="B87" t="str">
            <v>KNORR BRAKE</v>
          </cell>
          <cell r="C87">
            <v>0</v>
          </cell>
          <cell r="D87" t="str">
            <v>n/a</v>
          </cell>
          <cell r="E87">
            <v>33512</v>
          </cell>
          <cell r="F87" t="str">
            <v>ASC-Adjustable Retro</v>
          </cell>
          <cell r="G87" t="str">
            <v>APR</v>
          </cell>
          <cell r="H87" t="str">
            <v>Delong</v>
          </cell>
          <cell r="I87" t="str">
            <v>Engel</v>
          </cell>
          <cell r="J87" t="str">
            <v>Deposit--2 Month</v>
          </cell>
          <cell r="K87" t="str">
            <v>NETTIE</v>
          </cell>
          <cell r="L87" t="str">
            <v>Crawford, Slevin &amp; Hicks</v>
          </cell>
          <cell r="M87">
            <v>102800</v>
          </cell>
          <cell r="N87">
            <v>24019</v>
          </cell>
          <cell r="O87" t="str">
            <v>CARE</v>
          </cell>
          <cell r="P87" t="str">
            <v>LOCAL</v>
          </cell>
          <cell r="Q87">
            <v>158</v>
          </cell>
          <cell r="R87">
            <v>0</v>
          </cell>
          <cell r="S87">
            <v>60000</v>
          </cell>
          <cell r="T87">
            <v>1.25</v>
          </cell>
          <cell r="U87">
            <v>97948.59</v>
          </cell>
          <cell r="V87">
            <v>13765.99</v>
          </cell>
          <cell r="W87">
            <v>111714.58</v>
          </cell>
          <cell r="X87">
            <v>7166.97</v>
          </cell>
          <cell r="Y87">
            <v>5345.93</v>
          </cell>
          <cell r="Z87">
            <v>0</v>
          </cell>
          <cell r="AA87">
            <v>31624.82</v>
          </cell>
          <cell r="AB87">
            <v>83046.7</v>
          </cell>
          <cell r="AC87">
            <v>238899</v>
          </cell>
          <cell r="AD87">
            <v>11</v>
          </cell>
          <cell r="AE87">
            <v>238910</v>
          </cell>
          <cell r="AF87">
            <v>0</v>
          </cell>
          <cell r="AG87">
            <v>0</v>
          </cell>
          <cell r="AH87">
            <v>0</v>
          </cell>
          <cell r="AI87">
            <v>758326</v>
          </cell>
          <cell r="AJ87">
            <v>997225</v>
          </cell>
          <cell r="AK87">
            <v>238899</v>
          </cell>
          <cell r="AL87">
            <v>965600.18</v>
          </cell>
          <cell r="AM87">
            <v>0</v>
          </cell>
          <cell r="AN87">
            <v>0</v>
          </cell>
          <cell r="AO87">
            <v>0</v>
          </cell>
          <cell r="AP87">
            <v>0</v>
          </cell>
          <cell r="AQ87">
            <v>19149</v>
          </cell>
          <cell r="AR87">
            <v>0</v>
          </cell>
          <cell r="AS87">
            <v>19149</v>
          </cell>
          <cell r="AT87">
            <v>75528.752195808906</v>
          </cell>
          <cell r="AU87">
            <v>112607.42780419109</v>
          </cell>
          <cell r="AW87">
            <v>777475</v>
          </cell>
          <cell r="AX87">
            <v>14578</v>
          </cell>
          <cell r="AY87">
            <v>792053</v>
          </cell>
          <cell r="AZ87">
            <v>0</v>
          </cell>
          <cell r="BA87">
            <v>792053</v>
          </cell>
          <cell r="BB87">
            <v>0</v>
          </cell>
          <cell r="BC87">
            <v>792053</v>
          </cell>
          <cell r="BD87">
            <v>11</v>
          </cell>
          <cell r="BE87">
            <v>238899</v>
          </cell>
          <cell r="BF87">
            <v>0</v>
          </cell>
          <cell r="BH87">
            <v>1030963</v>
          </cell>
          <cell r="BI87">
            <v>19149</v>
          </cell>
          <cell r="BJ87">
            <v>1011814</v>
          </cell>
          <cell r="BK87">
            <v>0</v>
          </cell>
          <cell r="BL87">
            <v>1011814</v>
          </cell>
        </row>
        <row r="88">
          <cell r="B88" t="str">
            <v>LEGG MASON</v>
          </cell>
          <cell r="C88">
            <v>0</v>
          </cell>
          <cell r="D88">
            <v>1900090</v>
          </cell>
          <cell r="E88">
            <v>56202</v>
          </cell>
          <cell r="F88" t="str">
            <v>ASC</v>
          </cell>
          <cell r="G88" t="str">
            <v>SEP</v>
          </cell>
          <cell r="H88" t="str">
            <v>Lentz</v>
          </cell>
          <cell r="I88" t="str">
            <v>Maier</v>
          </cell>
          <cell r="J88" t="str">
            <v>Deposit--2 Month</v>
          </cell>
          <cell r="K88" t="str">
            <v>NETTIE</v>
          </cell>
          <cell r="L88" t="str">
            <v>None</v>
          </cell>
          <cell r="M88">
            <v>2364000</v>
          </cell>
          <cell r="N88">
            <v>242000</v>
          </cell>
          <cell r="O88" t="str">
            <v>NASCO-S</v>
          </cell>
          <cell r="P88" t="str">
            <v>NATIONAL</v>
          </cell>
          <cell r="Q88">
            <v>2964</v>
          </cell>
          <cell r="R88">
            <v>0</v>
          </cell>
          <cell r="S88">
            <v>275000</v>
          </cell>
          <cell r="T88">
            <v>0</v>
          </cell>
          <cell r="U88">
            <v>478615.3</v>
          </cell>
          <cell r="V88">
            <v>0</v>
          </cell>
          <cell r="W88">
            <v>478615.3</v>
          </cell>
          <cell r="X88">
            <v>0</v>
          </cell>
          <cell r="Y88">
            <v>0</v>
          </cell>
          <cell r="Z88">
            <v>0</v>
          </cell>
          <cell r="AA88">
            <v>0</v>
          </cell>
          <cell r="AB88">
            <v>1399459.7</v>
          </cell>
          <cell r="AC88">
            <v>1878075</v>
          </cell>
          <cell r="AD88">
            <v>1003</v>
          </cell>
          <cell r="AE88">
            <v>1879078</v>
          </cell>
          <cell r="AF88">
            <v>0</v>
          </cell>
          <cell r="AG88">
            <v>0</v>
          </cell>
          <cell r="AH88">
            <v>-950</v>
          </cell>
          <cell r="AI88">
            <v>15063012</v>
          </cell>
          <cell r="AJ88">
            <v>16941087</v>
          </cell>
          <cell r="AK88">
            <v>1878075</v>
          </cell>
          <cell r="AL88">
            <v>16941087</v>
          </cell>
          <cell r="AM88">
            <v>0</v>
          </cell>
          <cell r="AN88">
            <v>0</v>
          </cell>
          <cell r="AO88">
            <v>0</v>
          </cell>
          <cell r="AP88">
            <v>0</v>
          </cell>
          <cell r="AQ88">
            <v>142393</v>
          </cell>
          <cell r="AR88">
            <v>0</v>
          </cell>
          <cell r="AS88">
            <v>142393</v>
          </cell>
          <cell r="AT88">
            <v>1476854.8345225581</v>
          </cell>
          <cell r="AU88">
            <v>258880.16547744186</v>
          </cell>
          <cell r="AW88">
            <v>15205405</v>
          </cell>
          <cell r="AX88">
            <v>344577</v>
          </cell>
          <cell r="AY88">
            <v>15549982</v>
          </cell>
          <cell r="AZ88">
            <v>0</v>
          </cell>
          <cell r="BA88">
            <v>15549982</v>
          </cell>
          <cell r="BB88">
            <v>0</v>
          </cell>
          <cell r="BC88">
            <v>15549982</v>
          </cell>
          <cell r="BD88">
            <v>1003</v>
          </cell>
          <cell r="BE88">
            <v>1878075</v>
          </cell>
          <cell r="BF88">
            <v>-950</v>
          </cell>
          <cell r="BH88">
            <v>17428110</v>
          </cell>
          <cell r="BI88">
            <v>142393</v>
          </cell>
          <cell r="BJ88">
            <v>17285717</v>
          </cell>
          <cell r="BK88">
            <v>0</v>
          </cell>
          <cell r="BL88">
            <v>17285717</v>
          </cell>
        </row>
        <row r="89">
          <cell r="B89" t="str">
            <v>LIFEBRIDGE/NORTHWEST</v>
          </cell>
          <cell r="C89" t="str">
            <v>SINAI</v>
          </cell>
          <cell r="D89" t="str">
            <v>n/a</v>
          </cell>
          <cell r="E89">
            <v>27710</v>
          </cell>
          <cell r="F89" t="str">
            <v>ASC</v>
          </cell>
          <cell r="G89" t="str">
            <v>JAN</v>
          </cell>
          <cell r="H89" t="str">
            <v>Lentz</v>
          </cell>
          <cell r="I89" t="str">
            <v>Fox</v>
          </cell>
          <cell r="J89" t="str">
            <v>Deposit-2 Month</v>
          </cell>
          <cell r="K89" t="str">
            <v>DONNA</v>
          </cell>
          <cell r="L89" t="str">
            <v>None</v>
          </cell>
          <cell r="M89">
            <v>0</v>
          </cell>
          <cell r="N89">
            <v>329886</v>
          </cell>
          <cell r="O89" t="str">
            <v>CARE</v>
          </cell>
          <cell r="P89" t="str">
            <v>LOCAL</v>
          </cell>
          <cell r="Q89">
            <v>3917</v>
          </cell>
          <cell r="R89">
            <v>0</v>
          </cell>
          <cell r="S89">
            <v>150000</v>
          </cell>
          <cell r="T89">
            <v>0</v>
          </cell>
          <cell r="U89">
            <v>596040.41</v>
          </cell>
          <cell r="V89">
            <v>0</v>
          </cell>
          <cell r="W89">
            <v>596040.41</v>
          </cell>
          <cell r="X89">
            <v>192271.1</v>
          </cell>
          <cell r="Y89">
            <v>0</v>
          </cell>
          <cell r="Z89">
            <v>0</v>
          </cell>
          <cell r="AA89">
            <v>0</v>
          </cell>
          <cell r="AB89">
            <v>1134399.49</v>
          </cell>
          <cell r="AC89">
            <v>1922711</v>
          </cell>
          <cell r="AD89">
            <v>2854</v>
          </cell>
          <cell r="AE89">
            <v>1925565</v>
          </cell>
          <cell r="AF89">
            <v>0</v>
          </cell>
          <cell r="AG89">
            <v>0</v>
          </cell>
          <cell r="AH89">
            <v>29494</v>
          </cell>
          <cell r="AI89">
            <v>7464673</v>
          </cell>
          <cell r="AJ89">
            <v>9387384</v>
          </cell>
          <cell r="AK89">
            <v>1922711</v>
          </cell>
          <cell r="AL89">
            <v>9387384</v>
          </cell>
          <cell r="AM89">
            <v>0</v>
          </cell>
          <cell r="AN89">
            <v>0</v>
          </cell>
          <cell r="AO89">
            <v>0</v>
          </cell>
          <cell r="AP89">
            <v>0</v>
          </cell>
          <cell r="AQ89">
            <v>147269</v>
          </cell>
          <cell r="AR89">
            <v>0</v>
          </cell>
          <cell r="AS89">
            <v>147269</v>
          </cell>
          <cell r="AT89">
            <v>743969.57410596858</v>
          </cell>
          <cell r="AU89">
            <v>1063820.4258940313</v>
          </cell>
          <cell r="AW89">
            <v>7611942</v>
          </cell>
          <cell r="AX89">
            <v>48858</v>
          </cell>
          <cell r="AY89">
            <v>7660800</v>
          </cell>
          <cell r="AZ89">
            <v>5454089</v>
          </cell>
          <cell r="BA89">
            <v>13114889</v>
          </cell>
          <cell r="BB89">
            <v>0</v>
          </cell>
          <cell r="BC89">
            <v>13114889</v>
          </cell>
          <cell r="BD89">
            <v>2854</v>
          </cell>
          <cell r="BE89">
            <v>1922711</v>
          </cell>
          <cell r="BF89">
            <v>29494</v>
          </cell>
          <cell r="BH89">
            <v>15069948</v>
          </cell>
          <cell r="BI89">
            <v>147269</v>
          </cell>
          <cell r="BJ89">
            <v>14922679</v>
          </cell>
          <cell r="BK89">
            <v>0</v>
          </cell>
          <cell r="BL89">
            <v>14922679</v>
          </cell>
        </row>
        <row r="90">
          <cell r="B90" t="str">
            <v>LOCKE INSULATORS</v>
          </cell>
          <cell r="C90">
            <v>0</v>
          </cell>
          <cell r="D90" t="str">
            <v>n/a</v>
          </cell>
          <cell r="E90" t="str">
            <v>07844</v>
          </cell>
          <cell r="F90" t="str">
            <v>ASC</v>
          </cell>
          <cell r="G90" t="str">
            <v>JAN</v>
          </cell>
          <cell r="H90" t="str">
            <v>Howard</v>
          </cell>
          <cell r="I90" t="str">
            <v>Fox</v>
          </cell>
          <cell r="J90" t="str">
            <v>Deposit-2 Month</v>
          </cell>
          <cell r="K90" t="str">
            <v>DONNA</v>
          </cell>
          <cell r="L90" t="str">
            <v>None</v>
          </cell>
          <cell r="M90">
            <v>6316</v>
          </cell>
          <cell r="N90">
            <v>0</v>
          </cell>
          <cell r="O90" t="str">
            <v>CARE-S</v>
          </cell>
          <cell r="P90" t="str">
            <v>LOCAL</v>
          </cell>
          <cell r="Q90" t="str">
            <v>dental</v>
          </cell>
          <cell r="R90">
            <v>0</v>
          </cell>
          <cell r="S90">
            <v>0</v>
          </cell>
          <cell r="T90">
            <v>0</v>
          </cell>
          <cell r="U90">
            <v>0</v>
          </cell>
          <cell r="V90">
            <v>0</v>
          </cell>
          <cell r="W90">
            <v>0</v>
          </cell>
          <cell r="X90">
            <v>0</v>
          </cell>
          <cell r="Y90">
            <v>0</v>
          </cell>
          <cell r="Z90">
            <v>0</v>
          </cell>
          <cell r="AA90">
            <v>0</v>
          </cell>
          <cell r="AB90">
            <v>7328</v>
          </cell>
          <cell r="AC90">
            <v>7328</v>
          </cell>
          <cell r="AD90">
            <v>0</v>
          </cell>
          <cell r="AE90">
            <v>7328</v>
          </cell>
          <cell r="AF90">
            <v>0</v>
          </cell>
          <cell r="AG90">
            <v>0</v>
          </cell>
          <cell r="AH90">
            <v>0</v>
          </cell>
          <cell r="AI90">
            <v>29533</v>
          </cell>
          <cell r="AJ90">
            <v>36861</v>
          </cell>
          <cell r="AK90">
            <v>7328</v>
          </cell>
          <cell r="AL90">
            <v>36861</v>
          </cell>
          <cell r="AM90">
            <v>0</v>
          </cell>
          <cell r="AN90">
            <v>0</v>
          </cell>
          <cell r="AO90">
            <v>0</v>
          </cell>
          <cell r="AP90">
            <v>0</v>
          </cell>
          <cell r="AQ90">
            <v>0</v>
          </cell>
          <cell r="AR90">
            <v>0</v>
          </cell>
          <cell r="AS90">
            <v>0</v>
          </cell>
          <cell r="AT90">
            <v>2854.3475475802852</v>
          </cell>
          <cell r="AU90">
            <v>4473.6524524197148</v>
          </cell>
          <cell r="AW90">
            <v>29533</v>
          </cell>
          <cell r="AX90">
            <v>0</v>
          </cell>
          <cell r="AY90">
            <v>29533</v>
          </cell>
          <cell r="AZ90">
            <v>0</v>
          </cell>
          <cell r="BA90">
            <v>29533</v>
          </cell>
          <cell r="BB90">
            <v>0</v>
          </cell>
          <cell r="BC90">
            <v>29533</v>
          </cell>
          <cell r="BD90">
            <v>0</v>
          </cell>
          <cell r="BE90">
            <v>7328</v>
          </cell>
          <cell r="BF90">
            <v>0</v>
          </cell>
          <cell r="BH90">
            <v>36861</v>
          </cell>
          <cell r="BI90">
            <v>0</v>
          </cell>
          <cell r="BJ90">
            <v>36861</v>
          </cell>
          <cell r="BK90">
            <v>0</v>
          </cell>
          <cell r="BL90">
            <v>36861</v>
          </cell>
        </row>
        <row r="91">
          <cell r="B91" t="str">
            <v>LOYOLA COLLEGE RETRO</v>
          </cell>
          <cell r="C91">
            <v>0</v>
          </cell>
          <cell r="D91" t="str">
            <v>n/a</v>
          </cell>
          <cell r="E91" t="str">
            <v>C1387</v>
          </cell>
          <cell r="F91" t="str">
            <v>Modified Retro</v>
          </cell>
          <cell r="G91" t="str">
            <v>JUL</v>
          </cell>
          <cell r="H91" t="str">
            <v>Richardson</v>
          </cell>
          <cell r="I91" t="str">
            <v>Drumgoole</v>
          </cell>
          <cell r="J91" t="str">
            <v>Retrospective</v>
          </cell>
          <cell r="K91" t="str">
            <v>LISA</v>
          </cell>
          <cell r="L91" t="str">
            <v>None</v>
          </cell>
          <cell r="M91">
            <v>0</v>
          </cell>
          <cell r="N91">
            <v>0</v>
          </cell>
          <cell r="O91" t="str">
            <v>CARE</v>
          </cell>
          <cell r="P91" t="str">
            <v>LOCAL</v>
          </cell>
          <cell r="Q91">
            <v>524</v>
          </cell>
          <cell r="R91">
            <v>0</v>
          </cell>
          <cell r="S91">
            <v>100000</v>
          </cell>
          <cell r="T91">
            <v>0</v>
          </cell>
          <cell r="U91">
            <v>164562.32999999999</v>
          </cell>
          <cell r="V91">
            <v>798.97500000000002</v>
          </cell>
          <cell r="W91">
            <v>165361.30499999999</v>
          </cell>
          <cell r="X91">
            <v>23886.41</v>
          </cell>
          <cell r="Y91">
            <v>0</v>
          </cell>
          <cell r="Z91">
            <v>0</v>
          </cell>
          <cell r="AA91">
            <v>39638.1</v>
          </cell>
          <cell r="AB91">
            <v>301693.18500000006</v>
          </cell>
          <cell r="AC91">
            <v>530579</v>
          </cell>
          <cell r="AD91">
            <v>177</v>
          </cell>
          <cell r="AE91">
            <v>530756</v>
          </cell>
          <cell r="AF91">
            <v>0</v>
          </cell>
          <cell r="AG91">
            <v>0</v>
          </cell>
          <cell r="AH91">
            <v>0</v>
          </cell>
          <cell r="AI91">
            <v>1736828</v>
          </cell>
          <cell r="AJ91">
            <v>2267407</v>
          </cell>
          <cell r="AK91">
            <v>530579</v>
          </cell>
          <cell r="AL91">
            <v>2227768.9</v>
          </cell>
          <cell r="AM91">
            <v>0</v>
          </cell>
          <cell r="AN91">
            <v>0</v>
          </cell>
          <cell r="AO91">
            <v>0</v>
          </cell>
          <cell r="AP91">
            <v>0</v>
          </cell>
          <cell r="AQ91">
            <v>57507</v>
          </cell>
          <cell r="AR91">
            <v>0</v>
          </cell>
          <cell r="AS91">
            <v>57507</v>
          </cell>
          <cell r="AT91">
            <v>175021.94218897063</v>
          </cell>
          <cell r="AU91">
            <v>258588.9578110294</v>
          </cell>
          <cell r="AW91">
            <v>1794335</v>
          </cell>
          <cell r="AX91">
            <v>7171</v>
          </cell>
          <cell r="AY91">
            <v>1801506</v>
          </cell>
          <cell r="AZ91">
            <v>0</v>
          </cell>
          <cell r="BA91">
            <v>1801506</v>
          </cell>
          <cell r="BB91">
            <v>0</v>
          </cell>
          <cell r="BC91">
            <v>1801506</v>
          </cell>
          <cell r="BD91">
            <v>177</v>
          </cell>
          <cell r="BE91">
            <v>530579</v>
          </cell>
          <cell r="BF91">
            <v>0</v>
          </cell>
          <cell r="BH91">
            <v>2332262</v>
          </cell>
          <cell r="BI91">
            <v>57507</v>
          </cell>
          <cell r="BJ91">
            <v>2274755</v>
          </cell>
          <cell r="BK91">
            <v>0</v>
          </cell>
          <cell r="BL91">
            <v>2274755</v>
          </cell>
        </row>
        <row r="92">
          <cell r="B92" t="str">
            <v>LYRIC HEALTHCARE</v>
          </cell>
          <cell r="C92">
            <v>0</v>
          </cell>
          <cell r="D92">
            <v>1900370</v>
          </cell>
          <cell r="E92">
            <v>63429</v>
          </cell>
          <cell r="F92" t="str">
            <v>ASC</v>
          </cell>
          <cell r="G92" t="str">
            <v>JAN</v>
          </cell>
          <cell r="H92" t="str">
            <v>Parker Mann</v>
          </cell>
          <cell r="I92" t="str">
            <v>Engel</v>
          </cell>
          <cell r="J92" t="str">
            <v>Weekly Wire</v>
          </cell>
          <cell r="K92" t="str">
            <v>DONNA</v>
          </cell>
          <cell r="L92" t="str">
            <v>Crawford, Slevin &amp; Hicks</v>
          </cell>
          <cell r="M92">
            <v>0</v>
          </cell>
          <cell r="N92">
            <v>630000</v>
          </cell>
          <cell r="O92" t="str">
            <v>NASCO</v>
          </cell>
          <cell r="P92" t="str">
            <v>NATIONAL</v>
          </cell>
          <cell r="Q92">
            <v>2337</v>
          </cell>
          <cell r="R92">
            <v>0</v>
          </cell>
          <cell r="S92">
            <v>0</v>
          </cell>
          <cell r="T92">
            <v>0</v>
          </cell>
          <cell r="U92">
            <v>0</v>
          </cell>
          <cell r="V92">
            <v>0</v>
          </cell>
          <cell r="W92">
            <v>0</v>
          </cell>
          <cell r="X92">
            <v>0</v>
          </cell>
          <cell r="Y92">
            <v>0</v>
          </cell>
          <cell r="Z92">
            <v>0</v>
          </cell>
          <cell r="AA92">
            <v>128454.82</v>
          </cell>
          <cell r="AB92">
            <v>859659.18</v>
          </cell>
          <cell r="AC92">
            <v>988114</v>
          </cell>
          <cell r="AD92">
            <v>0</v>
          </cell>
          <cell r="AE92">
            <v>988114</v>
          </cell>
          <cell r="AF92">
            <v>0</v>
          </cell>
          <cell r="AG92">
            <v>0</v>
          </cell>
          <cell r="AH92">
            <v>0</v>
          </cell>
          <cell r="AI92">
            <v>9452718</v>
          </cell>
          <cell r="AJ92">
            <v>10440832</v>
          </cell>
          <cell r="AK92">
            <v>988114</v>
          </cell>
          <cell r="AL92">
            <v>10312377.18</v>
          </cell>
          <cell r="AM92">
            <v>0</v>
          </cell>
          <cell r="AN92">
            <v>0</v>
          </cell>
          <cell r="AO92">
            <v>0</v>
          </cell>
          <cell r="AP92">
            <v>0</v>
          </cell>
          <cell r="AQ92">
            <v>49452</v>
          </cell>
          <cell r="AR92">
            <v>0</v>
          </cell>
          <cell r="AS92">
            <v>49452</v>
          </cell>
          <cell r="AT92">
            <v>919286.67724514625</v>
          </cell>
          <cell r="AU92">
            <v>-109079.49724514631</v>
          </cell>
          <cell r="AW92">
            <v>9502170</v>
          </cell>
          <cell r="AX92">
            <v>196280</v>
          </cell>
          <cell r="AY92">
            <v>9698450</v>
          </cell>
          <cell r="AZ92">
            <v>0</v>
          </cell>
          <cell r="BA92">
            <v>9698450</v>
          </cell>
          <cell r="BB92">
            <v>0</v>
          </cell>
          <cell r="BC92">
            <v>9698450</v>
          </cell>
          <cell r="BD92">
            <v>0</v>
          </cell>
          <cell r="BE92">
            <v>988114</v>
          </cell>
          <cell r="BF92">
            <v>0</v>
          </cell>
          <cell r="BH92">
            <v>10686564</v>
          </cell>
          <cell r="BI92">
            <v>49452</v>
          </cell>
          <cell r="BJ92">
            <v>10637112</v>
          </cell>
          <cell r="BK92">
            <v>0</v>
          </cell>
          <cell r="BL92">
            <v>10637112</v>
          </cell>
        </row>
        <row r="93">
          <cell r="B93" t="str">
            <v>M&amp;T BANK</v>
          </cell>
          <cell r="C93" t="str">
            <v>ALLFIRST</v>
          </cell>
          <cell r="D93">
            <v>1900464</v>
          </cell>
          <cell r="E93">
            <v>57096</v>
          </cell>
          <cell r="F93" t="str">
            <v>ASC</v>
          </cell>
          <cell r="G93" t="str">
            <v>JAN</v>
          </cell>
          <cell r="H93" t="str">
            <v>Hauff</v>
          </cell>
          <cell r="I93" t="str">
            <v>Drumgoole</v>
          </cell>
          <cell r="J93" t="str">
            <v>Deposit--2 Month</v>
          </cell>
          <cell r="K93" t="str">
            <v>BARBARA</v>
          </cell>
          <cell r="L93" t="str">
            <v>None</v>
          </cell>
          <cell r="M93">
            <v>374000</v>
          </cell>
          <cell r="N93">
            <v>74820</v>
          </cell>
          <cell r="O93" t="str">
            <v>NASCO-S</v>
          </cell>
          <cell r="P93" t="str">
            <v>LOCAL</v>
          </cell>
          <cell r="Q93">
            <v>1146</v>
          </cell>
          <cell r="R93">
            <v>0</v>
          </cell>
          <cell r="S93">
            <v>0</v>
          </cell>
          <cell r="T93">
            <v>0</v>
          </cell>
          <cell r="U93">
            <v>0</v>
          </cell>
          <cell r="V93">
            <v>0</v>
          </cell>
          <cell r="W93">
            <v>0</v>
          </cell>
          <cell r="X93">
            <v>0</v>
          </cell>
          <cell r="Y93">
            <v>0</v>
          </cell>
          <cell r="Z93">
            <v>0</v>
          </cell>
          <cell r="AA93">
            <v>0</v>
          </cell>
          <cell r="AB93">
            <v>453466</v>
          </cell>
          <cell r="AC93">
            <v>453466</v>
          </cell>
          <cell r="AD93">
            <v>1089</v>
          </cell>
          <cell r="AE93">
            <v>454555</v>
          </cell>
          <cell r="AF93">
            <v>0</v>
          </cell>
          <cell r="AG93">
            <v>0</v>
          </cell>
          <cell r="AH93">
            <v>-413</v>
          </cell>
          <cell r="AI93">
            <v>1290459</v>
          </cell>
          <cell r="AJ93">
            <v>1743925</v>
          </cell>
          <cell r="AK93">
            <v>453466</v>
          </cell>
          <cell r="AL93">
            <v>1743925</v>
          </cell>
          <cell r="AM93">
            <v>0</v>
          </cell>
          <cell r="AN93">
            <v>0</v>
          </cell>
          <cell r="AO93">
            <v>0</v>
          </cell>
          <cell r="AP93">
            <v>0</v>
          </cell>
          <cell r="AQ93">
            <v>0</v>
          </cell>
          <cell r="AR93">
            <v>0</v>
          </cell>
          <cell r="AS93">
            <v>0</v>
          </cell>
          <cell r="AT93">
            <v>125019.86254254822</v>
          </cell>
          <cell r="AU93">
            <v>329122.13745745178</v>
          </cell>
          <cell r="AW93">
            <v>1290459</v>
          </cell>
          <cell r="AX93">
            <v>4015</v>
          </cell>
          <cell r="AY93">
            <v>1294474</v>
          </cell>
          <cell r="AZ93">
            <v>0</v>
          </cell>
          <cell r="BA93">
            <v>1294474</v>
          </cell>
          <cell r="BB93">
            <v>0</v>
          </cell>
          <cell r="BC93">
            <v>1294474</v>
          </cell>
          <cell r="BD93">
            <v>1089</v>
          </cell>
          <cell r="BE93">
            <v>453466</v>
          </cell>
          <cell r="BF93">
            <v>-413</v>
          </cell>
          <cell r="BH93">
            <v>1748616</v>
          </cell>
          <cell r="BI93">
            <v>0</v>
          </cell>
          <cell r="BJ93">
            <v>1748616</v>
          </cell>
          <cell r="BK93">
            <v>0</v>
          </cell>
          <cell r="BL93">
            <v>1748616</v>
          </cell>
        </row>
        <row r="94">
          <cell r="B94" t="str">
            <v>MAGELLAN</v>
          </cell>
          <cell r="C94">
            <v>0</v>
          </cell>
          <cell r="D94">
            <v>1900012</v>
          </cell>
          <cell r="E94">
            <v>48995</v>
          </cell>
          <cell r="F94" t="str">
            <v>ASC</v>
          </cell>
          <cell r="G94" t="str">
            <v>JAN</v>
          </cell>
          <cell r="H94" t="str">
            <v>Delong</v>
          </cell>
          <cell r="I94" t="str">
            <v>Chopper</v>
          </cell>
          <cell r="J94" t="str">
            <v>Weekly Wire</v>
          </cell>
          <cell r="K94" t="str">
            <v>NETTIE</v>
          </cell>
          <cell r="L94" t="str">
            <v>None</v>
          </cell>
          <cell r="M94">
            <v>0</v>
          </cell>
          <cell r="N94">
            <v>108000</v>
          </cell>
          <cell r="O94" t="str">
            <v>NASCO</v>
          </cell>
          <cell r="P94" t="str">
            <v>NATIONAL</v>
          </cell>
          <cell r="Q94">
            <v>3041</v>
          </cell>
          <cell r="R94">
            <v>0</v>
          </cell>
          <cell r="S94">
            <v>0</v>
          </cell>
          <cell r="T94">
            <v>0</v>
          </cell>
          <cell r="U94">
            <v>0</v>
          </cell>
          <cell r="V94">
            <v>0</v>
          </cell>
          <cell r="W94">
            <v>0</v>
          </cell>
          <cell r="X94">
            <v>0</v>
          </cell>
          <cell r="Y94">
            <v>0</v>
          </cell>
          <cell r="Z94">
            <v>0</v>
          </cell>
          <cell r="AA94">
            <v>0</v>
          </cell>
          <cell r="AB94">
            <v>1408735</v>
          </cell>
          <cell r="AC94">
            <v>1408735</v>
          </cell>
          <cell r="AD94">
            <v>54</v>
          </cell>
          <cell r="AE94">
            <v>1408789</v>
          </cell>
          <cell r="AF94">
            <v>0</v>
          </cell>
          <cell r="AG94">
            <v>0</v>
          </cell>
          <cell r="AH94">
            <v>7800</v>
          </cell>
          <cell r="AI94">
            <v>14238360</v>
          </cell>
          <cell r="AJ94">
            <v>15647095</v>
          </cell>
          <cell r="AK94">
            <v>1408735</v>
          </cell>
          <cell r="AL94">
            <v>15647095</v>
          </cell>
          <cell r="AM94">
            <v>0</v>
          </cell>
          <cell r="AN94">
            <v>0</v>
          </cell>
          <cell r="AO94">
            <v>0</v>
          </cell>
          <cell r="AP94">
            <v>0</v>
          </cell>
          <cell r="AQ94">
            <v>0</v>
          </cell>
          <cell r="AR94">
            <v>0</v>
          </cell>
          <cell r="AS94">
            <v>0</v>
          </cell>
          <cell r="AT94">
            <v>1381233.158458299</v>
          </cell>
          <cell r="AU94">
            <v>35355.841541700996</v>
          </cell>
          <cell r="AW94">
            <v>14238360</v>
          </cell>
          <cell r="AX94">
            <v>583687</v>
          </cell>
          <cell r="AY94">
            <v>14822047</v>
          </cell>
          <cell r="AZ94">
            <v>0</v>
          </cell>
          <cell r="BA94">
            <v>14822047</v>
          </cell>
          <cell r="BB94">
            <v>0</v>
          </cell>
          <cell r="BC94">
            <v>14822047</v>
          </cell>
          <cell r="BD94">
            <v>54</v>
          </cell>
          <cell r="BE94">
            <v>1408735</v>
          </cell>
          <cell r="BF94">
            <v>7800</v>
          </cell>
          <cell r="BH94">
            <v>16238636</v>
          </cell>
          <cell r="BI94">
            <v>0</v>
          </cell>
          <cell r="BJ94">
            <v>16238636</v>
          </cell>
          <cell r="BK94">
            <v>0</v>
          </cell>
          <cell r="BL94">
            <v>16238636</v>
          </cell>
        </row>
        <row r="95">
          <cell r="B95" t="str">
            <v>MAXIM EXTERNAL</v>
          </cell>
          <cell r="C95">
            <v>0</v>
          </cell>
          <cell r="D95">
            <v>1900483</v>
          </cell>
          <cell r="E95">
            <v>64784</v>
          </cell>
          <cell r="F95" t="str">
            <v>ASC</v>
          </cell>
          <cell r="G95" t="str">
            <v>JUN</v>
          </cell>
          <cell r="H95" t="str">
            <v>Parker Mann</v>
          </cell>
          <cell r="I95" t="str">
            <v>Patton</v>
          </cell>
          <cell r="J95" t="str">
            <v>Weekly Wire</v>
          </cell>
          <cell r="K95" t="str">
            <v>BARBARA</v>
          </cell>
          <cell r="L95" t="str">
            <v>Kelly &amp; Associates</v>
          </cell>
          <cell r="M95">
            <v>0</v>
          </cell>
          <cell r="N95">
            <v>0</v>
          </cell>
          <cell r="O95" t="str">
            <v>NASCO</v>
          </cell>
          <cell r="P95" t="str">
            <v>NATIONAL</v>
          </cell>
          <cell r="Q95">
            <v>1403</v>
          </cell>
          <cell r="R95">
            <v>0</v>
          </cell>
          <cell r="S95">
            <v>0</v>
          </cell>
          <cell r="T95">
            <v>0</v>
          </cell>
          <cell r="U95">
            <v>0</v>
          </cell>
          <cell r="V95">
            <v>0</v>
          </cell>
          <cell r="W95">
            <v>0</v>
          </cell>
          <cell r="X95">
            <v>0</v>
          </cell>
          <cell r="Y95">
            <v>0</v>
          </cell>
          <cell r="Z95">
            <v>0</v>
          </cell>
          <cell r="AA95">
            <v>241005.54</v>
          </cell>
          <cell r="AB95">
            <v>609758.46</v>
          </cell>
          <cell r="AC95">
            <v>850764</v>
          </cell>
          <cell r="AD95">
            <v>0</v>
          </cell>
          <cell r="AE95">
            <v>850764</v>
          </cell>
          <cell r="AF95">
            <v>0</v>
          </cell>
          <cell r="AG95">
            <v>0</v>
          </cell>
          <cell r="AH95">
            <v>0</v>
          </cell>
          <cell r="AI95">
            <v>7595236</v>
          </cell>
          <cell r="AJ95">
            <v>8446000</v>
          </cell>
          <cell r="AK95">
            <v>850764</v>
          </cell>
          <cell r="AL95">
            <v>8204994.46</v>
          </cell>
          <cell r="AM95">
            <v>0</v>
          </cell>
          <cell r="AN95">
            <v>0</v>
          </cell>
          <cell r="AO95">
            <v>0</v>
          </cell>
          <cell r="AP95">
            <v>0</v>
          </cell>
          <cell r="AQ95">
            <v>0</v>
          </cell>
          <cell r="AR95">
            <v>0</v>
          </cell>
          <cell r="AS95">
            <v>0</v>
          </cell>
          <cell r="AT95">
            <v>740722.90563774318</v>
          </cell>
          <cell r="AU95">
            <v>-130964.44563774322</v>
          </cell>
          <cell r="AW95">
            <v>7595236</v>
          </cell>
          <cell r="AX95">
            <v>480790</v>
          </cell>
          <cell r="AY95">
            <v>8076026</v>
          </cell>
          <cell r="AZ95">
            <v>0</v>
          </cell>
          <cell r="BA95">
            <v>8076026</v>
          </cell>
          <cell r="BB95">
            <v>0</v>
          </cell>
          <cell r="BC95">
            <v>8076026</v>
          </cell>
          <cell r="BD95">
            <v>0</v>
          </cell>
          <cell r="BE95">
            <v>850764</v>
          </cell>
          <cell r="BF95">
            <v>0</v>
          </cell>
          <cell r="BH95">
            <v>8926790</v>
          </cell>
          <cell r="BI95">
            <v>0</v>
          </cell>
          <cell r="BJ95">
            <v>8926790</v>
          </cell>
          <cell r="BK95">
            <v>0</v>
          </cell>
          <cell r="BL95">
            <v>8926790</v>
          </cell>
        </row>
        <row r="96">
          <cell r="B96" t="str">
            <v>MD MEDICINE</v>
          </cell>
          <cell r="C96">
            <v>0</v>
          </cell>
          <cell r="D96" t="str">
            <v>n/a</v>
          </cell>
          <cell r="E96">
            <v>42402</v>
          </cell>
          <cell r="F96" t="str">
            <v>ASC</v>
          </cell>
          <cell r="G96" t="str">
            <v>JAN</v>
          </cell>
          <cell r="H96" t="str">
            <v>Michael</v>
          </cell>
          <cell r="I96" t="str">
            <v>Maier</v>
          </cell>
          <cell r="J96" t="str">
            <v>Deposit-2 Month</v>
          </cell>
          <cell r="K96" t="str">
            <v>DONNA</v>
          </cell>
          <cell r="L96" t="str">
            <v>None</v>
          </cell>
          <cell r="M96">
            <v>800</v>
          </cell>
          <cell r="N96">
            <v>0</v>
          </cell>
          <cell r="O96" t="str">
            <v>CARE-S</v>
          </cell>
          <cell r="P96" t="str">
            <v>LOCAL</v>
          </cell>
          <cell r="Q96" t="str">
            <v>dental</v>
          </cell>
          <cell r="R96">
            <v>0</v>
          </cell>
          <cell r="S96">
            <v>0</v>
          </cell>
          <cell r="T96">
            <v>0</v>
          </cell>
          <cell r="U96">
            <v>0</v>
          </cell>
          <cell r="V96">
            <v>0</v>
          </cell>
          <cell r="W96">
            <v>0</v>
          </cell>
          <cell r="X96">
            <v>0</v>
          </cell>
          <cell r="Y96">
            <v>0</v>
          </cell>
          <cell r="Z96">
            <v>0</v>
          </cell>
          <cell r="AA96">
            <v>0</v>
          </cell>
          <cell r="AB96">
            <v>424</v>
          </cell>
          <cell r="AC96">
            <v>424</v>
          </cell>
          <cell r="AD96">
            <v>0</v>
          </cell>
          <cell r="AE96">
            <v>424</v>
          </cell>
          <cell r="AF96">
            <v>0</v>
          </cell>
          <cell r="AG96">
            <v>0</v>
          </cell>
          <cell r="AH96">
            <v>0</v>
          </cell>
          <cell r="AI96">
            <v>3059</v>
          </cell>
          <cell r="AJ96">
            <v>3483</v>
          </cell>
          <cell r="AK96">
            <v>424</v>
          </cell>
          <cell r="AL96">
            <v>3483</v>
          </cell>
          <cell r="AM96">
            <v>0</v>
          </cell>
          <cell r="AN96">
            <v>0</v>
          </cell>
          <cell r="AO96">
            <v>0</v>
          </cell>
          <cell r="AP96">
            <v>0</v>
          </cell>
          <cell r="AQ96">
            <v>0</v>
          </cell>
          <cell r="AR96">
            <v>0</v>
          </cell>
          <cell r="AS96">
            <v>0</v>
          </cell>
          <cell r="AT96">
            <v>299.42600609787638</v>
          </cell>
          <cell r="AU96">
            <v>124.57399390212362</v>
          </cell>
          <cell r="AW96">
            <v>3059</v>
          </cell>
          <cell r="AX96">
            <v>0</v>
          </cell>
          <cell r="AY96">
            <v>3059</v>
          </cell>
          <cell r="AZ96">
            <v>0</v>
          </cell>
          <cell r="BA96">
            <v>3059</v>
          </cell>
          <cell r="BB96">
            <v>0</v>
          </cell>
          <cell r="BC96">
            <v>3059</v>
          </cell>
          <cell r="BD96">
            <v>0</v>
          </cell>
          <cell r="BE96">
            <v>424</v>
          </cell>
          <cell r="BF96">
            <v>0</v>
          </cell>
          <cell r="BH96">
            <v>3483</v>
          </cell>
          <cell r="BI96">
            <v>0</v>
          </cell>
          <cell r="BJ96">
            <v>3483</v>
          </cell>
          <cell r="BK96">
            <v>0</v>
          </cell>
          <cell r="BL96">
            <v>3483</v>
          </cell>
        </row>
        <row r="97">
          <cell r="B97" t="str">
            <v>MEDSTAR</v>
          </cell>
          <cell r="C97" t="str">
            <v>HELIX</v>
          </cell>
          <cell r="D97">
            <v>1900308</v>
          </cell>
          <cell r="E97">
            <v>61864</v>
          </cell>
          <cell r="F97" t="str">
            <v>ASC</v>
          </cell>
          <cell r="G97" t="str">
            <v>JAN</v>
          </cell>
          <cell r="H97" t="str">
            <v>Daniels</v>
          </cell>
          <cell r="I97" t="str">
            <v>Drusano</v>
          </cell>
          <cell r="J97" t="str">
            <v>Weekly Wire</v>
          </cell>
          <cell r="K97" t="str">
            <v>LISA</v>
          </cell>
          <cell r="L97" t="str">
            <v>None</v>
          </cell>
          <cell r="M97">
            <v>0</v>
          </cell>
          <cell r="N97">
            <v>170802</v>
          </cell>
          <cell r="O97" t="str">
            <v>Nasco</v>
          </cell>
          <cell r="P97" t="str">
            <v>LOCAL</v>
          </cell>
          <cell r="Q97">
            <v>6760</v>
          </cell>
          <cell r="R97">
            <v>0</v>
          </cell>
          <cell r="S97">
            <v>300000</v>
          </cell>
          <cell r="T97">
            <v>1.35</v>
          </cell>
          <cell r="U97">
            <v>386077.3</v>
          </cell>
          <cell r="V97">
            <v>55153.9</v>
          </cell>
          <cell r="W97">
            <v>441231.2</v>
          </cell>
          <cell r="X97">
            <v>0</v>
          </cell>
          <cell r="Y97">
            <v>0</v>
          </cell>
          <cell r="Z97">
            <v>0</v>
          </cell>
          <cell r="AA97">
            <v>0</v>
          </cell>
          <cell r="AB97">
            <v>2316463.7999999998</v>
          </cell>
          <cell r="AC97">
            <v>2757695</v>
          </cell>
          <cell r="AD97">
            <v>-797</v>
          </cell>
          <cell r="AE97">
            <v>2756898</v>
          </cell>
          <cell r="AF97">
            <v>0</v>
          </cell>
          <cell r="AG97">
            <v>0</v>
          </cell>
          <cell r="AH97">
            <v>-11250</v>
          </cell>
          <cell r="AI97">
            <v>33072066</v>
          </cell>
          <cell r="AJ97">
            <v>35829761</v>
          </cell>
          <cell r="AK97">
            <v>2757695</v>
          </cell>
          <cell r="AL97">
            <v>35829761</v>
          </cell>
          <cell r="AM97">
            <v>0</v>
          </cell>
          <cell r="AN97">
            <v>0</v>
          </cell>
          <cell r="AO97">
            <v>0</v>
          </cell>
          <cell r="AP97">
            <v>0</v>
          </cell>
          <cell r="AQ97">
            <v>107347</v>
          </cell>
          <cell r="AR97">
            <v>0</v>
          </cell>
          <cell r="AS97">
            <v>107347</v>
          </cell>
          <cell r="AT97">
            <v>3246361.7113034674</v>
          </cell>
          <cell r="AU97">
            <v>-608060.7113034674</v>
          </cell>
          <cell r="AW97">
            <v>33179413</v>
          </cell>
          <cell r="AX97">
            <v>45097</v>
          </cell>
          <cell r="AY97">
            <v>33224510</v>
          </cell>
          <cell r="AZ97">
            <v>0</v>
          </cell>
          <cell r="BA97">
            <v>33224510</v>
          </cell>
          <cell r="BB97">
            <v>0</v>
          </cell>
          <cell r="BC97">
            <v>33224510</v>
          </cell>
          <cell r="BD97">
            <v>-797</v>
          </cell>
          <cell r="BE97">
            <v>2757695</v>
          </cell>
          <cell r="BF97">
            <v>-11250</v>
          </cell>
          <cell r="BH97">
            <v>35970158</v>
          </cell>
          <cell r="BI97">
            <v>107347</v>
          </cell>
          <cell r="BJ97">
            <v>35862811</v>
          </cell>
          <cell r="BK97">
            <v>0</v>
          </cell>
          <cell r="BL97">
            <v>35862811</v>
          </cell>
        </row>
        <row r="98">
          <cell r="B98" t="str">
            <v>MERCANTILE BANK RETRO</v>
          </cell>
          <cell r="C98">
            <v>0</v>
          </cell>
          <cell r="D98">
            <v>1900177</v>
          </cell>
          <cell r="E98">
            <v>7517</v>
          </cell>
          <cell r="F98" t="str">
            <v>Modified Retro</v>
          </cell>
          <cell r="G98" t="str">
            <v>JAN</v>
          </cell>
          <cell r="H98" t="str">
            <v>Michael</v>
          </cell>
          <cell r="I98" t="str">
            <v>Maier</v>
          </cell>
          <cell r="J98" t="str">
            <v>Retrospective</v>
          </cell>
          <cell r="K98" t="str">
            <v>NETTIE</v>
          </cell>
          <cell r="L98" t="str">
            <v>None</v>
          </cell>
          <cell r="M98">
            <v>0</v>
          </cell>
          <cell r="N98">
            <v>0</v>
          </cell>
          <cell r="O98" t="str">
            <v>Nasco</v>
          </cell>
          <cell r="P98" t="str">
            <v>NATIONAL</v>
          </cell>
          <cell r="Q98">
            <v>1478</v>
          </cell>
          <cell r="R98">
            <v>0</v>
          </cell>
          <cell r="S98">
            <v>125000</v>
          </cell>
          <cell r="T98">
            <v>1.25</v>
          </cell>
          <cell r="U98">
            <v>583653.51</v>
          </cell>
          <cell r="V98">
            <v>35372.94</v>
          </cell>
          <cell r="W98">
            <v>619026.44999999995</v>
          </cell>
          <cell r="X98">
            <v>88432.35</v>
          </cell>
          <cell r="Y98">
            <v>53059.41</v>
          </cell>
          <cell r="Z98">
            <v>0</v>
          </cell>
          <cell r="AA98">
            <v>0</v>
          </cell>
          <cell r="AB98">
            <v>1008128.79</v>
          </cell>
          <cell r="AC98">
            <v>1768647</v>
          </cell>
          <cell r="AD98">
            <v>45</v>
          </cell>
          <cell r="AE98">
            <v>1768692</v>
          </cell>
          <cell r="AF98">
            <v>0</v>
          </cell>
          <cell r="AG98">
            <v>0</v>
          </cell>
          <cell r="AH98">
            <v>0</v>
          </cell>
          <cell r="AI98">
            <v>9745368</v>
          </cell>
          <cell r="AJ98">
            <v>11514015</v>
          </cell>
          <cell r="AK98">
            <v>1768647</v>
          </cell>
          <cell r="AL98">
            <v>11514015</v>
          </cell>
          <cell r="AM98">
            <v>0</v>
          </cell>
          <cell r="AN98">
            <v>0</v>
          </cell>
          <cell r="AO98">
            <v>0</v>
          </cell>
          <cell r="AP98">
            <v>0</v>
          </cell>
          <cell r="AQ98">
            <v>134931</v>
          </cell>
          <cell r="AR98">
            <v>0</v>
          </cell>
          <cell r="AS98">
            <v>134931</v>
          </cell>
          <cell r="AT98">
            <v>958024.37704872852</v>
          </cell>
          <cell r="AU98">
            <v>675736.62295127148</v>
          </cell>
          <cell r="AW98">
            <v>9880299</v>
          </cell>
          <cell r="AX98">
            <v>32448</v>
          </cell>
          <cell r="AY98">
            <v>9912747</v>
          </cell>
          <cell r="AZ98">
            <v>0</v>
          </cell>
          <cell r="BA98">
            <v>9912747</v>
          </cell>
          <cell r="BB98">
            <v>0</v>
          </cell>
          <cell r="BC98">
            <v>9912747</v>
          </cell>
          <cell r="BD98">
            <v>45</v>
          </cell>
          <cell r="BE98">
            <v>1768647</v>
          </cell>
          <cell r="BF98">
            <v>0</v>
          </cell>
          <cell r="BH98">
            <v>11681439</v>
          </cell>
          <cell r="BI98">
            <v>134931</v>
          </cell>
          <cell r="BJ98">
            <v>11546508</v>
          </cell>
          <cell r="BK98">
            <v>0</v>
          </cell>
          <cell r="BL98">
            <v>11546508</v>
          </cell>
        </row>
        <row r="99">
          <cell r="B99" t="str">
            <v>MERCY MEDICAL</v>
          </cell>
          <cell r="C99">
            <v>0</v>
          </cell>
          <cell r="D99" t="str">
            <v>n/a</v>
          </cell>
          <cell r="E99">
            <v>58359</v>
          </cell>
          <cell r="F99" t="str">
            <v>ASC</v>
          </cell>
          <cell r="G99" t="str">
            <v>JUL</v>
          </cell>
          <cell r="H99" t="str">
            <v>Richardson</v>
          </cell>
          <cell r="I99" t="str">
            <v>Patton</v>
          </cell>
          <cell r="J99" t="str">
            <v>Deposit-2 Months</v>
          </cell>
          <cell r="K99" t="str">
            <v>DONNA</v>
          </cell>
          <cell r="L99" t="str">
            <v>None</v>
          </cell>
          <cell r="M99">
            <v>122000</v>
          </cell>
          <cell r="N99">
            <v>0</v>
          </cell>
          <cell r="O99" t="str">
            <v>CARE-S</v>
          </cell>
          <cell r="P99" t="str">
            <v>LOCAL</v>
          </cell>
          <cell r="Q99">
            <v>160</v>
          </cell>
          <cell r="R99">
            <v>0</v>
          </cell>
          <cell r="S99">
            <v>0</v>
          </cell>
          <cell r="T99">
            <v>0</v>
          </cell>
          <cell r="U99">
            <v>0</v>
          </cell>
          <cell r="V99">
            <v>0</v>
          </cell>
          <cell r="W99">
            <v>0</v>
          </cell>
          <cell r="X99">
            <v>0</v>
          </cell>
          <cell r="Y99">
            <v>0</v>
          </cell>
          <cell r="Z99">
            <v>0</v>
          </cell>
          <cell r="AA99">
            <v>0</v>
          </cell>
          <cell r="AB99">
            <v>108385</v>
          </cell>
          <cell r="AC99">
            <v>108385</v>
          </cell>
          <cell r="AD99">
            <v>0</v>
          </cell>
          <cell r="AE99">
            <v>108385</v>
          </cell>
          <cell r="AF99">
            <v>0</v>
          </cell>
          <cell r="AG99">
            <v>0</v>
          </cell>
          <cell r="AH99">
            <v>-512</v>
          </cell>
          <cell r="AI99">
            <v>644080</v>
          </cell>
          <cell r="AJ99">
            <v>752465</v>
          </cell>
          <cell r="AK99">
            <v>108385</v>
          </cell>
          <cell r="AL99">
            <v>752465</v>
          </cell>
          <cell r="AM99">
            <v>0</v>
          </cell>
          <cell r="AN99">
            <v>0</v>
          </cell>
          <cell r="AO99">
            <v>0</v>
          </cell>
          <cell r="AP99">
            <v>0</v>
          </cell>
          <cell r="AQ99">
            <v>0</v>
          </cell>
          <cell r="AR99">
            <v>0</v>
          </cell>
          <cell r="AS99">
            <v>0</v>
          </cell>
          <cell r="AT99">
            <v>63297.065071609286</v>
          </cell>
          <cell r="AU99">
            <v>44575.934928390714</v>
          </cell>
          <cell r="AW99">
            <v>644080</v>
          </cell>
          <cell r="AX99">
            <v>0</v>
          </cell>
          <cell r="AY99">
            <v>644080</v>
          </cell>
          <cell r="AZ99">
            <v>0</v>
          </cell>
          <cell r="BA99">
            <v>644080</v>
          </cell>
          <cell r="BB99">
            <v>0</v>
          </cell>
          <cell r="BC99">
            <v>644080</v>
          </cell>
          <cell r="BD99">
            <v>0</v>
          </cell>
          <cell r="BE99">
            <v>108385</v>
          </cell>
          <cell r="BF99">
            <v>-512</v>
          </cell>
          <cell r="BH99">
            <v>751953</v>
          </cell>
          <cell r="BI99">
            <v>0</v>
          </cell>
          <cell r="BJ99">
            <v>751953</v>
          </cell>
          <cell r="BK99">
            <v>0</v>
          </cell>
          <cell r="BL99">
            <v>751953</v>
          </cell>
        </row>
        <row r="100">
          <cell r="B100" t="str">
            <v>MILES &amp; STOCKBRIDGE</v>
          </cell>
          <cell r="C100">
            <v>0</v>
          </cell>
          <cell r="D100">
            <v>1900151</v>
          </cell>
          <cell r="E100">
            <v>27117</v>
          </cell>
          <cell r="F100" t="str">
            <v>ASC</v>
          </cell>
          <cell r="G100" t="str">
            <v>JAN</v>
          </cell>
          <cell r="H100" t="str">
            <v>Parker Mann</v>
          </cell>
          <cell r="I100" t="str">
            <v>Patton</v>
          </cell>
          <cell r="J100" t="str">
            <v>Deposit--2 Months</v>
          </cell>
          <cell r="K100" t="str">
            <v>BARBARA</v>
          </cell>
          <cell r="L100" t="str">
            <v>None</v>
          </cell>
          <cell r="M100">
            <v>380624</v>
          </cell>
          <cell r="N100">
            <v>46428</v>
          </cell>
          <cell r="O100" t="str">
            <v>NASCO-S</v>
          </cell>
          <cell r="P100" t="str">
            <v>LOCAL</v>
          </cell>
          <cell r="Q100">
            <v>335</v>
          </cell>
          <cell r="R100">
            <v>0</v>
          </cell>
          <cell r="S100">
            <v>60000</v>
          </cell>
          <cell r="T100">
            <v>1.25</v>
          </cell>
          <cell r="U100">
            <v>158804.66</v>
          </cell>
          <cell r="V100">
            <v>29253.49</v>
          </cell>
          <cell r="W100">
            <v>188058.15</v>
          </cell>
          <cell r="X100">
            <v>12537.21</v>
          </cell>
          <cell r="Y100">
            <v>4179.07</v>
          </cell>
          <cell r="Z100">
            <v>0</v>
          </cell>
          <cell r="AA100">
            <v>0</v>
          </cell>
          <cell r="AB100">
            <v>213132.57</v>
          </cell>
          <cell r="AC100">
            <v>417907</v>
          </cell>
          <cell r="AD100">
            <v>47</v>
          </cell>
          <cell r="AE100">
            <v>417954</v>
          </cell>
          <cell r="AF100">
            <v>0</v>
          </cell>
          <cell r="AG100">
            <v>0</v>
          </cell>
          <cell r="AH100">
            <v>0</v>
          </cell>
          <cell r="AI100">
            <v>1717162</v>
          </cell>
          <cell r="AJ100">
            <v>2135069</v>
          </cell>
          <cell r="AK100">
            <v>417907</v>
          </cell>
          <cell r="AL100">
            <v>2135069</v>
          </cell>
          <cell r="AM100">
            <v>0</v>
          </cell>
          <cell r="AN100">
            <v>0</v>
          </cell>
          <cell r="AO100">
            <v>0</v>
          </cell>
          <cell r="AP100">
            <v>0</v>
          </cell>
          <cell r="AQ100">
            <v>1385</v>
          </cell>
          <cell r="AR100">
            <v>0</v>
          </cell>
          <cell r="AS100">
            <v>1385</v>
          </cell>
          <cell r="AT100">
            <v>166247.11105312032</v>
          </cell>
          <cell r="AU100">
            <v>250321.88894687968</v>
          </cell>
          <cell r="AW100">
            <v>1718547</v>
          </cell>
          <cell r="AX100">
            <v>5075</v>
          </cell>
          <cell r="AY100">
            <v>1723622</v>
          </cell>
          <cell r="AZ100">
            <v>0</v>
          </cell>
          <cell r="BA100">
            <v>1723622</v>
          </cell>
          <cell r="BB100">
            <v>0</v>
          </cell>
          <cell r="BC100">
            <v>1723622</v>
          </cell>
          <cell r="BD100">
            <v>47</v>
          </cell>
          <cell r="BE100">
            <v>417907</v>
          </cell>
          <cell r="BF100">
            <v>0</v>
          </cell>
          <cell r="BH100">
            <v>2141576</v>
          </cell>
          <cell r="BI100">
            <v>1385</v>
          </cell>
          <cell r="BJ100">
            <v>2140191</v>
          </cell>
          <cell r="BK100">
            <v>0</v>
          </cell>
          <cell r="BL100">
            <v>2140191</v>
          </cell>
        </row>
        <row r="101">
          <cell r="B101" t="str">
            <v>MILLENNIUM AMERICA HOLDINGS INC</v>
          </cell>
          <cell r="C101" t="str">
            <v>M I C/S C M</v>
          </cell>
          <cell r="D101">
            <v>1900186</v>
          </cell>
          <cell r="E101">
            <v>10427</v>
          </cell>
          <cell r="F101" t="str">
            <v>ASC</v>
          </cell>
          <cell r="G101" t="str">
            <v>JAN</v>
          </cell>
          <cell r="H101" t="str">
            <v>Howard</v>
          </cell>
          <cell r="I101" t="str">
            <v>Engel</v>
          </cell>
          <cell r="J101" t="str">
            <v>Deposit--2 Month</v>
          </cell>
          <cell r="K101" t="str">
            <v>BARBARA</v>
          </cell>
          <cell r="L101" t="str">
            <v xml:space="preserve">Aon  </v>
          </cell>
          <cell r="M101">
            <v>719374</v>
          </cell>
          <cell r="N101">
            <v>97040</v>
          </cell>
          <cell r="O101" t="str">
            <v>NASCO-S</v>
          </cell>
          <cell r="P101" t="str">
            <v>NATIONAL</v>
          </cell>
          <cell r="Q101">
            <v>425</v>
          </cell>
          <cell r="R101">
            <v>0</v>
          </cell>
          <cell r="S101">
            <v>150000</v>
          </cell>
          <cell r="T101">
            <v>0</v>
          </cell>
          <cell r="U101">
            <v>203913.74</v>
          </cell>
          <cell r="V101">
            <v>0</v>
          </cell>
          <cell r="W101">
            <v>203913.74</v>
          </cell>
          <cell r="X101">
            <v>28453.08</v>
          </cell>
          <cell r="Y101">
            <v>0</v>
          </cell>
          <cell r="Z101">
            <v>0</v>
          </cell>
          <cell r="AA101">
            <v>0</v>
          </cell>
          <cell r="AB101">
            <v>241851.18</v>
          </cell>
          <cell r="AC101">
            <v>474218</v>
          </cell>
          <cell r="AD101">
            <v>62</v>
          </cell>
          <cell r="AE101">
            <v>474280</v>
          </cell>
          <cell r="AF101">
            <v>0</v>
          </cell>
          <cell r="AG101">
            <v>0</v>
          </cell>
          <cell r="AH101">
            <v>-916</v>
          </cell>
          <cell r="AI101">
            <v>3304145</v>
          </cell>
          <cell r="AJ101">
            <v>3778363</v>
          </cell>
          <cell r="AK101">
            <v>474218</v>
          </cell>
          <cell r="AL101">
            <v>3778363</v>
          </cell>
          <cell r="AM101">
            <v>0</v>
          </cell>
          <cell r="AN101">
            <v>0</v>
          </cell>
          <cell r="AO101">
            <v>0</v>
          </cell>
          <cell r="AP101">
            <v>0</v>
          </cell>
          <cell r="AQ101">
            <v>16852</v>
          </cell>
          <cell r="AR101">
            <v>0</v>
          </cell>
          <cell r="AS101">
            <v>16852</v>
          </cell>
          <cell r="AT101">
            <v>318689.50561898714</v>
          </cell>
          <cell r="AU101">
            <v>137822.49438101286</v>
          </cell>
          <cell r="AW101">
            <v>3320997</v>
          </cell>
          <cell r="AX101">
            <v>33007</v>
          </cell>
          <cell r="AY101">
            <v>3354004</v>
          </cell>
          <cell r="AZ101">
            <v>0</v>
          </cell>
          <cell r="BA101">
            <v>3354004</v>
          </cell>
          <cell r="BB101">
            <v>0</v>
          </cell>
          <cell r="BC101">
            <v>3354004</v>
          </cell>
          <cell r="BD101">
            <v>62</v>
          </cell>
          <cell r="BE101">
            <v>474218</v>
          </cell>
          <cell r="BF101">
            <v>-916</v>
          </cell>
          <cell r="BH101">
            <v>3827368</v>
          </cell>
          <cell r="BI101">
            <v>16852</v>
          </cell>
          <cell r="BJ101">
            <v>3810516</v>
          </cell>
          <cell r="BK101">
            <v>0</v>
          </cell>
          <cell r="BL101">
            <v>3810516</v>
          </cell>
        </row>
        <row r="102">
          <cell r="B102" t="str">
            <v>MOBILEX</v>
          </cell>
          <cell r="C102">
            <v>0</v>
          </cell>
          <cell r="D102">
            <v>1900486</v>
          </cell>
          <cell r="E102">
            <v>64881</v>
          </cell>
          <cell r="F102" t="str">
            <v>ASC</v>
          </cell>
          <cell r="G102" t="str">
            <v>JAN</v>
          </cell>
          <cell r="H102" t="str">
            <v>Parker Mann</v>
          </cell>
          <cell r="I102" t="str">
            <v>Engel</v>
          </cell>
          <cell r="J102" t="str">
            <v>Weekly Wire</v>
          </cell>
          <cell r="K102" t="str">
            <v>DONNA</v>
          </cell>
          <cell r="L102" t="str">
            <v>Wachovia</v>
          </cell>
          <cell r="M102">
            <v>0</v>
          </cell>
          <cell r="N102">
            <v>0</v>
          </cell>
          <cell r="O102" t="str">
            <v>NASCO</v>
          </cell>
          <cell r="P102" t="str">
            <v>NATIONAL</v>
          </cell>
          <cell r="Q102">
            <v>446</v>
          </cell>
          <cell r="R102">
            <v>0</v>
          </cell>
          <cell r="S102">
            <v>0</v>
          </cell>
          <cell r="T102">
            <v>0</v>
          </cell>
          <cell r="U102">
            <v>0</v>
          </cell>
          <cell r="V102">
            <v>0</v>
          </cell>
          <cell r="W102">
            <v>0</v>
          </cell>
          <cell r="X102">
            <v>0</v>
          </cell>
          <cell r="Y102">
            <v>6466.94</v>
          </cell>
          <cell r="Z102">
            <v>0</v>
          </cell>
          <cell r="AA102">
            <v>103471.03999999999</v>
          </cell>
          <cell r="AB102">
            <v>213409.02</v>
          </cell>
          <cell r="AC102">
            <v>323347</v>
          </cell>
          <cell r="AD102">
            <v>6</v>
          </cell>
          <cell r="AE102">
            <v>323353</v>
          </cell>
          <cell r="AF102">
            <v>0</v>
          </cell>
          <cell r="AG102">
            <v>0</v>
          </cell>
          <cell r="AH102">
            <v>0</v>
          </cell>
          <cell r="AI102">
            <v>2523230</v>
          </cell>
          <cell r="AJ102">
            <v>2846577</v>
          </cell>
          <cell r="AK102">
            <v>323347</v>
          </cell>
          <cell r="AL102">
            <v>2743105.96</v>
          </cell>
          <cell r="AM102">
            <v>0</v>
          </cell>
          <cell r="AN102">
            <v>0</v>
          </cell>
          <cell r="AO102">
            <v>0</v>
          </cell>
          <cell r="AP102">
            <v>0</v>
          </cell>
          <cell r="AQ102">
            <v>0</v>
          </cell>
          <cell r="AR102">
            <v>0</v>
          </cell>
          <cell r="AS102">
            <v>0</v>
          </cell>
          <cell r="AT102">
            <v>242709.15943038947</v>
          </cell>
          <cell r="AU102">
            <v>-22827.199430389475</v>
          </cell>
          <cell r="AW102">
            <v>2523230</v>
          </cell>
          <cell r="AX102">
            <v>130685</v>
          </cell>
          <cell r="AY102">
            <v>2653915</v>
          </cell>
          <cell r="AZ102">
            <v>0</v>
          </cell>
          <cell r="BA102">
            <v>2653915</v>
          </cell>
          <cell r="BB102">
            <v>0</v>
          </cell>
          <cell r="BC102">
            <v>2653915</v>
          </cell>
          <cell r="BD102">
            <v>6</v>
          </cell>
          <cell r="BE102">
            <v>323347</v>
          </cell>
          <cell r="BF102">
            <v>0</v>
          </cell>
          <cell r="BH102">
            <v>2977268</v>
          </cell>
          <cell r="BI102">
            <v>0</v>
          </cell>
          <cell r="BJ102">
            <v>2977268</v>
          </cell>
          <cell r="BK102">
            <v>0</v>
          </cell>
          <cell r="BL102">
            <v>2977268</v>
          </cell>
        </row>
        <row r="103">
          <cell r="B103" t="str">
            <v>NEXTEL</v>
          </cell>
          <cell r="C103">
            <v>0</v>
          </cell>
          <cell r="D103">
            <v>1900058</v>
          </cell>
          <cell r="E103">
            <v>55710</v>
          </cell>
          <cell r="F103" t="str">
            <v>ASC</v>
          </cell>
          <cell r="G103" t="str">
            <v>JAN</v>
          </cell>
          <cell r="H103" t="str">
            <v>McManus</v>
          </cell>
          <cell r="I103" t="str">
            <v>Waters</v>
          </cell>
          <cell r="J103" t="str">
            <v>Weekly Check</v>
          </cell>
          <cell r="K103" t="str">
            <v>GINNY</v>
          </cell>
          <cell r="L103" t="str">
            <v>Laslett Blue</v>
          </cell>
          <cell r="M103">
            <v>0</v>
          </cell>
          <cell r="N103">
            <v>0</v>
          </cell>
          <cell r="O103" t="str">
            <v>NASCO-S</v>
          </cell>
          <cell r="P103" t="str">
            <v>NATIONAL</v>
          </cell>
          <cell r="Q103">
            <v>824</v>
          </cell>
          <cell r="R103">
            <v>0</v>
          </cell>
          <cell r="S103">
            <v>0</v>
          </cell>
          <cell r="T103">
            <v>0</v>
          </cell>
          <cell r="U103">
            <v>0</v>
          </cell>
          <cell r="V103">
            <v>0</v>
          </cell>
          <cell r="W103">
            <v>0</v>
          </cell>
          <cell r="X103">
            <v>0</v>
          </cell>
          <cell r="Y103">
            <v>0</v>
          </cell>
          <cell r="Z103">
            <v>0</v>
          </cell>
          <cell r="AA103">
            <v>0</v>
          </cell>
          <cell r="AB103">
            <v>143426</v>
          </cell>
          <cell r="AC103">
            <v>143426</v>
          </cell>
          <cell r="AD103">
            <v>0</v>
          </cell>
          <cell r="AE103">
            <v>143426</v>
          </cell>
          <cell r="AF103">
            <v>0</v>
          </cell>
          <cell r="AG103">
            <v>0</v>
          </cell>
          <cell r="AH103">
            <v>0</v>
          </cell>
          <cell r="AI103">
            <v>2617156</v>
          </cell>
          <cell r="AJ103">
            <v>2760582</v>
          </cell>
          <cell r="AK103">
            <v>143426</v>
          </cell>
          <cell r="AL103">
            <v>2760582</v>
          </cell>
          <cell r="AM103">
            <v>0</v>
          </cell>
          <cell r="AN103">
            <v>0</v>
          </cell>
          <cell r="AO103">
            <v>0</v>
          </cell>
          <cell r="AP103">
            <v>0</v>
          </cell>
          <cell r="AQ103">
            <v>0</v>
          </cell>
          <cell r="AR103">
            <v>0</v>
          </cell>
          <cell r="AS103">
            <v>0</v>
          </cell>
          <cell r="AT103">
            <v>253206.61195197774</v>
          </cell>
          <cell r="AU103">
            <v>-109780.61195197774</v>
          </cell>
          <cell r="AW103">
            <v>2617156</v>
          </cell>
          <cell r="AX103">
            <v>154584</v>
          </cell>
          <cell r="AY103">
            <v>2771740</v>
          </cell>
          <cell r="AZ103">
            <v>0</v>
          </cell>
          <cell r="BA103">
            <v>2771740</v>
          </cell>
          <cell r="BB103">
            <v>0</v>
          </cell>
          <cell r="BC103">
            <v>2771740</v>
          </cell>
          <cell r="BD103">
            <v>0</v>
          </cell>
          <cell r="BE103">
            <v>143426</v>
          </cell>
          <cell r="BF103">
            <v>0</v>
          </cell>
          <cell r="BH103">
            <v>2915166</v>
          </cell>
          <cell r="BI103">
            <v>0</v>
          </cell>
          <cell r="BJ103">
            <v>2915166</v>
          </cell>
          <cell r="BK103">
            <v>0</v>
          </cell>
          <cell r="BL103">
            <v>2915166</v>
          </cell>
        </row>
        <row r="104">
          <cell r="B104" t="str">
            <v>NORSK HYDRO ALUMINUM</v>
          </cell>
          <cell r="C104" t="str">
            <v>WELLS ALUMINUM</v>
          </cell>
          <cell r="D104">
            <v>1900050</v>
          </cell>
          <cell r="E104">
            <v>54863</v>
          </cell>
          <cell r="F104" t="str">
            <v>ASC</v>
          </cell>
          <cell r="G104" t="str">
            <v>JAN</v>
          </cell>
          <cell r="H104" t="str">
            <v>Parker Mann</v>
          </cell>
          <cell r="I104" t="str">
            <v>Drusano</v>
          </cell>
          <cell r="J104" t="str">
            <v>Direct Debit--Weekly</v>
          </cell>
          <cell r="K104" t="str">
            <v>BARBARA</v>
          </cell>
          <cell r="L104" t="str">
            <v>None</v>
          </cell>
          <cell r="M104">
            <v>0</v>
          </cell>
          <cell r="N104">
            <v>15000</v>
          </cell>
          <cell r="O104" t="str">
            <v>NASCO</v>
          </cell>
          <cell r="P104" t="str">
            <v>NATIONAL</v>
          </cell>
          <cell r="Q104">
            <v>2707</v>
          </cell>
          <cell r="R104">
            <v>0</v>
          </cell>
          <cell r="S104">
            <v>150000</v>
          </cell>
          <cell r="T104">
            <v>0</v>
          </cell>
          <cell r="U104">
            <v>566500.71</v>
          </cell>
          <cell r="V104">
            <v>0</v>
          </cell>
          <cell r="W104">
            <v>566500.71</v>
          </cell>
          <cell r="X104">
            <v>0</v>
          </cell>
          <cell r="Y104">
            <v>0</v>
          </cell>
          <cell r="Z104">
            <v>0</v>
          </cell>
          <cell r="AA104">
            <v>0</v>
          </cell>
          <cell r="AB104">
            <v>964582.29</v>
          </cell>
          <cell r="AC104">
            <v>1531083</v>
          </cell>
          <cell r="AD104">
            <v>7</v>
          </cell>
          <cell r="AE104">
            <v>1531090</v>
          </cell>
          <cell r="AF104">
            <v>0</v>
          </cell>
          <cell r="AG104">
            <v>0</v>
          </cell>
          <cell r="AH104">
            <v>-6250</v>
          </cell>
          <cell r="AI104">
            <v>12775022</v>
          </cell>
          <cell r="AJ104">
            <v>14306105</v>
          </cell>
          <cell r="AK104">
            <v>1531083</v>
          </cell>
          <cell r="AL104">
            <v>14306105</v>
          </cell>
          <cell r="AM104">
            <v>0</v>
          </cell>
          <cell r="AN104">
            <v>0</v>
          </cell>
          <cell r="AO104">
            <v>0</v>
          </cell>
          <cell r="AP104">
            <v>0</v>
          </cell>
          <cell r="AQ104">
            <v>245963</v>
          </cell>
          <cell r="AR104">
            <v>0</v>
          </cell>
          <cell r="AS104">
            <v>245963</v>
          </cell>
          <cell r="AT104">
            <v>1262069.8789781746</v>
          </cell>
          <cell r="AU104">
            <v>16807.121021825355</v>
          </cell>
          <cell r="AW104">
            <v>13020985</v>
          </cell>
          <cell r="AX104">
            <v>300320</v>
          </cell>
          <cell r="AY104">
            <v>13321305</v>
          </cell>
          <cell r="AZ104">
            <v>443844</v>
          </cell>
          <cell r="BA104">
            <v>13765149</v>
          </cell>
          <cell r="BB104">
            <v>0</v>
          </cell>
          <cell r="BC104">
            <v>13765149</v>
          </cell>
          <cell r="BD104">
            <v>7</v>
          </cell>
          <cell r="BE104">
            <v>1531083</v>
          </cell>
          <cell r="BF104">
            <v>-6250</v>
          </cell>
          <cell r="BH104">
            <v>15289989</v>
          </cell>
          <cell r="BI104">
            <v>245963</v>
          </cell>
          <cell r="BJ104">
            <v>15044026</v>
          </cell>
          <cell r="BK104">
            <v>0</v>
          </cell>
          <cell r="BL104">
            <v>15044026</v>
          </cell>
        </row>
        <row r="105">
          <cell r="B105" t="str">
            <v>NOXELL CORP</v>
          </cell>
          <cell r="C105">
            <v>0</v>
          </cell>
          <cell r="D105">
            <v>1900160</v>
          </cell>
          <cell r="E105">
            <v>27954</v>
          </cell>
          <cell r="F105" t="str">
            <v>ASC</v>
          </cell>
          <cell r="G105" t="str">
            <v>JAN</v>
          </cell>
          <cell r="H105" t="str">
            <v>Lentz</v>
          </cell>
          <cell r="I105" t="str">
            <v>Maier</v>
          </cell>
          <cell r="J105" t="str">
            <v>Direct Debit--Weekly</v>
          </cell>
          <cell r="K105" t="str">
            <v>BARBARA</v>
          </cell>
          <cell r="L105" t="str">
            <v>None</v>
          </cell>
          <cell r="M105">
            <v>0</v>
          </cell>
          <cell r="N105">
            <v>0</v>
          </cell>
          <cell r="O105" t="str">
            <v>NASCO</v>
          </cell>
          <cell r="P105" t="str">
            <v>LOCAL</v>
          </cell>
          <cell r="Q105">
            <v>861</v>
          </cell>
          <cell r="R105">
            <v>0</v>
          </cell>
          <cell r="S105">
            <v>0</v>
          </cell>
          <cell r="T105">
            <v>0</v>
          </cell>
          <cell r="U105">
            <v>0</v>
          </cell>
          <cell r="V105">
            <v>0</v>
          </cell>
          <cell r="W105">
            <v>0</v>
          </cell>
          <cell r="X105">
            <v>0</v>
          </cell>
          <cell r="Y105">
            <v>0</v>
          </cell>
          <cell r="Z105">
            <v>0</v>
          </cell>
          <cell r="AA105">
            <v>0</v>
          </cell>
          <cell r="AB105">
            <v>5346</v>
          </cell>
          <cell r="AC105">
            <v>5346</v>
          </cell>
          <cell r="AD105">
            <v>-270</v>
          </cell>
          <cell r="AE105">
            <v>5076</v>
          </cell>
          <cell r="AF105">
            <v>0</v>
          </cell>
          <cell r="AG105">
            <v>0</v>
          </cell>
          <cell r="AH105">
            <v>0</v>
          </cell>
          <cell r="AI105">
            <v>3595528</v>
          </cell>
          <cell r="AJ105">
            <v>3600874</v>
          </cell>
          <cell r="AK105">
            <v>5346</v>
          </cell>
          <cell r="AL105">
            <v>3600874</v>
          </cell>
          <cell r="AM105">
            <v>0</v>
          </cell>
          <cell r="AN105">
            <v>0</v>
          </cell>
          <cell r="AO105">
            <v>0</v>
          </cell>
          <cell r="AP105">
            <v>0</v>
          </cell>
          <cell r="AQ105">
            <v>0</v>
          </cell>
          <cell r="AR105">
            <v>0</v>
          </cell>
          <cell r="AS105">
            <v>0</v>
          </cell>
          <cell r="AT105">
            <v>350558.81201774586</v>
          </cell>
          <cell r="AU105">
            <v>-345482.81201774586</v>
          </cell>
          <cell r="AW105">
            <v>3595528</v>
          </cell>
          <cell r="AX105">
            <v>21903</v>
          </cell>
          <cell r="AY105">
            <v>3617431</v>
          </cell>
          <cell r="AZ105">
            <v>0</v>
          </cell>
          <cell r="BA105">
            <v>3617431</v>
          </cell>
          <cell r="BB105">
            <v>0</v>
          </cell>
          <cell r="BC105">
            <v>3617431</v>
          </cell>
          <cell r="BD105">
            <v>-270</v>
          </cell>
          <cell r="BE105">
            <v>5346</v>
          </cell>
          <cell r="BF105">
            <v>0</v>
          </cell>
          <cell r="BH105">
            <v>3622507</v>
          </cell>
          <cell r="BI105">
            <v>0</v>
          </cell>
          <cell r="BJ105">
            <v>3622507</v>
          </cell>
          <cell r="BK105">
            <v>0</v>
          </cell>
          <cell r="BL105">
            <v>3622507</v>
          </cell>
        </row>
        <row r="106">
          <cell r="B106" t="str">
            <v>PACKAGING SERVICES</v>
          </cell>
          <cell r="C106">
            <v>0</v>
          </cell>
          <cell r="D106" t="str">
            <v>n/a</v>
          </cell>
          <cell r="E106">
            <v>59863</v>
          </cell>
          <cell r="F106" t="str">
            <v>ASC</v>
          </cell>
          <cell r="G106" t="str">
            <v>JAN</v>
          </cell>
          <cell r="H106" t="str">
            <v>Michael</v>
          </cell>
          <cell r="I106" t="str">
            <v>Lopez</v>
          </cell>
          <cell r="J106" t="str">
            <v>Direct Debit--Weekly</v>
          </cell>
          <cell r="K106" t="str">
            <v>BARBARA</v>
          </cell>
          <cell r="L106" t="str">
            <v>None</v>
          </cell>
          <cell r="M106">
            <v>0</v>
          </cell>
          <cell r="N106">
            <v>16200</v>
          </cell>
          <cell r="O106" t="str">
            <v>CARE</v>
          </cell>
          <cell r="P106" t="str">
            <v>LOCAL</v>
          </cell>
          <cell r="Q106">
            <v>252</v>
          </cell>
          <cell r="R106">
            <v>0</v>
          </cell>
          <cell r="S106">
            <v>75000</v>
          </cell>
          <cell r="T106">
            <v>1.25</v>
          </cell>
          <cell r="U106">
            <v>114337.11</v>
          </cell>
          <cell r="V106">
            <v>16732.259999999998</v>
          </cell>
          <cell r="W106">
            <v>131069.37</v>
          </cell>
          <cell r="X106">
            <v>11154.84</v>
          </cell>
          <cell r="Y106">
            <v>8366.1299999999992</v>
          </cell>
          <cell r="Z106">
            <v>0</v>
          </cell>
          <cell r="AA106">
            <v>0</v>
          </cell>
          <cell r="AB106">
            <v>128280.66</v>
          </cell>
          <cell r="AC106">
            <v>278871</v>
          </cell>
          <cell r="AD106">
            <v>2</v>
          </cell>
          <cell r="AE106">
            <v>278873</v>
          </cell>
          <cell r="AF106">
            <v>0</v>
          </cell>
          <cell r="AG106">
            <v>0</v>
          </cell>
          <cell r="AH106">
            <v>0</v>
          </cell>
          <cell r="AI106">
            <v>972726</v>
          </cell>
          <cell r="AJ106">
            <v>1251597</v>
          </cell>
          <cell r="AK106">
            <v>278871</v>
          </cell>
          <cell r="AL106">
            <v>1251597</v>
          </cell>
          <cell r="AM106">
            <v>0</v>
          </cell>
          <cell r="AN106">
            <v>0</v>
          </cell>
          <cell r="AO106">
            <v>0</v>
          </cell>
          <cell r="AP106">
            <v>0</v>
          </cell>
          <cell r="AQ106">
            <v>1519</v>
          </cell>
          <cell r="AR106">
            <v>0</v>
          </cell>
          <cell r="AS106">
            <v>1519</v>
          </cell>
          <cell r="AT106">
            <v>94779.726148833841</v>
          </cell>
          <cell r="AU106">
            <v>182574.27385116616</v>
          </cell>
          <cell r="AW106">
            <v>974245</v>
          </cell>
          <cell r="AX106">
            <v>52072</v>
          </cell>
          <cell r="AY106">
            <v>1026317</v>
          </cell>
          <cell r="AZ106">
            <v>0</v>
          </cell>
          <cell r="BA106">
            <v>1026317</v>
          </cell>
          <cell r="BB106">
            <v>0</v>
          </cell>
          <cell r="BC106">
            <v>1026317</v>
          </cell>
          <cell r="BD106">
            <v>2</v>
          </cell>
          <cell r="BE106">
            <v>278871</v>
          </cell>
          <cell r="BF106">
            <v>0</v>
          </cell>
          <cell r="BH106">
            <v>1305190</v>
          </cell>
          <cell r="BI106">
            <v>1519</v>
          </cell>
          <cell r="BJ106">
            <v>1303671</v>
          </cell>
          <cell r="BK106">
            <v>0</v>
          </cell>
          <cell r="BL106">
            <v>1303671</v>
          </cell>
        </row>
        <row r="107">
          <cell r="B107" t="str">
            <v>PIEDMONT AVIATION</v>
          </cell>
          <cell r="C107">
            <v>0</v>
          </cell>
          <cell r="D107">
            <v>1900085</v>
          </cell>
          <cell r="E107">
            <v>56311</v>
          </cell>
          <cell r="F107" t="str">
            <v>ASC</v>
          </cell>
          <cell r="G107" t="str">
            <v>JAN</v>
          </cell>
          <cell r="H107" t="str">
            <v>Howard</v>
          </cell>
          <cell r="I107" t="str">
            <v>Engel</v>
          </cell>
          <cell r="J107" t="str">
            <v>Weekly Wire</v>
          </cell>
          <cell r="K107" t="str">
            <v>LISA</v>
          </cell>
          <cell r="L107" t="str">
            <v>Wachovia</v>
          </cell>
          <cell r="M107">
            <v>0</v>
          </cell>
          <cell r="N107">
            <v>0</v>
          </cell>
          <cell r="O107" t="str">
            <v>NASCO</v>
          </cell>
          <cell r="P107" t="str">
            <v>NATIONAL</v>
          </cell>
          <cell r="Q107">
            <v>975</v>
          </cell>
          <cell r="R107">
            <v>0</v>
          </cell>
          <cell r="S107">
            <v>0</v>
          </cell>
          <cell r="T107">
            <v>0</v>
          </cell>
          <cell r="U107">
            <v>0</v>
          </cell>
          <cell r="V107">
            <v>0</v>
          </cell>
          <cell r="W107">
            <v>0</v>
          </cell>
          <cell r="X107">
            <v>0</v>
          </cell>
          <cell r="Y107">
            <v>12630.98</v>
          </cell>
          <cell r="Z107">
            <v>0</v>
          </cell>
          <cell r="AA107">
            <v>151571.76</v>
          </cell>
          <cell r="AB107">
            <v>467346.26</v>
          </cell>
          <cell r="AC107">
            <v>631549</v>
          </cell>
          <cell r="AD107">
            <v>0</v>
          </cell>
          <cell r="AE107">
            <v>631549</v>
          </cell>
          <cell r="AF107">
            <v>0</v>
          </cell>
          <cell r="AG107">
            <v>0</v>
          </cell>
          <cell r="AH107">
            <v>0</v>
          </cell>
          <cell r="AI107">
            <v>5929543</v>
          </cell>
          <cell r="AJ107">
            <v>6561092</v>
          </cell>
          <cell r="AK107">
            <v>631549</v>
          </cell>
          <cell r="AL107">
            <v>6409520.2400000002</v>
          </cell>
          <cell r="AM107">
            <v>0</v>
          </cell>
          <cell r="AN107">
            <v>0</v>
          </cell>
          <cell r="AO107">
            <v>0</v>
          </cell>
          <cell r="AP107">
            <v>0</v>
          </cell>
          <cell r="AQ107">
            <v>0</v>
          </cell>
          <cell r="AR107">
            <v>0</v>
          </cell>
          <cell r="AS107">
            <v>0</v>
          </cell>
          <cell r="AT107">
            <v>573524.9365884806</v>
          </cell>
          <cell r="AU107">
            <v>-93547.696588480612</v>
          </cell>
          <cell r="AW107">
            <v>5929543</v>
          </cell>
          <cell r="AX107">
            <v>278880</v>
          </cell>
          <cell r="AY107">
            <v>6208423</v>
          </cell>
          <cell r="AZ107">
            <v>0</v>
          </cell>
          <cell r="BA107">
            <v>6208423</v>
          </cell>
          <cell r="BB107">
            <v>0</v>
          </cell>
          <cell r="BC107">
            <v>6208423</v>
          </cell>
          <cell r="BD107">
            <v>0</v>
          </cell>
          <cell r="BE107">
            <v>631549</v>
          </cell>
          <cell r="BF107">
            <v>0</v>
          </cell>
          <cell r="BH107">
            <v>6839972</v>
          </cell>
          <cell r="BI107">
            <v>0</v>
          </cell>
          <cell r="BJ107">
            <v>6839972</v>
          </cell>
          <cell r="BK107">
            <v>0</v>
          </cell>
          <cell r="BL107">
            <v>6839972</v>
          </cell>
        </row>
        <row r="108">
          <cell r="B108" t="str">
            <v>PILOT AIR FREIGHT</v>
          </cell>
          <cell r="C108">
            <v>0</v>
          </cell>
          <cell r="D108">
            <v>1900492</v>
          </cell>
          <cell r="E108">
            <v>65304</v>
          </cell>
          <cell r="F108" t="str">
            <v>ASC</v>
          </cell>
          <cell r="G108" t="str">
            <v>JAN</v>
          </cell>
          <cell r="H108" t="str">
            <v>Daniels</v>
          </cell>
          <cell r="I108" t="str">
            <v>Waters</v>
          </cell>
          <cell r="J108" t="str">
            <v>Weekly Check</v>
          </cell>
          <cell r="K108" t="str">
            <v>GINNY</v>
          </cell>
          <cell r="L108" t="str">
            <v>Laslett Blue</v>
          </cell>
          <cell r="M108">
            <v>0</v>
          </cell>
          <cell r="N108">
            <v>0</v>
          </cell>
          <cell r="O108" t="str">
            <v>NASCO-S</v>
          </cell>
          <cell r="P108" t="str">
            <v>NATIONAL</v>
          </cell>
          <cell r="Q108">
            <v>366</v>
          </cell>
          <cell r="R108">
            <v>0</v>
          </cell>
          <cell r="S108">
            <v>0</v>
          </cell>
          <cell r="T108">
            <v>0</v>
          </cell>
          <cell r="U108">
            <v>0</v>
          </cell>
          <cell r="V108">
            <v>0</v>
          </cell>
          <cell r="W108">
            <v>0</v>
          </cell>
          <cell r="X108">
            <v>0</v>
          </cell>
          <cell r="Y108">
            <v>0</v>
          </cell>
          <cell r="Z108">
            <v>0</v>
          </cell>
          <cell r="AA108">
            <v>0</v>
          </cell>
          <cell r="AB108">
            <v>74222</v>
          </cell>
          <cell r="AC108">
            <v>74222</v>
          </cell>
          <cell r="AD108">
            <v>0</v>
          </cell>
          <cell r="AE108">
            <v>74222</v>
          </cell>
          <cell r="AF108">
            <v>0</v>
          </cell>
          <cell r="AG108">
            <v>0</v>
          </cell>
          <cell r="AH108">
            <v>0</v>
          </cell>
          <cell r="AI108">
            <v>1167971</v>
          </cell>
          <cell r="AJ108">
            <v>1242193</v>
          </cell>
          <cell r="AK108">
            <v>74222</v>
          </cell>
          <cell r="AL108">
            <v>1242193</v>
          </cell>
          <cell r="AM108">
            <v>0</v>
          </cell>
          <cell r="AN108">
            <v>0</v>
          </cell>
          <cell r="AO108">
            <v>0</v>
          </cell>
          <cell r="AP108">
            <v>0</v>
          </cell>
          <cell r="AQ108">
            <v>0</v>
          </cell>
          <cell r="AR108">
            <v>0</v>
          </cell>
          <cell r="AS108">
            <v>0</v>
          </cell>
          <cell r="AT108">
            <v>114988.4498455703</v>
          </cell>
          <cell r="AU108">
            <v>-40766.4498455703</v>
          </cell>
          <cell r="AW108">
            <v>1167971</v>
          </cell>
          <cell r="AX108">
            <v>193624</v>
          </cell>
          <cell r="AY108">
            <v>1361595</v>
          </cell>
          <cell r="AZ108">
            <v>0</v>
          </cell>
          <cell r="BA108">
            <v>1361595</v>
          </cell>
          <cell r="BB108">
            <v>0</v>
          </cell>
          <cell r="BC108">
            <v>1361595</v>
          </cell>
          <cell r="BD108">
            <v>0</v>
          </cell>
          <cell r="BE108">
            <v>74222</v>
          </cell>
          <cell r="BF108">
            <v>0</v>
          </cell>
          <cell r="BH108">
            <v>1435817</v>
          </cell>
          <cell r="BI108">
            <v>0</v>
          </cell>
          <cell r="BJ108">
            <v>1435817</v>
          </cell>
          <cell r="BK108">
            <v>0</v>
          </cell>
          <cell r="BL108">
            <v>1435817</v>
          </cell>
        </row>
        <row r="109">
          <cell r="B109" t="str">
            <v>PIPER MARBURY</v>
          </cell>
          <cell r="C109">
            <v>0</v>
          </cell>
          <cell r="D109">
            <v>1900254</v>
          </cell>
          <cell r="E109">
            <v>44491</v>
          </cell>
          <cell r="F109" t="str">
            <v>ASC</v>
          </cell>
          <cell r="G109" t="str">
            <v>JAN</v>
          </cell>
          <cell r="H109" t="str">
            <v>Hauff</v>
          </cell>
          <cell r="I109" t="str">
            <v>Drumgoole</v>
          </cell>
          <cell r="J109" t="str">
            <v>Deposit--2 Months</v>
          </cell>
          <cell r="K109" t="str">
            <v>BARBARA</v>
          </cell>
          <cell r="L109" t="str">
            <v>None</v>
          </cell>
          <cell r="M109">
            <v>385420</v>
          </cell>
          <cell r="N109">
            <v>55983</v>
          </cell>
          <cell r="O109" t="str">
            <v>NASCO</v>
          </cell>
          <cell r="P109" t="str">
            <v>LOCAL</v>
          </cell>
          <cell r="Q109">
            <v>366</v>
          </cell>
          <cell r="R109">
            <v>0</v>
          </cell>
          <cell r="S109">
            <v>100000</v>
          </cell>
          <cell r="T109">
            <v>1.25</v>
          </cell>
          <cell r="U109">
            <v>224180.46</v>
          </cell>
          <cell r="V109">
            <v>16605.96</v>
          </cell>
          <cell r="W109">
            <v>240786.42</v>
          </cell>
          <cell r="X109">
            <v>0</v>
          </cell>
          <cell r="Y109">
            <v>4151.49</v>
          </cell>
          <cell r="Z109">
            <v>0</v>
          </cell>
          <cell r="AA109">
            <v>0</v>
          </cell>
          <cell r="AB109">
            <v>170211.09</v>
          </cell>
          <cell r="AC109">
            <v>415149</v>
          </cell>
          <cell r="AD109">
            <v>-736</v>
          </cell>
          <cell r="AE109">
            <v>414413</v>
          </cell>
          <cell r="AF109">
            <v>0</v>
          </cell>
          <cell r="AG109">
            <v>0</v>
          </cell>
          <cell r="AH109">
            <v>-211</v>
          </cell>
          <cell r="AI109">
            <v>2157846</v>
          </cell>
          <cell r="AJ109">
            <v>2572995</v>
          </cell>
          <cell r="AK109">
            <v>415149</v>
          </cell>
          <cell r="AL109">
            <v>2572995</v>
          </cell>
          <cell r="AM109">
            <v>0</v>
          </cell>
          <cell r="AN109">
            <v>0</v>
          </cell>
          <cell r="AO109">
            <v>0</v>
          </cell>
          <cell r="AP109">
            <v>0</v>
          </cell>
          <cell r="AQ109">
            <v>4244</v>
          </cell>
          <cell r="AR109">
            <v>0</v>
          </cell>
          <cell r="AS109">
            <v>4244</v>
          </cell>
          <cell r="AT109">
            <v>211229.59554956935</v>
          </cell>
          <cell r="AU109">
            <v>198728.40445043065</v>
          </cell>
          <cell r="AW109">
            <v>2162090</v>
          </cell>
          <cell r="AX109">
            <v>2141</v>
          </cell>
          <cell r="AY109">
            <v>2164231</v>
          </cell>
          <cell r="AZ109">
            <v>0</v>
          </cell>
          <cell r="BA109">
            <v>2164231</v>
          </cell>
          <cell r="BB109">
            <v>0</v>
          </cell>
          <cell r="BC109">
            <v>2164231</v>
          </cell>
          <cell r="BD109">
            <v>-736</v>
          </cell>
          <cell r="BE109">
            <v>415149</v>
          </cell>
          <cell r="BF109">
            <v>-211</v>
          </cell>
          <cell r="BH109">
            <v>2578433</v>
          </cell>
          <cell r="BI109">
            <v>4244</v>
          </cell>
          <cell r="BJ109">
            <v>2574189</v>
          </cell>
          <cell r="BK109">
            <v>0</v>
          </cell>
          <cell r="BL109">
            <v>2574189</v>
          </cell>
        </row>
        <row r="110">
          <cell r="B110" t="str">
            <v>PRICE BROTHERS</v>
          </cell>
          <cell r="C110">
            <v>0</v>
          </cell>
          <cell r="D110">
            <v>1900269</v>
          </cell>
          <cell r="E110">
            <v>59530</v>
          </cell>
          <cell r="F110">
            <v>0</v>
          </cell>
          <cell r="G110" t="str">
            <v>termed 1/04</v>
          </cell>
          <cell r="H110" t="str">
            <v>Pospisil</v>
          </cell>
          <cell r="I110" t="str">
            <v>Waters</v>
          </cell>
          <cell r="J110" t="str">
            <v>Direct Debit--Weekly</v>
          </cell>
          <cell r="K110" t="str">
            <v>BARBARA</v>
          </cell>
          <cell r="L110" t="str">
            <v>AON in Chicago</v>
          </cell>
          <cell r="M110">
            <v>0</v>
          </cell>
          <cell r="N110">
            <v>7689</v>
          </cell>
          <cell r="O110" t="str">
            <v>NASCO</v>
          </cell>
          <cell r="P110" t="str">
            <v>NATIONAL</v>
          </cell>
          <cell r="Q110" t="str">
            <v>termed</v>
          </cell>
          <cell r="R110">
            <v>0</v>
          </cell>
          <cell r="S110">
            <v>0</v>
          </cell>
          <cell r="T110">
            <v>0</v>
          </cell>
          <cell r="U110">
            <v>0</v>
          </cell>
          <cell r="V110">
            <v>0</v>
          </cell>
          <cell r="W110">
            <v>0</v>
          </cell>
          <cell r="X110">
            <v>0</v>
          </cell>
          <cell r="Y110">
            <v>0</v>
          </cell>
          <cell r="Z110">
            <v>0</v>
          </cell>
          <cell r="AA110">
            <v>0</v>
          </cell>
          <cell r="AB110">
            <v>18866</v>
          </cell>
          <cell r="AC110">
            <v>18866</v>
          </cell>
          <cell r="AD110">
            <v>-9</v>
          </cell>
          <cell r="AE110">
            <v>18857</v>
          </cell>
          <cell r="AF110">
            <v>0</v>
          </cell>
          <cell r="AG110">
            <v>0</v>
          </cell>
          <cell r="AH110">
            <v>0</v>
          </cell>
          <cell r="AI110">
            <v>178652</v>
          </cell>
          <cell r="AJ110">
            <v>197518</v>
          </cell>
          <cell r="AK110">
            <v>18866</v>
          </cell>
          <cell r="AL110">
            <v>197518</v>
          </cell>
          <cell r="AM110">
            <v>0</v>
          </cell>
          <cell r="AN110">
            <v>0</v>
          </cell>
          <cell r="AO110">
            <v>0</v>
          </cell>
          <cell r="AP110">
            <v>0</v>
          </cell>
          <cell r="AQ110">
            <v>0</v>
          </cell>
          <cell r="AR110">
            <v>0</v>
          </cell>
          <cell r="AS110">
            <v>0</v>
          </cell>
          <cell r="AT110">
            <v>17585.454916096442</v>
          </cell>
          <cell r="AU110">
            <v>1271.5450839035584</v>
          </cell>
          <cell r="AW110">
            <v>178652</v>
          </cell>
          <cell r="AX110">
            <v>8143</v>
          </cell>
          <cell r="AY110">
            <v>186795</v>
          </cell>
          <cell r="AZ110">
            <v>0</v>
          </cell>
          <cell r="BA110">
            <v>186795</v>
          </cell>
          <cell r="BB110">
            <v>0</v>
          </cell>
          <cell r="BC110">
            <v>186795</v>
          </cell>
          <cell r="BD110">
            <v>-9</v>
          </cell>
          <cell r="BE110">
            <v>18866</v>
          </cell>
          <cell r="BF110">
            <v>0</v>
          </cell>
          <cell r="BH110">
            <v>205652</v>
          </cell>
          <cell r="BI110">
            <v>0</v>
          </cell>
          <cell r="BJ110">
            <v>205652</v>
          </cell>
          <cell r="BK110">
            <v>0</v>
          </cell>
          <cell r="BL110">
            <v>205652</v>
          </cell>
        </row>
        <row r="111">
          <cell r="B111" t="str">
            <v>PRIME RETAIL</v>
          </cell>
          <cell r="C111">
            <v>0</v>
          </cell>
          <cell r="D111">
            <v>1900141</v>
          </cell>
          <cell r="E111">
            <v>56806</v>
          </cell>
          <cell r="F111" t="str">
            <v>ASC</v>
          </cell>
          <cell r="G111" t="str">
            <v>JAN</v>
          </cell>
          <cell r="H111" t="str">
            <v>Howard</v>
          </cell>
          <cell r="I111" t="str">
            <v>Engel</v>
          </cell>
          <cell r="J111" t="str">
            <v>Weekly Wire</v>
          </cell>
          <cell r="K111" t="str">
            <v>BARBARA</v>
          </cell>
          <cell r="L111" t="str">
            <v>Wachovia</v>
          </cell>
          <cell r="M111">
            <v>264000</v>
          </cell>
          <cell r="N111">
            <v>44449</v>
          </cell>
          <cell r="O111" t="str">
            <v>NASCO</v>
          </cell>
          <cell r="P111" t="str">
            <v>NATIONAL</v>
          </cell>
          <cell r="Q111">
            <v>415</v>
          </cell>
          <cell r="R111">
            <v>0</v>
          </cell>
          <cell r="S111">
            <v>0</v>
          </cell>
          <cell r="T111">
            <v>0</v>
          </cell>
          <cell r="U111">
            <v>0</v>
          </cell>
          <cell r="V111">
            <v>0</v>
          </cell>
          <cell r="W111">
            <v>0</v>
          </cell>
          <cell r="X111">
            <v>14500.44</v>
          </cell>
          <cell r="Y111">
            <v>0</v>
          </cell>
          <cell r="Z111">
            <v>0</v>
          </cell>
          <cell r="AA111">
            <v>0</v>
          </cell>
          <cell r="AB111">
            <v>146615.56</v>
          </cell>
          <cell r="AC111">
            <v>161116</v>
          </cell>
          <cell r="AD111">
            <v>0</v>
          </cell>
          <cell r="AE111">
            <v>161116</v>
          </cell>
          <cell r="AF111">
            <v>0</v>
          </cell>
          <cell r="AG111">
            <v>0</v>
          </cell>
          <cell r="AH111">
            <v>-887</v>
          </cell>
          <cell r="AI111">
            <v>1834714</v>
          </cell>
          <cell r="AJ111">
            <v>1995830</v>
          </cell>
          <cell r="AK111">
            <v>161116</v>
          </cell>
          <cell r="AL111">
            <v>1995830</v>
          </cell>
          <cell r="AM111">
            <v>0</v>
          </cell>
          <cell r="AN111">
            <v>0</v>
          </cell>
          <cell r="AO111">
            <v>0</v>
          </cell>
          <cell r="AP111">
            <v>0</v>
          </cell>
          <cell r="AQ111">
            <v>0</v>
          </cell>
          <cell r="AR111">
            <v>0</v>
          </cell>
          <cell r="AS111">
            <v>0</v>
          </cell>
          <cell r="AT111">
            <v>182516.11493189997</v>
          </cell>
          <cell r="AU111">
            <v>-22287.114931899967</v>
          </cell>
          <cell r="AW111">
            <v>1834714</v>
          </cell>
          <cell r="AX111">
            <v>81356</v>
          </cell>
          <cell r="AY111">
            <v>1916070</v>
          </cell>
          <cell r="AZ111">
            <v>0</v>
          </cell>
          <cell r="BA111">
            <v>1916070</v>
          </cell>
          <cell r="BB111">
            <v>0</v>
          </cell>
          <cell r="BC111">
            <v>1916070</v>
          </cell>
          <cell r="BD111">
            <v>0</v>
          </cell>
          <cell r="BE111">
            <v>161116</v>
          </cell>
          <cell r="BF111">
            <v>-887</v>
          </cell>
          <cell r="BH111">
            <v>2076299</v>
          </cell>
          <cell r="BI111">
            <v>0</v>
          </cell>
          <cell r="BJ111">
            <v>2076299</v>
          </cell>
          <cell r="BK111">
            <v>0</v>
          </cell>
          <cell r="BL111">
            <v>2076299</v>
          </cell>
        </row>
        <row r="112">
          <cell r="B112" t="str">
            <v>PROCTER GAMBLE</v>
          </cell>
          <cell r="C112">
            <v>0</v>
          </cell>
          <cell r="D112">
            <v>1900160</v>
          </cell>
          <cell r="E112">
            <v>27954</v>
          </cell>
          <cell r="F112" t="str">
            <v>ASC</v>
          </cell>
          <cell r="G112" t="str">
            <v>JAN</v>
          </cell>
          <cell r="H112" t="str">
            <v>Lentz</v>
          </cell>
          <cell r="I112" t="str">
            <v>Maier</v>
          </cell>
          <cell r="J112" t="str">
            <v>Direct Debit--Weekly</v>
          </cell>
          <cell r="K112" t="str">
            <v>BARBARA</v>
          </cell>
          <cell r="L112" t="str">
            <v>None</v>
          </cell>
          <cell r="M112">
            <v>0</v>
          </cell>
          <cell r="N112">
            <v>361254</v>
          </cell>
          <cell r="O112" t="str">
            <v>NASCO</v>
          </cell>
          <cell r="P112" t="str">
            <v>LOCAL</v>
          </cell>
          <cell r="Q112">
            <v>241</v>
          </cell>
          <cell r="R112">
            <v>0</v>
          </cell>
          <cell r="S112">
            <v>0</v>
          </cell>
          <cell r="T112">
            <v>0</v>
          </cell>
          <cell r="U112">
            <v>0</v>
          </cell>
          <cell r="V112">
            <v>0</v>
          </cell>
          <cell r="W112">
            <v>0</v>
          </cell>
          <cell r="X112">
            <v>0</v>
          </cell>
          <cell r="Y112">
            <v>0</v>
          </cell>
          <cell r="Z112">
            <v>0</v>
          </cell>
          <cell r="AA112">
            <v>0</v>
          </cell>
          <cell r="AB112">
            <v>493754</v>
          </cell>
          <cell r="AC112">
            <v>493754</v>
          </cell>
          <cell r="AD112">
            <v>-160</v>
          </cell>
          <cell r="AE112">
            <v>493594</v>
          </cell>
          <cell r="AF112">
            <v>0</v>
          </cell>
          <cell r="AG112">
            <v>0</v>
          </cell>
          <cell r="AH112">
            <v>77608</v>
          </cell>
          <cell r="AI112">
            <v>2503966</v>
          </cell>
          <cell r="AJ112">
            <v>2997720</v>
          </cell>
          <cell r="AK112">
            <v>493754</v>
          </cell>
          <cell r="AL112">
            <v>2997720</v>
          </cell>
          <cell r="AM112">
            <v>0</v>
          </cell>
          <cell r="AN112">
            <v>0</v>
          </cell>
          <cell r="AO112">
            <v>0</v>
          </cell>
          <cell r="AP112">
            <v>0</v>
          </cell>
          <cell r="AQ112">
            <v>0</v>
          </cell>
          <cell r="AR112">
            <v>0</v>
          </cell>
          <cell r="AS112">
            <v>0</v>
          </cell>
          <cell r="AT112">
            <v>247511.01765262685</v>
          </cell>
          <cell r="AU112">
            <v>323690.98234737315</v>
          </cell>
          <cell r="AW112">
            <v>2503966</v>
          </cell>
          <cell r="AX112">
            <v>6370</v>
          </cell>
          <cell r="AY112">
            <v>2510336</v>
          </cell>
          <cell r="AZ112">
            <v>0</v>
          </cell>
          <cell r="BA112">
            <v>2510336</v>
          </cell>
          <cell r="BB112">
            <v>0</v>
          </cell>
          <cell r="BC112">
            <v>2510336</v>
          </cell>
          <cell r="BD112">
            <v>-160</v>
          </cell>
          <cell r="BE112">
            <v>493754</v>
          </cell>
          <cell r="BF112">
            <v>77608</v>
          </cell>
          <cell r="BH112">
            <v>3081538</v>
          </cell>
          <cell r="BI112">
            <v>0</v>
          </cell>
          <cell r="BJ112">
            <v>3081538</v>
          </cell>
          <cell r="BK112">
            <v>0</v>
          </cell>
          <cell r="BL112">
            <v>3081538</v>
          </cell>
        </row>
        <row r="113">
          <cell r="B113" t="str">
            <v>PROVIDENT BANK</v>
          </cell>
          <cell r="C113">
            <v>0</v>
          </cell>
          <cell r="D113">
            <v>1900176</v>
          </cell>
          <cell r="E113">
            <v>28964</v>
          </cell>
          <cell r="F113" t="str">
            <v>ASC</v>
          </cell>
          <cell r="G113" t="str">
            <v>JAN</v>
          </cell>
          <cell r="H113" t="str">
            <v>Delong</v>
          </cell>
          <cell r="I113" t="str">
            <v>Drusano</v>
          </cell>
          <cell r="J113" t="str">
            <v>Direct Debit--Weekly</v>
          </cell>
          <cell r="K113" t="str">
            <v>BARBARA</v>
          </cell>
          <cell r="L113" t="str">
            <v>Huber,Oros &amp; Co.</v>
          </cell>
          <cell r="M113">
            <v>0</v>
          </cell>
          <cell r="N113">
            <v>0</v>
          </cell>
          <cell r="O113" t="str">
            <v>NASCO</v>
          </cell>
          <cell r="P113" t="str">
            <v>NATIONAL</v>
          </cell>
          <cell r="Q113">
            <v>1327</v>
          </cell>
          <cell r="R113">
            <v>0</v>
          </cell>
          <cell r="S113">
            <v>150000</v>
          </cell>
          <cell r="T113">
            <v>1.25</v>
          </cell>
          <cell r="U113">
            <v>142248.34</v>
          </cell>
          <cell r="V113">
            <v>10942.18</v>
          </cell>
          <cell r="W113">
            <v>153190.51999999999</v>
          </cell>
          <cell r="X113">
            <v>43768.72</v>
          </cell>
          <cell r="Y113">
            <v>32826.54</v>
          </cell>
          <cell r="Z113">
            <v>0</v>
          </cell>
          <cell r="AA113">
            <v>229785.78</v>
          </cell>
          <cell r="AB113">
            <v>634646.43999999994</v>
          </cell>
          <cell r="AC113">
            <v>1094218</v>
          </cell>
          <cell r="AD113">
            <v>79</v>
          </cell>
          <cell r="AE113">
            <v>1094297</v>
          </cell>
          <cell r="AF113">
            <v>0</v>
          </cell>
          <cell r="AG113">
            <v>0</v>
          </cell>
          <cell r="AH113">
            <v>0</v>
          </cell>
          <cell r="AI113">
            <v>3685804</v>
          </cell>
          <cell r="AJ113">
            <v>4780022</v>
          </cell>
          <cell r="AK113">
            <v>1094218</v>
          </cell>
          <cell r="AL113">
            <v>4550236.22</v>
          </cell>
          <cell r="AM113">
            <v>0</v>
          </cell>
          <cell r="AN113">
            <v>0</v>
          </cell>
          <cell r="AO113">
            <v>0</v>
          </cell>
          <cell r="AP113">
            <v>0</v>
          </cell>
          <cell r="AQ113">
            <v>0</v>
          </cell>
          <cell r="AR113">
            <v>0</v>
          </cell>
          <cell r="AS113">
            <v>0</v>
          </cell>
          <cell r="AT113">
            <v>356826.09131330682</v>
          </cell>
          <cell r="AU113">
            <v>507685.12868669315</v>
          </cell>
          <cell r="AW113">
            <v>3685804</v>
          </cell>
          <cell r="AX113">
            <v>81596</v>
          </cell>
          <cell r="AY113">
            <v>3767400</v>
          </cell>
          <cell r="AZ113">
            <v>0</v>
          </cell>
          <cell r="BA113">
            <v>3767400</v>
          </cell>
          <cell r="BB113">
            <v>0</v>
          </cell>
          <cell r="BC113">
            <v>3767400</v>
          </cell>
          <cell r="BD113">
            <v>79</v>
          </cell>
          <cell r="BE113">
            <v>1094218</v>
          </cell>
          <cell r="BF113">
            <v>0</v>
          </cell>
          <cell r="BH113">
            <v>4861697</v>
          </cell>
          <cell r="BI113">
            <v>0</v>
          </cell>
          <cell r="BJ113">
            <v>4861697</v>
          </cell>
          <cell r="BK113">
            <v>0</v>
          </cell>
          <cell r="BL113">
            <v>4861697</v>
          </cell>
        </row>
        <row r="114">
          <cell r="B114" t="str">
            <v>PUBLISHERS CIRCULATION</v>
          </cell>
          <cell r="C114">
            <v>0</v>
          </cell>
          <cell r="D114">
            <v>1900252</v>
          </cell>
          <cell r="E114">
            <v>59542</v>
          </cell>
          <cell r="F114" t="str">
            <v>ASC</v>
          </cell>
          <cell r="G114" t="str">
            <v>DEC</v>
          </cell>
          <cell r="H114" t="str">
            <v>Hauff</v>
          </cell>
          <cell r="I114" t="str">
            <v>Patton</v>
          </cell>
          <cell r="J114" t="str">
            <v>Direct Debit--Weekly</v>
          </cell>
          <cell r="K114" t="str">
            <v>LISA</v>
          </cell>
          <cell r="L114" t="str">
            <v>Acordia of CA</v>
          </cell>
          <cell r="M114">
            <v>0</v>
          </cell>
          <cell r="N114">
            <v>6000</v>
          </cell>
          <cell r="O114" t="str">
            <v>NASCO</v>
          </cell>
          <cell r="P114" t="str">
            <v>NATIONAL</v>
          </cell>
          <cell r="Q114">
            <v>925</v>
          </cell>
          <cell r="R114">
            <v>0</v>
          </cell>
          <cell r="S114">
            <v>75000</v>
          </cell>
          <cell r="T114">
            <v>1.25</v>
          </cell>
          <cell r="U114">
            <v>370223.14</v>
          </cell>
          <cell r="V114">
            <v>38671.519999999997</v>
          </cell>
          <cell r="W114">
            <v>408894.66</v>
          </cell>
          <cell r="X114">
            <v>47391.5</v>
          </cell>
          <cell r="Y114">
            <v>28055.74</v>
          </cell>
          <cell r="Z114">
            <v>0</v>
          </cell>
          <cell r="AA114">
            <v>124734.54</v>
          </cell>
          <cell r="AB114">
            <v>357711.56</v>
          </cell>
          <cell r="AC114">
            <v>966788</v>
          </cell>
          <cell r="AD114">
            <v>340</v>
          </cell>
          <cell r="AE114">
            <v>967128</v>
          </cell>
          <cell r="AF114">
            <v>0</v>
          </cell>
          <cell r="AG114">
            <v>0</v>
          </cell>
          <cell r="AH114">
            <v>3600</v>
          </cell>
          <cell r="AI114">
            <v>4840229</v>
          </cell>
          <cell r="AJ114">
            <v>5807017</v>
          </cell>
          <cell r="AK114">
            <v>966788</v>
          </cell>
          <cell r="AL114">
            <v>5682282.46</v>
          </cell>
          <cell r="AM114">
            <v>0</v>
          </cell>
          <cell r="AN114">
            <v>0</v>
          </cell>
          <cell r="AO114">
            <v>0</v>
          </cell>
          <cell r="AP114">
            <v>0</v>
          </cell>
          <cell r="AQ114">
            <v>522101</v>
          </cell>
          <cell r="AR114">
            <v>0</v>
          </cell>
          <cell r="AS114">
            <v>522101</v>
          </cell>
          <cell r="AT114">
            <v>521182.53305687068</v>
          </cell>
          <cell r="AU114">
            <v>-197290.07305687072</v>
          </cell>
          <cell r="AW114">
            <v>5362330</v>
          </cell>
          <cell r="AX114">
            <v>114666</v>
          </cell>
          <cell r="AY114">
            <v>5476996</v>
          </cell>
          <cell r="AZ114">
            <v>0</v>
          </cell>
          <cell r="BA114">
            <v>5476996</v>
          </cell>
          <cell r="BB114">
            <v>0</v>
          </cell>
          <cell r="BC114">
            <v>5476996</v>
          </cell>
          <cell r="BD114">
            <v>340</v>
          </cell>
          <cell r="BE114">
            <v>966788</v>
          </cell>
          <cell r="BF114">
            <v>3600</v>
          </cell>
          <cell r="BH114">
            <v>6447724</v>
          </cell>
          <cell r="BI114">
            <v>522101</v>
          </cell>
          <cell r="BJ114">
            <v>5925623</v>
          </cell>
          <cell r="BK114">
            <v>0</v>
          </cell>
          <cell r="BL114">
            <v>5925623</v>
          </cell>
        </row>
        <row r="115">
          <cell r="B115" t="str">
            <v>RAILWORKS</v>
          </cell>
          <cell r="C115">
            <v>0</v>
          </cell>
          <cell r="D115">
            <v>1900273</v>
          </cell>
          <cell r="E115">
            <v>59513</v>
          </cell>
          <cell r="F115">
            <v>0</v>
          </cell>
          <cell r="G115" t="str">
            <v>termed 1/04</v>
          </cell>
          <cell r="H115" t="str">
            <v>Delong</v>
          </cell>
          <cell r="I115" t="str">
            <v>Engel</v>
          </cell>
          <cell r="J115" t="str">
            <v>Direct Debit--Weekly</v>
          </cell>
          <cell r="K115" t="str">
            <v>LISA</v>
          </cell>
          <cell r="L115" t="str">
            <v>Huber,Oros &amp; Co.</v>
          </cell>
          <cell r="M115">
            <v>0</v>
          </cell>
          <cell r="N115">
            <v>10000</v>
          </cell>
          <cell r="O115" t="str">
            <v>NASCO</v>
          </cell>
          <cell r="P115" t="str">
            <v>NATIONAL</v>
          </cell>
          <cell r="Q115" t="str">
            <v>termed</v>
          </cell>
          <cell r="R115">
            <v>0</v>
          </cell>
          <cell r="S115">
            <v>0</v>
          </cell>
          <cell r="T115">
            <v>0</v>
          </cell>
          <cell r="U115">
            <v>0</v>
          </cell>
          <cell r="V115">
            <v>0</v>
          </cell>
          <cell r="W115">
            <v>0</v>
          </cell>
          <cell r="X115">
            <v>0</v>
          </cell>
          <cell r="Y115">
            <v>0</v>
          </cell>
          <cell r="Z115">
            <v>0</v>
          </cell>
          <cell r="AA115">
            <v>0</v>
          </cell>
          <cell r="AB115">
            <v>48354</v>
          </cell>
          <cell r="AC115">
            <v>48354</v>
          </cell>
          <cell r="AD115">
            <v>6</v>
          </cell>
          <cell r="AE115">
            <v>48360</v>
          </cell>
          <cell r="AF115">
            <v>0</v>
          </cell>
          <cell r="AG115">
            <v>0</v>
          </cell>
          <cell r="AH115">
            <v>400</v>
          </cell>
          <cell r="AI115">
            <v>308924</v>
          </cell>
          <cell r="AJ115">
            <v>357278</v>
          </cell>
          <cell r="AK115">
            <v>48354</v>
          </cell>
          <cell r="AL115">
            <v>357278</v>
          </cell>
          <cell r="AM115">
            <v>0</v>
          </cell>
          <cell r="AN115">
            <v>0</v>
          </cell>
          <cell r="AO115">
            <v>0</v>
          </cell>
          <cell r="AP115">
            <v>0</v>
          </cell>
          <cell r="AQ115">
            <v>27123</v>
          </cell>
          <cell r="AR115">
            <v>0</v>
          </cell>
          <cell r="AS115">
            <v>27123</v>
          </cell>
          <cell r="AT115">
            <v>33668.511547631562</v>
          </cell>
          <cell r="AU115">
            <v>-12031.511547631562</v>
          </cell>
          <cell r="AW115">
            <v>336047</v>
          </cell>
          <cell r="AX115">
            <v>12954</v>
          </cell>
          <cell r="AY115">
            <v>349001</v>
          </cell>
          <cell r="AZ115">
            <v>0</v>
          </cell>
          <cell r="BA115">
            <v>349001</v>
          </cell>
          <cell r="BB115">
            <v>0</v>
          </cell>
          <cell r="BC115">
            <v>349001</v>
          </cell>
          <cell r="BD115">
            <v>6</v>
          </cell>
          <cell r="BE115">
            <v>48354</v>
          </cell>
          <cell r="BF115">
            <v>400</v>
          </cell>
          <cell r="BH115">
            <v>397761</v>
          </cell>
          <cell r="BI115">
            <v>27123</v>
          </cell>
          <cell r="BJ115">
            <v>370638</v>
          </cell>
          <cell r="BK115">
            <v>0</v>
          </cell>
          <cell r="BL115">
            <v>370638</v>
          </cell>
        </row>
        <row r="116">
          <cell r="B116" t="str">
            <v>RELIANT</v>
          </cell>
          <cell r="C116" t="str">
            <v>ORION POWER</v>
          </cell>
          <cell r="D116">
            <v>1900017</v>
          </cell>
          <cell r="E116">
            <v>55214</v>
          </cell>
          <cell r="F116" t="str">
            <v>ASC</v>
          </cell>
          <cell r="G116" t="str">
            <v>JAN</v>
          </cell>
          <cell r="H116" t="str">
            <v>Richardson</v>
          </cell>
          <cell r="I116" t="str">
            <v>Fox</v>
          </cell>
          <cell r="J116" t="str">
            <v>Direct Debit--Weekly</v>
          </cell>
          <cell r="K116" t="str">
            <v>DONNA</v>
          </cell>
          <cell r="L116" t="str">
            <v>None</v>
          </cell>
          <cell r="M116">
            <v>0</v>
          </cell>
          <cell r="N116">
            <v>40112</v>
          </cell>
          <cell r="O116" t="str">
            <v>NASCO</v>
          </cell>
          <cell r="P116" t="str">
            <v>NATIONAL</v>
          </cell>
          <cell r="Q116">
            <v>949</v>
          </cell>
          <cell r="R116">
            <v>0</v>
          </cell>
          <cell r="S116">
            <v>0</v>
          </cell>
          <cell r="T116">
            <v>0</v>
          </cell>
          <cell r="U116">
            <v>0</v>
          </cell>
          <cell r="V116">
            <v>0</v>
          </cell>
          <cell r="W116">
            <v>0</v>
          </cell>
          <cell r="X116">
            <v>68057.36</v>
          </cell>
          <cell r="Y116">
            <v>0</v>
          </cell>
          <cell r="Z116">
            <v>0</v>
          </cell>
          <cell r="AA116">
            <v>0</v>
          </cell>
          <cell r="AB116">
            <v>418066.64</v>
          </cell>
          <cell r="AC116">
            <v>486124</v>
          </cell>
          <cell r="AD116">
            <v>0</v>
          </cell>
          <cell r="AE116">
            <v>486124</v>
          </cell>
          <cell r="AF116">
            <v>0</v>
          </cell>
          <cell r="AG116">
            <v>0</v>
          </cell>
          <cell r="AH116">
            <v>0</v>
          </cell>
          <cell r="AI116">
            <v>6136290</v>
          </cell>
          <cell r="AJ116">
            <v>6622414</v>
          </cell>
          <cell r="AK116">
            <v>486124</v>
          </cell>
          <cell r="AL116">
            <v>6622414</v>
          </cell>
          <cell r="AM116">
            <v>0</v>
          </cell>
          <cell r="AN116">
            <v>0</v>
          </cell>
          <cell r="AO116">
            <v>0</v>
          </cell>
          <cell r="AP116">
            <v>0</v>
          </cell>
          <cell r="AQ116">
            <v>0</v>
          </cell>
          <cell r="AR116">
            <v>0</v>
          </cell>
          <cell r="AS116">
            <v>0</v>
          </cell>
          <cell r="AT116">
            <v>594810.76563072519</v>
          </cell>
          <cell r="AU116">
            <v>-108686.76563072519</v>
          </cell>
          <cell r="AW116">
            <v>6136290</v>
          </cell>
          <cell r="AX116">
            <v>93377</v>
          </cell>
          <cell r="AY116">
            <v>6229667</v>
          </cell>
          <cell r="AZ116">
            <v>117767</v>
          </cell>
          <cell r="BA116">
            <v>6347434</v>
          </cell>
          <cell r="BB116">
            <v>0</v>
          </cell>
          <cell r="BC116">
            <v>6347434</v>
          </cell>
          <cell r="BD116">
            <v>0</v>
          </cell>
          <cell r="BE116">
            <v>486124</v>
          </cell>
          <cell r="BF116">
            <v>0</v>
          </cell>
          <cell r="BH116">
            <v>6833558</v>
          </cell>
          <cell r="BI116">
            <v>0</v>
          </cell>
          <cell r="BJ116">
            <v>6833558</v>
          </cell>
          <cell r="BK116">
            <v>0</v>
          </cell>
          <cell r="BL116">
            <v>6833558</v>
          </cell>
        </row>
        <row r="117">
          <cell r="B117" t="str">
            <v>ROTECH</v>
          </cell>
          <cell r="C117">
            <v>0</v>
          </cell>
          <cell r="D117">
            <v>1900068</v>
          </cell>
          <cell r="E117">
            <v>53344</v>
          </cell>
          <cell r="F117" t="str">
            <v>ASC</v>
          </cell>
          <cell r="G117" t="str">
            <v>JUL</v>
          </cell>
          <cell r="H117" t="str">
            <v>Parker Mann</v>
          </cell>
          <cell r="I117" t="str">
            <v>Engel</v>
          </cell>
          <cell r="J117" t="str">
            <v>Weekly Wire</v>
          </cell>
          <cell r="K117" t="str">
            <v>BARBARA</v>
          </cell>
          <cell r="L117" t="str">
            <v>Crawford, Slevin &amp; Hicks</v>
          </cell>
          <cell r="M117">
            <v>312502</v>
          </cell>
          <cell r="N117">
            <v>0</v>
          </cell>
          <cell r="O117" t="str">
            <v>NASCO</v>
          </cell>
          <cell r="P117" t="str">
            <v>NATIONAL</v>
          </cell>
          <cell r="Q117">
            <v>3272</v>
          </cell>
          <cell r="R117">
            <v>0</v>
          </cell>
          <cell r="S117">
            <v>0</v>
          </cell>
          <cell r="T117">
            <v>0</v>
          </cell>
          <cell r="U117">
            <v>0</v>
          </cell>
          <cell r="V117">
            <v>0</v>
          </cell>
          <cell r="W117">
            <v>0</v>
          </cell>
          <cell r="X117">
            <v>0</v>
          </cell>
          <cell r="Y117">
            <v>0</v>
          </cell>
          <cell r="Z117">
            <v>0</v>
          </cell>
          <cell r="AA117">
            <v>133113.85999999999</v>
          </cell>
          <cell r="AB117">
            <v>1126731.1399999999</v>
          </cell>
          <cell r="AC117">
            <v>1259845</v>
          </cell>
          <cell r="AD117">
            <v>0</v>
          </cell>
          <cell r="AE117">
            <v>1259845</v>
          </cell>
          <cell r="AF117">
            <v>0</v>
          </cell>
          <cell r="AG117">
            <v>0</v>
          </cell>
          <cell r="AH117">
            <v>0</v>
          </cell>
          <cell r="AI117">
            <v>12628630</v>
          </cell>
          <cell r="AJ117">
            <v>13888475</v>
          </cell>
          <cell r="AK117">
            <v>1259845</v>
          </cell>
          <cell r="AL117">
            <v>13755361.140000001</v>
          </cell>
          <cell r="AM117">
            <v>0</v>
          </cell>
          <cell r="AN117">
            <v>0</v>
          </cell>
          <cell r="AO117">
            <v>0</v>
          </cell>
          <cell r="AP117">
            <v>0</v>
          </cell>
          <cell r="AQ117">
            <v>0</v>
          </cell>
          <cell r="AR117">
            <v>0</v>
          </cell>
          <cell r="AS117">
            <v>0</v>
          </cell>
          <cell r="AT117">
            <v>1222699.1750757056</v>
          </cell>
          <cell r="AU117">
            <v>-95968.035075705731</v>
          </cell>
          <cell r="AW117">
            <v>12628630</v>
          </cell>
          <cell r="AX117">
            <v>220272</v>
          </cell>
          <cell r="AY117">
            <v>12848902</v>
          </cell>
          <cell r="AZ117">
            <v>0</v>
          </cell>
          <cell r="BA117">
            <v>12848902</v>
          </cell>
          <cell r="BB117">
            <v>0</v>
          </cell>
          <cell r="BC117">
            <v>12848902</v>
          </cell>
          <cell r="BD117">
            <v>0</v>
          </cell>
          <cell r="BE117">
            <v>1259845</v>
          </cell>
          <cell r="BF117">
            <v>0</v>
          </cell>
          <cell r="BH117">
            <v>14108747</v>
          </cell>
          <cell r="BI117">
            <v>0</v>
          </cell>
          <cell r="BJ117">
            <v>14108747</v>
          </cell>
          <cell r="BK117">
            <v>0</v>
          </cell>
          <cell r="BL117">
            <v>14108747</v>
          </cell>
        </row>
        <row r="118">
          <cell r="B118" t="str">
            <v>ROUSE</v>
          </cell>
          <cell r="C118">
            <v>0</v>
          </cell>
          <cell r="D118">
            <v>1900035</v>
          </cell>
          <cell r="E118">
            <v>39579</v>
          </cell>
          <cell r="F118" t="str">
            <v>ASC</v>
          </cell>
          <cell r="G118" t="str">
            <v>JAN</v>
          </cell>
          <cell r="H118" t="str">
            <v>Michael</v>
          </cell>
          <cell r="I118" t="str">
            <v>Patton</v>
          </cell>
          <cell r="J118" t="str">
            <v>Bi-weekly Wire</v>
          </cell>
          <cell r="K118" t="str">
            <v>DONNA</v>
          </cell>
          <cell r="L118" t="str">
            <v>Aon</v>
          </cell>
          <cell r="M118">
            <v>0</v>
          </cell>
          <cell r="N118">
            <v>155000</v>
          </cell>
          <cell r="O118" t="str">
            <v>NASCO-S</v>
          </cell>
          <cell r="P118" t="str">
            <v>NATIONAL</v>
          </cell>
          <cell r="Q118">
            <v>1604</v>
          </cell>
          <cell r="R118">
            <v>0</v>
          </cell>
          <cell r="S118">
            <v>175000</v>
          </cell>
          <cell r="T118">
            <v>1.25</v>
          </cell>
          <cell r="U118">
            <v>359338.52</v>
          </cell>
          <cell r="V118">
            <v>21137.56</v>
          </cell>
          <cell r="W118">
            <v>380476.08</v>
          </cell>
          <cell r="X118">
            <v>0</v>
          </cell>
          <cell r="Y118">
            <v>0</v>
          </cell>
          <cell r="Z118">
            <v>0</v>
          </cell>
          <cell r="AA118">
            <v>0</v>
          </cell>
          <cell r="AB118">
            <v>676401.92</v>
          </cell>
          <cell r="AC118">
            <v>1056878</v>
          </cell>
          <cell r="AD118">
            <v>679</v>
          </cell>
          <cell r="AE118">
            <v>1057557</v>
          </cell>
          <cell r="AF118">
            <v>0</v>
          </cell>
          <cell r="AG118">
            <v>0</v>
          </cell>
          <cell r="AH118">
            <v>0</v>
          </cell>
          <cell r="AI118">
            <v>7883164</v>
          </cell>
          <cell r="AJ118">
            <v>8940042</v>
          </cell>
          <cell r="AK118">
            <v>1056878</v>
          </cell>
          <cell r="AL118">
            <v>8940042</v>
          </cell>
          <cell r="AM118">
            <v>0</v>
          </cell>
          <cell r="AN118">
            <v>0</v>
          </cell>
          <cell r="AO118">
            <v>0</v>
          </cell>
          <cell r="AP118">
            <v>0</v>
          </cell>
          <cell r="AQ118">
            <v>322205</v>
          </cell>
          <cell r="AR118">
            <v>0</v>
          </cell>
          <cell r="AS118">
            <v>322205</v>
          </cell>
          <cell r="AT118">
            <v>799971.90236957255</v>
          </cell>
          <cell r="AU118">
            <v>-64619.902369572548</v>
          </cell>
          <cell r="AW118">
            <v>8205369</v>
          </cell>
          <cell r="AX118">
            <v>105541</v>
          </cell>
          <cell r="AY118">
            <v>8310910</v>
          </cell>
          <cell r="AZ118">
            <v>0</v>
          </cell>
          <cell r="BA118">
            <v>8310910</v>
          </cell>
          <cell r="BB118">
            <v>0</v>
          </cell>
          <cell r="BC118">
            <v>8310910</v>
          </cell>
          <cell r="BD118">
            <v>679</v>
          </cell>
          <cell r="BE118">
            <v>1056878</v>
          </cell>
          <cell r="BF118">
            <v>0</v>
          </cell>
          <cell r="BH118">
            <v>9368467</v>
          </cell>
          <cell r="BI118">
            <v>322205</v>
          </cell>
          <cell r="BJ118">
            <v>9046262</v>
          </cell>
          <cell r="BK118">
            <v>0</v>
          </cell>
          <cell r="BL118">
            <v>9046262</v>
          </cell>
        </row>
        <row r="119">
          <cell r="B119" t="str">
            <v>RWD TECHNOLOGIES</v>
          </cell>
          <cell r="C119">
            <v>0</v>
          </cell>
          <cell r="D119">
            <v>1900123</v>
          </cell>
          <cell r="E119">
            <v>56808</v>
          </cell>
          <cell r="F119" t="str">
            <v>ASC</v>
          </cell>
          <cell r="G119" t="str">
            <v>JAN</v>
          </cell>
          <cell r="H119" t="str">
            <v>Delong</v>
          </cell>
          <cell r="I119" t="str">
            <v>Maier</v>
          </cell>
          <cell r="J119" t="str">
            <v>Direct Debit--Weekly</v>
          </cell>
          <cell r="K119" t="str">
            <v>NETTIE</v>
          </cell>
          <cell r="L119" t="str">
            <v>None</v>
          </cell>
          <cell r="M119">
            <v>0</v>
          </cell>
          <cell r="N119">
            <v>55600</v>
          </cell>
          <cell r="O119" t="str">
            <v>NASCO</v>
          </cell>
          <cell r="P119" t="str">
            <v>NATIONAL</v>
          </cell>
          <cell r="Q119">
            <v>464</v>
          </cell>
          <cell r="R119">
            <v>0</v>
          </cell>
          <cell r="S119">
            <v>100000</v>
          </cell>
          <cell r="T119">
            <v>1.25</v>
          </cell>
          <cell r="U119">
            <v>125949.95</v>
          </cell>
          <cell r="V119">
            <v>7197.14</v>
          </cell>
          <cell r="W119">
            <v>133147.09</v>
          </cell>
          <cell r="X119">
            <v>21591.42</v>
          </cell>
          <cell r="Y119">
            <v>14394.28</v>
          </cell>
          <cell r="Z119">
            <v>0</v>
          </cell>
          <cell r="AA119">
            <v>0</v>
          </cell>
          <cell r="AB119">
            <v>190724.21</v>
          </cell>
          <cell r="AC119">
            <v>359857</v>
          </cell>
          <cell r="AD119">
            <v>-87</v>
          </cell>
          <cell r="AE119">
            <v>359770</v>
          </cell>
          <cell r="AF119">
            <v>0</v>
          </cell>
          <cell r="AG119">
            <v>0</v>
          </cell>
          <cell r="AH119">
            <v>-1500</v>
          </cell>
          <cell r="AI119">
            <v>1943834</v>
          </cell>
          <cell r="AJ119">
            <v>2303691</v>
          </cell>
          <cell r="AK119">
            <v>359857</v>
          </cell>
          <cell r="AL119">
            <v>2303691</v>
          </cell>
          <cell r="AM119">
            <v>0</v>
          </cell>
          <cell r="AN119">
            <v>0</v>
          </cell>
          <cell r="AO119">
            <v>0</v>
          </cell>
          <cell r="AP119">
            <v>0</v>
          </cell>
          <cell r="AQ119">
            <v>7308</v>
          </cell>
          <cell r="AR119">
            <v>0</v>
          </cell>
          <cell r="AS119">
            <v>7308</v>
          </cell>
          <cell r="AT119">
            <v>189778.21578123487</v>
          </cell>
          <cell r="AU119">
            <v>161183.78421876513</v>
          </cell>
          <cell r="AW119">
            <v>1951142</v>
          </cell>
          <cell r="AX119">
            <v>55822</v>
          </cell>
          <cell r="AY119">
            <v>2006964</v>
          </cell>
          <cell r="AZ119">
            <v>0</v>
          </cell>
          <cell r="BA119">
            <v>2006964</v>
          </cell>
          <cell r="BB119">
            <v>0</v>
          </cell>
          <cell r="BC119">
            <v>2006964</v>
          </cell>
          <cell r="BD119">
            <v>-87</v>
          </cell>
          <cell r="BE119">
            <v>359857</v>
          </cell>
          <cell r="BF119">
            <v>-1500</v>
          </cell>
          <cell r="BH119">
            <v>2365234</v>
          </cell>
          <cell r="BI119">
            <v>7308</v>
          </cell>
          <cell r="BJ119">
            <v>2357926</v>
          </cell>
          <cell r="BK119">
            <v>0</v>
          </cell>
          <cell r="BL119">
            <v>2357926</v>
          </cell>
        </row>
        <row r="120">
          <cell r="B120" t="str">
            <v>RYLAND</v>
          </cell>
          <cell r="C120">
            <v>0</v>
          </cell>
          <cell r="D120">
            <v>1900004</v>
          </cell>
          <cell r="E120">
            <v>48921</v>
          </cell>
          <cell r="F120" t="str">
            <v>ASC</v>
          </cell>
          <cell r="G120" t="str">
            <v>JAN</v>
          </cell>
          <cell r="H120" t="str">
            <v>Daniels</v>
          </cell>
          <cell r="I120" t="str">
            <v>Engel</v>
          </cell>
          <cell r="J120" t="str">
            <v>Weekly Wire</v>
          </cell>
          <cell r="K120" t="str">
            <v>NETTIE</v>
          </cell>
          <cell r="L120" t="str">
            <v>Wachovia</v>
          </cell>
          <cell r="M120">
            <v>0</v>
          </cell>
          <cell r="N120">
            <v>17415</v>
          </cell>
          <cell r="O120" t="str">
            <v>NASCO</v>
          </cell>
          <cell r="P120" t="str">
            <v>NATIONAL</v>
          </cell>
          <cell r="Q120">
            <v>2469</v>
          </cell>
          <cell r="R120">
            <v>0</v>
          </cell>
          <cell r="S120">
            <v>0</v>
          </cell>
          <cell r="T120">
            <v>0</v>
          </cell>
          <cell r="U120">
            <v>0</v>
          </cell>
          <cell r="V120">
            <v>0</v>
          </cell>
          <cell r="W120">
            <v>0</v>
          </cell>
          <cell r="X120">
            <v>0</v>
          </cell>
          <cell r="Y120">
            <v>0</v>
          </cell>
          <cell r="Z120">
            <v>0</v>
          </cell>
          <cell r="AA120">
            <v>498052.2</v>
          </cell>
          <cell r="AB120">
            <v>1108567.8</v>
          </cell>
          <cell r="AC120">
            <v>1606620</v>
          </cell>
          <cell r="AD120">
            <v>0</v>
          </cell>
          <cell r="AE120">
            <v>1606620</v>
          </cell>
          <cell r="AF120">
            <v>0</v>
          </cell>
          <cell r="AG120">
            <v>0</v>
          </cell>
          <cell r="AH120">
            <v>0</v>
          </cell>
          <cell r="AI120">
            <v>12715727</v>
          </cell>
          <cell r="AJ120">
            <v>14322347</v>
          </cell>
          <cell r="AK120">
            <v>1606620</v>
          </cell>
          <cell r="AL120">
            <v>13824294.800000001</v>
          </cell>
          <cell r="AM120">
            <v>0</v>
          </cell>
          <cell r="AN120">
            <v>0</v>
          </cell>
          <cell r="AO120">
            <v>0</v>
          </cell>
          <cell r="AP120">
            <v>0</v>
          </cell>
          <cell r="AQ120">
            <v>0</v>
          </cell>
          <cell r="AR120">
            <v>0</v>
          </cell>
          <cell r="AS120">
            <v>0</v>
          </cell>
          <cell r="AT120">
            <v>1240641.0417770606</v>
          </cell>
          <cell r="AU120">
            <v>-132073.24177706055</v>
          </cell>
          <cell r="AW120">
            <v>12715727</v>
          </cell>
          <cell r="AX120">
            <v>292702</v>
          </cell>
          <cell r="AY120">
            <v>13008429</v>
          </cell>
          <cell r="AZ120">
            <v>0</v>
          </cell>
          <cell r="BA120">
            <v>13008429</v>
          </cell>
          <cell r="BB120">
            <v>0</v>
          </cell>
          <cell r="BC120">
            <v>13008429</v>
          </cell>
          <cell r="BD120">
            <v>0</v>
          </cell>
          <cell r="BE120">
            <v>1606620</v>
          </cell>
          <cell r="BF120">
            <v>0</v>
          </cell>
          <cell r="BH120">
            <v>14615049</v>
          </cell>
          <cell r="BI120">
            <v>0</v>
          </cell>
          <cell r="BJ120">
            <v>14615049</v>
          </cell>
          <cell r="BK120">
            <v>0</v>
          </cell>
          <cell r="BL120">
            <v>14615049</v>
          </cell>
        </row>
        <row r="121">
          <cell r="B121" t="str">
            <v>SCHLUMBERGER</v>
          </cell>
          <cell r="C121" t="str">
            <v>MALCO</v>
          </cell>
          <cell r="D121" t="str">
            <v>n/a</v>
          </cell>
          <cell r="E121">
            <v>29962</v>
          </cell>
          <cell r="F121" t="str">
            <v>ASC</v>
          </cell>
          <cell r="G121" t="str">
            <v>F.I. 6/04</v>
          </cell>
          <cell r="H121" t="str">
            <v>Delong</v>
          </cell>
          <cell r="I121" t="str">
            <v>Engel</v>
          </cell>
          <cell r="J121" t="str">
            <v>Monthly Wire</v>
          </cell>
          <cell r="K121" t="str">
            <v>BARBARA</v>
          </cell>
          <cell r="L121" t="str">
            <v>Huber,Oros &amp; Co.</v>
          </cell>
          <cell r="M121">
            <v>0</v>
          </cell>
          <cell r="N121">
            <v>37000</v>
          </cell>
          <cell r="O121" t="str">
            <v>CARE</v>
          </cell>
          <cell r="P121" t="str">
            <v>LOCAL</v>
          </cell>
          <cell r="Q121" t="str">
            <v>termed</v>
          </cell>
          <cell r="R121">
            <v>0</v>
          </cell>
          <cell r="S121">
            <v>250000</v>
          </cell>
          <cell r="T121">
            <v>0</v>
          </cell>
          <cell r="U121">
            <v>9455.68</v>
          </cell>
          <cell r="V121">
            <v>0</v>
          </cell>
          <cell r="W121">
            <v>9455.68</v>
          </cell>
          <cell r="X121">
            <v>3545.88</v>
          </cell>
          <cell r="Y121">
            <v>1772.94</v>
          </cell>
          <cell r="Z121">
            <v>0</v>
          </cell>
          <cell r="AA121">
            <v>9455.68</v>
          </cell>
          <cell r="AB121">
            <v>47168.82</v>
          </cell>
          <cell r="AC121">
            <v>71399</v>
          </cell>
          <cell r="AD121">
            <v>12</v>
          </cell>
          <cell r="AE121">
            <v>71411</v>
          </cell>
          <cell r="AF121">
            <v>0</v>
          </cell>
          <cell r="AG121">
            <v>0</v>
          </cell>
          <cell r="AH121">
            <v>0</v>
          </cell>
          <cell r="AI121">
            <v>375569</v>
          </cell>
          <cell r="AJ121">
            <v>446968</v>
          </cell>
          <cell r="AK121">
            <v>71399</v>
          </cell>
          <cell r="AL121">
            <v>437512.32</v>
          </cell>
          <cell r="AM121">
            <v>0</v>
          </cell>
          <cell r="AN121">
            <v>0</v>
          </cell>
          <cell r="AO121">
            <v>0</v>
          </cell>
          <cell r="AP121">
            <v>0</v>
          </cell>
          <cell r="AQ121">
            <v>0</v>
          </cell>
          <cell r="AR121">
            <v>0</v>
          </cell>
          <cell r="AS121">
            <v>0</v>
          </cell>
          <cell r="AT121">
            <v>37150.403946447012</v>
          </cell>
          <cell r="AU121">
            <v>24804.916053552988</v>
          </cell>
          <cell r="AW121">
            <v>375569</v>
          </cell>
          <cell r="AX121">
            <v>3090</v>
          </cell>
          <cell r="AY121">
            <v>378659</v>
          </cell>
          <cell r="AZ121">
            <v>0</v>
          </cell>
          <cell r="BA121">
            <v>378659</v>
          </cell>
          <cell r="BB121">
            <v>0</v>
          </cell>
          <cell r="BC121">
            <v>378659</v>
          </cell>
          <cell r="BD121">
            <v>12</v>
          </cell>
          <cell r="BE121">
            <v>71399</v>
          </cell>
          <cell r="BF121">
            <v>0</v>
          </cell>
          <cell r="BH121">
            <v>450070</v>
          </cell>
          <cell r="BI121">
            <v>0</v>
          </cell>
          <cell r="BJ121">
            <v>450070</v>
          </cell>
          <cell r="BK121">
            <v>0</v>
          </cell>
          <cell r="BL121">
            <v>450070</v>
          </cell>
        </row>
        <row r="122">
          <cell r="B122" t="str">
            <v>SCHMIDT BAKING</v>
          </cell>
          <cell r="C122">
            <v>0</v>
          </cell>
          <cell r="D122">
            <v>1900190</v>
          </cell>
          <cell r="E122">
            <v>8055</v>
          </cell>
          <cell r="F122" t="str">
            <v>ASC</v>
          </cell>
          <cell r="G122" t="str">
            <v>JAN</v>
          </cell>
          <cell r="H122" t="str">
            <v>Richardson</v>
          </cell>
          <cell r="I122" t="str">
            <v>Drusano</v>
          </cell>
          <cell r="J122" t="str">
            <v>Deposit--2 Month</v>
          </cell>
          <cell r="K122" t="str">
            <v>LISA</v>
          </cell>
          <cell r="L122" t="str">
            <v>None</v>
          </cell>
          <cell r="M122">
            <v>464149</v>
          </cell>
          <cell r="N122">
            <v>146668</v>
          </cell>
          <cell r="O122" t="str">
            <v>NASCO-S</v>
          </cell>
          <cell r="P122" t="str">
            <v>NATIONAL</v>
          </cell>
          <cell r="Q122">
            <v>566</v>
          </cell>
          <cell r="R122">
            <v>0</v>
          </cell>
          <cell r="S122">
            <v>125000</v>
          </cell>
          <cell r="T122">
            <v>1.25</v>
          </cell>
          <cell r="U122">
            <v>250363.62</v>
          </cell>
          <cell r="V122">
            <v>6419.58</v>
          </cell>
          <cell r="W122">
            <v>256783.2</v>
          </cell>
          <cell r="X122">
            <v>51356.639999999999</v>
          </cell>
          <cell r="Y122">
            <v>0</v>
          </cell>
          <cell r="Z122">
            <v>0</v>
          </cell>
          <cell r="AA122">
            <v>0</v>
          </cell>
          <cell r="AB122">
            <v>333818.15999999997</v>
          </cell>
          <cell r="AC122">
            <v>641958</v>
          </cell>
          <cell r="AD122">
            <v>202</v>
          </cell>
          <cell r="AE122">
            <v>642160</v>
          </cell>
          <cell r="AF122">
            <v>0</v>
          </cell>
          <cell r="AG122">
            <v>0</v>
          </cell>
          <cell r="AH122">
            <v>0</v>
          </cell>
          <cell r="AI122">
            <v>4136144</v>
          </cell>
          <cell r="AJ122">
            <v>4778102</v>
          </cell>
          <cell r="AK122">
            <v>641958</v>
          </cell>
          <cell r="AL122">
            <v>4778102</v>
          </cell>
          <cell r="AM122">
            <v>0</v>
          </cell>
          <cell r="AN122">
            <v>0</v>
          </cell>
          <cell r="AO122">
            <v>0</v>
          </cell>
          <cell r="AP122">
            <v>0</v>
          </cell>
          <cell r="AQ122">
            <v>432823</v>
          </cell>
          <cell r="AR122">
            <v>0</v>
          </cell>
          <cell r="AS122">
            <v>432823</v>
          </cell>
          <cell r="AT122">
            <v>443996.47441828088</v>
          </cell>
          <cell r="AU122">
            <v>-234659.47441828088</v>
          </cell>
          <cell r="AW122">
            <v>4568967</v>
          </cell>
          <cell r="AX122">
            <v>32108</v>
          </cell>
          <cell r="AY122">
            <v>4601075</v>
          </cell>
          <cell r="AZ122">
            <v>35758</v>
          </cell>
          <cell r="BA122">
            <v>4636833</v>
          </cell>
          <cell r="BB122">
            <v>0</v>
          </cell>
          <cell r="BC122">
            <v>4636833</v>
          </cell>
          <cell r="BD122">
            <v>202</v>
          </cell>
          <cell r="BE122">
            <v>641958</v>
          </cell>
          <cell r="BF122">
            <v>0</v>
          </cell>
          <cell r="BH122">
            <v>5278993</v>
          </cell>
          <cell r="BI122">
            <v>432823</v>
          </cell>
          <cell r="BJ122">
            <v>4846170</v>
          </cell>
          <cell r="BK122">
            <v>0</v>
          </cell>
          <cell r="BL122">
            <v>4846170</v>
          </cell>
        </row>
        <row r="123">
          <cell r="B123" t="str">
            <v>SFA</v>
          </cell>
          <cell r="C123">
            <v>0</v>
          </cell>
          <cell r="D123">
            <v>1900216</v>
          </cell>
          <cell r="E123">
            <v>31400</v>
          </cell>
          <cell r="F123" t="str">
            <v>ASC</v>
          </cell>
          <cell r="G123" t="str">
            <v>JAN</v>
          </cell>
          <cell r="H123" t="str">
            <v>Solloway</v>
          </cell>
          <cell r="I123" t="str">
            <v>Engel</v>
          </cell>
          <cell r="J123" t="str">
            <v>Direct Debit--Weekly</v>
          </cell>
          <cell r="K123" t="str">
            <v>NETTIE</v>
          </cell>
          <cell r="L123" t="str">
            <v>Wachovia</v>
          </cell>
          <cell r="M123">
            <v>0</v>
          </cell>
          <cell r="N123">
            <v>13027</v>
          </cell>
          <cell r="O123" t="str">
            <v>NASCO</v>
          </cell>
          <cell r="P123" t="str">
            <v>NATIONAL</v>
          </cell>
          <cell r="Q123">
            <v>338</v>
          </cell>
          <cell r="R123">
            <v>0</v>
          </cell>
          <cell r="S123">
            <v>50000</v>
          </cell>
          <cell r="T123">
            <v>1.1499999999999999</v>
          </cell>
          <cell r="U123">
            <v>207858.15</v>
          </cell>
          <cell r="V123">
            <v>36952.559999999998</v>
          </cell>
          <cell r="W123">
            <v>244810.71</v>
          </cell>
          <cell r="X123">
            <v>18476.28</v>
          </cell>
          <cell r="Y123">
            <v>0</v>
          </cell>
          <cell r="Z123">
            <v>0</v>
          </cell>
          <cell r="AA123">
            <v>46190.7</v>
          </cell>
          <cell r="AB123">
            <v>152429.31</v>
          </cell>
          <cell r="AC123">
            <v>461907</v>
          </cell>
          <cell r="AD123">
            <v>0</v>
          </cell>
          <cell r="AE123">
            <v>461907</v>
          </cell>
          <cell r="AF123">
            <v>0</v>
          </cell>
          <cell r="AG123">
            <v>0</v>
          </cell>
          <cell r="AH123">
            <v>0</v>
          </cell>
          <cell r="AI123">
            <v>1185694</v>
          </cell>
          <cell r="AJ123">
            <v>1647601</v>
          </cell>
          <cell r="AK123">
            <v>461907</v>
          </cell>
          <cell r="AL123">
            <v>1601410.3</v>
          </cell>
          <cell r="AM123">
            <v>0</v>
          </cell>
          <cell r="AN123">
            <v>0</v>
          </cell>
          <cell r="AO123">
            <v>0</v>
          </cell>
          <cell r="AP123">
            <v>0</v>
          </cell>
          <cell r="AQ123">
            <v>5007</v>
          </cell>
          <cell r="AR123">
            <v>2841</v>
          </cell>
          <cell r="AS123">
            <v>7848</v>
          </cell>
          <cell r="AT123">
            <v>116960.89182375825</v>
          </cell>
          <cell r="AU123">
            <v>290907.40817624173</v>
          </cell>
          <cell r="AW123">
            <v>1193542</v>
          </cell>
          <cell r="AX123">
            <v>33914</v>
          </cell>
          <cell r="AY123">
            <v>1227456</v>
          </cell>
          <cell r="AZ123">
            <v>0</v>
          </cell>
          <cell r="BA123">
            <v>1227456</v>
          </cell>
          <cell r="BB123">
            <v>0</v>
          </cell>
          <cell r="BC123">
            <v>1227456</v>
          </cell>
          <cell r="BD123">
            <v>0</v>
          </cell>
          <cell r="BE123">
            <v>461907</v>
          </cell>
          <cell r="BF123">
            <v>0</v>
          </cell>
          <cell r="BH123">
            <v>1689363</v>
          </cell>
          <cell r="BI123">
            <v>7848</v>
          </cell>
          <cell r="BJ123">
            <v>1681515</v>
          </cell>
          <cell r="BK123">
            <v>0</v>
          </cell>
          <cell r="BL123">
            <v>1681515</v>
          </cell>
        </row>
        <row r="124">
          <cell r="B124" t="str">
            <v>SIERRA MILITARY</v>
          </cell>
          <cell r="C124">
            <v>0</v>
          </cell>
          <cell r="D124">
            <v>1900229</v>
          </cell>
          <cell r="E124">
            <v>56835</v>
          </cell>
          <cell r="F124" t="str">
            <v>ASC</v>
          </cell>
          <cell r="G124" t="str">
            <v>JAN</v>
          </cell>
          <cell r="H124" t="str">
            <v>Daniels</v>
          </cell>
          <cell r="I124" t="str">
            <v>Drusano</v>
          </cell>
          <cell r="J124" t="str">
            <v>Weekly Wire</v>
          </cell>
          <cell r="K124" t="str">
            <v>NETTIE</v>
          </cell>
          <cell r="L124" t="str">
            <v>None</v>
          </cell>
          <cell r="M124">
            <v>0</v>
          </cell>
          <cell r="N124">
            <v>42000</v>
          </cell>
          <cell r="O124" t="str">
            <v>NASCO</v>
          </cell>
          <cell r="P124" t="str">
            <v>NATIONAL</v>
          </cell>
          <cell r="Q124">
            <v>184</v>
          </cell>
          <cell r="R124">
            <v>0</v>
          </cell>
          <cell r="S124">
            <v>175000</v>
          </cell>
          <cell r="T124">
            <v>0</v>
          </cell>
          <cell r="U124">
            <v>63072.639999999999</v>
          </cell>
          <cell r="V124">
            <v>0</v>
          </cell>
          <cell r="W124">
            <v>63072.639999999999</v>
          </cell>
          <cell r="X124">
            <v>0</v>
          </cell>
          <cell r="Y124">
            <v>0</v>
          </cell>
          <cell r="Z124">
            <v>0</v>
          </cell>
          <cell r="AA124">
            <v>0</v>
          </cell>
          <cell r="AB124">
            <v>331131.36</v>
          </cell>
          <cell r="AC124">
            <v>394204</v>
          </cell>
          <cell r="AD124">
            <v>31</v>
          </cell>
          <cell r="AE124">
            <v>394235</v>
          </cell>
          <cell r="AF124">
            <v>0</v>
          </cell>
          <cell r="AG124">
            <v>0</v>
          </cell>
          <cell r="AH124">
            <v>0</v>
          </cell>
          <cell r="AI124">
            <v>3434496</v>
          </cell>
          <cell r="AJ124">
            <v>3828700</v>
          </cell>
          <cell r="AK124">
            <v>394204</v>
          </cell>
          <cell r="AL124">
            <v>3828700</v>
          </cell>
          <cell r="AM124">
            <v>0</v>
          </cell>
          <cell r="AN124">
            <v>0</v>
          </cell>
          <cell r="AO124">
            <v>0</v>
          </cell>
          <cell r="AP124">
            <v>0</v>
          </cell>
          <cell r="AQ124">
            <v>151299</v>
          </cell>
          <cell r="AR124">
            <v>0</v>
          </cell>
          <cell r="AS124">
            <v>151299</v>
          </cell>
          <cell r="AT124">
            <v>346517.76363797381</v>
          </cell>
          <cell r="AU124">
            <v>-103581.76363797381</v>
          </cell>
          <cell r="AW124">
            <v>3585795</v>
          </cell>
          <cell r="AX124">
            <v>68492</v>
          </cell>
          <cell r="AY124">
            <v>3654287</v>
          </cell>
          <cell r="AZ124">
            <v>0</v>
          </cell>
          <cell r="BA124">
            <v>3654287</v>
          </cell>
          <cell r="BB124">
            <v>0</v>
          </cell>
          <cell r="BC124">
            <v>3654287</v>
          </cell>
          <cell r="BD124">
            <v>31</v>
          </cell>
          <cell r="BE124">
            <v>394204</v>
          </cell>
          <cell r="BF124">
            <v>0</v>
          </cell>
          <cell r="BH124">
            <v>4048522</v>
          </cell>
          <cell r="BI124">
            <v>151299</v>
          </cell>
          <cell r="BJ124">
            <v>3897223</v>
          </cell>
          <cell r="BK124">
            <v>0</v>
          </cell>
          <cell r="BL124">
            <v>3897223</v>
          </cell>
        </row>
        <row r="125">
          <cell r="B125" t="str">
            <v>SPACE TELESCOPE</v>
          </cell>
          <cell r="C125">
            <v>0</v>
          </cell>
          <cell r="D125" t="str">
            <v>n/a</v>
          </cell>
          <cell r="E125">
            <v>59749</v>
          </cell>
          <cell r="F125" t="str">
            <v>ASC</v>
          </cell>
          <cell r="G125" t="str">
            <v>JAN</v>
          </cell>
          <cell r="H125" t="str">
            <v>Parker Mann</v>
          </cell>
          <cell r="I125" t="str">
            <v>Engel</v>
          </cell>
          <cell r="J125" t="str">
            <v>Direct Debit--Weekly</v>
          </cell>
          <cell r="K125" t="str">
            <v>DONNA</v>
          </cell>
          <cell r="L125" t="str">
            <v>None</v>
          </cell>
          <cell r="M125">
            <v>0</v>
          </cell>
          <cell r="N125">
            <v>46773</v>
          </cell>
          <cell r="O125" t="str">
            <v>CARE</v>
          </cell>
          <cell r="P125" t="str">
            <v>LOCAL</v>
          </cell>
          <cell r="Q125">
            <v>252</v>
          </cell>
          <cell r="R125">
            <v>0</v>
          </cell>
          <cell r="S125">
            <v>0</v>
          </cell>
          <cell r="T125">
            <v>0</v>
          </cell>
          <cell r="U125">
            <v>0</v>
          </cell>
          <cell r="V125">
            <v>0</v>
          </cell>
          <cell r="W125">
            <v>0</v>
          </cell>
          <cell r="X125">
            <v>0</v>
          </cell>
          <cell r="Y125">
            <v>3013.1</v>
          </cell>
          <cell r="Z125">
            <v>0</v>
          </cell>
          <cell r="AA125">
            <v>0</v>
          </cell>
          <cell r="AB125">
            <v>147641.9</v>
          </cell>
          <cell r="AC125">
            <v>150655</v>
          </cell>
          <cell r="AD125">
            <v>3</v>
          </cell>
          <cell r="AE125">
            <v>150658</v>
          </cell>
          <cell r="AF125">
            <v>0</v>
          </cell>
          <cell r="AG125">
            <v>0</v>
          </cell>
          <cell r="AH125">
            <v>1650</v>
          </cell>
          <cell r="AI125">
            <v>1274422</v>
          </cell>
          <cell r="AJ125">
            <v>1425077</v>
          </cell>
          <cell r="AK125">
            <v>150655</v>
          </cell>
          <cell r="AL125">
            <v>1425077</v>
          </cell>
          <cell r="AM125">
            <v>0</v>
          </cell>
          <cell r="AN125">
            <v>0</v>
          </cell>
          <cell r="AO125">
            <v>0</v>
          </cell>
          <cell r="AP125">
            <v>0</v>
          </cell>
          <cell r="AQ125">
            <v>0</v>
          </cell>
          <cell r="AR125">
            <v>0</v>
          </cell>
          <cell r="AS125">
            <v>0</v>
          </cell>
          <cell r="AT125">
            <v>124695.16981925456</v>
          </cell>
          <cell r="AU125">
            <v>27612.830180745441</v>
          </cell>
          <cell r="AW125">
            <v>1274422</v>
          </cell>
          <cell r="AX125">
            <v>8859</v>
          </cell>
          <cell r="AY125">
            <v>1283281</v>
          </cell>
          <cell r="AZ125">
            <v>0</v>
          </cell>
          <cell r="BA125">
            <v>1283281</v>
          </cell>
          <cell r="BB125">
            <v>0</v>
          </cell>
          <cell r="BC125">
            <v>1283281</v>
          </cell>
          <cell r="BD125">
            <v>3</v>
          </cell>
          <cell r="BE125">
            <v>150655</v>
          </cell>
          <cell r="BF125">
            <v>1650</v>
          </cell>
          <cell r="BH125">
            <v>1435589</v>
          </cell>
          <cell r="BI125">
            <v>0</v>
          </cell>
          <cell r="BJ125">
            <v>1435589</v>
          </cell>
          <cell r="BK125">
            <v>0</v>
          </cell>
          <cell r="BL125">
            <v>1435589</v>
          </cell>
        </row>
        <row r="126">
          <cell r="B126" t="str">
            <v>SPECTERA</v>
          </cell>
          <cell r="C126">
            <v>0</v>
          </cell>
          <cell r="D126" t="str">
            <v>n/a</v>
          </cell>
          <cell r="E126">
            <v>28558</v>
          </cell>
          <cell r="F126" t="str">
            <v>ASC</v>
          </cell>
          <cell r="G126" t="str">
            <v>JUL</v>
          </cell>
          <cell r="H126" t="str">
            <v>Lentz</v>
          </cell>
          <cell r="I126" t="str">
            <v>Schramm</v>
          </cell>
          <cell r="J126" t="str">
            <v>Direct Debit--Weekly</v>
          </cell>
          <cell r="K126" t="str">
            <v>BARBARA</v>
          </cell>
          <cell r="L126" t="str">
            <v>Kenneth Bradley</v>
          </cell>
          <cell r="M126">
            <v>0</v>
          </cell>
          <cell r="N126">
            <v>33316</v>
          </cell>
          <cell r="O126" t="str">
            <v>CARE</v>
          </cell>
          <cell r="P126" t="str">
            <v>LOCAL</v>
          </cell>
          <cell r="Q126">
            <v>205</v>
          </cell>
          <cell r="R126">
            <v>0</v>
          </cell>
          <cell r="S126">
            <v>50000</v>
          </cell>
          <cell r="T126">
            <v>1.25</v>
          </cell>
          <cell r="U126">
            <v>126070.44</v>
          </cell>
          <cell r="V126">
            <v>34754.36</v>
          </cell>
          <cell r="W126">
            <v>160824.79999999999</v>
          </cell>
          <cell r="X126">
            <v>14538.24</v>
          </cell>
          <cell r="Y126">
            <v>0</v>
          </cell>
          <cell r="Z126">
            <v>0</v>
          </cell>
          <cell r="AA126">
            <v>23398.6</v>
          </cell>
          <cell r="AB126">
            <v>164694.35999999999</v>
          </cell>
          <cell r="AC126">
            <v>363456</v>
          </cell>
          <cell r="AD126">
            <v>1</v>
          </cell>
          <cell r="AE126">
            <v>363457</v>
          </cell>
          <cell r="AF126">
            <v>0</v>
          </cell>
          <cell r="AG126">
            <v>0</v>
          </cell>
          <cell r="AH126">
            <v>0</v>
          </cell>
          <cell r="AI126">
            <v>845880</v>
          </cell>
          <cell r="AJ126">
            <v>1209336</v>
          </cell>
          <cell r="AK126">
            <v>363456</v>
          </cell>
          <cell r="AL126">
            <v>1185937.3999999999</v>
          </cell>
          <cell r="AM126">
            <v>0</v>
          </cell>
          <cell r="AN126">
            <v>0</v>
          </cell>
          <cell r="AO126">
            <v>0</v>
          </cell>
          <cell r="AP126">
            <v>0</v>
          </cell>
          <cell r="AQ126">
            <v>71755</v>
          </cell>
          <cell r="AR126">
            <v>0</v>
          </cell>
          <cell r="AS126">
            <v>71755</v>
          </cell>
          <cell r="AT126">
            <v>89428.101726836903</v>
          </cell>
          <cell r="AU126">
            <v>178875.29827316312</v>
          </cell>
          <cell r="AW126">
            <v>917635</v>
          </cell>
          <cell r="AX126">
            <v>4456</v>
          </cell>
          <cell r="AY126">
            <v>922091</v>
          </cell>
          <cell r="AZ126">
            <v>0</v>
          </cell>
          <cell r="BA126">
            <v>922091</v>
          </cell>
          <cell r="BB126">
            <v>0</v>
          </cell>
          <cell r="BC126">
            <v>922091</v>
          </cell>
          <cell r="BD126">
            <v>1</v>
          </cell>
          <cell r="BE126">
            <v>363456</v>
          </cell>
          <cell r="BF126">
            <v>0</v>
          </cell>
          <cell r="BH126">
            <v>1285548</v>
          </cell>
          <cell r="BI126">
            <v>71755</v>
          </cell>
          <cell r="BJ126">
            <v>1213793</v>
          </cell>
          <cell r="BK126">
            <v>0</v>
          </cell>
          <cell r="BL126">
            <v>1213793</v>
          </cell>
        </row>
        <row r="127">
          <cell r="B127" t="str">
            <v>ST MARYS CO RETRO</v>
          </cell>
          <cell r="C127">
            <v>0</v>
          </cell>
          <cell r="D127" t="str">
            <v>n/a</v>
          </cell>
          <cell r="E127">
            <v>10721</v>
          </cell>
          <cell r="F127" t="str">
            <v>Modified Retro</v>
          </cell>
          <cell r="G127" t="str">
            <v>JUL</v>
          </cell>
          <cell r="H127" t="str">
            <v>Richardson</v>
          </cell>
          <cell r="I127" t="str">
            <v>Lehman</v>
          </cell>
          <cell r="J127" t="str">
            <v>Retrospective</v>
          </cell>
          <cell r="K127" t="str">
            <v>LISA</v>
          </cell>
          <cell r="L127" t="str">
            <v>None</v>
          </cell>
          <cell r="M127">
            <v>0</v>
          </cell>
          <cell r="N127">
            <v>0</v>
          </cell>
          <cell r="O127" t="str">
            <v>CARE</v>
          </cell>
          <cell r="P127" t="str">
            <v>LOCAL</v>
          </cell>
          <cell r="Q127">
            <v>2532</v>
          </cell>
          <cell r="R127">
            <v>0</v>
          </cell>
          <cell r="S127">
            <v>125000</v>
          </cell>
          <cell r="T127">
            <v>1.1499999999999999</v>
          </cell>
          <cell r="U127">
            <v>289425.53999999998</v>
          </cell>
          <cell r="V127">
            <v>289425.53999999998</v>
          </cell>
          <cell r="W127">
            <v>578851.07999999996</v>
          </cell>
          <cell r="X127">
            <v>133022.64000000001</v>
          </cell>
          <cell r="Y127">
            <v>41921.24</v>
          </cell>
          <cell r="Z127">
            <v>0</v>
          </cell>
          <cell r="AA127">
            <v>0</v>
          </cell>
          <cell r="AB127">
            <v>1463249.04</v>
          </cell>
          <cell r="AC127">
            <v>2217044</v>
          </cell>
          <cell r="AD127">
            <v>1509</v>
          </cell>
          <cell r="AE127">
            <v>2218553</v>
          </cell>
          <cell r="AF127">
            <v>0</v>
          </cell>
          <cell r="AG127">
            <v>0</v>
          </cell>
          <cell r="AH127">
            <v>0</v>
          </cell>
          <cell r="AI127">
            <v>18586045</v>
          </cell>
          <cell r="AJ127">
            <v>20803089</v>
          </cell>
          <cell r="AK127">
            <v>2217044</v>
          </cell>
          <cell r="AL127">
            <v>20803089</v>
          </cell>
          <cell r="AM127">
            <v>0</v>
          </cell>
          <cell r="AN127">
            <v>0</v>
          </cell>
          <cell r="AO127">
            <v>0</v>
          </cell>
          <cell r="AP127">
            <v>0</v>
          </cell>
          <cell r="AQ127">
            <v>240038</v>
          </cell>
          <cell r="AR127">
            <v>0</v>
          </cell>
          <cell r="AS127">
            <v>240038</v>
          </cell>
          <cell r="AT127">
            <v>1831849.6933092803</v>
          </cell>
          <cell r="AU127">
            <v>146665.30669071968</v>
          </cell>
          <cell r="AW127">
            <v>18826083</v>
          </cell>
          <cell r="AX127">
            <v>226474</v>
          </cell>
          <cell r="AY127">
            <v>19052557</v>
          </cell>
          <cell r="AZ127">
            <v>0</v>
          </cell>
          <cell r="BA127">
            <v>19052557</v>
          </cell>
          <cell r="BB127">
            <v>0</v>
          </cell>
          <cell r="BC127">
            <v>19052557</v>
          </cell>
          <cell r="BD127">
            <v>1509</v>
          </cell>
          <cell r="BE127">
            <v>2217044</v>
          </cell>
          <cell r="BF127">
            <v>0</v>
          </cell>
          <cell r="BH127">
            <v>21271110</v>
          </cell>
          <cell r="BI127">
            <v>240038</v>
          </cell>
          <cell r="BJ127">
            <v>21031072</v>
          </cell>
          <cell r="BK127">
            <v>0</v>
          </cell>
          <cell r="BL127">
            <v>21031072</v>
          </cell>
        </row>
        <row r="128">
          <cell r="B128" t="str">
            <v>ST MARYS HOSPITAL</v>
          </cell>
          <cell r="C128">
            <v>0</v>
          </cell>
          <cell r="D128" t="str">
            <v>n/a</v>
          </cell>
          <cell r="E128">
            <v>51545</v>
          </cell>
          <cell r="F128" t="str">
            <v>ASC</v>
          </cell>
          <cell r="G128" t="str">
            <v>termed 7/04</v>
          </cell>
          <cell r="H128" t="str">
            <v>Richardson</v>
          </cell>
          <cell r="I128" t="str">
            <v>Lehman</v>
          </cell>
          <cell r="J128" t="str">
            <v>Deposit-2 Month</v>
          </cell>
          <cell r="K128" t="str">
            <v>BARBARA</v>
          </cell>
          <cell r="L128" t="str">
            <v>None</v>
          </cell>
          <cell r="M128">
            <v>304200</v>
          </cell>
          <cell r="N128">
            <v>52200</v>
          </cell>
          <cell r="O128" t="str">
            <v>CARE</v>
          </cell>
          <cell r="P128" t="str">
            <v>LOCAL</v>
          </cell>
          <cell r="Q128" t="str">
            <v>termed</v>
          </cell>
          <cell r="R128">
            <v>0</v>
          </cell>
          <cell r="S128">
            <v>60000</v>
          </cell>
          <cell r="T128">
            <v>1.1499999999999999</v>
          </cell>
          <cell r="U128">
            <v>51840.5</v>
          </cell>
          <cell r="V128">
            <v>29030.68</v>
          </cell>
          <cell r="W128">
            <v>80871.179999999993</v>
          </cell>
          <cell r="X128">
            <v>8294.48</v>
          </cell>
          <cell r="Y128">
            <v>8294.48</v>
          </cell>
          <cell r="Z128">
            <v>0</v>
          </cell>
          <cell r="AA128">
            <v>0</v>
          </cell>
          <cell r="AB128">
            <v>138690.85999999999</v>
          </cell>
          <cell r="AC128">
            <v>236151</v>
          </cell>
          <cell r="AD128">
            <v>801</v>
          </cell>
          <cell r="AE128">
            <v>236952</v>
          </cell>
          <cell r="AF128">
            <v>0</v>
          </cell>
          <cell r="AG128">
            <v>0</v>
          </cell>
          <cell r="AH128">
            <v>250</v>
          </cell>
          <cell r="AI128">
            <v>1389822</v>
          </cell>
          <cell r="AJ128">
            <v>1625973</v>
          </cell>
          <cell r="AK128">
            <v>236151</v>
          </cell>
          <cell r="AL128">
            <v>1625973</v>
          </cell>
          <cell r="AM128">
            <v>0</v>
          </cell>
          <cell r="AN128">
            <v>0</v>
          </cell>
          <cell r="AO128">
            <v>0</v>
          </cell>
          <cell r="AP128">
            <v>0</v>
          </cell>
          <cell r="AQ128">
            <v>103827</v>
          </cell>
          <cell r="AR128">
            <v>0</v>
          </cell>
          <cell r="AS128">
            <v>103827</v>
          </cell>
          <cell r="AT128">
            <v>143361.65907933924</v>
          </cell>
          <cell r="AU128">
            <v>-9986.6590793392388</v>
          </cell>
          <cell r="AW128">
            <v>1493649</v>
          </cell>
          <cell r="AX128">
            <v>21746</v>
          </cell>
          <cell r="AY128">
            <v>1515395</v>
          </cell>
          <cell r="AZ128">
            <v>0</v>
          </cell>
          <cell r="BA128">
            <v>1515395</v>
          </cell>
          <cell r="BB128">
            <v>0</v>
          </cell>
          <cell r="BC128">
            <v>1515395</v>
          </cell>
          <cell r="BD128">
            <v>801</v>
          </cell>
          <cell r="BE128">
            <v>236151</v>
          </cell>
          <cell r="BF128">
            <v>250</v>
          </cell>
          <cell r="BH128">
            <v>1752597</v>
          </cell>
          <cell r="BI128">
            <v>103827</v>
          </cell>
          <cell r="BJ128">
            <v>1648770</v>
          </cell>
          <cell r="BK128">
            <v>0</v>
          </cell>
          <cell r="BL128">
            <v>1648770</v>
          </cell>
        </row>
        <row r="129">
          <cell r="B129" t="str">
            <v>STA-ILA DENTAL</v>
          </cell>
          <cell r="C129">
            <v>0</v>
          </cell>
          <cell r="D129" t="str">
            <v>n/a</v>
          </cell>
          <cell r="E129">
            <v>8146</v>
          </cell>
          <cell r="F129" t="str">
            <v>ASC</v>
          </cell>
          <cell r="G129" t="str">
            <v>OCT</v>
          </cell>
          <cell r="H129" t="str">
            <v>Hauff</v>
          </cell>
          <cell r="I129" t="str">
            <v>Schramm</v>
          </cell>
          <cell r="J129" t="str">
            <v>Deposit-2 Month</v>
          </cell>
          <cell r="K129" t="str">
            <v>DONNA</v>
          </cell>
          <cell r="L129" t="str">
            <v>None</v>
          </cell>
          <cell r="M129">
            <v>144222</v>
          </cell>
          <cell r="N129">
            <v>0</v>
          </cell>
          <cell r="O129" t="str">
            <v>CARE-S</v>
          </cell>
          <cell r="P129" t="str">
            <v>LOCAL</v>
          </cell>
          <cell r="Q129" t="str">
            <v>dental</v>
          </cell>
          <cell r="R129">
            <v>0</v>
          </cell>
          <cell r="S129">
            <v>0</v>
          </cell>
          <cell r="T129">
            <v>0</v>
          </cell>
          <cell r="U129">
            <v>0</v>
          </cell>
          <cell r="V129">
            <v>0</v>
          </cell>
          <cell r="W129">
            <v>0</v>
          </cell>
          <cell r="X129">
            <v>0</v>
          </cell>
          <cell r="Y129">
            <v>0</v>
          </cell>
          <cell r="Z129">
            <v>0</v>
          </cell>
          <cell r="AA129">
            <v>0</v>
          </cell>
          <cell r="AB129">
            <v>116071</v>
          </cell>
          <cell r="AC129">
            <v>116071</v>
          </cell>
          <cell r="AD129">
            <v>0</v>
          </cell>
          <cell r="AE129">
            <v>116071</v>
          </cell>
          <cell r="AF129">
            <v>0</v>
          </cell>
          <cell r="AG129">
            <v>0</v>
          </cell>
          <cell r="AH129">
            <v>0</v>
          </cell>
          <cell r="AI129">
            <v>815343</v>
          </cell>
          <cell r="AJ129">
            <v>931414</v>
          </cell>
          <cell r="AK129">
            <v>116071</v>
          </cell>
          <cell r="AL129">
            <v>931414</v>
          </cell>
          <cell r="AM129">
            <v>0</v>
          </cell>
          <cell r="AN129">
            <v>0</v>
          </cell>
          <cell r="AO129">
            <v>0</v>
          </cell>
          <cell r="AP129">
            <v>0</v>
          </cell>
          <cell r="AQ129">
            <v>0</v>
          </cell>
          <cell r="AR129">
            <v>0</v>
          </cell>
          <cell r="AS129">
            <v>0</v>
          </cell>
          <cell r="AT129">
            <v>79200.116938225066</v>
          </cell>
          <cell r="AU129">
            <v>36870.883061774934</v>
          </cell>
          <cell r="AW129">
            <v>815343</v>
          </cell>
          <cell r="AX129">
            <v>0</v>
          </cell>
          <cell r="AY129">
            <v>815343</v>
          </cell>
          <cell r="AZ129">
            <v>0</v>
          </cell>
          <cell r="BA129">
            <v>815343</v>
          </cell>
          <cell r="BB129">
            <v>0</v>
          </cell>
          <cell r="BC129">
            <v>815343</v>
          </cell>
          <cell r="BD129">
            <v>0</v>
          </cell>
          <cell r="BE129">
            <v>116071</v>
          </cell>
          <cell r="BF129">
            <v>0</v>
          </cell>
          <cell r="BH129">
            <v>931414</v>
          </cell>
          <cell r="BI129">
            <v>0</v>
          </cell>
          <cell r="BJ129">
            <v>931414</v>
          </cell>
          <cell r="BK129">
            <v>0</v>
          </cell>
          <cell r="BL129">
            <v>931414</v>
          </cell>
        </row>
        <row r="130">
          <cell r="B130" t="str">
            <v>STATE OF MARYLAND</v>
          </cell>
          <cell r="C130">
            <v>0</v>
          </cell>
          <cell r="D130">
            <v>1900111</v>
          </cell>
          <cell r="E130" t="str">
            <v>07311</v>
          </cell>
          <cell r="F130" t="str">
            <v>ASC</v>
          </cell>
          <cell r="G130" t="str">
            <v>JAN</v>
          </cell>
          <cell r="H130" t="str">
            <v>Richardson</v>
          </cell>
          <cell r="I130" t="str">
            <v>Tomko</v>
          </cell>
          <cell r="J130" t="str">
            <v>Weekly Wire</v>
          </cell>
          <cell r="K130" t="str">
            <v>BARBARA</v>
          </cell>
          <cell r="L130" t="str">
            <v>None</v>
          </cell>
          <cell r="M130">
            <v>0</v>
          </cell>
          <cell r="N130">
            <v>0</v>
          </cell>
          <cell r="O130" t="str">
            <v>SELF</v>
          </cell>
          <cell r="P130" t="str">
            <v>LOCAL</v>
          </cell>
          <cell r="Q130">
            <v>61150</v>
          </cell>
          <cell r="R130">
            <v>0</v>
          </cell>
          <cell r="S130">
            <v>0</v>
          </cell>
          <cell r="T130">
            <v>0</v>
          </cell>
          <cell r="U130">
            <v>0</v>
          </cell>
          <cell r="V130">
            <v>0</v>
          </cell>
          <cell r="W130">
            <v>0</v>
          </cell>
          <cell r="X130">
            <v>0</v>
          </cell>
          <cell r="Y130">
            <v>0</v>
          </cell>
          <cell r="Z130">
            <v>0</v>
          </cell>
          <cell r="AA130">
            <v>0</v>
          </cell>
          <cell r="AB130">
            <v>18425044</v>
          </cell>
          <cell r="AC130">
            <v>18425044</v>
          </cell>
          <cell r="AD130">
            <v>13450</v>
          </cell>
          <cell r="AE130">
            <v>18438494</v>
          </cell>
          <cell r="AF130">
            <v>0</v>
          </cell>
          <cell r="AG130">
            <v>0</v>
          </cell>
          <cell r="AH130">
            <v>-82371</v>
          </cell>
          <cell r="AI130">
            <v>315808928</v>
          </cell>
          <cell r="AJ130">
            <v>334233972</v>
          </cell>
          <cell r="AK130">
            <v>18425044</v>
          </cell>
          <cell r="AL130">
            <v>334233972</v>
          </cell>
          <cell r="AM130">
            <v>1250462</v>
          </cell>
          <cell r="AN130">
            <v>0</v>
          </cell>
          <cell r="AO130">
            <v>0</v>
          </cell>
          <cell r="AP130">
            <v>0</v>
          </cell>
          <cell r="AQ130">
            <v>0</v>
          </cell>
          <cell r="AR130">
            <v>0</v>
          </cell>
          <cell r="AS130">
            <v>0</v>
          </cell>
          <cell r="AT130">
            <v>30676324.228294179</v>
          </cell>
          <cell r="AU130">
            <v>-12320201.228294179</v>
          </cell>
          <cell r="AW130">
            <v>315808928</v>
          </cell>
          <cell r="AX130">
            <v>0</v>
          </cell>
          <cell r="AY130">
            <v>315808928</v>
          </cell>
          <cell r="AZ130">
            <v>0</v>
          </cell>
          <cell r="BA130">
            <v>315808928</v>
          </cell>
          <cell r="BB130">
            <v>0</v>
          </cell>
          <cell r="BC130">
            <v>315808928</v>
          </cell>
          <cell r="BD130">
            <v>13450</v>
          </cell>
          <cell r="BE130">
            <v>18425044</v>
          </cell>
          <cell r="BF130">
            <v>-82371</v>
          </cell>
          <cell r="BH130">
            <v>334165051</v>
          </cell>
          <cell r="BI130">
            <v>0</v>
          </cell>
          <cell r="BJ130">
            <v>334165051</v>
          </cell>
          <cell r="BK130">
            <v>0</v>
          </cell>
          <cell r="BL130">
            <v>334165051</v>
          </cell>
        </row>
        <row r="131">
          <cell r="B131" t="str">
            <v>SYLVAN</v>
          </cell>
          <cell r="C131">
            <v>0</v>
          </cell>
          <cell r="D131">
            <v>1900217</v>
          </cell>
          <cell r="E131">
            <v>27304</v>
          </cell>
          <cell r="F131" t="str">
            <v>ASC-Adjustable Retro</v>
          </cell>
          <cell r="G131" t="str">
            <v>JAN</v>
          </cell>
          <cell r="H131" t="str">
            <v>Delong</v>
          </cell>
          <cell r="I131" t="str">
            <v>Drusano</v>
          </cell>
          <cell r="J131" t="str">
            <v>Direct Debit--Weekly</v>
          </cell>
          <cell r="K131" t="str">
            <v>BARBARA</v>
          </cell>
          <cell r="L131" t="str">
            <v>Huber,Oros &amp; Co.</v>
          </cell>
          <cell r="M131">
            <v>0</v>
          </cell>
          <cell r="N131">
            <v>57000</v>
          </cell>
          <cell r="O131" t="str">
            <v>NASCO</v>
          </cell>
          <cell r="P131" t="str">
            <v>NATIONAL</v>
          </cell>
          <cell r="Q131">
            <v>511</v>
          </cell>
          <cell r="R131">
            <v>0</v>
          </cell>
          <cell r="S131">
            <v>150000</v>
          </cell>
          <cell r="T131">
            <v>1.25</v>
          </cell>
          <cell r="U131">
            <v>54564.44</v>
          </cell>
          <cell r="V131">
            <v>11692.38</v>
          </cell>
          <cell r="W131">
            <v>66256.820000000007</v>
          </cell>
          <cell r="X131">
            <v>19487.3</v>
          </cell>
          <cell r="Y131">
            <v>11692.38</v>
          </cell>
          <cell r="Z131">
            <v>0</v>
          </cell>
          <cell r="AA131">
            <v>70154.28</v>
          </cell>
          <cell r="AB131">
            <v>222155.22</v>
          </cell>
          <cell r="AC131">
            <v>389746</v>
          </cell>
          <cell r="AD131">
            <v>-20</v>
          </cell>
          <cell r="AE131">
            <v>389726</v>
          </cell>
          <cell r="AF131">
            <v>0</v>
          </cell>
          <cell r="AG131">
            <v>0</v>
          </cell>
          <cell r="AH131">
            <v>-13644</v>
          </cell>
          <cell r="AI131">
            <v>2204833</v>
          </cell>
          <cell r="AJ131">
            <v>2594579</v>
          </cell>
          <cell r="AK131">
            <v>389746</v>
          </cell>
          <cell r="AL131">
            <v>2524424.7200000002</v>
          </cell>
          <cell r="AM131">
            <v>0</v>
          </cell>
          <cell r="AN131">
            <v>0</v>
          </cell>
          <cell r="AO131">
            <v>0</v>
          </cell>
          <cell r="AP131">
            <v>0</v>
          </cell>
          <cell r="AQ131">
            <v>37416</v>
          </cell>
          <cell r="AR131">
            <v>0</v>
          </cell>
          <cell r="AS131">
            <v>37416</v>
          </cell>
          <cell r="AT131">
            <v>219841.91997629247</v>
          </cell>
          <cell r="AU131">
            <v>48669.800023707503</v>
          </cell>
          <cell r="AW131">
            <v>2242249</v>
          </cell>
          <cell r="AX131">
            <v>33028</v>
          </cell>
          <cell r="AY131">
            <v>2275277</v>
          </cell>
          <cell r="AZ131">
            <v>0</v>
          </cell>
          <cell r="BA131">
            <v>2275277</v>
          </cell>
          <cell r="BB131">
            <v>0</v>
          </cell>
          <cell r="BC131">
            <v>2275277</v>
          </cell>
          <cell r="BD131">
            <v>-20</v>
          </cell>
          <cell r="BE131">
            <v>389746</v>
          </cell>
          <cell r="BF131">
            <v>-13644</v>
          </cell>
          <cell r="BH131">
            <v>2651359</v>
          </cell>
          <cell r="BI131">
            <v>37416</v>
          </cell>
          <cell r="BJ131">
            <v>2613943</v>
          </cell>
          <cell r="BK131">
            <v>0</v>
          </cell>
          <cell r="BL131">
            <v>2613943</v>
          </cell>
        </row>
        <row r="132">
          <cell r="B132" t="str">
            <v>SYMPHONY</v>
          </cell>
          <cell r="C132">
            <v>0</v>
          </cell>
          <cell r="D132">
            <v>1900488</v>
          </cell>
          <cell r="E132">
            <v>64880</v>
          </cell>
          <cell r="F132" t="str">
            <v>ASC</v>
          </cell>
          <cell r="G132" t="str">
            <v>JAN</v>
          </cell>
          <cell r="H132" t="str">
            <v>Parker Mann</v>
          </cell>
          <cell r="I132" t="str">
            <v>Engel</v>
          </cell>
          <cell r="J132" t="str">
            <v>Weekly Wire</v>
          </cell>
          <cell r="K132" t="str">
            <v>DONNA</v>
          </cell>
          <cell r="L132" t="str">
            <v>Kelly &amp; Associates</v>
          </cell>
          <cell r="M132">
            <v>0</v>
          </cell>
          <cell r="N132">
            <v>0</v>
          </cell>
          <cell r="O132" t="str">
            <v>NASCO</v>
          </cell>
          <cell r="P132" t="str">
            <v>NATIONAL</v>
          </cell>
          <cell r="Q132">
            <v>2240</v>
          </cell>
          <cell r="R132">
            <v>0</v>
          </cell>
          <cell r="S132">
            <v>0</v>
          </cell>
          <cell r="T132">
            <v>0</v>
          </cell>
          <cell r="U132">
            <v>0</v>
          </cell>
          <cell r="V132">
            <v>0</v>
          </cell>
          <cell r="W132">
            <v>0</v>
          </cell>
          <cell r="X132">
            <v>0</v>
          </cell>
          <cell r="Y132">
            <v>0</v>
          </cell>
          <cell r="Z132">
            <v>0</v>
          </cell>
          <cell r="AA132">
            <v>327667.81</v>
          </cell>
          <cell r="AB132">
            <v>802221.19</v>
          </cell>
          <cell r="AC132">
            <v>1129889</v>
          </cell>
          <cell r="AD132">
            <v>36</v>
          </cell>
          <cell r="AE132">
            <v>1129925</v>
          </cell>
          <cell r="AF132">
            <v>0</v>
          </cell>
          <cell r="AG132">
            <v>0</v>
          </cell>
          <cell r="AH132">
            <v>0</v>
          </cell>
          <cell r="AI132">
            <v>8666908</v>
          </cell>
          <cell r="AJ132">
            <v>9796797</v>
          </cell>
          <cell r="AK132">
            <v>1129889</v>
          </cell>
          <cell r="AL132">
            <v>9469129.1899999995</v>
          </cell>
          <cell r="AM132">
            <v>0</v>
          </cell>
          <cell r="AN132">
            <v>0</v>
          </cell>
          <cell r="AO132">
            <v>0</v>
          </cell>
          <cell r="AP132">
            <v>0</v>
          </cell>
          <cell r="AQ132">
            <v>0</v>
          </cell>
          <cell r="AR132">
            <v>0</v>
          </cell>
          <cell r="AS132">
            <v>0</v>
          </cell>
          <cell r="AT132">
            <v>843537.08306571119</v>
          </cell>
          <cell r="AU132">
            <v>-41279.893065711134</v>
          </cell>
          <cell r="AW132">
            <v>8666908</v>
          </cell>
          <cell r="AX132">
            <v>357849</v>
          </cell>
          <cell r="AY132">
            <v>9024757</v>
          </cell>
          <cell r="AZ132">
            <v>0</v>
          </cell>
          <cell r="BA132">
            <v>9024757</v>
          </cell>
          <cell r="BB132">
            <v>0</v>
          </cell>
          <cell r="BC132">
            <v>9024757</v>
          </cell>
          <cell r="BD132">
            <v>36</v>
          </cell>
          <cell r="BE132">
            <v>1129889</v>
          </cell>
          <cell r="BF132">
            <v>0</v>
          </cell>
          <cell r="BH132">
            <v>10154682</v>
          </cell>
          <cell r="BI132">
            <v>0</v>
          </cell>
          <cell r="BJ132">
            <v>10154682</v>
          </cell>
          <cell r="BK132">
            <v>0</v>
          </cell>
          <cell r="BL132">
            <v>10154682</v>
          </cell>
        </row>
        <row r="133">
          <cell r="B133" t="str">
            <v>T ROWE PRICE</v>
          </cell>
          <cell r="C133">
            <v>0</v>
          </cell>
          <cell r="D133">
            <v>1900210</v>
          </cell>
          <cell r="E133" t="str">
            <v>08145</v>
          </cell>
          <cell r="F133" t="str">
            <v>ASC</v>
          </cell>
          <cell r="G133" t="str">
            <v>JAN</v>
          </cell>
          <cell r="H133" t="str">
            <v>Parker Mann</v>
          </cell>
          <cell r="I133" t="str">
            <v>Maier</v>
          </cell>
          <cell r="J133" t="str">
            <v>Weekly Wire</v>
          </cell>
          <cell r="K133" t="str">
            <v>DONNA</v>
          </cell>
          <cell r="L133" t="str">
            <v>None</v>
          </cell>
          <cell r="M133">
            <v>0</v>
          </cell>
          <cell r="N133">
            <v>84030</v>
          </cell>
          <cell r="O133" t="str">
            <v>NASCO-S</v>
          </cell>
          <cell r="P133" t="str">
            <v>NATIONAL</v>
          </cell>
          <cell r="Q133">
            <v>1199</v>
          </cell>
          <cell r="R133">
            <v>0</v>
          </cell>
          <cell r="S133">
            <v>150000</v>
          </cell>
          <cell r="T133">
            <v>0</v>
          </cell>
          <cell r="U133">
            <v>153416.12</v>
          </cell>
          <cell r="V133">
            <v>0</v>
          </cell>
          <cell r="W133">
            <v>153416.12</v>
          </cell>
          <cell r="X133">
            <v>0</v>
          </cell>
          <cell r="Y133">
            <v>17701.86</v>
          </cell>
          <cell r="Z133">
            <v>0</v>
          </cell>
          <cell r="AA133">
            <v>0</v>
          </cell>
          <cell r="AB133">
            <v>418944.02</v>
          </cell>
          <cell r="AC133">
            <v>590062</v>
          </cell>
          <cell r="AD133">
            <v>250</v>
          </cell>
          <cell r="AE133">
            <v>590312</v>
          </cell>
          <cell r="AF133">
            <v>0</v>
          </cell>
          <cell r="AG133">
            <v>0</v>
          </cell>
          <cell r="AH133">
            <v>-1557</v>
          </cell>
          <cell r="AI133">
            <v>4024945</v>
          </cell>
          <cell r="AJ133">
            <v>4615007</v>
          </cell>
          <cell r="AK133">
            <v>590062</v>
          </cell>
          <cell r="AL133">
            <v>4615007</v>
          </cell>
          <cell r="AM133">
            <v>0</v>
          </cell>
          <cell r="AN133">
            <v>0</v>
          </cell>
          <cell r="AO133">
            <v>0</v>
          </cell>
          <cell r="AP133">
            <v>0</v>
          </cell>
          <cell r="AQ133">
            <v>281251</v>
          </cell>
          <cell r="AR133">
            <v>0</v>
          </cell>
          <cell r="AS133">
            <v>281251</v>
          </cell>
          <cell r="AT133">
            <v>420683.14849466615</v>
          </cell>
          <cell r="AU133">
            <v>-113179.14849466615</v>
          </cell>
          <cell r="AW133">
            <v>4306196</v>
          </cell>
          <cell r="AX133">
            <v>41403</v>
          </cell>
          <cell r="AY133">
            <v>4347599</v>
          </cell>
          <cell r="AZ133">
            <v>0</v>
          </cell>
          <cell r="BA133">
            <v>4347599</v>
          </cell>
          <cell r="BB133">
            <v>0</v>
          </cell>
          <cell r="BC133">
            <v>4347599</v>
          </cell>
          <cell r="BD133">
            <v>250</v>
          </cell>
          <cell r="BE133">
            <v>590062</v>
          </cell>
          <cell r="BF133">
            <v>-1557</v>
          </cell>
          <cell r="BH133">
            <v>4936354</v>
          </cell>
          <cell r="BI133">
            <v>281251</v>
          </cell>
          <cell r="BJ133">
            <v>4655103</v>
          </cell>
          <cell r="BK133">
            <v>0</v>
          </cell>
          <cell r="BL133">
            <v>4655103</v>
          </cell>
        </row>
        <row r="134">
          <cell r="B134" t="str">
            <v>TESSCO</v>
          </cell>
          <cell r="C134">
            <v>0</v>
          </cell>
          <cell r="D134">
            <v>1900011</v>
          </cell>
          <cell r="E134">
            <v>46748</v>
          </cell>
          <cell r="F134" t="str">
            <v>ASC</v>
          </cell>
          <cell r="G134" t="str">
            <v>JUL</v>
          </cell>
          <cell r="H134" t="str">
            <v>Hauff</v>
          </cell>
          <cell r="I134" t="str">
            <v>Waters</v>
          </cell>
          <cell r="J134" t="str">
            <v>Deposit--2 Month</v>
          </cell>
          <cell r="K134" t="str">
            <v>BARBARA</v>
          </cell>
          <cell r="L134" t="str">
            <v>Kelly &amp; Associates</v>
          </cell>
          <cell r="M134">
            <v>314000</v>
          </cell>
          <cell r="N134">
            <v>47329</v>
          </cell>
          <cell r="O134" t="str">
            <v>NASCO</v>
          </cell>
          <cell r="P134" t="str">
            <v>NATIONAL</v>
          </cell>
          <cell r="Q134">
            <v>507</v>
          </cell>
          <cell r="R134">
            <v>0</v>
          </cell>
          <cell r="S134">
            <v>0</v>
          </cell>
          <cell r="T134">
            <v>0</v>
          </cell>
          <cell r="U134">
            <v>0</v>
          </cell>
          <cell r="V134">
            <v>0</v>
          </cell>
          <cell r="W134">
            <v>0</v>
          </cell>
          <cell r="X134">
            <v>0</v>
          </cell>
          <cell r="Y134">
            <v>9371.16</v>
          </cell>
          <cell r="Z134">
            <v>0</v>
          </cell>
          <cell r="AA134">
            <v>115978.13</v>
          </cell>
          <cell r="AB134">
            <v>248773.71</v>
          </cell>
          <cell r="AC134">
            <v>374123</v>
          </cell>
          <cell r="AD134">
            <v>216</v>
          </cell>
          <cell r="AE134">
            <v>374339</v>
          </cell>
          <cell r="AF134">
            <v>0</v>
          </cell>
          <cell r="AG134">
            <v>0</v>
          </cell>
          <cell r="AH134">
            <v>-40</v>
          </cell>
          <cell r="AI134">
            <v>1708805</v>
          </cell>
          <cell r="AJ134">
            <v>2082928</v>
          </cell>
          <cell r="AK134">
            <v>374123</v>
          </cell>
          <cell r="AL134">
            <v>1966949.87</v>
          </cell>
          <cell r="AM134">
            <v>0</v>
          </cell>
          <cell r="AN134">
            <v>0</v>
          </cell>
          <cell r="AO134">
            <v>0</v>
          </cell>
          <cell r="AP134">
            <v>0</v>
          </cell>
          <cell r="AQ134">
            <v>0</v>
          </cell>
          <cell r="AR134">
            <v>0</v>
          </cell>
          <cell r="AS134">
            <v>0</v>
          </cell>
          <cell r="AT134">
            <v>166503.51011574038</v>
          </cell>
          <cell r="AU134">
            <v>91817.359884259611</v>
          </cell>
          <cell r="AW134">
            <v>1708805</v>
          </cell>
          <cell r="AX134">
            <v>26719</v>
          </cell>
          <cell r="AY134">
            <v>1735524</v>
          </cell>
          <cell r="AZ134">
            <v>0</v>
          </cell>
          <cell r="BA134">
            <v>1735524</v>
          </cell>
          <cell r="BB134">
            <v>0</v>
          </cell>
          <cell r="BC134">
            <v>1735524</v>
          </cell>
          <cell r="BD134">
            <v>216</v>
          </cell>
          <cell r="BE134">
            <v>374123</v>
          </cell>
          <cell r="BF134">
            <v>-40</v>
          </cell>
          <cell r="BH134">
            <v>2109823</v>
          </cell>
          <cell r="BI134">
            <v>0</v>
          </cell>
          <cell r="BJ134">
            <v>2109823</v>
          </cell>
          <cell r="BK134">
            <v>0</v>
          </cell>
          <cell r="BL134">
            <v>2109823</v>
          </cell>
        </row>
        <row r="135">
          <cell r="B135" t="str">
            <v>THI</v>
          </cell>
          <cell r="C135" t="str">
            <v>I H S</v>
          </cell>
          <cell r="D135">
            <v>1900067</v>
          </cell>
          <cell r="E135">
            <v>53191</v>
          </cell>
          <cell r="F135" t="str">
            <v>ASC</v>
          </cell>
          <cell r="G135" t="str">
            <v>JAN</v>
          </cell>
          <cell r="H135" t="str">
            <v>Parker Mann</v>
          </cell>
          <cell r="I135" t="str">
            <v>Engel</v>
          </cell>
          <cell r="J135" t="str">
            <v>Weekly Wire</v>
          </cell>
          <cell r="K135" t="str">
            <v>DONNA</v>
          </cell>
          <cell r="L135" t="str">
            <v>Wachovia</v>
          </cell>
          <cell r="M135">
            <v>1167510</v>
          </cell>
          <cell r="N135">
            <v>0</v>
          </cell>
          <cell r="O135" t="str">
            <v>NASCO</v>
          </cell>
          <cell r="P135" t="str">
            <v>NATIONAL</v>
          </cell>
          <cell r="Q135">
            <v>5556</v>
          </cell>
          <cell r="R135">
            <v>0</v>
          </cell>
          <cell r="S135">
            <v>0</v>
          </cell>
          <cell r="T135">
            <v>0</v>
          </cell>
          <cell r="U135">
            <v>0</v>
          </cell>
          <cell r="V135">
            <v>0</v>
          </cell>
          <cell r="W135">
            <v>0</v>
          </cell>
          <cell r="X135">
            <v>0</v>
          </cell>
          <cell r="Y135">
            <v>0</v>
          </cell>
          <cell r="Z135">
            <v>0</v>
          </cell>
          <cell r="AA135">
            <v>682098.84</v>
          </cell>
          <cell r="AB135">
            <v>2451766.16</v>
          </cell>
          <cell r="AC135">
            <v>3133865</v>
          </cell>
          <cell r="AD135">
            <v>-14</v>
          </cell>
          <cell r="AE135">
            <v>3133851</v>
          </cell>
          <cell r="AF135">
            <v>0</v>
          </cell>
          <cell r="AG135">
            <v>0</v>
          </cell>
          <cell r="AH135">
            <v>-7</v>
          </cell>
          <cell r="AI135">
            <v>27687783</v>
          </cell>
          <cell r="AJ135">
            <v>30821648</v>
          </cell>
          <cell r="AK135">
            <v>3133865</v>
          </cell>
          <cell r="AL135">
            <v>30139549.16</v>
          </cell>
          <cell r="AM135">
            <v>0</v>
          </cell>
          <cell r="AN135">
            <v>0</v>
          </cell>
          <cell r="AO135">
            <v>0</v>
          </cell>
          <cell r="AP135">
            <v>0</v>
          </cell>
          <cell r="AQ135">
            <v>0</v>
          </cell>
          <cell r="AR135">
            <v>0</v>
          </cell>
          <cell r="AS135">
            <v>0</v>
          </cell>
          <cell r="AT135">
            <v>2674794.7844807585</v>
          </cell>
          <cell r="AU135">
            <v>-223049.62448075833</v>
          </cell>
          <cell r="AW135">
            <v>27687783</v>
          </cell>
          <cell r="AX135">
            <v>756316</v>
          </cell>
          <cell r="AY135">
            <v>28444099</v>
          </cell>
          <cell r="AZ135">
            <v>0</v>
          </cell>
          <cell r="BA135">
            <v>28444099</v>
          </cell>
          <cell r="BB135">
            <v>0</v>
          </cell>
          <cell r="BC135">
            <v>28444099</v>
          </cell>
          <cell r="BD135">
            <v>-14</v>
          </cell>
          <cell r="BE135">
            <v>3133865</v>
          </cell>
          <cell r="BF135">
            <v>-7</v>
          </cell>
          <cell r="BH135">
            <v>31577943</v>
          </cell>
          <cell r="BI135">
            <v>0</v>
          </cell>
          <cell r="BJ135">
            <v>31577943</v>
          </cell>
          <cell r="BK135">
            <v>0</v>
          </cell>
          <cell r="BL135">
            <v>31577943</v>
          </cell>
        </row>
        <row r="136">
          <cell r="B136" t="str">
            <v>THYSSEN KRUPP</v>
          </cell>
          <cell r="C136">
            <v>0</v>
          </cell>
          <cell r="D136">
            <v>1900352</v>
          </cell>
          <cell r="E136">
            <v>61872</v>
          </cell>
          <cell r="F136" t="str">
            <v>ASC</v>
          </cell>
          <cell r="G136" t="str">
            <v>JAN</v>
          </cell>
          <cell r="H136" t="str">
            <v>Parker Mann</v>
          </cell>
          <cell r="I136" t="str">
            <v>Chopper</v>
          </cell>
          <cell r="J136" t="str">
            <v>Direct Debit--Weekly</v>
          </cell>
          <cell r="K136" t="str">
            <v>NETTIE</v>
          </cell>
          <cell r="L136" t="str">
            <v>None</v>
          </cell>
          <cell r="M136">
            <v>0</v>
          </cell>
          <cell r="N136">
            <v>15285</v>
          </cell>
          <cell r="O136" t="str">
            <v>NASCO</v>
          </cell>
          <cell r="P136" t="str">
            <v>NATIONAL</v>
          </cell>
          <cell r="Q136">
            <v>2622</v>
          </cell>
          <cell r="R136">
            <v>0</v>
          </cell>
          <cell r="S136">
            <v>0</v>
          </cell>
          <cell r="T136">
            <v>0</v>
          </cell>
          <cell r="U136">
            <v>0</v>
          </cell>
          <cell r="V136">
            <v>0</v>
          </cell>
          <cell r="W136">
            <v>0</v>
          </cell>
          <cell r="X136">
            <v>0</v>
          </cell>
          <cell r="Y136">
            <v>39745.14</v>
          </cell>
          <cell r="Z136">
            <v>0</v>
          </cell>
          <cell r="AA136">
            <v>0</v>
          </cell>
          <cell r="AB136">
            <v>1285092.8600000001</v>
          </cell>
          <cell r="AC136">
            <v>1324838</v>
          </cell>
          <cell r="AD136">
            <v>30</v>
          </cell>
          <cell r="AE136">
            <v>1324868</v>
          </cell>
          <cell r="AF136">
            <v>0</v>
          </cell>
          <cell r="AG136">
            <v>0</v>
          </cell>
          <cell r="AH136">
            <v>0</v>
          </cell>
          <cell r="AI136">
            <v>13988758</v>
          </cell>
          <cell r="AJ136">
            <v>15313596</v>
          </cell>
          <cell r="AK136">
            <v>1324838</v>
          </cell>
          <cell r="AL136">
            <v>15313596</v>
          </cell>
          <cell r="AM136">
            <v>0</v>
          </cell>
          <cell r="AN136">
            <v>0</v>
          </cell>
          <cell r="AO136">
            <v>0</v>
          </cell>
          <cell r="AP136">
            <v>0</v>
          </cell>
          <cell r="AQ136">
            <v>0</v>
          </cell>
          <cell r="AR136">
            <v>0</v>
          </cell>
          <cell r="AS136">
            <v>0</v>
          </cell>
          <cell r="AT136">
            <v>1359164.5908616323</v>
          </cell>
          <cell r="AU136">
            <v>-34296.590861632256</v>
          </cell>
          <cell r="AW136">
            <v>13988758</v>
          </cell>
          <cell r="AX136">
            <v>498222</v>
          </cell>
          <cell r="AY136">
            <v>14486980</v>
          </cell>
          <cell r="AZ136">
            <v>0</v>
          </cell>
          <cell r="BA136">
            <v>14486980</v>
          </cell>
          <cell r="BB136">
            <v>0</v>
          </cell>
          <cell r="BC136">
            <v>14486980</v>
          </cell>
          <cell r="BD136">
            <v>30</v>
          </cell>
          <cell r="BE136">
            <v>1324838</v>
          </cell>
          <cell r="BF136">
            <v>0</v>
          </cell>
          <cell r="BH136">
            <v>15811848</v>
          </cell>
          <cell r="BI136">
            <v>0</v>
          </cell>
          <cell r="BJ136">
            <v>15811848</v>
          </cell>
          <cell r="BK136">
            <v>0</v>
          </cell>
          <cell r="BL136">
            <v>15811848</v>
          </cell>
        </row>
        <row r="137">
          <cell r="B137" t="str">
            <v>TOWN &amp; COUNTRY</v>
          </cell>
          <cell r="C137" t="str">
            <v>THETCA</v>
          </cell>
          <cell r="D137">
            <v>1900319</v>
          </cell>
          <cell r="E137">
            <v>61840</v>
          </cell>
          <cell r="F137" t="str">
            <v>ASC</v>
          </cell>
          <cell r="G137" t="str">
            <v>JAN</v>
          </cell>
          <cell r="H137" t="str">
            <v>Howard</v>
          </cell>
          <cell r="I137" t="str">
            <v>Engel</v>
          </cell>
          <cell r="J137" t="str">
            <v>Direct Debit--Weekly</v>
          </cell>
          <cell r="K137" t="str">
            <v>BARBARA</v>
          </cell>
          <cell r="L137" t="str">
            <v>Watson Wyatt</v>
          </cell>
          <cell r="M137">
            <v>0</v>
          </cell>
          <cell r="N137">
            <v>36081</v>
          </cell>
          <cell r="O137" t="str">
            <v>NASCO</v>
          </cell>
          <cell r="P137" t="str">
            <v>NATIONAL</v>
          </cell>
          <cell r="Q137">
            <v>365</v>
          </cell>
          <cell r="R137">
            <v>0</v>
          </cell>
          <cell r="S137">
            <v>50000</v>
          </cell>
          <cell r="T137">
            <v>1.25</v>
          </cell>
          <cell r="U137">
            <v>188705.16</v>
          </cell>
          <cell r="V137">
            <v>26957.88</v>
          </cell>
          <cell r="W137">
            <v>215663.04</v>
          </cell>
          <cell r="X137">
            <v>0</v>
          </cell>
          <cell r="Y137">
            <v>0</v>
          </cell>
          <cell r="Z137">
            <v>0</v>
          </cell>
          <cell r="AA137">
            <v>58408.74</v>
          </cell>
          <cell r="AB137">
            <v>175226.22</v>
          </cell>
          <cell r="AC137">
            <v>449298</v>
          </cell>
          <cell r="AD137">
            <v>-82</v>
          </cell>
          <cell r="AE137">
            <v>449216</v>
          </cell>
          <cell r="AF137">
            <v>0</v>
          </cell>
          <cell r="AG137">
            <v>0</v>
          </cell>
          <cell r="AH137">
            <v>0</v>
          </cell>
          <cell r="AI137">
            <v>1770942</v>
          </cell>
          <cell r="AJ137">
            <v>2220240</v>
          </cell>
          <cell r="AK137">
            <v>449298</v>
          </cell>
          <cell r="AL137">
            <v>2161831.2599999998</v>
          </cell>
          <cell r="AM137">
            <v>0</v>
          </cell>
          <cell r="AN137">
            <v>0</v>
          </cell>
          <cell r="AO137">
            <v>0</v>
          </cell>
          <cell r="AP137">
            <v>0</v>
          </cell>
          <cell r="AQ137">
            <v>43063</v>
          </cell>
          <cell r="AR137">
            <v>0</v>
          </cell>
          <cell r="AS137">
            <v>43063</v>
          </cell>
          <cell r="AT137">
            <v>175072.66066584899</v>
          </cell>
          <cell r="AU137">
            <v>172671.59933415102</v>
          </cell>
          <cell r="AW137">
            <v>1814005</v>
          </cell>
          <cell r="AX137">
            <v>47815</v>
          </cell>
          <cell r="AY137">
            <v>1861820</v>
          </cell>
          <cell r="AZ137">
            <v>0</v>
          </cell>
          <cell r="BA137">
            <v>1861820</v>
          </cell>
          <cell r="BB137">
            <v>0</v>
          </cell>
          <cell r="BC137">
            <v>1861820</v>
          </cell>
          <cell r="BD137">
            <v>-82</v>
          </cell>
          <cell r="BE137">
            <v>449298</v>
          </cell>
          <cell r="BF137">
            <v>0</v>
          </cell>
          <cell r="BH137">
            <v>2311036</v>
          </cell>
          <cell r="BI137">
            <v>43063</v>
          </cell>
          <cell r="BJ137">
            <v>2267973</v>
          </cell>
          <cell r="BK137">
            <v>0</v>
          </cell>
          <cell r="BL137">
            <v>2267973</v>
          </cell>
        </row>
        <row r="138">
          <cell r="B138" t="str">
            <v>TOWNE PARK</v>
          </cell>
          <cell r="C138">
            <v>0</v>
          </cell>
          <cell r="D138">
            <v>1900306</v>
          </cell>
          <cell r="E138">
            <v>61448</v>
          </cell>
          <cell r="F138" t="str">
            <v>ASC</v>
          </cell>
          <cell r="G138" t="str">
            <v>OCT</v>
          </cell>
          <cell r="H138" t="str">
            <v>Delong</v>
          </cell>
          <cell r="I138" t="str">
            <v>Drusano</v>
          </cell>
          <cell r="J138" t="str">
            <v>Direct Debit--Weekly</v>
          </cell>
          <cell r="K138" t="str">
            <v>LISA</v>
          </cell>
          <cell r="L138" t="str">
            <v>Huber, Oros &amp; Co.</v>
          </cell>
          <cell r="M138">
            <v>0</v>
          </cell>
          <cell r="N138">
            <v>10000</v>
          </cell>
          <cell r="O138" t="str">
            <v>NASCO</v>
          </cell>
          <cell r="P138" t="str">
            <v>NATIONAL</v>
          </cell>
          <cell r="Q138">
            <v>472</v>
          </cell>
          <cell r="R138">
            <v>0</v>
          </cell>
          <cell r="S138">
            <v>75000</v>
          </cell>
          <cell r="T138">
            <v>1.25</v>
          </cell>
          <cell r="U138">
            <v>110036.05</v>
          </cell>
          <cell r="V138">
            <v>30612.26</v>
          </cell>
          <cell r="W138">
            <v>140648.31</v>
          </cell>
          <cell r="X138">
            <v>0</v>
          </cell>
          <cell r="Y138">
            <v>13119.54</v>
          </cell>
          <cell r="Z138">
            <v>0</v>
          </cell>
          <cell r="AA138">
            <v>61224.52</v>
          </cell>
          <cell r="AB138">
            <v>222325.63</v>
          </cell>
          <cell r="AC138">
            <v>437318</v>
          </cell>
          <cell r="AD138">
            <v>0</v>
          </cell>
          <cell r="AE138">
            <v>437318</v>
          </cell>
          <cell r="AF138">
            <v>0</v>
          </cell>
          <cell r="AG138">
            <v>0</v>
          </cell>
          <cell r="AH138">
            <v>0</v>
          </cell>
          <cell r="AI138">
            <v>916174</v>
          </cell>
          <cell r="AJ138">
            <v>1353492</v>
          </cell>
          <cell r="AK138">
            <v>437318</v>
          </cell>
          <cell r="AL138">
            <v>1292267.48</v>
          </cell>
          <cell r="AM138">
            <v>0</v>
          </cell>
          <cell r="AN138">
            <v>0</v>
          </cell>
          <cell r="AO138">
            <v>0</v>
          </cell>
          <cell r="AP138">
            <v>0</v>
          </cell>
          <cell r="AQ138">
            <v>0</v>
          </cell>
          <cell r="AR138">
            <v>0</v>
          </cell>
          <cell r="AS138">
            <v>0</v>
          </cell>
          <cell r="AT138">
            <v>90415.040379052385</v>
          </cell>
          <cell r="AU138">
            <v>285678.43962094758</v>
          </cell>
          <cell r="AW138">
            <v>916174</v>
          </cell>
          <cell r="AX138">
            <v>80359</v>
          </cell>
          <cell r="AY138">
            <v>996533</v>
          </cell>
          <cell r="AZ138">
            <v>0</v>
          </cell>
          <cell r="BA138">
            <v>996533</v>
          </cell>
          <cell r="BB138">
            <v>0</v>
          </cell>
          <cell r="BC138">
            <v>996533</v>
          </cell>
          <cell r="BD138">
            <v>0</v>
          </cell>
          <cell r="BE138">
            <v>437318</v>
          </cell>
          <cell r="BF138">
            <v>0</v>
          </cell>
          <cell r="BH138">
            <v>1433851</v>
          </cell>
          <cell r="BI138">
            <v>0</v>
          </cell>
          <cell r="BJ138">
            <v>1433851</v>
          </cell>
          <cell r="BK138">
            <v>0</v>
          </cell>
          <cell r="BL138">
            <v>1433851</v>
          </cell>
        </row>
        <row r="139">
          <cell r="B139" t="str">
            <v>TRUCK DRIVERS</v>
          </cell>
          <cell r="C139" t="str">
            <v>UNION 355</v>
          </cell>
          <cell r="D139" t="str">
            <v>n/a</v>
          </cell>
          <cell r="E139">
            <v>47447</v>
          </cell>
          <cell r="F139" t="str">
            <v>ASC</v>
          </cell>
          <cell r="G139" t="str">
            <v>AUG</v>
          </cell>
          <cell r="H139" t="str">
            <v>Lentz</v>
          </cell>
          <cell r="I139" t="str">
            <v>Yocum</v>
          </cell>
          <cell r="J139" t="str">
            <v>Deposit--2 Month</v>
          </cell>
          <cell r="K139" t="str">
            <v>LISA</v>
          </cell>
          <cell r="L139" t="str">
            <v>None</v>
          </cell>
          <cell r="M139">
            <v>234266</v>
          </cell>
          <cell r="N139">
            <v>0</v>
          </cell>
          <cell r="O139" t="str">
            <v>CARE-S</v>
          </cell>
          <cell r="P139" t="str">
            <v>LOCAL</v>
          </cell>
          <cell r="Q139">
            <v>2832</v>
          </cell>
          <cell r="R139">
            <v>0</v>
          </cell>
          <cell r="S139">
            <v>0</v>
          </cell>
          <cell r="T139">
            <v>0</v>
          </cell>
          <cell r="U139">
            <v>0</v>
          </cell>
          <cell r="V139">
            <v>0</v>
          </cell>
          <cell r="W139">
            <v>0</v>
          </cell>
          <cell r="X139">
            <v>0</v>
          </cell>
          <cell r="Y139">
            <v>0</v>
          </cell>
          <cell r="Z139">
            <v>0</v>
          </cell>
          <cell r="AA139">
            <v>0</v>
          </cell>
          <cell r="AB139">
            <v>155576</v>
          </cell>
          <cell r="AC139">
            <v>155576</v>
          </cell>
          <cell r="AD139">
            <v>0</v>
          </cell>
          <cell r="AE139">
            <v>155576</v>
          </cell>
          <cell r="AF139">
            <v>0</v>
          </cell>
          <cell r="AG139">
            <v>0</v>
          </cell>
          <cell r="AH139">
            <v>0</v>
          </cell>
          <cell r="AI139">
            <v>1364927</v>
          </cell>
          <cell r="AJ139">
            <v>1520503</v>
          </cell>
          <cell r="AK139">
            <v>155576</v>
          </cell>
          <cell r="AL139">
            <v>1520503</v>
          </cell>
          <cell r="AM139">
            <v>0</v>
          </cell>
          <cell r="AN139">
            <v>0</v>
          </cell>
          <cell r="AO139">
            <v>0</v>
          </cell>
          <cell r="AP139">
            <v>0</v>
          </cell>
          <cell r="AQ139">
            <v>0</v>
          </cell>
          <cell r="AR139">
            <v>0</v>
          </cell>
          <cell r="AS139">
            <v>0</v>
          </cell>
          <cell r="AT139">
            <v>132565.78272431134</v>
          </cell>
          <cell r="AU139">
            <v>23010.217275688658</v>
          </cell>
          <cell r="AW139">
            <v>1364927</v>
          </cell>
          <cell r="AX139">
            <v>0</v>
          </cell>
          <cell r="AY139">
            <v>1364927</v>
          </cell>
          <cell r="AZ139">
            <v>0</v>
          </cell>
          <cell r="BA139">
            <v>1364927</v>
          </cell>
          <cell r="BB139">
            <v>0</v>
          </cell>
          <cell r="BC139">
            <v>1364927</v>
          </cell>
          <cell r="BD139">
            <v>0</v>
          </cell>
          <cell r="BE139">
            <v>155576</v>
          </cell>
          <cell r="BF139">
            <v>0</v>
          </cell>
          <cell r="BH139">
            <v>1520503</v>
          </cell>
          <cell r="BI139">
            <v>0</v>
          </cell>
          <cell r="BJ139">
            <v>1520503</v>
          </cell>
          <cell r="BK139">
            <v>0</v>
          </cell>
          <cell r="BL139">
            <v>1520503</v>
          </cell>
        </row>
        <row r="140">
          <cell r="B140" t="str">
            <v>UMMS/DEATON( DENTAL ONLY 7/1/04)</v>
          </cell>
          <cell r="C140">
            <v>0</v>
          </cell>
          <cell r="D140" t="str">
            <v>n/a</v>
          </cell>
          <cell r="E140">
            <v>19121</v>
          </cell>
          <cell r="F140" t="str">
            <v>ASC</v>
          </cell>
          <cell r="G140" t="str">
            <v>JUL</v>
          </cell>
          <cell r="H140" t="str">
            <v>Michael</v>
          </cell>
          <cell r="I140" t="str">
            <v>Maier</v>
          </cell>
          <cell r="J140" t="str">
            <v>Deposit-2 Months</v>
          </cell>
          <cell r="K140" t="str">
            <v>DONNA</v>
          </cell>
          <cell r="L140" t="str">
            <v>None</v>
          </cell>
          <cell r="M140">
            <v>506600</v>
          </cell>
          <cell r="N140">
            <v>56900</v>
          </cell>
          <cell r="O140" t="str">
            <v>CARE-S</v>
          </cell>
          <cell r="P140" t="str">
            <v>LOCAL</v>
          </cell>
          <cell r="Q140" t="str">
            <v>dental</v>
          </cell>
          <cell r="R140">
            <v>0</v>
          </cell>
          <cell r="S140">
            <v>0</v>
          </cell>
          <cell r="T140">
            <v>0</v>
          </cell>
          <cell r="U140">
            <v>0</v>
          </cell>
          <cell r="V140">
            <v>0</v>
          </cell>
          <cell r="W140">
            <v>0</v>
          </cell>
          <cell r="X140">
            <v>16800</v>
          </cell>
          <cell r="Y140">
            <v>6300</v>
          </cell>
          <cell r="Z140">
            <v>0</v>
          </cell>
          <cell r="AA140">
            <v>0</v>
          </cell>
          <cell r="AB140">
            <v>282832</v>
          </cell>
          <cell r="AC140">
            <v>305932</v>
          </cell>
          <cell r="AD140">
            <v>1215</v>
          </cell>
          <cell r="AE140">
            <v>307147</v>
          </cell>
          <cell r="AF140">
            <v>0</v>
          </cell>
          <cell r="AG140">
            <v>0</v>
          </cell>
          <cell r="AH140">
            <v>0</v>
          </cell>
          <cell r="AI140">
            <v>3094383</v>
          </cell>
          <cell r="AJ140">
            <v>3400315</v>
          </cell>
          <cell r="AK140">
            <v>305932</v>
          </cell>
          <cell r="AL140">
            <v>3400315</v>
          </cell>
          <cell r="AM140">
            <v>0</v>
          </cell>
          <cell r="AN140">
            <v>0</v>
          </cell>
          <cell r="AO140">
            <v>0</v>
          </cell>
          <cell r="AP140">
            <v>0</v>
          </cell>
          <cell r="AQ140">
            <v>0</v>
          </cell>
          <cell r="AR140">
            <v>0</v>
          </cell>
          <cell r="AS140">
            <v>0</v>
          </cell>
          <cell r="AT140">
            <v>297974.85746046208</v>
          </cell>
          <cell r="AU140">
            <v>9172.1425395379192</v>
          </cell>
          <cell r="AW140">
            <v>3094383</v>
          </cell>
          <cell r="AX140">
            <v>4228</v>
          </cell>
          <cell r="AY140">
            <v>3098611</v>
          </cell>
          <cell r="AZ140">
            <v>0</v>
          </cell>
          <cell r="BA140">
            <v>3098611</v>
          </cell>
          <cell r="BB140">
            <v>0</v>
          </cell>
          <cell r="BC140">
            <v>3098611</v>
          </cell>
          <cell r="BD140">
            <v>1215</v>
          </cell>
          <cell r="BE140">
            <v>305932</v>
          </cell>
          <cell r="BF140">
            <v>0</v>
          </cell>
          <cell r="BH140">
            <v>3405758</v>
          </cell>
          <cell r="BI140">
            <v>0</v>
          </cell>
          <cell r="BJ140">
            <v>3405758</v>
          </cell>
          <cell r="BK140">
            <v>0</v>
          </cell>
          <cell r="BL140">
            <v>3405758</v>
          </cell>
        </row>
        <row r="141">
          <cell r="B141" t="str">
            <v>UNION CITY BODY</v>
          </cell>
          <cell r="C141" t="str">
            <v>GRAND VEHICLE</v>
          </cell>
          <cell r="D141">
            <v>1900467</v>
          </cell>
          <cell r="E141">
            <v>63978</v>
          </cell>
          <cell r="F141" t="str">
            <v>ASC</v>
          </cell>
          <cell r="G141" t="str">
            <v>JAN</v>
          </cell>
          <cell r="H141" t="str">
            <v>Parker Mann</v>
          </cell>
          <cell r="I141" t="str">
            <v>Engel</v>
          </cell>
          <cell r="J141" t="str">
            <v>Weekly Wire</v>
          </cell>
          <cell r="K141" t="str">
            <v>BARBARA</v>
          </cell>
          <cell r="L141" t="str">
            <v>Wachovia</v>
          </cell>
          <cell r="M141">
            <v>90000</v>
          </cell>
          <cell r="N141">
            <v>0</v>
          </cell>
          <cell r="O141" t="str">
            <v>NASCO-S</v>
          </cell>
          <cell r="P141" t="str">
            <v>NATIONAL</v>
          </cell>
          <cell r="Q141">
            <v>765</v>
          </cell>
          <cell r="R141">
            <v>0</v>
          </cell>
          <cell r="S141">
            <v>0</v>
          </cell>
          <cell r="T141">
            <v>0</v>
          </cell>
          <cell r="U141">
            <v>0</v>
          </cell>
          <cell r="V141">
            <v>0</v>
          </cell>
          <cell r="W141">
            <v>0</v>
          </cell>
          <cell r="X141">
            <v>0</v>
          </cell>
          <cell r="Y141">
            <v>0</v>
          </cell>
          <cell r="Z141">
            <v>0</v>
          </cell>
          <cell r="AA141">
            <v>327963.3</v>
          </cell>
          <cell r="AB141">
            <v>765247.7</v>
          </cell>
          <cell r="AC141">
            <v>1093211</v>
          </cell>
          <cell r="AD141">
            <v>0</v>
          </cell>
          <cell r="AE141">
            <v>1093211</v>
          </cell>
          <cell r="AF141">
            <v>0</v>
          </cell>
          <cell r="AG141">
            <v>0</v>
          </cell>
          <cell r="AH141">
            <v>0</v>
          </cell>
          <cell r="AI141">
            <v>4187372</v>
          </cell>
          <cell r="AJ141">
            <v>5280583</v>
          </cell>
          <cell r="AK141">
            <v>1093211</v>
          </cell>
          <cell r="AL141">
            <v>4952619.7</v>
          </cell>
          <cell r="AM141">
            <v>0</v>
          </cell>
          <cell r="AN141">
            <v>0</v>
          </cell>
          <cell r="AO141">
            <v>0</v>
          </cell>
          <cell r="AP141">
            <v>0</v>
          </cell>
          <cell r="AQ141">
            <v>0</v>
          </cell>
          <cell r="AR141">
            <v>0</v>
          </cell>
          <cell r="AS141">
            <v>0</v>
          </cell>
          <cell r="AT141">
            <v>406900.50846953696</v>
          </cell>
          <cell r="AU141">
            <v>358347.19153046299</v>
          </cell>
          <cell r="AW141">
            <v>4187372</v>
          </cell>
          <cell r="AX141">
            <v>21190</v>
          </cell>
          <cell r="AY141">
            <v>4208562</v>
          </cell>
          <cell r="AZ141">
            <v>0</v>
          </cell>
          <cell r="BA141">
            <v>4208562</v>
          </cell>
          <cell r="BB141">
            <v>0</v>
          </cell>
          <cell r="BC141">
            <v>4208562</v>
          </cell>
          <cell r="BD141">
            <v>0</v>
          </cell>
          <cell r="BE141">
            <v>1093211</v>
          </cell>
          <cell r="BF141">
            <v>0</v>
          </cell>
          <cell r="BH141">
            <v>5301773</v>
          </cell>
          <cell r="BI141">
            <v>0</v>
          </cell>
          <cell r="BJ141">
            <v>5301773</v>
          </cell>
          <cell r="BK141">
            <v>0</v>
          </cell>
          <cell r="BL141">
            <v>5301773</v>
          </cell>
        </row>
        <row r="142">
          <cell r="B142" t="str">
            <v>UNIVERSITY PHYSICIANS DENTAL</v>
          </cell>
          <cell r="C142">
            <v>0</v>
          </cell>
          <cell r="D142" t="str">
            <v>n/a</v>
          </cell>
          <cell r="E142">
            <v>18278</v>
          </cell>
          <cell r="F142" t="str">
            <v>ASC</v>
          </cell>
          <cell r="G142" t="str">
            <v>JAN</v>
          </cell>
          <cell r="H142" t="str">
            <v>Michael</v>
          </cell>
          <cell r="I142" t="str">
            <v>Maier</v>
          </cell>
          <cell r="J142" t="str">
            <v>Deposit-2 Months</v>
          </cell>
          <cell r="K142" t="str">
            <v>DONNA</v>
          </cell>
          <cell r="L142" t="str">
            <v>None</v>
          </cell>
          <cell r="M142">
            <v>36600</v>
          </cell>
          <cell r="N142">
            <v>0</v>
          </cell>
          <cell r="O142" t="str">
            <v>CARE-S</v>
          </cell>
          <cell r="P142" t="str">
            <v>LOCAL</v>
          </cell>
          <cell r="Q142" t="str">
            <v>dental</v>
          </cell>
          <cell r="R142">
            <v>0</v>
          </cell>
          <cell r="S142">
            <v>0</v>
          </cell>
          <cell r="T142">
            <v>0</v>
          </cell>
          <cell r="U142">
            <v>0</v>
          </cell>
          <cell r="V142">
            <v>0</v>
          </cell>
          <cell r="W142">
            <v>0</v>
          </cell>
          <cell r="X142">
            <v>0</v>
          </cell>
          <cell r="Y142">
            <v>0</v>
          </cell>
          <cell r="Z142">
            <v>0</v>
          </cell>
          <cell r="AA142">
            <v>0</v>
          </cell>
          <cell r="AB142">
            <v>35389</v>
          </cell>
          <cell r="AC142">
            <v>35389</v>
          </cell>
          <cell r="AD142">
            <v>686</v>
          </cell>
          <cell r="AE142">
            <v>36075</v>
          </cell>
          <cell r="AF142">
            <v>0</v>
          </cell>
          <cell r="AG142">
            <v>0</v>
          </cell>
          <cell r="AH142">
            <v>0</v>
          </cell>
          <cell r="AI142">
            <v>230926</v>
          </cell>
          <cell r="AJ142">
            <v>266315</v>
          </cell>
          <cell r="AK142">
            <v>35389</v>
          </cell>
          <cell r="AL142">
            <v>266315</v>
          </cell>
          <cell r="AM142">
            <v>0</v>
          </cell>
          <cell r="AN142">
            <v>0</v>
          </cell>
          <cell r="AO142">
            <v>0</v>
          </cell>
          <cell r="AP142">
            <v>0</v>
          </cell>
          <cell r="AQ142">
            <v>0</v>
          </cell>
          <cell r="AR142">
            <v>0</v>
          </cell>
          <cell r="AS142">
            <v>0</v>
          </cell>
          <cell r="AT142">
            <v>22529.185684266031</v>
          </cell>
          <cell r="AU142">
            <v>13545.814315733969</v>
          </cell>
          <cell r="AW142">
            <v>230926</v>
          </cell>
          <cell r="AX142">
            <v>0</v>
          </cell>
          <cell r="AY142">
            <v>230926</v>
          </cell>
          <cell r="AZ142">
            <v>0</v>
          </cell>
          <cell r="BA142">
            <v>230926</v>
          </cell>
          <cell r="BB142">
            <v>0</v>
          </cell>
          <cell r="BC142">
            <v>230926</v>
          </cell>
          <cell r="BD142">
            <v>686</v>
          </cell>
          <cell r="BE142">
            <v>35389</v>
          </cell>
          <cell r="BF142">
            <v>0</v>
          </cell>
          <cell r="BH142">
            <v>267001</v>
          </cell>
          <cell r="BI142">
            <v>0</v>
          </cell>
          <cell r="BJ142">
            <v>267001</v>
          </cell>
          <cell r="BK142">
            <v>0</v>
          </cell>
          <cell r="BL142">
            <v>267001</v>
          </cell>
        </row>
        <row r="143">
          <cell r="B143" t="str">
            <v>US FOOD SERVICE</v>
          </cell>
          <cell r="C143">
            <v>0</v>
          </cell>
          <cell r="D143">
            <v>1900225</v>
          </cell>
          <cell r="E143">
            <v>59317</v>
          </cell>
          <cell r="F143" t="str">
            <v>ASC</v>
          </cell>
          <cell r="G143" t="str">
            <v>JAN</v>
          </cell>
          <cell r="H143" t="str">
            <v>Michael</v>
          </cell>
          <cell r="I143" t="str">
            <v>Maier</v>
          </cell>
          <cell r="J143" t="str">
            <v>Weekly Wire</v>
          </cell>
          <cell r="K143" t="str">
            <v>LISA</v>
          </cell>
          <cell r="L143" t="str">
            <v>None</v>
          </cell>
          <cell r="M143">
            <v>0</v>
          </cell>
          <cell r="N143">
            <v>60320</v>
          </cell>
          <cell r="O143" t="str">
            <v>Nasco</v>
          </cell>
          <cell r="P143" t="str">
            <v>NATIONAL</v>
          </cell>
          <cell r="Q143">
            <v>15807</v>
          </cell>
          <cell r="R143">
            <v>0</v>
          </cell>
          <cell r="S143">
            <v>0</v>
          </cell>
          <cell r="T143">
            <v>0</v>
          </cell>
          <cell r="U143">
            <v>0</v>
          </cell>
          <cell r="V143">
            <v>0</v>
          </cell>
          <cell r="W143">
            <v>0</v>
          </cell>
          <cell r="X143">
            <v>0</v>
          </cell>
          <cell r="Y143">
            <v>0</v>
          </cell>
          <cell r="Z143">
            <v>0</v>
          </cell>
          <cell r="AA143">
            <v>0</v>
          </cell>
          <cell r="AB143">
            <v>5339239</v>
          </cell>
          <cell r="AC143">
            <v>5339239</v>
          </cell>
          <cell r="AD143">
            <v>21</v>
          </cell>
          <cell r="AE143">
            <v>5339260</v>
          </cell>
          <cell r="AF143">
            <v>0</v>
          </cell>
          <cell r="AG143">
            <v>0</v>
          </cell>
          <cell r="AH143">
            <v>-510</v>
          </cell>
          <cell r="AI143">
            <v>81429217</v>
          </cell>
          <cell r="AJ143">
            <v>86768456</v>
          </cell>
          <cell r="AK143">
            <v>5339239</v>
          </cell>
          <cell r="AL143">
            <v>86768456</v>
          </cell>
          <cell r="AM143">
            <v>0</v>
          </cell>
          <cell r="AN143">
            <v>0</v>
          </cell>
          <cell r="AO143">
            <v>0</v>
          </cell>
          <cell r="AP143">
            <v>0</v>
          </cell>
          <cell r="AQ143">
            <v>0</v>
          </cell>
          <cell r="AR143">
            <v>0</v>
          </cell>
          <cell r="AS143">
            <v>0</v>
          </cell>
          <cell r="AT143">
            <v>7918209.1135279601</v>
          </cell>
          <cell r="AU143">
            <v>-2579459.1135279601</v>
          </cell>
          <cell r="AW143">
            <v>81429217</v>
          </cell>
          <cell r="AX143">
            <v>2184271</v>
          </cell>
          <cell r="AY143">
            <v>83613488</v>
          </cell>
          <cell r="AZ143">
            <v>0</v>
          </cell>
          <cell r="BA143">
            <v>83613488</v>
          </cell>
          <cell r="BB143">
            <v>0</v>
          </cell>
          <cell r="BC143">
            <v>83613488</v>
          </cell>
          <cell r="BD143">
            <v>21</v>
          </cell>
          <cell r="BE143">
            <v>5339239</v>
          </cell>
          <cell r="BF143">
            <v>-510</v>
          </cell>
          <cell r="BH143">
            <v>88952238</v>
          </cell>
          <cell r="BI143">
            <v>0</v>
          </cell>
          <cell r="BJ143">
            <v>88952238</v>
          </cell>
          <cell r="BK143">
            <v>0</v>
          </cell>
          <cell r="BL143">
            <v>88952238</v>
          </cell>
        </row>
        <row r="144">
          <cell r="B144" t="str">
            <v>US INTERNETWORKING</v>
          </cell>
          <cell r="C144">
            <v>0</v>
          </cell>
          <cell r="D144">
            <v>1900272</v>
          </cell>
          <cell r="E144">
            <v>51099</v>
          </cell>
          <cell r="F144" t="str">
            <v>ASC-Adjustable Retro</v>
          </cell>
          <cell r="G144" t="str">
            <v>JAN</v>
          </cell>
          <cell r="H144" t="str">
            <v>Parker Mann</v>
          </cell>
          <cell r="I144" t="str">
            <v>Drusano</v>
          </cell>
          <cell r="J144" t="str">
            <v>Direct Debit--Weekly</v>
          </cell>
          <cell r="K144" t="str">
            <v>LISA</v>
          </cell>
          <cell r="L144" t="str">
            <v>Huber,Oros &amp; Co.</v>
          </cell>
          <cell r="M144">
            <v>0</v>
          </cell>
          <cell r="N144">
            <v>125099</v>
          </cell>
          <cell r="O144" t="str">
            <v>NASCO</v>
          </cell>
          <cell r="P144" t="str">
            <v>NATIONAL</v>
          </cell>
          <cell r="Q144">
            <v>317</v>
          </cell>
          <cell r="R144">
            <v>0</v>
          </cell>
          <cell r="S144">
            <v>125000</v>
          </cell>
          <cell r="T144">
            <v>1.25</v>
          </cell>
          <cell r="U144">
            <v>68108.52</v>
          </cell>
          <cell r="V144">
            <v>26651.16</v>
          </cell>
          <cell r="W144">
            <v>94759.679999999993</v>
          </cell>
          <cell r="X144">
            <v>0</v>
          </cell>
          <cell r="Y144">
            <v>2961.24</v>
          </cell>
          <cell r="Z144">
            <v>0</v>
          </cell>
          <cell r="AA144">
            <v>56263.56</v>
          </cell>
          <cell r="AB144">
            <v>142139.51999999999</v>
          </cell>
          <cell r="AC144">
            <v>296124</v>
          </cell>
          <cell r="AD144">
            <v>-8</v>
          </cell>
          <cell r="AE144">
            <v>296116</v>
          </cell>
          <cell r="AF144">
            <v>0</v>
          </cell>
          <cell r="AG144">
            <v>0</v>
          </cell>
          <cell r="AH144">
            <v>0</v>
          </cell>
          <cell r="AI144">
            <v>1216637</v>
          </cell>
          <cell r="AJ144">
            <v>1512761</v>
          </cell>
          <cell r="AK144">
            <v>296124</v>
          </cell>
          <cell r="AL144">
            <v>1456497.44</v>
          </cell>
          <cell r="AM144">
            <v>0</v>
          </cell>
          <cell r="AN144">
            <v>0</v>
          </cell>
          <cell r="AO144">
            <v>0</v>
          </cell>
          <cell r="AP144">
            <v>0</v>
          </cell>
          <cell r="AQ144">
            <v>0</v>
          </cell>
          <cell r="AR144">
            <v>0</v>
          </cell>
          <cell r="AS144">
            <v>0</v>
          </cell>
          <cell r="AT144">
            <v>119121.68210032729</v>
          </cell>
          <cell r="AU144">
            <v>120730.75789967271</v>
          </cell>
          <cell r="AW144">
            <v>1216637</v>
          </cell>
          <cell r="AX144">
            <v>19604</v>
          </cell>
          <cell r="AY144">
            <v>1236241</v>
          </cell>
          <cell r="AZ144">
            <v>0</v>
          </cell>
          <cell r="BA144">
            <v>1236241</v>
          </cell>
          <cell r="BB144">
            <v>0</v>
          </cell>
          <cell r="BC144">
            <v>1236241</v>
          </cell>
          <cell r="BD144">
            <v>-8</v>
          </cell>
          <cell r="BE144">
            <v>296124</v>
          </cell>
          <cell r="BF144">
            <v>0</v>
          </cell>
          <cell r="BH144">
            <v>1532357</v>
          </cell>
          <cell r="BI144">
            <v>0</v>
          </cell>
          <cell r="BJ144">
            <v>1532357</v>
          </cell>
          <cell r="BK144">
            <v>0</v>
          </cell>
          <cell r="BL144">
            <v>1532357</v>
          </cell>
        </row>
        <row r="145">
          <cell r="B145" t="str">
            <v>VERTIS INC</v>
          </cell>
          <cell r="C145" t="str">
            <v>BIG FLOWER</v>
          </cell>
          <cell r="D145">
            <v>1900065</v>
          </cell>
          <cell r="E145">
            <v>53194</v>
          </cell>
          <cell r="F145" t="str">
            <v>ASC</v>
          </cell>
          <cell r="G145" t="str">
            <v>APR</v>
          </cell>
          <cell r="H145" t="str">
            <v>Michael</v>
          </cell>
          <cell r="I145" t="str">
            <v>Patton</v>
          </cell>
          <cell r="J145" t="str">
            <v>Weekly Wire</v>
          </cell>
          <cell r="K145" t="str">
            <v>LISA</v>
          </cell>
          <cell r="L145" t="str">
            <v>None</v>
          </cell>
          <cell r="M145">
            <v>0</v>
          </cell>
          <cell r="N145">
            <v>25000</v>
          </cell>
          <cell r="O145" t="str">
            <v>NASCO</v>
          </cell>
          <cell r="P145" t="str">
            <v>NATIONAL</v>
          </cell>
          <cell r="Q145">
            <v>4778</v>
          </cell>
          <cell r="R145">
            <v>0</v>
          </cell>
          <cell r="S145">
            <v>0</v>
          </cell>
          <cell r="T145">
            <v>0</v>
          </cell>
          <cell r="U145">
            <v>0</v>
          </cell>
          <cell r="V145">
            <v>0</v>
          </cell>
          <cell r="W145">
            <v>0</v>
          </cell>
          <cell r="X145">
            <v>0</v>
          </cell>
          <cell r="Y145">
            <v>0</v>
          </cell>
          <cell r="Z145">
            <v>0</v>
          </cell>
          <cell r="AA145">
            <v>0</v>
          </cell>
          <cell r="AB145">
            <v>1913019</v>
          </cell>
          <cell r="AC145">
            <v>1913019</v>
          </cell>
          <cell r="AD145">
            <v>0</v>
          </cell>
          <cell r="AE145">
            <v>1913019</v>
          </cell>
          <cell r="AF145">
            <v>0</v>
          </cell>
          <cell r="AG145">
            <v>0</v>
          </cell>
          <cell r="AH145">
            <v>274</v>
          </cell>
          <cell r="AI145">
            <v>22419325</v>
          </cell>
          <cell r="AJ145">
            <v>24332344</v>
          </cell>
          <cell r="AK145">
            <v>1913019</v>
          </cell>
          <cell r="AL145">
            <v>24332344</v>
          </cell>
          <cell r="AM145">
            <v>0</v>
          </cell>
          <cell r="AN145">
            <v>0</v>
          </cell>
          <cell r="AO145">
            <v>0</v>
          </cell>
          <cell r="AP145">
            <v>0</v>
          </cell>
          <cell r="AQ145">
            <v>0</v>
          </cell>
          <cell r="AR145">
            <v>0</v>
          </cell>
          <cell r="AS145">
            <v>0</v>
          </cell>
          <cell r="AT145">
            <v>2171925.4331377135</v>
          </cell>
          <cell r="AU145">
            <v>-258632.43313771347</v>
          </cell>
          <cell r="AW145">
            <v>22419325</v>
          </cell>
          <cell r="AX145">
            <v>803139</v>
          </cell>
          <cell r="AY145">
            <v>23222464</v>
          </cell>
          <cell r="AZ145">
            <v>0</v>
          </cell>
          <cell r="BA145">
            <v>23222464</v>
          </cell>
          <cell r="BB145">
            <v>0</v>
          </cell>
          <cell r="BC145">
            <v>23222464</v>
          </cell>
          <cell r="BD145">
            <v>0</v>
          </cell>
          <cell r="BE145">
            <v>1913019</v>
          </cell>
          <cell r="BF145">
            <v>274</v>
          </cell>
          <cell r="BH145">
            <v>25135757</v>
          </cell>
          <cell r="BI145">
            <v>0</v>
          </cell>
          <cell r="BJ145">
            <v>25135757</v>
          </cell>
          <cell r="BK145">
            <v>0</v>
          </cell>
          <cell r="BL145">
            <v>25135757</v>
          </cell>
        </row>
        <row r="146">
          <cell r="B146" t="str">
            <v>VIPS DENTAL</v>
          </cell>
          <cell r="C146">
            <v>0</v>
          </cell>
          <cell r="D146" t="str">
            <v>n/a</v>
          </cell>
          <cell r="E146">
            <v>44648</v>
          </cell>
          <cell r="F146" t="str">
            <v>ASC</v>
          </cell>
          <cell r="G146" t="str">
            <v>JAN</v>
          </cell>
          <cell r="H146" t="str">
            <v>Lentz</v>
          </cell>
          <cell r="I146" t="str">
            <v>Rossi</v>
          </cell>
          <cell r="J146" t="str">
            <v>Deposit-2 Months</v>
          </cell>
          <cell r="K146" t="str">
            <v>NETTIE</v>
          </cell>
          <cell r="L146" t="str">
            <v>None</v>
          </cell>
          <cell r="M146">
            <v>21400</v>
          </cell>
          <cell r="N146">
            <v>0</v>
          </cell>
          <cell r="O146" t="str">
            <v>CARE</v>
          </cell>
          <cell r="P146" t="str">
            <v>LOCAL</v>
          </cell>
          <cell r="Q146" t="str">
            <v>dental</v>
          </cell>
          <cell r="R146">
            <v>0</v>
          </cell>
          <cell r="S146">
            <v>0</v>
          </cell>
          <cell r="T146">
            <v>0</v>
          </cell>
          <cell r="U146">
            <v>0</v>
          </cell>
          <cell r="V146">
            <v>0</v>
          </cell>
          <cell r="W146">
            <v>0</v>
          </cell>
          <cell r="X146">
            <v>0</v>
          </cell>
          <cell r="Y146">
            <v>0</v>
          </cell>
          <cell r="Z146">
            <v>0</v>
          </cell>
          <cell r="AA146">
            <v>0</v>
          </cell>
          <cell r="AB146">
            <v>21032</v>
          </cell>
          <cell r="AC146">
            <v>21032</v>
          </cell>
          <cell r="AD146">
            <v>121</v>
          </cell>
          <cell r="AE146">
            <v>21153</v>
          </cell>
          <cell r="AF146">
            <v>0</v>
          </cell>
          <cell r="AG146">
            <v>0</v>
          </cell>
          <cell r="AH146">
            <v>0</v>
          </cell>
          <cell r="AI146">
            <v>173892</v>
          </cell>
          <cell r="AJ146">
            <v>194924</v>
          </cell>
          <cell r="AK146">
            <v>21032</v>
          </cell>
          <cell r="AL146">
            <v>194924</v>
          </cell>
          <cell r="AM146">
            <v>0</v>
          </cell>
          <cell r="AN146">
            <v>0</v>
          </cell>
          <cell r="AO146">
            <v>0</v>
          </cell>
          <cell r="AP146">
            <v>0</v>
          </cell>
          <cell r="AQ146">
            <v>0</v>
          </cell>
          <cell r="AR146">
            <v>0</v>
          </cell>
          <cell r="AS146">
            <v>0</v>
          </cell>
          <cell r="AT146">
            <v>16803.093354528599</v>
          </cell>
          <cell r="AU146">
            <v>4349.9066454714011</v>
          </cell>
          <cell r="AW146">
            <v>173892</v>
          </cell>
          <cell r="AX146">
            <v>0</v>
          </cell>
          <cell r="AY146">
            <v>173892</v>
          </cell>
          <cell r="AZ146">
            <v>0</v>
          </cell>
          <cell r="BA146">
            <v>173892</v>
          </cell>
          <cell r="BB146">
            <v>0</v>
          </cell>
          <cell r="BC146">
            <v>173892</v>
          </cell>
          <cell r="BD146">
            <v>121</v>
          </cell>
          <cell r="BE146">
            <v>21032</v>
          </cell>
          <cell r="BF146">
            <v>0</v>
          </cell>
          <cell r="BH146">
            <v>195045</v>
          </cell>
          <cell r="BI146">
            <v>0</v>
          </cell>
          <cell r="BJ146">
            <v>195045</v>
          </cell>
          <cell r="BK146">
            <v>0</v>
          </cell>
          <cell r="BL146">
            <v>195045</v>
          </cell>
        </row>
        <row r="147">
          <cell r="B147" t="str">
            <v>WAREHOUSE LOCAL 570</v>
          </cell>
          <cell r="C147">
            <v>0</v>
          </cell>
          <cell r="D147" t="str">
            <v>n/a</v>
          </cell>
          <cell r="E147">
            <v>39219</v>
          </cell>
          <cell r="F147" t="str">
            <v>ASC</v>
          </cell>
          <cell r="G147" t="str">
            <v>JAN</v>
          </cell>
          <cell r="H147" t="str">
            <v>Howard</v>
          </cell>
          <cell r="I147" t="str">
            <v>Yocum</v>
          </cell>
          <cell r="J147" t="str">
            <v>Wire--1 Month</v>
          </cell>
          <cell r="K147" t="str">
            <v>GINNY</v>
          </cell>
          <cell r="L147" t="str">
            <v>None</v>
          </cell>
          <cell r="M147">
            <v>199400</v>
          </cell>
          <cell r="N147">
            <v>0</v>
          </cell>
          <cell r="O147" t="str">
            <v>CARE</v>
          </cell>
          <cell r="P147" t="str">
            <v>LOCAL</v>
          </cell>
          <cell r="Q147" t="str">
            <v>drug</v>
          </cell>
          <cell r="R147">
            <v>0</v>
          </cell>
          <cell r="S147">
            <v>0</v>
          </cell>
          <cell r="T147">
            <v>0</v>
          </cell>
          <cell r="U147">
            <v>0</v>
          </cell>
          <cell r="V147">
            <v>0</v>
          </cell>
          <cell r="W147">
            <v>0</v>
          </cell>
          <cell r="X147">
            <v>0</v>
          </cell>
          <cell r="Y147">
            <v>0</v>
          </cell>
          <cell r="Z147">
            <v>0</v>
          </cell>
          <cell r="AA147">
            <v>0</v>
          </cell>
          <cell r="AB147">
            <v>28214</v>
          </cell>
          <cell r="AC147">
            <v>28214</v>
          </cell>
          <cell r="AD147">
            <v>0</v>
          </cell>
          <cell r="AE147">
            <v>28214</v>
          </cell>
          <cell r="AF147">
            <v>0</v>
          </cell>
          <cell r="AG147">
            <v>0</v>
          </cell>
          <cell r="AH147">
            <v>0</v>
          </cell>
          <cell r="AI147">
            <v>1627054</v>
          </cell>
          <cell r="AJ147">
            <v>1655268</v>
          </cell>
          <cell r="AK147">
            <v>28214</v>
          </cell>
          <cell r="AL147">
            <v>1655268</v>
          </cell>
          <cell r="AM147">
            <v>0</v>
          </cell>
          <cell r="AN147">
            <v>0</v>
          </cell>
          <cell r="AO147">
            <v>0</v>
          </cell>
          <cell r="AP147">
            <v>0</v>
          </cell>
          <cell r="AQ147">
            <v>0</v>
          </cell>
          <cell r="AR147">
            <v>0</v>
          </cell>
          <cell r="AS147">
            <v>0</v>
          </cell>
          <cell r="AT147">
            <v>158987.59056541376</v>
          </cell>
          <cell r="AU147">
            <v>-130773.59056541376</v>
          </cell>
          <cell r="AW147">
            <v>1627054</v>
          </cell>
          <cell r="AX147">
            <v>0</v>
          </cell>
          <cell r="AY147">
            <v>1627054</v>
          </cell>
          <cell r="AZ147">
            <v>0</v>
          </cell>
          <cell r="BA147">
            <v>1627054</v>
          </cell>
          <cell r="BB147">
            <v>0</v>
          </cell>
          <cell r="BC147">
            <v>1627054</v>
          </cell>
          <cell r="BD147">
            <v>0</v>
          </cell>
          <cell r="BE147">
            <v>28214</v>
          </cell>
          <cell r="BF147">
            <v>0</v>
          </cell>
          <cell r="BH147">
            <v>1655268</v>
          </cell>
          <cell r="BI147">
            <v>0</v>
          </cell>
          <cell r="BJ147">
            <v>1655268</v>
          </cell>
          <cell r="BK147">
            <v>0</v>
          </cell>
          <cell r="BL147">
            <v>1655268</v>
          </cell>
        </row>
        <row r="148">
          <cell r="B148" t="str">
            <v>WASHINGTON CO BD OF ED</v>
          </cell>
          <cell r="C148">
            <v>0</v>
          </cell>
          <cell r="D148" t="str">
            <v>n/a</v>
          </cell>
          <cell r="E148">
            <v>28795</v>
          </cell>
          <cell r="F148" t="str">
            <v>ASC</v>
          </cell>
          <cell r="G148" t="str">
            <v>JUL</v>
          </cell>
          <cell r="H148" t="str">
            <v>Michael</v>
          </cell>
          <cell r="I148" t="str">
            <v>Lopez</v>
          </cell>
          <cell r="J148" t="str">
            <v>Deposit-2 Months</v>
          </cell>
          <cell r="K148" t="str">
            <v>NETTIE</v>
          </cell>
          <cell r="L148" t="str">
            <v>None</v>
          </cell>
          <cell r="M148">
            <v>2985000</v>
          </cell>
          <cell r="N148">
            <v>430576</v>
          </cell>
          <cell r="O148" t="str">
            <v>CARE-S</v>
          </cell>
          <cell r="P148" t="str">
            <v>LOCAL</v>
          </cell>
          <cell r="Q148">
            <v>3195</v>
          </cell>
          <cell r="R148">
            <v>0</v>
          </cell>
          <cell r="S148">
            <v>150000</v>
          </cell>
          <cell r="T148">
            <v>0</v>
          </cell>
          <cell r="U148">
            <v>533519.51</v>
          </cell>
          <cell r="V148">
            <v>0</v>
          </cell>
          <cell r="W148">
            <v>533519.51</v>
          </cell>
          <cell r="X148">
            <v>150098.35999999999</v>
          </cell>
          <cell r="Y148">
            <v>86506</v>
          </cell>
          <cell r="Z148">
            <v>0</v>
          </cell>
          <cell r="AA148">
            <v>0</v>
          </cell>
          <cell r="AB148">
            <v>819685.13</v>
          </cell>
          <cell r="AC148">
            <v>1589809</v>
          </cell>
          <cell r="AD148">
            <v>3583</v>
          </cell>
          <cell r="AE148">
            <v>1593392</v>
          </cell>
          <cell r="AF148">
            <v>0</v>
          </cell>
          <cell r="AG148">
            <v>0</v>
          </cell>
          <cell r="AH148">
            <v>-18860</v>
          </cell>
          <cell r="AI148">
            <v>16878338</v>
          </cell>
          <cell r="AJ148">
            <v>18468147</v>
          </cell>
          <cell r="AK148">
            <v>1589809</v>
          </cell>
          <cell r="AL148">
            <v>18468147</v>
          </cell>
          <cell r="AM148">
            <v>0</v>
          </cell>
          <cell r="AN148">
            <v>0</v>
          </cell>
          <cell r="AO148">
            <v>0</v>
          </cell>
          <cell r="AP148">
            <v>0</v>
          </cell>
          <cell r="AQ148">
            <v>0</v>
          </cell>
          <cell r="AR148">
            <v>0</v>
          </cell>
          <cell r="AS148">
            <v>0</v>
          </cell>
          <cell r="AT148">
            <v>1641241.2862428443</v>
          </cell>
          <cell r="AU148">
            <v>-66709.286242844304</v>
          </cell>
          <cell r="AW148">
            <v>16878338</v>
          </cell>
          <cell r="AX148">
            <v>73175</v>
          </cell>
          <cell r="AY148">
            <v>16951513</v>
          </cell>
          <cell r="AZ148">
            <v>0</v>
          </cell>
          <cell r="BA148">
            <v>16951513</v>
          </cell>
          <cell r="BB148">
            <v>0</v>
          </cell>
          <cell r="BC148">
            <v>16951513</v>
          </cell>
          <cell r="BD148">
            <v>3583</v>
          </cell>
          <cell r="BE148">
            <v>1589809</v>
          </cell>
          <cell r="BF148">
            <v>-18860</v>
          </cell>
          <cell r="BH148">
            <v>18526045</v>
          </cell>
          <cell r="BI148">
            <v>0</v>
          </cell>
          <cell r="BJ148">
            <v>18526045</v>
          </cell>
          <cell r="BK148">
            <v>0</v>
          </cell>
          <cell r="BL148">
            <v>18526045</v>
          </cell>
        </row>
        <row r="149">
          <cell r="B149" t="str">
            <v>WASHINGTON CO GOVT</v>
          </cell>
          <cell r="C149">
            <v>0</v>
          </cell>
          <cell r="D149" t="str">
            <v>n/a</v>
          </cell>
          <cell r="E149">
            <v>60930</v>
          </cell>
          <cell r="F149" t="str">
            <v>ASC</v>
          </cell>
          <cell r="G149" t="str">
            <v>JUL</v>
          </cell>
          <cell r="H149" t="str">
            <v>Michael</v>
          </cell>
          <cell r="I149" t="str">
            <v>Lopez</v>
          </cell>
          <cell r="J149" t="str">
            <v>Direct Debit--Weekly</v>
          </cell>
          <cell r="K149" t="str">
            <v>NETTIE</v>
          </cell>
          <cell r="L149" t="str">
            <v>None</v>
          </cell>
          <cell r="M149">
            <v>0</v>
          </cell>
          <cell r="N149">
            <v>137211</v>
          </cell>
          <cell r="O149" t="str">
            <v>CARE</v>
          </cell>
          <cell r="P149" t="str">
            <v>LOCAL</v>
          </cell>
          <cell r="Q149">
            <v>764</v>
          </cell>
          <cell r="R149">
            <v>0</v>
          </cell>
          <cell r="S149">
            <v>150000</v>
          </cell>
          <cell r="T149">
            <v>1.25</v>
          </cell>
          <cell r="U149">
            <v>109504.8</v>
          </cell>
          <cell r="V149">
            <v>21900.959999999999</v>
          </cell>
          <cell r="W149">
            <v>131405.76000000001</v>
          </cell>
          <cell r="X149">
            <v>5475.24</v>
          </cell>
          <cell r="Y149">
            <v>29035.3</v>
          </cell>
          <cell r="Z149">
            <v>0</v>
          </cell>
          <cell r="AA149">
            <v>0</v>
          </cell>
          <cell r="AB149">
            <v>247365.7</v>
          </cell>
          <cell r="AC149">
            <v>413282</v>
          </cell>
          <cell r="AD149">
            <v>308</v>
          </cell>
          <cell r="AE149">
            <v>413590</v>
          </cell>
          <cell r="AF149">
            <v>0</v>
          </cell>
          <cell r="AG149">
            <v>0</v>
          </cell>
          <cell r="AH149">
            <v>600</v>
          </cell>
          <cell r="AI149">
            <v>4701595</v>
          </cell>
          <cell r="AJ149">
            <v>5114877</v>
          </cell>
          <cell r="AK149">
            <v>413282</v>
          </cell>
          <cell r="AL149">
            <v>5114877</v>
          </cell>
          <cell r="AM149">
            <v>0</v>
          </cell>
          <cell r="AN149">
            <v>0</v>
          </cell>
          <cell r="AO149">
            <v>0</v>
          </cell>
          <cell r="AP149">
            <v>0</v>
          </cell>
          <cell r="AQ149">
            <v>0</v>
          </cell>
          <cell r="AR149">
            <v>0</v>
          </cell>
          <cell r="AS149">
            <v>0</v>
          </cell>
          <cell r="AT149">
            <v>455168.30111657223</v>
          </cell>
          <cell r="AU149">
            <v>-40978.301116572227</v>
          </cell>
          <cell r="AW149">
            <v>4701595</v>
          </cell>
          <cell r="AX149">
            <v>12536</v>
          </cell>
          <cell r="AY149">
            <v>4714131</v>
          </cell>
          <cell r="AZ149">
            <v>57959</v>
          </cell>
          <cell r="BA149">
            <v>4772090</v>
          </cell>
          <cell r="BB149">
            <v>0</v>
          </cell>
          <cell r="BC149">
            <v>4772090</v>
          </cell>
          <cell r="BD149">
            <v>308</v>
          </cell>
          <cell r="BE149">
            <v>413282</v>
          </cell>
          <cell r="BF149">
            <v>600</v>
          </cell>
          <cell r="BH149">
            <v>5186280</v>
          </cell>
          <cell r="BI149">
            <v>0</v>
          </cell>
          <cell r="BJ149">
            <v>5186280</v>
          </cell>
          <cell r="BK149">
            <v>0</v>
          </cell>
          <cell r="BL149">
            <v>5186280</v>
          </cell>
        </row>
        <row r="150">
          <cell r="B150" t="str">
            <v>WATSON WYATT</v>
          </cell>
          <cell r="C150">
            <v>0</v>
          </cell>
          <cell r="D150">
            <v>1900447</v>
          </cell>
          <cell r="E150">
            <v>63839</v>
          </cell>
          <cell r="F150" t="str">
            <v>ASC</v>
          </cell>
          <cell r="G150" t="str">
            <v>JAN</v>
          </cell>
          <cell r="H150" t="str">
            <v>Hauff</v>
          </cell>
          <cell r="I150" t="str">
            <v>Drusano</v>
          </cell>
          <cell r="J150" t="str">
            <v>Direct Debit--Weekly</v>
          </cell>
          <cell r="K150" t="str">
            <v>DONNA</v>
          </cell>
          <cell r="L150" t="str">
            <v>None</v>
          </cell>
          <cell r="M150">
            <v>0</v>
          </cell>
          <cell r="N150">
            <v>0</v>
          </cell>
          <cell r="O150" t="str">
            <v>NASCO</v>
          </cell>
          <cell r="P150" t="str">
            <v>NATIONAL</v>
          </cell>
          <cell r="Q150">
            <v>2673</v>
          </cell>
          <cell r="R150">
            <v>0</v>
          </cell>
          <cell r="S150">
            <v>0</v>
          </cell>
          <cell r="T150">
            <v>0</v>
          </cell>
          <cell r="U150">
            <v>0</v>
          </cell>
          <cell r="V150">
            <v>0</v>
          </cell>
          <cell r="W150">
            <v>0</v>
          </cell>
          <cell r="X150">
            <v>0</v>
          </cell>
          <cell r="Y150">
            <v>0</v>
          </cell>
          <cell r="Z150">
            <v>0</v>
          </cell>
          <cell r="AA150">
            <v>0</v>
          </cell>
          <cell r="AB150">
            <v>1147865</v>
          </cell>
          <cell r="AC150">
            <v>1147865</v>
          </cell>
          <cell r="AD150">
            <v>0</v>
          </cell>
          <cell r="AE150">
            <v>1147865</v>
          </cell>
          <cell r="AF150">
            <v>0</v>
          </cell>
          <cell r="AG150">
            <v>0</v>
          </cell>
          <cell r="AH150">
            <v>-3250</v>
          </cell>
          <cell r="AI150">
            <v>11671285</v>
          </cell>
          <cell r="AJ150">
            <v>12819150</v>
          </cell>
          <cell r="AK150">
            <v>1147865</v>
          </cell>
          <cell r="AL150">
            <v>12819150</v>
          </cell>
          <cell r="AM150">
            <v>0</v>
          </cell>
          <cell r="AN150">
            <v>0</v>
          </cell>
          <cell r="AO150">
            <v>0</v>
          </cell>
          <cell r="AP150">
            <v>0</v>
          </cell>
          <cell r="AQ150">
            <v>0</v>
          </cell>
          <cell r="AR150">
            <v>0</v>
          </cell>
          <cell r="AS150">
            <v>0</v>
          </cell>
          <cell r="AT150">
            <v>1137410.114973929</v>
          </cell>
          <cell r="AU150">
            <v>7204.8850260709878</v>
          </cell>
          <cell r="AW150">
            <v>11671285</v>
          </cell>
          <cell r="AX150">
            <v>598207</v>
          </cell>
          <cell r="AY150">
            <v>12269492</v>
          </cell>
          <cell r="AZ150">
            <v>0</v>
          </cell>
          <cell r="BA150">
            <v>12269492</v>
          </cell>
          <cell r="BB150">
            <v>0</v>
          </cell>
          <cell r="BC150">
            <v>12269492</v>
          </cell>
          <cell r="BD150">
            <v>0</v>
          </cell>
          <cell r="BE150">
            <v>1147865</v>
          </cell>
          <cell r="BF150">
            <v>-3250</v>
          </cell>
          <cell r="BH150">
            <v>13414107</v>
          </cell>
          <cell r="BI150">
            <v>0</v>
          </cell>
          <cell r="BJ150">
            <v>13414107</v>
          </cell>
          <cell r="BK150">
            <v>0</v>
          </cell>
          <cell r="BL150">
            <v>13414107</v>
          </cell>
        </row>
        <row r="151">
          <cell r="B151" t="str">
            <v>WHITING TURNER</v>
          </cell>
          <cell r="C151">
            <v>0</v>
          </cell>
          <cell r="D151">
            <v>1900180</v>
          </cell>
          <cell r="E151">
            <v>11836</v>
          </cell>
          <cell r="F151" t="str">
            <v>ASC</v>
          </cell>
          <cell r="G151" t="str">
            <v>JAN</v>
          </cell>
          <cell r="H151" t="str">
            <v>Howard</v>
          </cell>
          <cell r="I151" t="str">
            <v>Patton</v>
          </cell>
          <cell r="J151" t="str">
            <v>Deposit--2 Month</v>
          </cell>
          <cell r="K151" t="str">
            <v>NETTIE</v>
          </cell>
          <cell r="L151" t="str">
            <v>None</v>
          </cell>
          <cell r="M151">
            <v>923170</v>
          </cell>
          <cell r="N151">
            <v>74668</v>
          </cell>
          <cell r="O151" t="str">
            <v>NASCO-S</v>
          </cell>
          <cell r="P151" t="str">
            <v>NATIONAL</v>
          </cell>
          <cell r="Q151">
            <v>1337</v>
          </cell>
          <cell r="R151">
            <v>0</v>
          </cell>
          <cell r="S151">
            <v>0</v>
          </cell>
          <cell r="T151">
            <v>0</v>
          </cell>
          <cell r="U151">
            <v>0</v>
          </cell>
          <cell r="V151">
            <v>0</v>
          </cell>
          <cell r="W151">
            <v>0</v>
          </cell>
          <cell r="X151">
            <v>0</v>
          </cell>
          <cell r="Y151">
            <v>0</v>
          </cell>
          <cell r="Z151">
            <v>0</v>
          </cell>
          <cell r="AA151">
            <v>0</v>
          </cell>
          <cell r="AB151">
            <v>565372</v>
          </cell>
          <cell r="AC151">
            <v>565372</v>
          </cell>
          <cell r="AD151">
            <v>130</v>
          </cell>
          <cell r="AE151">
            <v>565502</v>
          </cell>
          <cell r="AF151">
            <v>0</v>
          </cell>
          <cell r="AG151">
            <v>0</v>
          </cell>
          <cell r="AH151">
            <v>40</v>
          </cell>
          <cell r="AI151">
            <v>5817307</v>
          </cell>
          <cell r="AJ151">
            <v>6382679</v>
          </cell>
          <cell r="AK151">
            <v>565372</v>
          </cell>
          <cell r="AL151">
            <v>6382679</v>
          </cell>
          <cell r="AM151">
            <v>0</v>
          </cell>
          <cell r="AN151">
            <v>0</v>
          </cell>
          <cell r="AO151">
            <v>0</v>
          </cell>
          <cell r="AP151">
            <v>0</v>
          </cell>
          <cell r="AQ151">
            <v>0</v>
          </cell>
          <cell r="AR151">
            <v>0</v>
          </cell>
          <cell r="AS151">
            <v>0</v>
          </cell>
          <cell r="AT151">
            <v>568268.35267535876</v>
          </cell>
          <cell r="AU151">
            <v>-2726.3526753587648</v>
          </cell>
          <cell r="AW151">
            <v>5817307</v>
          </cell>
          <cell r="AX151">
            <v>152766</v>
          </cell>
          <cell r="AY151">
            <v>5970073</v>
          </cell>
          <cell r="AZ151">
            <v>0</v>
          </cell>
          <cell r="BA151">
            <v>5970073</v>
          </cell>
          <cell r="BB151">
            <v>0</v>
          </cell>
          <cell r="BC151">
            <v>5970073</v>
          </cell>
          <cell r="BD151">
            <v>130</v>
          </cell>
          <cell r="BE151">
            <v>565372</v>
          </cell>
          <cell r="BF151">
            <v>40</v>
          </cell>
          <cell r="BH151">
            <v>6535615</v>
          </cell>
          <cell r="BI151">
            <v>0</v>
          </cell>
          <cell r="BJ151">
            <v>6535615</v>
          </cell>
          <cell r="BK151">
            <v>0</v>
          </cell>
          <cell r="BL151">
            <v>6535615</v>
          </cell>
        </row>
        <row r="152">
          <cell r="B152" t="str">
            <v>WICOMICO ENTITIES RETRO</v>
          </cell>
          <cell r="C152">
            <v>0</v>
          </cell>
          <cell r="D152" t="str">
            <v>n/a</v>
          </cell>
          <cell r="E152">
            <v>58397</v>
          </cell>
          <cell r="F152" t="str">
            <v>Modified Retro</v>
          </cell>
          <cell r="G152" t="str">
            <v>SEP</v>
          </cell>
          <cell r="H152" t="str">
            <v>Hauff</v>
          </cell>
          <cell r="I152" t="str">
            <v>Tilghman</v>
          </cell>
          <cell r="J152" t="str">
            <v>Retrospective</v>
          </cell>
          <cell r="K152" t="str">
            <v>DONNA</v>
          </cell>
          <cell r="L152" t="str">
            <v>None</v>
          </cell>
          <cell r="M152">
            <v>0</v>
          </cell>
          <cell r="N152">
            <v>0</v>
          </cell>
          <cell r="O152" t="str">
            <v>CARE</v>
          </cell>
          <cell r="P152" t="str">
            <v>LOCAL</v>
          </cell>
          <cell r="Q152">
            <v>3622</v>
          </cell>
          <cell r="R152">
            <v>0</v>
          </cell>
          <cell r="S152">
            <v>250000</v>
          </cell>
          <cell r="T152">
            <v>1.1499999999999999</v>
          </cell>
          <cell r="U152">
            <v>451981.83</v>
          </cell>
          <cell r="V152">
            <v>216490.55</v>
          </cell>
          <cell r="W152">
            <v>668472.38</v>
          </cell>
          <cell r="X152">
            <v>0</v>
          </cell>
          <cell r="Y152">
            <v>117745.64</v>
          </cell>
          <cell r="Z152">
            <v>0</v>
          </cell>
          <cell r="AA152">
            <v>0</v>
          </cell>
          <cell r="AB152">
            <v>2157422.98</v>
          </cell>
          <cell r="AC152">
            <v>2943641</v>
          </cell>
          <cell r="AD152">
            <v>2581</v>
          </cell>
          <cell r="AE152">
            <v>2946222</v>
          </cell>
          <cell r="AF152">
            <v>0</v>
          </cell>
          <cell r="AG152">
            <v>0</v>
          </cell>
          <cell r="AH152">
            <v>0</v>
          </cell>
          <cell r="AI152">
            <v>19646620</v>
          </cell>
          <cell r="AJ152">
            <v>22590261</v>
          </cell>
          <cell r="AK152">
            <v>2943641</v>
          </cell>
          <cell r="AL152">
            <v>22590261</v>
          </cell>
          <cell r="AM152">
            <v>0</v>
          </cell>
          <cell r="AN152">
            <v>0</v>
          </cell>
          <cell r="AO152">
            <v>0</v>
          </cell>
          <cell r="AP152">
            <v>0</v>
          </cell>
          <cell r="AQ152">
            <v>0</v>
          </cell>
          <cell r="AR152">
            <v>0</v>
          </cell>
          <cell r="AS152">
            <v>0</v>
          </cell>
          <cell r="AT152">
            <v>1916845.115060752</v>
          </cell>
          <cell r="AU152">
            <v>1029376.884939248</v>
          </cell>
          <cell r="AW152">
            <v>19646620</v>
          </cell>
          <cell r="AX152">
            <v>72394</v>
          </cell>
          <cell r="AY152">
            <v>19719014</v>
          </cell>
          <cell r="AZ152">
            <v>0</v>
          </cell>
          <cell r="BA152">
            <v>19719014</v>
          </cell>
          <cell r="BB152">
            <v>0</v>
          </cell>
          <cell r="BC152">
            <v>19719014</v>
          </cell>
          <cell r="BD152">
            <v>2581</v>
          </cell>
          <cell r="BE152">
            <v>2943641</v>
          </cell>
          <cell r="BF152">
            <v>0</v>
          </cell>
          <cell r="BH152">
            <v>22665236</v>
          </cell>
          <cell r="BI152">
            <v>0</v>
          </cell>
          <cell r="BJ152">
            <v>22665236</v>
          </cell>
          <cell r="BK152">
            <v>0</v>
          </cell>
          <cell r="BL152">
            <v>22665236</v>
          </cell>
        </row>
        <row r="153">
          <cell r="B153" t="str">
            <v>WILKINS ROGERS</v>
          </cell>
          <cell r="C153">
            <v>0</v>
          </cell>
          <cell r="D153" t="str">
            <v>n/a</v>
          </cell>
          <cell r="E153">
            <v>27094</v>
          </cell>
          <cell r="F153" t="str">
            <v>ASC-Adjustable Retro</v>
          </cell>
          <cell r="G153" t="str">
            <v>MAY</v>
          </cell>
          <cell r="H153" t="str">
            <v>Richardson</v>
          </cell>
          <cell r="I153" t="str">
            <v>Engel</v>
          </cell>
          <cell r="J153" t="str">
            <v>Direct Debit--Weekly</v>
          </cell>
          <cell r="K153" t="str">
            <v>NETTIE</v>
          </cell>
          <cell r="L153" t="str">
            <v>Crawford, Slevin &amp; Hicks</v>
          </cell>
          <cell r="M153">
            <v>10294</v>
          </cell>
          <cell r="N153">
            <v>20841</v>
          </cell>
          <cell r="O153" t="str">
            <v>CARE</v>
          </cell>
          <cell r="P153" t="str">
            <v>LOCAL</v>
          </cell>
          <cell r="Q153">
            <v>113</v>
          </cell>
          <cell r="R153">
            <v>0</v>
          </cell>
          <cell r="S153">
            <v>50000</v>
          </cell>
          <cell r="T153">
            <v>1.25</v>
          </cell>
          <cell r="U153">
            <v>135116.17000000001</v>
          </cell>
          <cell r="V153">
            <v>30351.42</v>
          </cell>
          <cell r="W153">
            <v>165467.59</v>
          </cell>
          <cell r="X153">
            <v>6744.76</v>
          </cell>
          <cell r="Y153">
            <v>3372.38</v>
          </cell>
          <cell r="Z153">
            <v>0</v>
          </cell>
          <cell r="AA153">
            <v>24657.13</v>
          </cell>
          <cell r="AB153">
            <v>136996.14000000001</v>
          </cell>
          <cell r="AC153">
            <v>337238</v>
          </cell>
          <cell r="AD153">
            <v>41</v>
          </cell>
          <cell r="AE153">
            <v>337279</v>
          </cell>
          <cell r="AF153">
            <v>0</v>
          </cell>
          <cell r="AG153">
            <v>0</v>
          </cell>
          <cell r="AH153">
            <v>0</v>
          </cell>
          <cell r="AI153">
            <v>883498</v>
          </cell>
          <cell r="AJ153">
            <v>1220736</v>
          </cell>
          <cell r="AK153">
            <v>337238</v>
          </cell>
          <cell r="AL153">
            <v>1196078.8700000001</v>
          </cell>
          <cell r="AM153">
            <v>0</v>
          </cell>
          <cell r="AN153">
            <v>0</v>
          </cell>
          <cell r="AO153">
            <v>0</v>
          </cell>
          <cell r="AP153">
            <v>0</v>
          </cell>
          <cell r="AQ153">
            <v>120970</v>
          </cell>
          <cell r="AR153">
            <v>37706</v>
          </cell>
          <cell r="AS153">
            <v>158676</v>
          </cell>
          <cell r="AT153">
            <v>103288.35210962217</v>
          </cell>
          <cell r="AU153">
            <v>50657.517890377829</v>
          </cell>
          <cell r="AW153">
            <v>1042174</v>
          </cell>
          <cell r="AX153">
            <v>2366</v>
          </cell>
          <cell r="AY153">
            <v>1044540</v>
          </cell>
          <cell r="AZ153">
            <v>0</v>
          </cell>
          <cell r="BA153">
            <v>1044540</v>
          </cell>
          <cell r="BB153">
            <v>0</v>
          </cell>
          <cell r="BC153">
            <v>1044540</v>
          </cell>
          <cell r="BD153">
            <v>41</v>
          </cell>
          <cell r="BE153">
            <v>337238</v>
          </cell>
          <cell r="BF153">
            <v>0</v>
          </cell>
          <cell r="BH153">
            <v>1381819</v>
          </cell>
          <cell r="BI153">
            <v>158676</v>
          </cell>
          <cell r="BJ153">
            <v>1223143</v>
          </cell>
          <cell r="BK153">
            <v>0</v>
          </cell>
          <cell r="BL153">
            <v>1223143</v>
          </cell>
        </row>
        <row r="154">
          <cell r="B154" t="str">
            <v>WORCESTER CO GOVT DRUG</v>
          </cell>
          <cell r="C154">
            <v>0</v>
          </cell>
          <cell r="D154" t="str">
            <v>n/a</v>
          </cell>
          <cell r="E154">
            <v>10412</v>
          </cell>
          <cell r="F154" t="str">
            <v>ASC</v>
          </cell>
          <cell r="G154" t="str">
            <v>JUL</v>
          </cell>
          <cell r="H154" t="str">
            <v>Hauff</v>
          </cell>
          <cell r="I154" t="str">
            <v>Tilghmann</v>
          </cell>
          <cell r="J154" t="str">
            <v>Deposit-2 Month</v>
          </cell>
          <cell r="K154" t="str">
            <v>DONNA</v>
          </cell>
          <cell r="L154" t="str">
            <v>None</v>
          </cell>
          <cell r="M154">
            <v>570180</v>
          </cell>
          <cell r="N154">
            <v>0</v>
          </cell>
          <cell r="O154" t="str">
            <v>CARE-S</v>
          </cell>
          <cell r="P154" t="str">
            <v>LOCAL</v>
          </cell>
          <cell r="Q154" t="str">
            <v>drug</v>
          </cell>
          <cell r="R154">
            <v>0</v>
          </cell>
          <cell r="S154">
            <v>0</v>
          </cell>
          <cell r="T154">
            <v>0</v>
          </cell>
          <cell r="U154">
            <v>0</v>
          </cell>
          <cell r="V154">
            <v>0</v>
          </cell>
          <cell r="W154">
            <v>0</v>
          </cell>
          <cell r="X154">
            <v>0</v>
          </cell>
          <cell r="Y154">
            <v>0</v>
          </cell>
          <cell r="Z154">
            <v>0</v>
          </cell>
          <cell r="AA154">
            <v>0</v>
          </cell>
          <cell r="AB154">
            <v>53234</v>
          </cell>
          <cell r="AC154">
            <v>53234</v>
          </cell>
          <cell r="AD154">
            <v>0</v>
          </cell>
          <cell r="AE154">
            <v>53234</v>
          </cell>
          <cell r="AF154">
            <v>0</v>
          </cell>
          <cell r="AG154">
            <v>0</v>
          </cell>
          <cell r="AH154">
            <v>0</v>
          </cell>
          <cell r="AI154">
            <v>3683774</v>
          </cell>
          <cell r="AJ154">
            <v>3737008</v>
          </cell>
          <cell r="AK154">
            <v>53234</v>
          </cell>
          <cell r="AL154">
            <v>3737008</v>
          </cell>
          <cell r="AM154">
            <v>0</v>
          </cell>
          <cell r="AN154">
            <v>0</v>
          </cell>
          <cell r="AO154">
            <v>0</v>
          </cell>
          <cell r="AP154">
            <v>0</v>
          </cell>
          <cell r="AQ154">
            <v>0</v>
          </cell>
          <cell r="AR154">
            <v>0</v>
          </cell>
          <cell r="AS154">
            <v>0</v>
          </cell>
          <cell r="AT154">
            <v>360087.89422706689</v>
          </cell>
          <cell r="AU154">
            <v>-306853.89422706689</v>
          </cell>
          <cell r="AW154">
            <v>3683774</v>
          </cell>
          <cell r="AX154">
            <v>0</v>
          </cell>
          <cell r="AY154">
            <v>3683774</v>
          </cell>
          <cell r="AZ154">
            <v>0</v>
          </cell>
          <cell r="BA154">
            <v>3683774</v>
          </cell>
          <cell r="BB154">
            <v>0</v>
          </cell>
          <cell r="BC154">
            <v>3683774</v>
          </cell>
          <cell r="BD154">
            <v>0</v>
          </cell>
          <cell r="BE154">
            <v>53234</v>
          </cell>
          <cell r="BF154">
            <v>0</v>
          </cell>
          <cell r="BH154">
            <v>3737008</v>
          </cell>
          <cell r="BI154">
            <v>0</v>
          </cell>
          <cell r="BJ154">
            <v>3737008</v>
          </cell>
          <cell r="BK154">
            <v>0</v>
          </cell>
          <cell r="BL154">
            <v>3737008</v>
          </cell>
        </row>
        <row r="155">
          <cell r="B155" t="str">
            <v>YARA NORTH AMERICA INC</v>
          </cell>
          <cell r="C155">
            <v>0</v>
          </cell>
          <cell r="D155">
            <v>1900558</v>
          </cell>
          <cell r="E155">
            <v>65997</v>
          </cell>
          <cell r="F155">
            <v>0</v>
          </cell>
          <cell r="G155" t="str">
            <v>APR</v>
          </cell>
          <cell r="H155" t="str">
            <v>Parker Mann</v>
          </cell>
          <cell r="I155" t="str">
            <v>Drusano</v>
          </cell>
          <cell r="J155" t="str">
            <v>Direct Debit--Weekly</v>
          </cell>
          <cell r="K155" t="str">
            <v>BARBARA</v>
          </cell>
          <cell r="L155" t="str">
            <v>None</v>
          </cell>
          <cell r="M155">
            <v>0</v>
          </cell>
          <cell r="N155">
            <v>0</v>
          </cell>
          <cell r="O155" t="str">
            <v>NASCO</v>
          </cell>
          <cell r="P155" t="str">
            <v>NATIONAL</v>
          </cell>
          <cell r="Q155">
            <v>0</v>
          </cell>
          <cell r="R155">
            <v>0</v>
          </cell>
          <cell r="S155">
            <v>0</v>
          </cell>
          <cell r="T155">
            <v>0</v>
          </cell>
          <cell r="U155">
            <v>0</v>
          </cell>
          <cell r="V155">
            <v>0</v>
          </cell>
          <cell r="W155">
            <v>0</v>
          </cell>
          <cell r="X155">
            <v>0</v>
          </cell>
          <cell r="Y155">
            <v>0</v>
          </cell>
          <cell r="Z155">
            <v>0</v>
          </cell>
          <cell r="AA155">
            <v>0</v>
          </cell>
          <cell r="AB155">
            <v>57298</v>
          </cell>
          <cell r="AC155">
            <v>57298</v>
          </cell>
          <cell r="AD155">
            <v>0</v>
          </cell>
          <cell r="AE155">
            <v>57298</v>
          </cell>
          <cell r="AF155">
            <v>0</v>
          </cell>
          <cell r="AG155">
            <v>0</v>
          </cell>
          <cell r="AH155">
            <v>0</v>
          </cell>
          <cell r="AI155">
            <v>488784</v>
          </cell>
          <cell r="AJ155">
            <v>546082</v>
          </cell>
          <cell r="AK155">
            <v>57298</v>
          </cell>
          <cell r="AL155">
            <v>546082</v>
          </cell>
          <cell r="AM155">
            <v>0</v>
          </cell>
          <cell r="AN155">
            <v>0</v>
          </cell>
          <cell r="AO155">
            <v>0</v>
          </cell>
          <cell r="AP155">
            <v>0</v>
          </cell>
          <cell r="AQ155">
            <v>0</v>
          </cell>
          <cell r="AR155">
            <v>0</v>
          </cell>
          <cell r="AS155">
            <v>0</v>
          </cell>
          <cell r="AT155">
            <v>47325.658059997149</v>
          </cell>
          <cell r="AU155">
            <v>9972.3419400028506</v>
          </cell>
          <cell r="AW155">
            <v>488784</v>
          </cell>
          <cell r="AX155">
            <v>38405</v>
          </cell>
          <cell r="AY155">
            <v>527189</v>
          </cell>
          <cell r="AZ155">
            <v>-6861</v>
          </cell>
          <cell r="BA155">
            <v>520328</v>
          </cell>
          <cell r="BB155">
            <v>0</v>
          </cell>
          <cell r="BC155">
            <v>520328</v>
          </cell>
          <cell r="BD155">
            <v>0</v>
          </cell>
          <cell r="BE155">
            <v>57298</v>
          </cell>
          <cell r="BF155">
            <v>0</v>
          </cell>
          <cell r="BH155">
            <v>577626</v>
          </cell>
          <cell r="BI155">
            <v>0</v>
          </cell>
          <cell r="BJ155">
            <v>577626</v>
          </cell>
          <cell r="BK155">
            <v>0</v>
          </cell>
          <cell r="BL155">
            <v>577626</v>
          </cell>
        </row>
        <row r="156">
          <cell r="B156" t="str">
            <v>MISCELLANEOUS</v>
          </cell>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X156">
            <v>0</v>
          </cell>
          <cell r="Y156">
            <v>0</v>
          </cell>
          <cell r="Z156">
            <v>0</v>
          </cell>
          <cell r="AA156">
            <v>0</v>
          </cell>
          <cell r="AM156">
            <v>1239</v>
          </cell>
          <cell r="AN156">
            <v>0</v>
          </cell>
          <cell r="AO156">
            <v>0</v>
          </cell>
          <cell r="AP156">
            <v>0</v>
          </cell>
          <cell r="AQ156">
            <v>0</v>
          </cell>
          <cell r="AR156">
            <v>0</v>
          </cell>
          <cell r="AW156">
            <v>0</v>
          </cell>
          <cell r="AX156">
            <v>0</v>
          </cell>
          <cell r="AY156">
            <v>0</v>
          </cell>
          <cell r="AZ156">
            <v>0</v>
          </cell>
          <cell r="BA156">
            <v>0</v>
          </cell>
          <cell r="BB156">
            <v>0</v>
          </cell>
          <cell r="BD156">
            <v>0</v>
          </cell>
          <cell r="BE156">
            <v>0</v>
          </cell>
          <cell r="BF156">
            <v>-475744</v>
          </cell>
          <cell r="BH156">
            <v>-475744</v>
          </cell>
          <cell r="BI156">
            <v>0</v>
          </cell>
          <cell r="BJ156">
            <v>-475744</v>
          </cell>
          <cell r="BK156">
            <v>0</v>
          </cell>
        </row>
        <row r="158">
          <cell r="B158" t="str">
            <v>TOTAL</v>
          </cell>
          <cell r="Q158">
            <v>343722</v>
          </cell>
          <cell r="U158">
            <v>19798110.780000009</v>
          </cell>
          <cell r="V158">
            <v>3333091.125</v>
          </cell>
          <cell r="W158">
            <v>23131201.905000001</v>
          </cell>
          <cell r="X158">
            <v>4289413.2</v>
          </cell>
          <cell r="Y158">
            <v>2141311.31</v>
          </cell>
          <cell r="Z158">
            <v>0</v>
          </cell>
          <cell r="AA158">
            <v>6339278.4899999974</v>
          </cell>
          <cell r="AB158">
            <v>129525399.09499998</v>
          </cell>
          <cell r="AC158">
            <v>165426604</v>
          </cell>
          <cell r="AD158">
            <v>131927</v>
          </cell>
          <cell r="AE158">
            <v>165558531</v>
          </cell>
          <cell r="AI158">
            <v>1601292217</v>
          </cell>
          <cell r="AJ158">
            <v>1764363568</v>
          </cell>
          <cell r="AK158">
            <v>163071351</v>
          </cell>
          <cell r="AL158">
            <v>1758024289.51</v>
          </cell>
          <cell r="AM158">
            <v>1251701</v>
          </cell>
          <cell r="AN158">
            <v>25924</v>
          </cell>
          <cell r="AO158">
            <v>0</v>
          </cell>
          <cell r="AP158">
            <v>0</v>
          </cell>
          <cell r="AQ158">
            <v>10181439</v>
          </cell>
          <cell r="AR158">
            <v>-60853</v>
          </cell>
          <cell r="AS158">
            <v>10120586</v>
          </cell>
          <cell r="AT158">
            <v>160877999.99999991</v>
          </cell>
          <cell r="AU158">
            <v>-11724497.490000006</v>
          </cell>
          <cell r="AV158">
            <v>0</v>
          </cell>
          <cell r="AW158">
            <v>1654793288</v>
          </cell>
          <cell r="AX158">
            <v>18509974</v>
          </cell>
          <cell r="AY158">
            <v>1673303262</v>
          </cell>
          <cell r="AZ158">
            <v>8544540</v>
          </cell>
          <cell r="BA158">
            <v>1681847802</v>
          </cell>
          <cell r="BB158">
            <v>0</v>
          </cell>
          <cell r="BC158">
            <v>1681847802</v>
          </cell>
          <cell r="BD158">
            <v>131927</v>
          </cell>
          <cell r="BE158">
            <v>165426604</v>
          </cell>
          <cell r="BF158">
            <v>-420908</v>
          </cell>
          <cell r="BG158">
            <v>0</v>
          </cell>
          <cell r="BH158">
            <v>1846985425</v>
          </cell>
          <cell r="BI158">
            <v>10120586</v>
          </cell>
          <cell r="BJ158">
            <v>1836864839</v>
          </cell>
          <cell r="BK158">
            <v>0</v>
          </cell>
          <cell r="BL158">
            <v>1837340583</v>
          </cell>
        </row>
        <row r="160">
          <cell r="S160">
            <v>38798.094999998808</v>
          </cell>
          <cell r="AB160">
            <v>129525399.09500001</v>
          </cell>
          <cell r="AJ160">
            <v>-9087432</v>
          </cell>
        </row>
        <row r="163">
          <cell r="B163" t="str">
            <v>CHARLES CO P S RISK</v>
          </cell>
          <cell r="K163" t="str">
            <v>BARBARA</v>
          </cell>
          <cell r="P163">
            <v>0</v>
          </cell>
          <cell r="Q163">
            <v>1460</v>
          </cell>
          <cell r="S163">
            <v>150000</v>
          </cell>
          <cell r="T163">
            <v>0</v>
          </cell>
          <cell r="U163">
            <v>531850.47</v>
          </cell>
          <cell r="V163">
            <v>0</v>
          </cell>
          <cell r="W163">
            <v>531850.47</v>
          </cell>
          <cell r="X163">
            <v>93725.13</v>
          </cell>
          <cell r="Y163">
            <v>0</v>
          </cell>
          <cell r="Z163">
            <v>0</v>
          </cell>
          <cell r="AA163">
            <v>0</v>
          </cell>
          <cell r="AB163">
            <v>1311259.3999999999</v>
          </cell>
          <cell r="AC163">
            <v>1936835</v>
          </cell>
          <cell r="AD163">
            <v>1832</v>
          </cell>
          <cell r="AE163">
            <v>1938667</v>
          </cell>
          <cell r="AF163">
            <v>0</v>
          </cell>
          <cell r="AG163">
            <v>0</v>
          </cell>
          <cell r="AH163">
            <v>0</v>
          </cell>
          <cell r="AI163">
            <v>12686955</v>
          </cell>
          <cell r="AJ163">
            <v>14623790</v>
          </cell>
          <cell r="AK163">
            <v>1936835</v>
          </cell>
          <cell r="AL163">
            <v>14623790</v>
          </cell>
          <cell r="AM163">
            <v>0</v>
          </cell>
          <cell r="AN163">
            <v>0</v>
          </cell>
          <cell r="AO163">
            <v>0</v>
          </cell>
          <cell r="AP163">
            <v>0</v>
          </cell>
          <cell r="AQ163">
            <v>146710</v>
          </cell>
          <cell r="AR163">
            <v>2981</v>
          </cell>
          <cell r="AS163">
            <v>149691</v>
          </cell>
          <cell r="AT163">
            <v>1250746.1737513633</v>
          </cell>
          <cell r="AU163">
            <v>538229.8262486367</v>
          </cell>
          <cell r="AW163">
            <v>12836646</v>
          </cell>
          <cell r="AX163">
            <v>163564</v>
          </cell>
          <cell r="AY163">
            <v>13000210</v>
          </cell>
          <cell r="AZ163">
            <v>0</v>
          </cell>
          <cell r="BA163">
            <v>13000210</v>
          </cell>
          <cell r="BB163">
            <v>0</v>
          </cell>
          <cell r="BD163">
            <v>1832</v>
          </cell>
          <cell r="BE163">
            <v>1936835</v>
          </cell>
          <cell r="BF163">
            <v>0</v>
          </cell>
          <cell r="BH163">
            <v>14938877</v>
          </cell>
          <cell r="BI163">
            <v>149691</v>
          </cell>
          <cell r="BJ163">
            <v>14789186</v>
          </cell>
          <cell r="BK163">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Assumptions"/>
      <sheetName val="Sum-$"/>
      <sheetName val="UWGainLoss"/>
      <sheetName val="FinComP&amp;L"/>
      <sheetName val="Sum-enroll"/>
      <sheetName val="Consolidated"/>
      <sheetName val="Ind&gt;65"/>
      <sheetName val="Ind&lt;65"/>
      <sheetName val="1-50 NonSego"/>
      <sheetName val="Sego&lt;50"/>
      <sheetName val="Grp51+"/>
      <sheetName val="CommercialHMO"/>
      <sheetName val="FEP"/>
      <sheetName val="N-R"/>
      <sheetName val="Nat'l-C"/>
      <sheetName val="Nat'l-NC"/>
      <sheetName val="StopLoss"/>
      <sheetName val="ASO"/>
      <sheetName val="TPA"/>
      <sheetName val="NCIA"/>
      <sheetName val="MCare1st"/>
      <sheetName val="Medicaid"/>
      <sheetName val="Elim"/>
      <sheetName val="HMO"/>
      <sheetName val="N-R 51+"/>
      <sheetName val="99-00GHMSI"/>
      <sheetName val="FinComPlan"/>
      <sheetName val="HMOFinComPlan"/>
      <sheetName val="Indem Risk"/>
      <sheetName val="Ind &gt;65"/>
      <sheetName val="Ind &lt;65"/>
      <sheetName val="1-50 Non-SEGO"/>
      <sheetName val="SEGO &lt;50"/>
      <sheetName val="Group51+"/>
      <sheetName val="HMO IMD"/>
      <sheetName val="HMO SEGO"/>
      <sheetName val="HMO 1-50"/>
      <sheetName val="TOTAL HMO 1-50"/>
      <sheetName val="HMO 51-200"/>
      <sheetName val="HMO FEP"/>
      <sheetName val="TPA-NCAS"/>
      <sheetName val="Interest-Other"/>
      <sheetName val="Taxes"/>
      <sheetName val="Sheet3"/>
      <sheetName val="SEGO Opt-Out"/>
      <sheetName val="HMO 200+"/>
      <sheetName val="HMO 51+"/>
      <sheetName val="Total SEGO"/>
      <sheetName val="SEGO &lt;5"/>
    </sheetNames>
    <sheetDataSet>
      <sheetData sheetId="0" refreshError="1"/>
      <sheetData sheetId="1" refreshError="1"/>
      <sheetData sheetId="2" refreshError="1"/>
      <sheetData sheetId="3" refreshError="1"/>
      <sheetData sheetId="4" refreshError="1">
        <row r="52">
          <cell r="Z52">
            <v>210000</v>
          </cell>
          <cell r="AB52">
            <v>21000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Exper"/>
      <sheetName val="Risk.Calc"/>
      <sheetName val="Single Form"/>
      <sheetName val="POE Form"/>
      <sheetName val="DentalNR"/>
      <sheetName val="GeoFact"/>
      <sheetName val="AgeFacs"/>
      <sheetName val="SIC"/>
      <sheetName val="Vision"/>
      <sheetName val="Net.Prems"/>
      <sheetName val="DLR.51-199"/>
      <sheetName val="DLR.200+"/>
      <sheetName val="Prem.Calc"/>
      <sheetName val="SI_UW.Input"/>
      <sheetName val="SI_Calcs"/>
      <sheetName val="SI_Factors @ 100%"/>
      <sheetName val="SI_Mature.Factors"/>
      <sheetName val="SI_1st.Yr"/>
      <sheetName val="SI_Assumptions"/>
      <sheetName val="Menus"/>
      <sheetName val="Change History"/>
    </sheetNames>
    <sheetDataSet>
      <sheetData sheetId="0">
        <row r="26">
          <cell r="D26">
            <v>2</v>
          </cell>
        </row>
        <row r="124">
          <cell r="D124">
            <v>5</v>
          </cell>
        </row>
      </sheetData>
      <sheetData sheetId="1" refreshError="1"/>
      <sheetData sheetId="2" refreshError="1"/>
      <sheetData sheetId="3" refreshError="1"/>
      <sheetData sheetId="4" refreshError="1"/>
      <sheetData sheetId="5">
        <row r="17">
          <cell r="C17" t="str">
            <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Calculations"/>
      <sheetName val="POE Form"/>
      <sheetName val="Net.Prems"/>
      <sheetName val="Menus"/>
      <sheetName val="Change History"/>
      <sheetName val="Product Adjustments"/>
    </sheetNames>
    <sheetDataSet>
      <sheetData sheetId="0"/>
      <sheetData sheetId="1"/>
      <sheetData sheetId="2"/>
      <sheetData sheetId="3"/>
      <sheetData sheetId="4"/>
      <sheetData sheetId="5"/>
      <sheetData sheetId="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Model First Benefit"/>
      <sheetName val="Model Second Benefit"/>
      <sheetName val="Result"/>
      <sheetName val="Factors"/>
      <sheetName val="Service2"/>
      <sheetName val="SUM"/>
      <sheetName val="Assumptions"/>
      <sheetName val="StandProd"/>
    </sheetNames>
    <sheetDataSet>
      <sheetData sheetId="0" refreshError="1">
        <row r="7">
          <cell r="N7" t="str">
            <v>7/1/00</v>
          </cell>
        </row>
        <row r="24">
          <cell r="E24">
            <v>1000</v>
          </cell>
          <cell r="N24">
            <v>1000</v>
          </cell>
        </row>
        <row r="27">
          <cell r="E27">
            <v>0</v>
          </cell>
          <cell r="N27">
            <v>0</v>
          </cell>
        </row>
        <row r="28">
          <cell r="E28">
            <v>0</v>
          </cell>
        </row>
        <row r="31">
          <cell r="E31">
            <v>1</v>
          </cell>
          <cell r="N31">
            <v>1</v>
          </cell>
        </row>
        <row r="32">
          <cell r="E32">
            <v>0.8</v>
          </cell>
          <cell r="N32">
            <v>0.8</v>
          </cell>
        </row>
        <row r="33">
          <cell r="E33">
            <v>0.5</v>
          </cell>
          <cell r="N33">
            <v>0.5</v>
          </cell>
        </row>
        <row r="34">
          <cell r="E34">
            <v>0</v>
          </cell>
          <cell r="N34">
            <v>0</v>
          </cell>
        </row>
        <row r="37">
          <cell r="E37">
            <v>25</v>
          </cell>
          <cell r="N37">
            <v>0</v>
          </cell>
        </row>
        <row r="38">
          <cell r="E38">
            <v>25</v>
          </cell>
          <cell r="N38">
            <v>50</v>
          </cell>
        </row>
        <row r="39">
          <cell r="E39">
            <v>25</v>
          </cell>
          <cell r="N39">
            <v>50</v>
          </cell>
        </row>
        <row r="40">
          <cell r="E40">
            <v>0</v>
          </cell>
          <cell r="N40">
            <v>0</v>
          </cell>
        </row>
        <row r="41">
          <cell r="E41">
            <v>75</v>
          </cell>
          <cell r="N41">
            <v>0</v>
          </cell>
        </row>
        <row r="42">
          <cell r="E42">
            <v>75</v>
          </cell>
          <cell r="N42">
            <v>100</v>
          </cell>
        </row>
        <row r="43">
          <cell r="E43">
            <v>75</v>
          </cell>
          <cell r="N43">
            <v>100</v>
          </cell>
        </row>
        <row r="44">
          <cell r="E44">
            <v>0</v>
          </cell>
          <cell r="N4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Input"/>
      <sheetName val="Model Pure Have"/>
      <sheetName val="Model Pure Want"/>
      <sheetName val="Result"/>
      <sheetName val="Factors"/>
      <sheetName val="MHSA Factors"/>
      <sheetName val="NCA StandProd"/>
      <sheetName val="MD StandProd"/>
      <sheetName val="Net.Prems"/>
      <sheetName val="Analysis"/>
      <sheetName val="Assumptions"/>
      <sheetName val="Standard Assumptions"/>
      <sheetName val="Prot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put"/>
      <sheetName val="List of Tabs"/>
      <sheetName val="BCBS DC&amp;VA Blue Pref"/>
      <sheetName val="BCBS DC&amp;VA Choice"/>
      <sheetName val="BCBS DC&amp;VA Indem"/>
      <sheetName val="BCBS MDSGR Blue Pref"/>
      <sheetName val="BCBS MDSGR Indem"/>
      <sheetName val="BCBS Other"/>
      <sheetName val="CapCare DC&amp;VA Advan"/>
      <sheetName val="CapCare DC&amp;VA Choice"/>
      <sheetName val="CapCare DC&amp;VA Gold"/>
      <sheetName val="CapCare MDSGR Advan"/>
      <sheetName val="CapCare MDSGR Choice"/>
      <sheetName val="CapCare MDSGR Gold"/>
      <sheetName val="Comb Choice DC-VA"/>
      <sheetName val="All u5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POE Form (3)"/>
      <sheetName val="POE Form (2)"/>
      <sheetName val="Exper"/>
      <sheetName val="Risk.Calc"/>
      <sheetName val="Single Form"/>
      <sheetName val="POE Form"/>
      <sheetName val="DentalNR"/>
      <sheetName val="GeoFact"/>
      <sheetName val="AgeFacs"/>
      <sheetName val="SIC"/>
      <sheetName val="Net.Prems"/>
      <sheetName val="Prem.Calc"/>
      <sheetName val="DLR.51-199"/>
      <sheetName val="DLR.200+"/>
      <sheetName val="Menus"/>
      <sheetName val="SI_UW.Input"/>
      <sheetName val="SI_Factors @ 100%"/>
      <sheetName val="SI_Mature.Factors"/>
      <sheetName val="SI_1st.Yr"/>
      <sheetName val="SI_Assumptions"/>
      <sheetName val="Change History"/>
      <sheetName val="UW Input"/>
      <sheetName val="Master Access Form"/>
      <sheetName val="51-199"/>
      <sheetName val="LR Report"/>
      <sheetName val="51 - 199"/>
      <sheetName val="LR  Report"/>
      <sheetName val="Dev Inc"/>
      <sheetName val="1st Year High Claims Adj"/>
      <sheetName val="Trend Calc"/>
      <sheetName val="Mktg Cover"/>
      <sheetName val="Letter"/>
      <sheetName val="RenewalExhibit"/>
      <sheetName val="Rates 2"/>
      <sheetName val="Dental Broken-Out 2"/>
      <sheetName val="SelectedGroupReport"/>
      <sheetName val="HighClaims"/>
      <sheetName val="Ind+Children calc"/>
      <sheetName val="51-199 Fully Insured"/>
      <sheetName val="Concession Form"/>
      <sheetName val="PC Rate Calc"/>
      <sheetName val="Updates"/>
      <sheetName val="Calculations"/>
      <sheetName val="Re-Scaled Rates 2"/>
      <sheetName val="Re-Tiered Rates 2"/>
      <sheetName val="BC Calculations"/>
      <sheetName val="BC Rates"/>
      <sheetName val="ChangeDocumentation"/>
    </sheetNames>
    <sheetDataSet>
      <sheetData sheetId="0" refreshError="1">
        <row r="13">
          <cell r="D13">
            <v>3</v>
          </cell>
        </row>
        <row r="25">
          <cell r="D25">
            <v>2</v>
          </cell>
        </row>
        <row r="112">
          <cell r="D112">
            <v>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OPricingAnalysis"/>
      <sheetName val="PricingAnalysis"/>
      <sheetName val="BLUECHOICE Pricing Analysis"/>
      <sheetName val="CMM"/>
      <sheetName val="PPO OE MD WITH MIDPT CHANGE"/>
      <sheetName val="PPO OE VA WITH RSR"/>
      <sheetName val="PPO OE DC WITH RSR"/>
      <sheetName val="RateActions"/>
      <sheetName val="PPOmed-uw MD"/>
      <sheetName val="PPOmed-uw VA"/>
      <sheetName val="PPOmed-uw DC"/>
      <sheetName val="PPOmed-oe MD"/>
      <sheetName val="PPOmed-oe VA"/>
      <sheetName val="PPOmed-oe DC"/>
      <sheetName val="PPOmed-gc MD"/>
      <sheetName val="PPOmed-gc VA"/>
      <sheetName val="PPOmed-gc DC"/>
      <sheetName val="CMM 2tr MD"/>
      <sheetName val="CMM 2tr VA"/>
      <sheetName val="CMM 2tr 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Cover"/>
      <sheetName val="Sum-enroll"/>
      <sheetName val="Sum-$"/>
      <sheetName val="UWGainLoss"/>
      <sheetName val="FinComP&amp;L"/>
      <sheetName val="Consolidated"/>
      <sheetName val="Ind&gt;65"/>
      <sheetName val="Ind&lt;65"/>
      <sheetName val="Sego&lt;50"/>
      <sheetName val="Grp51+"/>
      <sheetName val="CommercialHMO"/>
      <sheetName val="MCare1st"/>
      <sheetName val="Medicaid"/>
      <sheetName val="FEP"/>
      <sheetName val="Elim"/>
      <sheetName val="N-R"/>
      <sheetName val="N-R 51+"/>
      <sheetName val="Nat'l-C"/>
      <sheetName val="Nat'l-NC"/>
      <sheetName val="TPA"/>
      <sheetName val="ASO"/>
      <sheetName val="Medicare A"/>
      <sheetName val="1-50 Non-Sego"/>
      <sheetName val="HMO"/>
      <sheetName val="Blank A"/>
      <sheetName val="Sum-pmpm"/>
      <sheetName val="98-00CFIrevexp"/>
      <sheetName val="98-00MDrevexp"/>
      <sheetName val="98-00NCArevexp"/>
      <sheetName val="FinComPlan"/>
      <sheetName val="HMOFinComPlan"/>
      <sheetName val="Indem Risk"/>
      <sheetName val="Ind &lt;65"/>
      <sheetName val="SEGO &lt;50"/>
      <sheetName val="Group51+"/>
      <sheetName val="HMO Total"/>
      <sheetName val="HMO IMD"/>
      <sheetName val="HMO SEGO"/>
      <sheetName val="HMO 51+"/>
      <sheetName val="HMO 51-200"/>
      <sheetName val="HMO FEP"/>
      <sheetName val="Medi-CareFirst"/>
      <sheetName val="CareFirst Adm"/>
      <sheetName val="Ind &gt;65"/>
      <sheetName val="Interest-Other"/>
      <sheetName val="Taxes"/>
      <sheetName val="Sheet3"/>
      <sheetName val="HMO UGL"/>
      <sheetName val="Indemnity UGL"/>
      <sheetName val="HMO 200+"/>
      <sheetName val="HMO NR"/>
      <sheetName val="SEGO Opt-Out"/>
      <sheetName val="Total SEG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GR"/>
      <sheetName val="VADC"/>
      <sheetName val="ENROLL"/>
      <sheetName val="INCOME"/>
      <sheetName val="CLAIMS"/>
      <sheetName val="Health"/>
      <sheetName val="MDSGR"/>
    </sheetNames>
    <sheetDataSet>
      <sheetData sheetId="0" refreshError="1"/>
      <sheetData sheetId="1" refreshError="1"/>
      <sheetData sheetId="2" refreshError="1">
        <row r="5">
          <cell r="B5" t="str">
            <v>AP ADV</v>
          </cell>
          <cell r="C5">
            <v>176</v>
          </cell>
          <cell r="D5">
            <v>283</v>
          </cell>
        </row>
        <row r="6">
          <cell r="B6" t="str">
            <v>AP B-PRE</v>
          </cell>
          <cell r="C6">
            <v>80</v>
          </cell>
          <cell r="D6">
            <v>138</v>
          </cell>
        </row>
        <row r="7">
          <cell r="B7" t="str">
            <v>CA ADV</v>
          </cell>
          <cell r="C7">
            <v>26</v>
          </cell>
          <cell r="D7">
            <v>40</v>
          </cell>
        </row>
        <row r="8">
          <cell r="B8" t="str">
            <v>CA CHOIC</v>
          </cell>
          <cell r="C8">
            <v>8</v>
          </cell>
          <cell r="D8">
            <v>20</v>
          </cell>
        </row>
        <row r="9">
          <cell r="B9" t="str">
            <v>HA ADV</v>
          </cell>
          <cell r="C9">
            <v>158</v>
          </cell>
          <cell r="D9">
            <v>320</v>
          </cell>
        </row>
        <row r="10">
          <cell r="B10" t="str">
            <v>HA HMO</v>
          </cell>
          <cell r="C10">
            <v>259</v>
          </cell>
          <cell r="D10">
            <v>392</v>
          </cell>
        </row>
        <row r="11">
          <cell r="B11" t="str">
            <v>HC CHOIC</v>
          </cell>
          <cell r="C11">
            <v>211</v>
          </cell>
          <cell r="D11">
            <v>355</v>
          </cell>
        </row>
        <row r="12">
          <cell r="B12" t="str">
            <v>HC HMO</v>
          </cell>
          <cell r="C12">
            <v>295</v>
          </cell>
          <cell r="D12">
            <v>433</v>
          </cell>
        </row>
        <row r="13">
          <cell r="B13" t="str">
            <v>HP B-PRE</v>
          </cell>
          <cell r="C13">
            <v>301</v>
          </cell>
          <cell r="D13">
            <v>500</v>
          </cell>
        </row>
        <row r="14">
          <cell r="B14" t="str">
            <v>HP HMO</v>
          </cell>
          <cell r="C14">
            <v>359</v>
          </cell>
          <cell r="D14">
            <v>563</v>
          </cell>
        </row>
        <row r="15">
          <cell r="B15" t="str">
            <v>PM B-PRE</v>
          </cell>
          <cell r="C15">
            <v>67</v>
          </cell>
          <cell r="D15">
            <v>116</v>
          </cell>
        </row>
        <row r="16">
          <cell r="B16" t="str">
            <v>PM CHOIC</v>
          </cell>
          <cell r="C16">
            <v>302</v>
          </cell>
          <cell r="D16">
            <v>497</v>
          </cell>
        </row>
        <row r="17">
          <cell r="B17" t="str">
            <v>TC B-PRE</v>
          </cell>
          <cell r="C17">
            <v>10</v>
          </cell>
          <cell r="D17">
            <v>32</v>
          </cell>
        </row>
        <row r="18">
          <cell r="B18" t="str">
            <v>TC CHOIC</v>
          </cell>
          <cell r="C18">
            <v>244</v>
          </cell>
          <cell r="D18">
            <v>431</v>
          </cell>
        </row>
        <row r="19">
          <cell r="B19" t="str">
            <v>TC HMO</v>
          </cell>
          <cell r="C19">
            <v>200</v>
          </cell>
          <cell r="D19">
            <v>336</v>
          </cell>
        </row>
      </sheetData>
      <sheetData sheetId="3" refreshError="1">
        <row r="5">
          <cell r="B5" t="str">
            <v>AP ADV</v>
          </cell>
          <cell r="C5">
            <v>439006.32</v>
          </cell>
          <cell r="E5">
            <v>51210.68</v>
          </cell>
          <cell r="F5">
            <v>7535</v>
          </cell>
          <cell r="G5">
            <v>0</v>
          </cell>
        </row>
        <row r="6">
          <cell r="B6" t="str">
            <v>AP B-PRE</v>
          </cell>
          <cell r="C6">
            <v>0</v>
          </cell>
          <cell r="D6">
            <v>255372.36</v>
          </cell>
          <cell r="E6">
            <v>26216.04</v>
          </cell>
          <cell r="F6">
            <v>4940.6000000000004</v>
          </cell>
          <cell r="G6">
            <v>0</v>
          </cell>
        </row>
        <row r="7">
          <cell r="B7" t="str">
            <v>CA ADV</v>
          </cell>
          <cell r="C7">
            <v>128653.24</v>
          </cell>
          <cell r="E7">
            <v>13251.76</v>
          </cell>
          <cell r="F7">
            <v>11706</v>
          </cell>
          <cell r="G7">
            <v>0</v>
          </cell>
        </row>
        <row r="8">
          <cell r="B8" t="str">
            <v>CA CHOIC</v>
          </cell>
          <cell r="C8">
            <v>58075.48</v>
          </cell>
          <cell r="E8">
            <v>4670.5200000000004</v>
          </cell>
          <cell r="F8">
            <v>6552</v>
          </cell>
          <cell r="G8">
            <v>0</v>
          </cell>
        </row>
        <row r="9">
          <cell r="B9" t="str">
            <v>HA ADV</v>
          </cell>
          <cell r="C9">
            <v>1135179.67</v>
          </cell>
          <cell r="E9">
            <v>120607.33</v>
          </cell>
          <cell r="F9">
            <v>8637</v>
          </cell>
          <cell r="G9">
            <v>0</v>
          </cell>
        </row>
        <row r="10">
          <cell r="B10" t="str">
            <v>HA HMO</v>
          </cell>
          <cell r="C10">
            <v>1201233.78</v>
          </cell>
          <cell r="E10">
            <v>152846.22</v>
          </cell>
          <cell r="F10">
            <v>3712</v>
          </cell>
          <cell r="G10">
            <v>0</v>
          </cell>
        </row>
        <row r="11">
          <cell r="B11" t="str">
            <v>HC CHOIC</v>
          </cell>
          <cell r="C11">
            <v>790900.58</v>
          </cell>
          <cell r="E11">
            <v>75565.22</v>
          </cell>
          <cell r="F11">
            <v>3776.2</v>
          </cell>
          <cell r="G11">
            <v>0</v>
          </cell>
        </row>
        <row r="12">
          <cell r="B12" t="str">
            <v>HC HMO</v>
          </cell>
          <cell r="C12">
            <v>1075139.28</v>
          </cell>
          <cell r="E12">
            <v>128418.72</v>
          </cell>
          <cell r="F12">
            <v>7259</v>
          </cell>
          <cell r="G12">
            <v>0</v>
          </cell>
        </row>
        <row r="13">
          <cell r="B13" t="str">
            <v>HP B-PRE</v>
          </cell>
          <cell r="C13">
            <v>0</v>
          </cell>
          <cell r="D13">
            <v>1053442.82</v>
          </cell>
          <cell r="E13">
            <v>104061.6</v>
          </cell>
          <cell r="F13">
            <v>21071.58</v>
          </cell>
          <cell r="G13">
            <v>0</v>
          </cell>
        </row>
        <row r="14">
          <cell r="B14" t="str">
            <v>HP HMO</v>
          </cell>
          <cell r="C14">
            <v>942535.54</v>
          </cell>
          <cell r="E14">
            <v>130367.78</v>
          </cell>
          <cell r="F14">
            <v>27745.52</v>
          </cell>
          <cell r="G14">
            <v>0</v>
          </cell>
        </row>
        <row r="15">
          <cell r="B15" t="str">
            <v>PM B-PRE</v>
          </cell>
          <cell r="C15">
            <v>0</v>
          </cell>
          <cell r="D15">
            <v>287371.52000000002</v>
          </cell>
          <cell r="E15">
            <v>23460.98</v>
          </cell>
          <cell r="F15">
            <v>3924.5</v>
          </cell>
          <cell r="G15">
            <v>0</v>
          </cell>
        </row>
        <row r="16">
          <cell r="B16" t="str">
            <v>PM CHOIC</v>
          </cell>
          <cell r="C16">
            <v>690205.7</v>
          </cell>
          <cell r="D16">
            <v>102622.2</v>
          </cell>
          <cell r="E16">
            <v>76804.600000000006</v>
          </cell>
          <cell r="F16">
            <v>12567.5</v>
          </cell>
          <cell r="G16">
            <v>0</v>
          </cell>
        </row>
        <row r="17">
          <cell r="B17" t="str">
            <v>TC B-PRE</v>
          </cell>
          <cell r="C17">
            <v>0</v>
          </cell>
          <cell r="D17">
            <v>301107.03999999998</v>
          </cell>
          <cell r="E17">
            <v>29899.96</v>
          </cell>
          <cell r="F17">
            <v>7500</v>
          </cell>
          <cell r="G17">
            <v>0</v>
          </cell>
        </row>
        <row r="18">
          <cell r="B18" t="str">
            <v>TC CHOIC</v>
          </cell>
          <cell r="C18">
            <v>422177.98</v>
          </cell>
          <cell r="D18">
            <v>204670.6</v>
          </cell>
          <cell r="E18">
            <v>64742.62</v>
          </cell>
          <cell r="F18">
            <v>12608.8</v>
          </cell>
          <cell r="G18">
            <v>0</v>
          </cell>
        </row>
        <row r="19">
          <cell r="B19" t="str">
            <v>TC HMO</v>
          </cell>
          <cell r="C19">
            <v>587762.48</v>
          </cell>
          <cell r="E19">
            <v>76337.52</v>
          </cell>
          <cell r="F19">
            <v>7016</v>
          </cell>
          <cell r="G19">
            <v>0</v>
          </cell>
        </row>
        <row r="20">
          <cell r="B20" t="str">
            <v>ZZ ADV</v>
          </cell>
          <cell r="C20">
            <v>1860.79</v>
          </cell>
          <cell r="E20">
            <v>206.76</v>
          </cell>
          <cell r="F20">
            <v>0</v>
          </cell>
          <cell r="G20">
            <v>0</v>
          </cell>
        </row>
      </sheetData>
      <sheetData sheetId="4" refreshError="1">
        <row r="7">
          <cell r="A7" t="str">
            <v>AP ADV</v>
          </cell>
          <cell r="B7" t="str">
            <v>CA ADV</v>
          </cell>
          <cell r="C7">
            <v>26</v>
          </cell>
          <cell r="D7">
            <v>40</v>
          </cell>
          <cell r="E7">
            <v>5388.6</v>
          </cell>
        </row>
        <row r="8">
          <cell r="A8" t="str">
            <v>AP B-PRE</v>
          </cell>
          <cell r="B8" t="str">
            <v>CA CHOIC</v>
          </cell>
          <cell r="C8">
            <v>140807.49</v>
          </cell>
          <cell r="D8">
            <v>34299.230000000003</v>
          </cell>
          <cell r="E8">
            <v>3575.64</v>
          </cell>
          <cell r="F8">
            <v>185.6</v>
          </cell>
        </row>
        <row r="9">
          <cell r="A9" t="str">
            <v>CA ADV</v>
          </cell>
          <cell r="B9" t="str">
            <v>HA ADV</v>
          </cell>
          <cell r="C9">
            <v>158</v>
          </cell>
          <cell r="D9">
            <v>320</v>
          </cell>
          <cell r="E9">
            <v>8341</v>
          </cell>
        </row>
        <row r="10">
          <cell r="A10" t="str">
            <v>CA CHOIC</v>
          </cell>
          <cell r="B10" t="str">
            <v>HA HMO</v>
          </cell>
          <cell r="C10">
            <v>259</v>
          </cell>
          <cell r="D10">
            <v>392</v>
          </cell>
          <cell r="E10">
            <v>8794.48</v>
          </cell>
        </row>
        <row r="11">
          <cell r="A11" t="str">
            <v>HA ADV</v>
          </cell>
          <cell r="B11" t="str">
            <v>HC CHOIC</v>
          </cell>
          <cell r="C11">
            <v>211</v>
          </cell>
          <cell r="D11">
            <v>355</v>
          </cell>
          <cell r="E11">
            <v>6567.77</v>
          </cell>
        </row>
        <row r="12">
          <cell r="A12" t="str">
            <v>HA HMO</v>
          </cell>
          <cell r="B12" t="str">
            <v>HC HMO</v>
          </cell>
          <cell r="C12">
            <v>295</v>
          </cell>
          <cell r="D12">
            <v>433</v>
          </cell>
          <cell r="E12">
            <v>2760.4</v>
          </cell>
        </row>
        <row r="13">
          <cell r="A13" t="str">
            <v>HC CHOIC</v>
          </cell>
          <cell r="B13" t="str">
            <v>HP B-PRE</v>
          </cell>
          <cell r="C13">
            <v>301</v>
          </cell>
          <cell r="D13">
            <v>500</v>
          </cell>
          <cell r="E13">
            <v>1726.1</v>
          </cell>
        </row>
        <row r="14">
          <cell r="A14" t="str">
            <v>HC HMO</v>
          </cell>
          <cell r="B14" t="str">
            <v>HP HMO</v>
          </cell>
          <cell r="C14">
            <v>359</v>
          </cell>
          <cell r="D14">
            <v>563</v>
          </cell>
          <cell r="E14">
            <v>2677.4</v>
          </cell>
        </row>
        <row r="15">
          <cell r="A15" t="str">
            <v>HP B-PRE</v>
          </cell>
          <cell r="B15" t="str">
            <v>PM B-PRE</v>
          </cell>
          <cell r="C15">
            <v>559310.6</v>
          </cell>
          <cell r="D15">
            <v>163833.67000000001</v>
          </cell>
          <cell r="E15">
            <v>16747.32</v>
          </cell>
          <cell r="F15">
            <v>1248.2</v>
          </cell>
        </row>
        <row r="16">
          <cell r="A16" t="str">
            <v>HP HMO</v>
          </cell>
          <cell r="B16" t="str">
            <v>PM CHOIC</v>
          </cell>
          <cell r="C16">
            <v>302</v>
          </cell>
          <cell r="D16">
            <v>497</v>
          </cell>
          <cell r="E16">
            <v>18153.77</v>
          </cell>
        </row>
        <row r="17">
          <cell r="A17" t="str">
            <v>PM B-PRE</v>
          </cell>
          <cell r="B17" t="str">
            <v>TC B-PRE</v>
          </cell>
          <cell r="C17">
            <v>118459.59</v>
          </cell>
          <cell r="D17">
            <v>36000.730000000003</v>
          </cell>
          <cell r="E17">
            <v>3212.6</v>
          </cell>
          <cell r="F17">
            <v>238.2</v>
          </cell>
        </row>
        <row r="18">
          <cell r="A18" t="str">
            <v>PM CHOIC</v>
          </cell>
          <cell r="B18" t="str">
            <v>TC CHOIC</v>
          </cell>
          <cell r="C18">
            <v>244</v>
          </cell>
          <cell r="D18">
            <v>431</v>
          </cell>
          <cell r="E18">
            <v>8568.9</v>
          </cell>
        </row>
        <row r="19">
          <cell r="A19" t="str">
            <v>TC B-PRE</v>
          </cell>
          <cell r="B19" t="str">
            <v>TC HMO</v>
          </cell>
          <cell r="C19">
            <v>465783.81</v>
          </cell>
          <cell r="D19">
            <v>47343.46</v>
          </cell>
          <cell r="E19">
            <v>4875.1000000000004</v>
          </cell>
          <cell r="F19">
            <v>319.60000000000002</v>
          </cell>
        </row>
        <row r="20">
          <cell r="A20" t="str">
            <v>TC CHOIC</v>
          </cell>
          <cell r="B20">
            <v>466247.13</v>
          </cell>
          <cell r="C20">
            <v>197473.55</v>
          </cell>
          <cell r="D20">
            <v>109356.07</v>
          </cell>
          <cell r="E20">
            <v>7126.6</v>
          </cell>
          <cell r="F20">
            <v>138</v>
          </cell>
        </row>
        <row r="21">
          <cell r="A21" t="str">
            <v>TC HMO</v>
          </cell>
          <cell r="B21">
            <v>252263.63</v>
          </cell>
          <cell r="D21">
            <v>58863.54</v>
          </cell>
          <cell r="E21">
            <v>3226.7</v>
          </cell>
        </row>
        <row r="22">
          <cell r="A22" t="str">
            <v>ZZ ADV</v>
          </cell>
          <cell r="B22">
            <v>862.77</v>
          </cell>
          <cell r="D22">
            <v>101.12</v>
          </cell>
        </row>
      </sheetData>
      <sheetData sheetId="5" refreshError="1"/>
      <sheetData sheetId="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SGR"/>
      <sheetName val="VADC"/>
      <sheetName val="ENROLL"/>
      <sheetName val="INCOME"/>
      <sheetName val="CLAIMS"/>
    </sheetNames>
    <sheetDataSet>
      <sheetData sheetId="0" refreshError="1"/>
      <sheetData sheetId="1" refreshError="1"/>
      <sheetData sheetId="2" refreshError="1">
        <row r="22">
          <cell r="B22" t="str">
            <v>AP ADV</v>
          </cell>
          <cell r="C22">
            <v>890</v>
          </cell>
          <cell r="D22">
            <v>1439</v>
          </cell>
        </row>
        <row r="23">
          <cell r="B23" t="str">
            <v>AP B-PRE</v>
          </cell>
          <cell r="C23">
            <v>686</v>
          </cell>
          <cell r="D23">
            <v>1116</v>
          </cell>
        </row>
        <row r="24">
          <cell r="B24" t="str">
            <v>CA ADV</v>
          </cell>
          <cell r="C24">
            <v>6</v>
          </cell>
          <cell r="D24">
            <v>11</v>
          </cell>
        </row>
        <row r="25">
          <cell r="B25" t="str">
            <v>CA CHOIC</v>
          </cell>
          <cell r="C25">
            <v>6</v>
          </cell>
          <cell r="D25">
            <v>6</v>
          </cell>
        </row>
        <row r="26">
          <cell r="B26" t="str">
            <v>CP B-PRE</v>
          </cell>
          <cell r="C26">
            <v>1562</v>
          </cell>
          <cell r="D26">
            <v>2588</v>
          </cell>
        </row>
        <row r="27">
          <cell r="B27" t="str">
            <v>CP CHOIC</v>
          </cell>
          <cell r="C27">
            <v>998</v>
          </cell>
          <cell r="D27">
            <v>1583</v>
          </cell>
        </row>
        <row r="28">
          <cell r="B28" t="str">
            <v>HA ADV</v>
          </cell>
          <cell r="C28">
            <v>490</v>
          </cell>
          <cell r="D28">
            <v>827</v>
          </cell>
        </row>
        <row r="29">
          <cell r="B29" t="str">
            <v>HA HMO</v>
          </cell>
          <cell r="C29">
            <v>1603</v>
          </cell>
          <cell r="D29">
            <v>2814</v>
          </cell>
        </row>
        <row r="30">
          <cell r="B30" t="str">
            <v>HC CHOIC</v>
          </cell>
          <cell r="C30">
            <v>674</v>
          </cell>
          <cell r="D30">
            <v>1141</v>
          </cell>
        </row>
        <row r="31">
          <cell r="B31" t="str">
            <v>HC HMO</v>
          </cell>
          <cell r="C31">
            <v>946</v>
          </cell>
          <cell r="D31">
            <v>1350</v>
          </cell>
        </row>
        <row r="32">
          <cell r="B32" t="str">
            <v>HP B-PRE</v>
          </cell>
          <cell r="C32">
            <v>4174</v>
          </cell>
          <cell r="D32">
            <v>6771</v>
          </cell>
        </row>
        <row r="33">
          <cell r="B33" t="str">
            <v>HP HMO</v>
          </cell>
          <cell r="C33">
            <v>2590</v>
          </cell>
          <cell r="D33">
            <v>3998</v>
          </cell>
        </row>
        <row r="34">
          <cell r="B34" t="str">
            <v>PM CHOIC</v>
          </cell>
          <cell r="C34">
            <v>40</v>
          </cell>
          <cell r="D34">
            <v>65</v>
          </cell>
        </row>
        <row r="35">
          <cell r="B35" t="str">
            <v>TC B-PRE</v>
          </cell>
          <cell r="C35">
            <v>1774</v>
          </cell>
          <cell r="D35">
            <v>2830</v>
          </cell>
        </row>
        <row r="36">
          <cell r="B36" t="str">
            <v>TC CHOIC</v>
          </cell>
          <cell r="C36">
            <v>710</v>
          </cell>
          <cell r="D36">
            <v>1159</v>
          </cell>
        </row>
        <row r="37">
          <cell r="B37" t="str">
            <v>TC HMO</v>
          </cell>
          <cell r="C37">
            <v>1624</v>
          </cell>
          <cell r="D37">
            <v>2559</v>
          </cell>
        </row>
        <row r="38">
          <cell r="B38" t="str">
            <v>VC CHOIC</v>
          </cell>
          <cell r="C38">
            <v>46</v>
          </cell>
          <cell r="D38">
            <v>76</v>
          </cell>
        </row>
        <row r="39">
          <cell r="B39" t="str">
            <v>VC HMO</v>
          </cell>
          <cell r="C39">
            <v>97</v>
          </cell>
          <cell r="D39">
            <v>147</v>
          </cell>
        </row>
        <row r="40">
          <cell r="B40" t="str">
            <v>VC ADV</v>
          </cell>
          <cell r="C40">
            <v>16</v>
          </cell>
          <cell r="D40">
            <v>28</v>
          </cell>
        </row>
      </sheetData>
      <sheetData sheetId="3" refreshError="1">
        <row r="5">
          <cell r="E5">
            <v>500014.16</v>
          </cell>
        </row>
        <row r="6">
          <cell r="E6">
            <v>365268.19</v>
          </cell>
        </row>
        <row r="7">
          <cell r="E7">
            <v>76925</v>
          </cell>
        </row>
        <row r="8">
          <cell r="E8">
            <v>43587</v>
          </cell>
        </row>
        <row r="9">
          <cell r="E9">
            <v>621901.42000000004</v>
          </cell>
        </row>
        <row r="10">
          <cell r="E10">
            <v>825749.67</v>
          </cell>
        </row>
        <row r="11">
          <cell r="E11">
            <v>680973.96</v>
          </cell>
        </row>
        <row r="12">
          <cell r="E12">
            <v>665750.97</v>
          </cell>
        </row>
        <row r="13">
          <cell r="E13">
            <v>278094</v>
          </cell>
        </row>
        <row r="14">
          <cell r="E14">
            <v>182139.55</v>
          </cell>
        </row>
        <row r="15">
          <cell r="E15">
            <v>1818643.66</v>
          </cell>
        </row>
        <row r="16">
          <cell r="E16">
            <v>1106379.94</v>
          </cell>
        </row>
        <row r="17">
          <cell r="E17">
            <v>254303.74</v>
          </cell>
        </row>
        <row r="18">
          <cell r="E18">
            <v>1983635.69</v>
          </cell>
        </row>
        <row r="19">
          <cell r="E19">
            <v>106792</v>
          </cell>
        </row>
        <row r="20">
          <cell r="E20">
            <v>1200596.81</v>
          </cell>
        </row>
        <row r="21">
          <cell r="E21">
            <v>983399.14</v>
          </cell>
        </row>
        <row r="22">
          <cell r="E22">
            <v>19544</v>
          </cell>
        </row>
        <row r="23">
          <cell r="B23" t="str">
            <v>AP ADV</v>
          </cell>
          <cell r="E23">
            <v>2310342.12</v>
          </cell>
          <cell r="F23">
            <v>477487.26</v>
          </cell>
          <cell r="G23">
            <v>94294.96</v>
          </cell>
        </row>
        <row r="24">
          <cell r="B24" t="str">
            <v>AP B-PRE</v>
          </cell>
          <cell r="E24">
            <v>1743732.91</v>
          </cell>
          <cell r="F24">
            <v>312262.59999999998</v>
          </cell>
          <cell r="G24">
            <v>80750.34</v>
          </cell>
        </row>
        <row r="25">
          <cell r="B25" t="str">
            <v>CA ADV</v>
          </cell>
          <cell r="E25">
            <v>26258</v>
          </cell>
          <cell r="F25">
            <v>4999</v>
          </cell>
          <cell r="G25">
            <v>806</v>
          </cell>
        </row>
        <row r="26">
          <cell r="B26" t="str">
            <v>CA CHOIC</v>
          </cell>
          <cell r="E26">
            <v>11922</v>
          </cell>
          <cell r="F26">
            <v>2840</v>
          </cell>
          <cell r="G26">
            <v>0</v>
          </cell>
        </row>
        <row r="27">
          <cell r="B27" t="str">
            <v>CP B-PRE</v>
          </cell>
          <cell r="E27">
            <v>3681446.29</v>
          </cell>
          <cell r="F27">
            <v>706847.29</v>
          </cell>
          <cell r="G27">
            <v>214573.53</v>
          </cell>
        </row>
        <row r="28">
          <cell r="B28" t="str">
            <v>CP CHOIC</v>
          </cell>
          <cell r="E28">
            <v>2326518.9</v>
          </cell>
          <cell r="F28">
            <v>484132.33</v>
          </cell>
          <cell r="G28">
            <v>143726.89000000001</v>
          </cell>
        </row>
        <row r="29">
          <cell r="B29" t="str">
            <v>HA ADV</v>
          </cell>
          <cell r="E29">
            <v>821482.17</v>
          </cell>
          <cell r="F29">
            <v>186358.47</v>
          </cell>
          <cell r="G29">
            <v>11941.85</v>
          </cell>
        </row>
        <row r="30">
          <cell r="B30" t="str">
            <v>HA HMO</v>
          </cell>
          <cell r="E30">
            <v>2466241.2799999998</v>
          </cell>
          <cell r="F30">
            <v>599637.91</v>
          </cell>
          <cell r="G30">
            <v>52032.59</v>
          </cell>
        </row>
        <row r="31">
          <cell r="B31" t="str">
            <v>HC CHOIC</v>
          </cell>
          <cell r="E31">
            <v>1521070.67</v>
          </cell>
          <cell r="F31">
            <v>308660.21000000002</v>
          </cell>
          <cell r="G31">
            <v>78027.73</v>
          </cell>
        </row>
        <row r="32">
          <cell r="B32" t="str">
            <v>HC HMO</v>
          </cell>
          <cell r="E32">
            <v>1678173.84</v>
          </cell>
          <cell r="F32">
            <v>387063.09</v>
          </cell>
          <cell r="G32">
            <v>73510.34</v>
          </cell>
        </row>
        <row r="33">
          <cell r="B33" t="str">
            <v>HM CHOIC</v>
          </cell>
          <cell r="E33">
            <v>1022</v>
          </cell>
          <cell r="F33">
            <v>240</v>
          </cell>
          <cell r="G33">
            <v>114</v>
          </cell>
        </row>
        <row r="34">
          <cell r="B34" t="str">
            <v>HP B-PRE</v>
          </cell>
          <cell r="E34">
            <v>8877970</v>
          </cell>
          <cell r="F34">
            <v>1735863.88</v>
          </cell>
          <cell r="G34">
            <v>539949.52</v>
          </cell>
        </row>
        <row r="35">
          <cell r="B35" t="str">
            <v>HP HMO</v>
          </cell>
          <cell r="E35">
            <v>4765870.5</v>
          </cell>
          <cell r="F35">
            <v>1157532.1000000001</v>
          </cell>
          <cell r="G35">
            <v>315514</v>
          </cell>
        </row>
        <row r="36">
          <cell r="B36" t="str">
            <v>PM B-PRE</v>
          </cell>
          <cell r="E36">
            <v>2120.38</v>
          </cell>
          <cell r="F36">
            <v>394.22</v>
          </cell>
          <cell r="G36">
            <v>0</v>
          </cell>
        </row>
        <row r="37">
          <cell r="B37" t="str">
            <v>PM CHOIC</v>
          </cell>
          <cell r="E37">
            <v>563836.76</v>
          </cell>
          <cell r="F37">
            <v>147327.47</v>
          </cell>
          <cell r="G37">
            <v>91159.06</v>
          </cell>
        </row>
        <row r="38">
          <cell r="B38" t="str">
            <v>TC B-PRE</v>
          </cell>
          <cell r="E38">
            <v>3821622.67</v>
          </cell>
          <cell r="F38">
            <v>711427</v>
          </cell>
          <cell r="G38">
            <v>215302.39999999999</v>
          </cell>
        </row>
        <row r="39">
          <cell r="B39" t="str">
            <v>TC CHOIC</v>
          </cell>
          <cell r="E39">
            <v>1981992.87</v>
          </cell>
          <cell r="F39">
            <v>389459.69</v>
          </cell>
          <cell r="G39">
            <v>100790.92</v>
          </cell>
        </row>
        <row r="40">
          <cell r="B40" t="str">
            <v>TC HMO</v>
          </cell>
          <cell r="E40">
            <v>2640898.4900000002</v>
          </cell>
          <cell r="F40">
            <v>618685.97</v>
          </cell>
          <cell r="G40">
            <v>132260.26999999999</v>
          </cell>
        </row>
        <row r="41">
          <cell r="B41" t="str">
            <v>VC CHOIC</v>
          </cell>
          <cell r="E41">
            <v>9385.6200000000008</v>
          </cell>
          <cell r="F41">
            <v>1858.79</v>
          </cell>
          <cell r="G41">
            <v>522.72</v>
          </cell>
        </row>
        <row r="42">
          <cell r="B42" t="str">
            <v>VC HMO</v>
          </cell>
          <cell r="E42">
            <v>29599</v>
          </cell>
          <cell r="F42">
            <v>6631</v>
          </cell>
          <cell r="G42">
            <v>460</v>
          </cell>
        </row>
        <row r="43">
          <cell r="B43" t="str">
            <v>VC ADV</v>
          </cell>
          <cell r="E43">
            <v>3611.06</v>
          </cell>
          <cell r="F43">
            <v>1055.05</v>
          </cell>
          <cell r="G43">
            <v>0</v>
          </cell>
        </row>
        <row r="44">
          <cell r="B44" t="str">
            <v>ZZ OTHER</v>
          </cell>
          <cell r="E44">
            <v>8086</v>
          </cell>
          <cell r="F44">
            <v>1578</v>
          </cell>
          <cell r="G44">
            <v>0</v>
          </cell>
        </row>
      </sheetData>
      <sheetData sheetId="4" refreshError="1">
        <row r="7">
          <cell r="D7">
            <v>237706.16</v>
          </cell>
        </row>
        <row r="8">
          <cell r="D8">
            <v>223796.95</v>
          </cell>
        </row>
        <row r="9">
          <cell r="D9">
            <v>26402</v>
          </cell>
        </row>
        <row r="10">
          <cell r="D10">
            <v>36330.28</v>
          </cell>
        </row>
        <row r="11">
          <cell r="D11">
            <v>337066.17000000004</v>
          </cell>
        </row>
        <row r="12">
          <cell r="D12">
            <v>509976.91000000003</v>
          </cell>
        </row>
        <row r="13">
          <cell r="D13">
            <v>396815.28</v>
          </cell>
        </row>
        <row r="14">
          <cell r="D14">
            <v>347183.8</v>
          </cell>
        </row>
        <row r="15">
          <cell r="D15">
            <v>139043.29</v>
          </cell>
        </row>
        <row r="16">
          <cell r="D16">
            <v>95720.91</v>
          </cell>
        </row>
        <row r="17">
          <cell r="D17">
            <v>1239891.8</v>
          </cell>
        </row>
        <row r="18">
          <cell r="D18">
            <v>632139.41999999993</v>
          </cell>
        </row>
        <row r="19">
          <cell r="D19">
            <v>98897.99</v>
          </cell>
        </row>
        <row r="20">
          <cell r="D20">
            <v>1134972.9100000001</v>
          </cell>
        </row>
        <row r="21">
          <cell r="D21">
            <v>336.5</v>
          </cell>
        </row>
        <row r="22">
          <cell r="D22">
            <v>3085.81</v>
          </cell>
        </row>
        <row r="23">
          <cell r="D23">
            <v>184161.74</v>
          </cell>
        </row>
        <row r="24">
          <cell r="D24">
            <v>871902.8</v>
          </cell>
        </row>
        <row r="25">
          <cell r="D25">
            <v>877027.04999999993</v>
          </cell>
        </row>
        <row r="26">
          <cell r="D26">
            <v>831.58</v>
          </cell>
        </row>
        <row r="35">
          <cell r="A35" t="str">
            <v>AP ADV</v>
          </cell>
          <cell r="D35">
            <v>1246844.44</v>
          </cell>
          <cell r="E35">
            <v>321425.53000000003</v>
          </cell>
          <cell r="F35">
            <v>55507.05</v>
          </cell>
        </row>
        <row r="36">
          <cell r="A36" t="str">
            <v>AP B-PRE</v>
          </cell>
          <cell r="D36">
            <v>1223771.6399999999</v>
          </cell>
          <cell r="E36">
            <v>357273.78</v>
          </cell>
          <cell r="F36">
            <v>57335</v>
          </cell>
        </row>
        <row r="37">
          <cell r="A37" t="str">
            <v>CA ADV</v>
          </cell>
          <cell r="D37">
            <v>9806.75</v>
          </cell>
          <cell r="E37">
            <v>6064.96</v>
          </cell>
          <cell r="F37">
            <v>397</v>
          </cell>
        </row>
        <row r="38">
          <cell r="A38" t="str">
            <v>CA CHOIC</v>
          </cell>
          <cell r="D38">
            <v>11939.51</v>
          </cell>
          <cell r="E38">
            <v>8587.5499999999993</v>
          </cell>
        </row>
        <row r="39">
          <cell r="A39" t="str">
            <v>CP B-PRE</v>
          </cell>
          <cell r="D39">
            <v>3338925.3800000004</v>
          </cell>
          <cell r="E39">
            <v>693131.43</v>
          </cell>
          <cell r="F39">
            <v>149328.37</v>
          </cell>
        </row>
        <row r="40">
          <cell r="A40" t="str">
            <v>CP CHOIC</v>
          </cell>
          <cell r="D40">
            <v>1199601.8299999998</v>
          </cell>
          <cell r="E40">
            <v>270677.02</v>
          </cell>
          <cell r="F40">
            <v>91111.73</v>
          </cell>
        </row>
        <row r="41">
          <cell r="A41" t="str">
            <v>HA ADV</v>
          </cell>
          <cell r="D41">
            <v>757437.87</v>
          </cell>
          <cell r="E41">
            <v>171189.86</v>
          </cell>
          <cell r="F41">
            <v>10281.85</v>
          </cell>
        </row>
        <row r="42">
          <cell r="A42" t="str">
            <v>HA HMO</v>
          </cell>
          <cell r="D42">
            <v>1967302.88</v>
          </cell>
          <cell r="E42">
            <v>356307.07</v>
          </cell>
          <cell r="F42">
            <v>37612.58</v>
          </cell>
        </row>
        <row r="43">
          <cell r="A43" t="str">
            <v>HC CHOIC</v>
          </cell>
          <cell r="D43">
            <v>1268392.6000000001</v>
          </cell>
          <cell r="E43">
            <v>365970.91</v>
          </cell>
          <cell r="F43">
            <v>41442.730000000003</v>
          </cell>
        </row>
        <row r="44">
          <cell r="A44" t="str">
            <v>HC HMO</v>
          </cell>
          <cell r="D44">
            <v>1514562.48</v>
          </cell>
          <cell r="E44">
            <v>247010.74</v>
          </cell>
          <cell r="F44">
            <v>46255.11</v>
          </cell>
        </row>
        <row r="45">
          <cell r="A45" t="str">
            <v>HM CHOIC</v>
          </cell>
          <cell r="D45">
            <v>696.25</v>
          </cell>
          <cell r="E45">
            <v>152.12</v>
          </cell>
        </row>
        <row r="46">
          <cell r="A46" t="str">
            <v>HP B-PRE</v>
          </cell>
          <cell r="D46">
            <v>6777834.3999999994</v>
          </cell>
          <cell r="E46">
            <v>1701240.93</v>
          </cell>
          <cell r="F46">
            <v>405266.57</v>
          </cell>
        </row>
        <row r="47">
          <cell r="A47" t="str">
            <v>HP HMO</v>
          </cell>
          <cell r="D47">
            <v>3072298.67</v>
          </cell>
          <cell r="E47">
            <v>627159.47</v>
          </cell>
          <cell r="F47">
            <v>187552.63</v>
          </cell>
        </row>
        <row r="48">
          <cell r="A48" t="str">
            <v>PM B-PRE</v>
          </cell>
          <cell r="D48">
            <v>182.02</v>
          </cell>
          <cell r="E48">
            <v>13.32</v>
          </cell>
        </row>
        <row r="49">
          <cell r="A49" t="str">
            <v>PM CHOIC</v>
          </cell>
          <cell r="D49">
            <v>384409</v>
          </cell>
          <cell r="E49">
            <v>96356.69</v>
          </cell>
          <cell r="F49">
            <v>52868.9</v>
          </cell>
        </row>
        <row r="50">
          <cell r="A50" t="str">
            <v>TC B-PRE</v>
          </cell>
          <cell r="D50">
            <v>2810687.36</v>
          </cell>
          <cell r="E50">
            <v>704230.55</v>
          </cell>
          <cell r="F50">
            <v>178043.76</v>
          </cell>
        </row>
        <row r="51">
          <cell r="A51" t="str">
            <v>TC CHOIC</v>
          </cell>
          <cell r="D51">
            <v>1166405.53</v>
          </cell>
          <cell r="E51">
            <v>288551.28999999998</v>
          </cell>
          <cell r="F51">
            <v>59782.53</v>
          </cell>
        </row>
        <row r="52">
          <cell r="A52" t="str">
            <v>TC HMO</v>
          </cell>
          <cell r="D52">
            <v>1582873.71</v>
          </cell>
          <cell r="E52">
            <v>408801.3</v>
          </cell>
          <cell r="F52">
            <v>84401.95</v>
          </cell>
        </row>
        <row r="53">
          <cell r="A53" t="str">
            <v>VC CHOIC</v>
          </cell>
          <cell r="D53">
            <v>29155.77</v>
          </cell>
          <cell r="E53">
            <v>3286.45</v>
          </cell>
          <cell r="F53">
            <v>467.2</v>
          </cell>
        </row>
        <row r="54">
          <cell r="A54" t="str">
            <v>VC HMO</v>
          </cell>
          <cell r="D54">
            <v>18886.72</v>
          </cell>
          <cell r="E54">
            <v>10308.790000000001</v>
          </cell>
          <cell r="F54">
            <v>41</v>
          </cell>
        </row>
        <row r="55">
          <cell r="A55" t="str">
            <v>VC ADV</v>
          </cell>
          <cell r="D55">
            <v>333</v>
          </cell>
          <cell r="E55">
            <v>212.5</v>
          </cell>
        </row>
        <row r="56">
          <cell r="A56" t="str">
            <v>ZZ ADV</v>
          </cell>
          <cell r="D56">
            <v>24</v>
          </cell>
          <cell r="F56">
            <v>256.2</v>
          </cell>
        </row>
        <row r="57">
          <cell r="A57" t="str">
            <v>ZZ OTHER</v>
          </cell>
          <cell r="D57">
            <v>38</v>
          </cell>
          <cell r="E57">
            <v>754.8</v>
          </cell>
        </row>
        <row r="58">
          <cell r="A58" t="str">
            <v>ZZ PPO</v>
          </cell>
          <cell r="D58">
            <v>0</v>
          </cell>
          <cell r="E58">
            <v>161.25</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Cap"/>
      <sheetName val="Distrib1"/>
      <sheetName val="Cap"/>
      <sheetName val="Cap2"/>
      <sheetName val="Distrib2"/>
      <sheetName val="Distrib3"/>
    </sheetNames>
    <sheetDataSet>
      <sheetData sheetId="0" refreshError="1">
        <row r="2">
          <cell r="CL2" t="str">
            <v>HMO</v>
          </cell>
          <cell r="CM2">
            <v>161</v>
          </cell>
          <cell r="CN2">
            <v>21.857639116499996</v>
          </cell>
        </row>
        <row r="3">
          <cell r="CL3" t="str">
            <v>INDEM</v>
          </cell>
          <cell r="CM3">
            <v>140</v>
          </cell>
          <cell r="CN3">
            <v>19.006642709999998</v>
          </cell>
        </row>
        <row r="4">
          <cell r="CL4" t="str">
            <v>POS</v>
          </cell>
          <cell r="CM4">
            <v>165.2</v>
          </cell>
          <cell r="CN4">
            <v>22.427838397799995</v>
          </cell>
        </row>
        <row r="5">
          <cell r="CL5" t="str">
            <v>PPO</v>
          </cell>
          <cell r="CM5">
            <v>147</v>
          </cell>
          <cell r="CN5">
            <v>19.9569748455</v>
          </cell>
        </row>
      </sheetData>
      <sheetData sheetId="1" refreshError="1"/>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Notes"/>
      <sheetName val="Input"/>
      <sheetName val="Model Pure Have"/>
      <sheetName val="Model Pure Want"/>
      <sheetName val="Result"/>
      <sheetName val="Factors"/>
      <sheetName val="CPD"/>
      <sheetName val="MHSA Factors"/>
      <sheetName val="NCA StandProd"/>
      <sheetName val="MD StandProd"/>
      <sheetName val="Analysis"/>
      <sheetName val="Assumptions"/>
      <sheetName val="Prov Disc"/>
      <sheetName val="Standard Assumptions"/>
      <sheetName val="Protect"/>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12">
          <cell r="P112" t="str">
            <v>ADV</v>
          </cell>
          <cell r="Q112" t="str">
            <v>CMM</v>
          </cell>
          <cell r="R112" t="str">
            <v>PPN</v>
          </cell>
          <cell r="S112" t="str">
            <v>HMO</v>
          </cell>
          <cell r="T112" t="str">
            <v>POS</v>
          </cell>
          <cell r="U112" t="str">
            <v>MPOS</v>
          </cell>
          <cell r="V112" t="str">
            <v>PPO</v>
          </cell>
        </row>
        <row r="115">
          <cell r="P115">
            <v>1</v>
          </cell>
          <cell r="Q115">
            <v>1</v>
          </cell>
          <cell r="R115">
            <v>1</v>
          </cell>
          <cell r="S115">
            <v>1</v>
          </cell>
          <cell r="T115">
            <v>1</v>
          </cell>
          <cell r="U115">
            <v>1</v>
          </cell>
          <cell r="V115">
            <v>1</v>
          </cell>
        </row>
        <row r="116">
          <cell r="P116">
            <v>1.42</v>
          </cell>
          <cell r="Q116">
            <v>1.3383</v>
          </cell>
          <cell r="R116">
            <v>1.3819999999999999</v>
          </cell>
          <cell r="S116">
            <v>1.39</v>
          </cell>
          <cell r="T116">
            <v>1.448</v>
          </cell>
          <cell r="U116">
            <v>1.3623000000000001</v>
          </cell>
          <cell r="V116">
            <v>1.492</v>
          </cell>
        </row>
        <row r="117">
          <cell r="P117">
            <v>1.42</v>
          </cell>
          <cell r="Q117">
            <v>1.3383</v>
          </cell>
          <cell r="R117">
            <v>1.3819999999999999</v>
          </cell>
          <cell r="S117">
            <v>1.39</v>
          </cell>
          <cell r="T117">
            <v>1.448</v>
          </cell>
          <cell r="U117">
            <v>1.3623000000000001</v>
          </cell>
          <cell r="V117">
            <v>1.492</v>
          </cell>
        </row>
        <row r="118">
          <cell r="P118">
            <v>1</v>
          </cell>
          <cell r="Q118">
            <v>1</v>
          </cell>
          <cell r="R118">
            <v>1</v>
          </cell>
          <cell r="S118">
            <v>1</v>
          </cell>
          <cell r="T118">
            <v>1</v>
          </cell>
          <cell r="U118">
            <v>1</v>
          </cell>
          <cell r="V118">
            <v>1</v>
          </cell>
        </row>
        <row r="119">
          <cell r="P119">
            <v>1</v>
          </cell>
          <cell r="Q119">
            <v>1</v>
          </cell>
          <cell r="R119">
            <v>1</v>
          </cell>
          <cell r="S119">
            <v>1</v>
          </cell>
          <cell r="T119">
            <v>1</v>
          </cell>
          <cell r="U119">
            <v>1</v>
          </cell>
          <cell r="V119">
            <v>1</v>
          </cell>
        </row>
        <row r="120">
          <cell r="P120">
            <v>1</v>
          </cell>
          <cell r="Q120">
            <v>1</v>
          </cell>
          <cell r="R120">
            <v>1</v>
          </cell>
          <cell r="S120">
            <v>1</v>
          </cell>
          <cell r="T120">
            <v>1</v>
          </cell>
          <cell r="U120">
            <v>1</v>
          </cell>
          <cell r="V120">
            <v>1</v>
          </cell>
        </row>
        <row r="121">
          <cell r="P121">
            <v>1</v>
          </cell>
          <cell r="Q121">
            <v>1</v>
          </cell>
          <cell r="R121">
            <v>1</v>
          </cell>
          <cell r="S121">
            <v>1</v>
          </cell>
          <cell r="T121">
            <v>1</v>
          </cell>
          <cell r="U121">
            <v>1</v>
          </cell>
          <cell r="V121">
            <v>1</v>
          </cell>
        </row>
        <row r="124">
          <cell r="P124">
            <v>1</v>
          </cell>
          <cell r="Q124">
            <v>1</v>
          </cell>
          <cell r="R124">
            <v>2</v>
          </cell>
          <cell r="S124">
            <v>1</v>
          </cell>
          <cell r="T124">
            <v>1</v>
          </cell>
          <cell r="U124">
            <v>1</v>
          </cell>
          <cell r="V124">
            <v>1</v>
          </cell>
        </row>
        <row r="125">
          <cell r="P125">
            <v>1.42</v>
          </cell>
          <cell r="Q125">
            <v>1.3383</v>
          </cell>
          <cell r="R125">
            <v>1.3819999999999999</v>
          </cell>
          <cell r="S125">
            <v>1.39</v>
          </cell>
          <cell r="T125">
            <v>1.448</v>
          </cell>
          <cell r="U125">
            <v>1.3623000000000001</v>
          </cell>
          <cell r="V125">
            <v>1.492</v>
          </cell>
        </row>
        <row r="126">
          <cell r="P126">
            <v>1.42</v>
          </cell>
          <cell r="Q126">
            <v>1.3383</v>
          </cell>
          <cell r="R126">
            <v>1.3819999999999999</v>
          </cell>
          <cell r="S126">
            <v>1.39</v>
          </cell>
          <cell r="T126">
            <v>1.448</v>
          </cell>
          <cell r="U126">
            <v>1.3623000000000001</v>
          </cell>
          <cell r="V126">
            <v>1.492</v>
          </cell>
        </row>
        <row r="127">
          <cell r="P127">
            <v>1</v>
          </cell>
          <cell r="Q127">
            <v>1</v>
          </cell>
          <cell r="R127">
            <v>1</v>
          </cell>
          <cell r="S127">
            <v>1</v>
          </cell>
          <cell r="T127">
            <v>1</v>
          </cell>
          <cell r="U127">
            <v>1</v>
          </cell>
          <cell r="V127">
            <v>1</v>
          </cell>
        </row>
        <row r="128">
          <cell r="P128">
            <v>1</v>
          </cell>
          <cell r="Q128">
            <v>1</v>
          </cell>
          <cell r="R128">
            <v>1</v>
          </cell>
          <cell r="S128">
            <v>1</v>
          </cell>
          <cell r="T128">
            <v>1</v>
          </cell>
          <cell r="U128">
            <v>1</v>
          </cell>
          <cell r="V128">
            <v>1</v>
          </cell>
        </row>
        <row r="129">
          <cell r="P129">
            <v>1</v>
          </cell>
          <cell r="Q129">
            <v>1</v>
          </cell>
          <cell r="R129">
            <v>1</v>
          </cell>
          <cell r="S129">
            <v>1</v>
          </cell>
          <cell r="T129">
            <v>1</v>
          </cell>
          <cell r="U129">
            <v>1</v>
          </cell>
          <cell r="V129">
            <v>1</v>
          </cell>
        </row>
        <row r="130">
          <cell r="P130">
            <v>1</v>
          </cell>
          <cell r="Q130">
            <v>1</v>
          </cell>
          <cell r="R130">
            <v>1</v>
          </cell>
          <cell r="S130">
            <v>1</v>
          </cell>
          <cell r="T130">
            <v>1</v>
          </cell>
          <cell r="U130">
            <v>1</v>
          </cell>
          <cell r="V130">
            <v>1</v>
          </cell>
        </row>
        <row r="133">
          <cell r="P133">
            <v>1</v>
          </cell>
          <cell r="Q133">
            <v>1</v>
          </cell>
          <cell r="R133">
            <v>1</v>
          </cell>
          <cell r="S133">
            <v>1</v>
          </cell>
          <cell r="T133">
            <v>1</v>
          </cell>
          <cell r="U133">
            <v>1</v>
          </cell>
          <cell r="V133">
            <v>1</v>
          </cell>
        </row>
        <row r="134">
          <cell r="P134">
            <v>1.3979999999999999</v>
          </cell>
          <cell r="Q134">
            <v>1.242</v>
          </cell>
          <cell r="R134">
            <v>1.3759999999999999</v>
          </cell>
          <cell r="S134">
            <v>1.3762000000000001</v>
          </cell>
          <cell r="T134">
            <v>1.4282999999999999</v>
          </cell>
          <cell r="U134">
            <v>1.3654999999999999</v>
          </cell>
          <cell r="V134">
            <v>1.486</v>
          </cell>
        </row>
        <row r="135">
          <cell r="P135">
            <v>1.3979999999999999</v>
          </cell>
          <cell r="Q135">
            <v>1.242</v>
          </cell>
          <cell r="R135">
            <v>1.3759999999999999</v>
          </cell>
          <cell r="S135">
            <v>1.3762000000000001</v>
          </cell>
          <cell r="T135">
            <v>1.4282999999999999</v>
          </cell>
          <cell r="U135">
            <v>1.3654999999999999</v>
          </cell>
          <cell r="V135">
            <v>1.486</v>
          </cell>
        </row>
        <row r="136">
          <cell r="P136">
            <v>1</v>
          </cell>
          <cell r="Q136">
            <v>1</v>
          </cell>
          <cell r="R136">
            <v>1</v>
          </cell>
          <cell r="S136">
            <v>1</v>
          </cell>
          <cell r="T136">
            <v>1</v>
          </cell>
          <cell r="U136">
            <v>1</v>
          </cell>
          <cell r="V136">
            <v>1</v>
          </cell>
        </row>
        <row r="137">
          <cell r="P137">
            <v>1</v>
          </cell>
          <cell r="Q137">
            <v>1</v>
          </cell>
          <cell r="R137">
            <v>1</v>
          </cell>
          <cell r="S137">
            <v>1</v>
          </cell>
          <cell r="T137">
            <v>1</v>
          </cell>
          <cell r="U137">
            <v>1</v>
          </cell>
          <cell r="V137">
            <v>1</v>
          </cell>
        </row>
        <row r="138">
          <cell r="P138">
            <v>1</v>
          </cell>
          <cell r="Q138">
            <v>1</v>
          </cell>
          <cell r="R138">
            <v>1</v>
          </cell>
          <cell r="S138">
            <v>1</v>
          </cell>
          <cell r="T138">
            <v>1</v>
          </cell>
          <cell r="U138">
            <v>1</v>
          </cell>
          <cell r="V138">
            <v>1</v>
          </cell>
        </row>
        <row r="139">
          <cell r="P139">
            <v>1</v>
          </cell>
          <cell r="Q139">
            <v>1</v>
          </cell>
          <cell r="R139">
            <v>1</v>
          </cell>
          <cell r="S139">
            <v>1</v>
          </cell>
          <cell r="T139">
            <v>1</v>
          </cell>
          <cell r="U139">
            <v>1</v>
          </cell>
          <cell r="V139">
            <v>1</v>
          </cell>
        </row>
        <row r="142">
          <cell r="P142">
            <v>1</v>
          </cell>
          <cell r="Q142">
            <v>1</v>
          </cell>
          <cell r="R142">
            <v>1</v>
          </cell>
          <cell r="S142">
            <v>1</v>
          </cell>
          <cell r="T142">
            <v>1</v>
          </cell>
          <cell r="U142">
            <v>1</v>
          </cell>
          <cell r="V142">
            <v>1</v>
          </cell>
        </row>
        <row r="143">
          <cell r="P143">
            <v>1.3979999999999999</v>
          </cell>
          <cell r="Q143">
            <v>1.242</v>
          </cell>
          <cell r="R143">
            <v>1.3759999999999999</v>
          </cell>
          <cell r="S143">
            <v>1.3762000000000001</v>
          </cell>
          <cell r="T143">
            <v>1.4282999999999999</v>
          </cell>
          <cell r="U143">
            <v>1.3654999999999999</v>
          </cell>
          <cell r="V143">
            <v>1.486</v>
          </cell>
        </row>
        <row r="144">
          <cell r="P144">
            <v>1.3979999999999999</v>
          </cell>
          <cell r="Q144">
            <v>1.242</v>
          </cell>
          <cell r="R144">
            <v>1.3759999999999999</v>
          </cell>
          <cell r="S144">
            <v>1.3762000000000001</v>
          </cell>
          <cell r="T144">
            <v>1.4282999999999999</v>
          </cell>
          <cell r="U144">
            <v>1.3654999999999999</v>
          </cell>
          <cell r="V144">
            <v>1.486</v>
          </cell>
        </row>
        <row r="145">
          <cell r="P145">
            <v>1</v>
          </cell>
          <cell r="Q145">
            <v>1</v>
          </cell>
          <cell r="R145">
            <v>1</v>
          </cell>
          <cell r="S145">
            <v>1</v>
          </cell>
          <cell r="T145">
            <v>1</v>
          </cell>
          <cell r="U145">
            <v>1</v>
          </cell>
          <cell r="V145">
            <v>1</v>
          </cell>
        </row>
        <row r="146">
          <cell r="P146">
            <v>1</v>
          </cell>
          <cell r="Q146">
            <v>1</v>
          </cell>
          <cell r="R146">
            <v>1</v>
          </cell>
          <cell r="S146">
            <v>1</v>
          </cell>
          <cell r="T146">
            <v>1</v>
          </cell>
          <cell r="U146">
            <v>1</v>
          </cell>
          <cell r="V146">
            <v>1</v>
          </cell>
        </row>
        <row r="147">
          <cell r="P147">
            <v>1</v>
          </cell>
          <cell r="Q147">
            <v>1</v>
          </cell>
          <cell r="R147">
            <v>1</v>
          </cell>
          <cell r="S147">
            <v>1</v>
          </cell>
          <cell r="T147">
            <v>1</v>
          </cell>
          <cell r="U147">
            <v>1</v>
          </cell>
          <cell r="V147">
            <v>1</v>
          </cell>
        </row>
        <row r="148">
          <cell r="P148">
            <v>1</v>
          </cell>
          <cell r="Q148">
            <v>1</v>
          </cell>
          <cell r="R148">
            <v>1</v>
          </cell>
          <cell r="S148">
            <v>1</v>
          </cell>
          <cell r="T148">
            <v>1</v>
          </cell>
          <cell r="U148">
            <v>1</v>
          </cell>
          <cell r="V148">
            <v>1</v>
          </cell>
        </row>
      </sheetData>
      <sheetData sheetId="12" refreshError="1"/>
      <sheetData sheetId="13" refreshError="1"/>
      <sheetData sheetId="14" refreshError="1"/>
      <sheetData sheetId="1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Alt6 HMO HMO10 OA3 $15$35$60"/>
      <sheetName val="Non-Int HMOHRA1 POSHRA1 PPOHRA1"/>
      <sheetName val="HMOHSA1 POSHSA1 PPOHSA1"/>
      <sheetName val="HMOHRA1 POSHRA1 PPOHRA1"/>
      <sheetName val="Alt 5 HMO 80% OA 80% $15$35$60"/>
      <sheetName val="Alt4 HMO $500 OA $500 $15$35$60"/>
      <sheetName val="Alt3 HMO $250 OA $250 $15$35$60"/>
      <sheetName val="Alt2 HMO OA3 $15$35$60"/>
      <sheetName val="Alt 1 HMO OA3 $15$35$60"/>
      <sheetName val="Calculations"/>
      <sheetName val="Calculations (Non-Standard)"/>
      <sheetName val="POE Form"/>
      <sheetName val="Net.Prems"/>
      <sheetName val="Menus"/>
      <sheetName val="Change History"/>
      <sheetName val="POE Form (2)"/>
      <sheetName val="Product Adjustments"/>
    </sheetNames>
    <sheetDataSet>
      <sheetData sheetId="0">
        <row r="5">
          <cell r="B5">
            <v>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Exper"/>
      <sheetName val="Risk.Calc"/>
      <sheetName val="Single Form"/>
      <sheetName val="POE Form"/>
      <sheetName val="DentalNR"/>
      <sheetName val="GeoFact"/>
      <sheetName val="AgeFacs"/>
      <sheetName val="SIC"/>
      <sheetName val="Net.Prems"/>
      <sheetName val="Prem.Calc"/>
      <sheetName val="DLR.51-199"/>
      <sheetName val="DLR.200+"/>
      <sheetName val="Menus"/>
      <sheetName val="SI_UW.Input"/>
      <sheetName val="SI_Factors @ 100%"/>
      <sheetName val="SI_Mature.Factors"/>
      <sheetName val="SI_1st.Yr"/>
      <sheetName val="SI_Assumptions"/>
      <sheetName val="Change History"/>
    </sheetNames>
    <sheetDataSet>
      <sheetData sheetId="0" refreshError="1">
        <row r="13">
          <cell r="D13">
            <v>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Exper"/>
      <sheetName val="Risk.Calc"/>
      <sheetName val="Menus"/>
      <sheetName val="Single Form"/>
      <sheetName val="POE Form"/>
      <sheetName val="DentalNR"/>
      <sheetName val="GeoFact"/>
      <sheetName val="AgeFacs"/>
      <sheetName val="SIC"/>
      <sheetName val="Net.Prems"/>
      <sheetName val="DLR.51-199"/>
      <sheetName val="DLR.200+"/>
      <sheetName val="Prem.Calc"/>
      <sheetName val="SI_UW.Input"/>
      <sheetName val="SI_Calcs"/>
      <sheetName val="SI_Factors @ 100%"/>
      <sheetName val="SI_Mature.Factors"/>
      <sheetName val="SI_1st.Yr"/>
      <sheetName val="SI_Assumptions"/>
      <sheetName val="Change History"/>
    </sheetNames>
    <sheetDataSet>
      <sheetData sheetId="0" refreshError="1">
        <row r="13">
          <cell r="D1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unbill"/>
      <sheetName val="par"/>
      <sheetName val="cobra-aso"/>
      <sheetName val="cobra-sl"/>
      <sheetName val="upload"/>
      <sheetName val="nar-aso"/>
      <sheetName val="nar-sl"/>
      <sheetName val="adj-aso"/>
      <sheetName val="adj-sl"/>
      <sheetName val="prmoadj-aso"/>
      <sheetName val="prmoadj-sl"/>
      <sheetName val="totaso-aso"/>
      <sheetName val="totaso-sl"/>
    </sheetNames>
    <sheetDataSet>
      <sheetData sheetId="0" refreshError="1"/>
      <sheetData sheetId="1" refreshError="1"/>
      <sheetData sheetId="2" refreshError="1"/>
      <sheetData sheetId="3" refreshError="1"/>
      <sheetData sheetId="4" refreshError="1">
        <row r="3">
          <cell r="A3" t="str">
            <v>0094</v>
          </cell>
          <cell r="B3" t="str">
            <v>Giant Food, Inc.</v>
          </cell>
          <cell r="C3" t="str">
            <v>P</v>
          </cell>
          <cell r="D3" t="str">
            <v>C+R</v>
          </cell>
          <cell r="E3" t="str">
            <v>Loc</v>
          </cell>
          <cell r="F3" t="str">
            <v>1</v>
          </cell>
          <cell r="G3" t="str">
            <v>ASO</v>
          </cell>
          <cell r="H3" t="str">
            <v>ASO with Spec</v>
          </cell>
          <cell r="I3" t="str">
            <v>B1711GFR</v>
          </cell>
          <cell r="J3" t="str">
            <v>0212</v>
          </cell>
          <cell r="K3">
            <v>883768.07</v>
          </cell>
          <cell r="L3">
            <v>0</v>
          </cell>
          <cell r="M3">
            <v>11093.18</v>
          </cell>
          <cell r="N3">
            <v>9227.01</v>
          </cell>
          <cell r="O3">
            <v>0</v>
          </cell>
          <cell r="P3">
            <v>904088.26</v>
          </cell>
          <cell r="Q3">
            <v>11141.41</v>
          </cell>
          <cell r="R3">
            <v>0</v>
          </cell>
          <cell r="S3">
            <v>11141.41</v>
          </cell>
          <cell r="T3">
            <v>87155.17</v>
          </cell>
          <cell r="U3">
            <v>9658.36</v>
          </cell>
          <cell r="V3">
            <v>0</v>
          </cell>
          <cell r="W3">
            <v>0</v>
          </cell>
          <cell r="X3">
            <v>96813.53</v>
          </cell>
          <cell r="Y3">
            <v>0</v>
          </cell>
          <cell r="Z3">
            <v>2748.13</v>
          </cell>
          <cell r="AA3">
            <v>232.04</v>
          </cell>
          <cell r="AB3">
            <v>0</v>
          </cell>
          <cell r="AC3">
            <v>99793.7</v>
          </cell>
          <cell r="AD3">
            <v>110935.11</v>
          </cell>
          <cell r="AE3" t="str">
            <v/>
          </cell>
          <cell r="AF3" t="str">
            <v/>
          </cell>
          <cell r="AG3">
            <v>1015023.37</v>
          </cell>
          <cell r="AH3" t="str">
            <v>05</v>
          </cell>
          <cell r="AI3" t="str">
            <v>0211</v>
          </cell>
          <cell r="AJ3">
            <v>2.78</v>
          </cell>
          <cell r="AK3">
            <v>0</v>
          </cell>
          <cell r="AL3">
            <v>0</v>
          </cell>
          <cell r="AM3">
            <v>0</v>
          </cell>
          <cell r="AN3">
            <v>0</v>
          </cell>
          <cell r="AO3">
            <v>2.78</v>
          </cell>
          <cell r="AP3">
            <v>0</v>
          </cell>
          <cell r="AQ3">
            <v>0</v>
          </cell>
          <cell r="AR3">
            <v>0</v>
          </cell>
          <cell r="AS3">
            <v>0</v>
          </cell>
          <cell r="AT3">
            <v>0</v>
          </cell>
          <cell r="AU3">
            <v>0</v>
          </cell>
          <cell r="AV3">
            <v>0.01</v>
          </cell>
          <cell r="AW3">
            <v>0</v>
          </cell>
          <cell r="AX3">
            <v>0.01</v>
          </cell>
          <cell r="AY3">
            <v>0.01</v>
          </cell>
          <cell r="AZ3" t="str">
            <v/>
          </cell>
          <cell r="BA3" t="str">
            <v/>
          </cell>
          <cell r="BB3">
            <v>2.79</v>
          </cell>
        </row>
        <row r="4">
          <cell r="A4" t="str">
            <v>0F12</v>
          </cell>
          <cell r="B4" t="str">
            <v>Pan American Health Organization</v>
          </cell>
          <cell r="C4" t="str">
            <v>P</v>
          </cell>
          <cell r="D4" t="str">
            <v>C+R</v>
          </cell>
          <cell r="E4" t="str">
            <v>Loc</v>
          </cell>
          <cell r="F4" t="str">
            <v>2</v>
          </cell>
          <cell r="G4" t="str">
            <v>ASO</v>
          </cell>
          <cell r="H4" t="str">
            <v>ASO w/o  Spec</v>
          </cell>
          <cell r="I4" t="str">
            <v>B3721ZZR</v>
          </cell>
          <cell r="J4" t="str">
            <v>0212</v>
          </cell>
          <cell r="K4">
            <v>524645.38</v>
          </cell>
          <cell r="L4">
            <v>0</v>
          </cell>
          <cell r="M4">
            <v>8392.2099999999991</v>
          </cell>
          <cell r="N4">
            <v>0</v>
          </cell>
          <cell r="O4">
            <v>0</v>
          </cell>
          <cell r="P4">
            <v>533037.59</v>
          </cell>
          <cell r="Q4">
            <v>0</v>
          </cell>
          <cell r="R4">
            <v>0</v>
          </cell>
          <cell r="S4">
            <v>0</v>
          </cell>
          <cell r="T4">
            <v>48523.65</v>
          </cell>
          <cell r="U4">
            <v>6183.67</v>
          </cell>
          <cell r="V4">
            <v>0</v>
          </cell>
          <cell r="W4">
            <v>0</v>
          </cell>
          <cell r="X4">
            <v>54707.32</v>
          </cell>
          <cell r="Y4">
            <v>0</v>
          </cell>
          <cell r="Z4">
            <v>0</v>
          </cell>
          <cell r="AA4">
            <v>-215.87</v>
          </cell>
          <cell r="AB4">
            <v>0</v>
          </cell>
          <cell r="AC4">
            <v>54491.45</v>
          </cell>
          <cell r="AD4">
            <v>54491.45</v>
          </cell>
          <cell r="AE4" t="str">
            <v/>
          </cell>
          <cell r="AF4" t="str">
            <v/>
          </cell>
          <cell r="AG4">
            <v>587529.04</v>
          </cell>
          <cell r="AH4" t="str">
            <v>12</v>
          </cell>
          <cell r="AI4" t="str">
            <v>0211</v>
          </cell>
          <cell r="AJ4">
            <v>908.1</v>
          </cell>
          <cell r="AK4">
            <v>0</v>
          </cell>
          <cell r="AL4">
            <v>0</v>
          </cell>
          <cell r="AM4">
            <v>0</v>
          </cell>
          <cell r="AN4">
            <v>0</v>
          </cell>
          <cell r="AO4">
            <v>908.1</v>
          </cell>
          <cell r="AP4">
            <v>0</v>
          </cell>
          <cell r="AQ4">
            <v>0</v>
          </cell>
          <cell r="AR4">
            <v>0</v>
          </cell>
          <cell r="AS4">
            <v>0</v>
          </cell>
          <cell r="AT4">
            <v>0</v>
          </cell>
          <cell r="AU4">
            <v>0</v>
          </cell>
          <cell r="AV4">
            <v>-294.42</v>
          </cell>
          <cell r="AW4">
            <v>0</v>
          </cell>
          <cell r="AX4">
            <v>-294.42</v>
          </cell>
          <cell r="AY4">
            <v>-294.42</v>
          </cell>
          <cell r="AZ4" t="str">
            <v/>
          </cell>
          <cell r="BA4" t="str">
            <v/>
          </cell>
          <cell r="BB4">
            <v>613.67999999999995</v>
          </cell>
        </row>
        <row r="5">
          <cell r="A5" t="str">
            <v>0F15</v>
          </cell>
          <cell r="B5" t="str">
            <v>National Academy of Sciences</v>
          </cell>
          <cell r="C5" t="str">
            <v>P</v>
          </cell>
          <cell r="D5" t="str">
            <v>Rate</v>
          </cell>
          <cell r="E5" t="str">
            <v>Loc</v>
          </cell>
          <cell r="F5" t="str">
            <v>5</v>
          </cell>
          <cell r="G5" t="str">
            <v>INSU</v>
          </cell>
          <cell r="H5" t="str">
            <v>Insured with Sp</v>
          </cell>
          <cell r="I5" t="str">
            <v>B3752ZZZ</v>
          </cell>
          <cell r="J5" t="str">
            <v>0212</v>
          </cell>
          <cell r="K5">
            <v>310798.2</v>
          </cell>
          <cell r="L5">
            <v>11913.89</v>
          </cell>
          <cell r="M5">
            <v>414.82</v>
          </cell>
          <cell r="N5">
            <v>2040.6</v>
          </cell>
          <cell r="O5">
            <v>0</v>
          </cell>
          <cell r="P5">
            <v>301339.73</v>
          </cell>
          <cell r="Q5">
            <v>11069.86</v>
          </cell>
          <cell r="R5">
            <v>10997.63</v>
          </cell>
          <cell r="S5">
            <v>22067.49</v>
          </cell>
          <cell r="T5">
            <v>49082.37</v>
          </cell>
          <cell r="U5">
            <v>3045.52</v>
          </cell>
          <cell r="V5">
            <v>-2160.19</v>
          </cell>
          <cell r="W5">
            <v>13102.8</v>
          </cell>
          <cell r="X5">
            <v>63070.5</v>
          </cell>
          <cell r="Y5">
            <v>0</v>
          </cell>
          <cell r="Z5">
            <v>905.41</v>
          </cell>
          <cell r="AA5">
            <v>0</v>
          </cell>
          <cell r="AB5">
            <v>0</v>
          </cell>
          <cell r="AC5">
            <v>63975.91</v>
          </cell>
          <cell r="AD5">
            <v>86043.4</v>
          </cell>
          <cell r="AE5" t="str">
            <v/>
          </cell>
          <cell r="AF5" t="str">
            <v/>
          </cell>
          <cell r="AG5">
            <v>387383.13</v>
          </cell>
          <cell r="AH5" t="str">
            <v>01</v>
          </cell>
          <cell r="AI5" t="str">
            <v>0211</v>
          </cell>
          <cell r="AJ5">
            <v>1.51</v>
          </cell>
          <cell r="AK5">
            <v>0</v>
          </cell>
          <cell r="AL5">
            <v>0</v>
          </cell>
          <cell r="AM5">
            <v>0</v>
          </cell>
          <cell r="AN5">
            <v>0</v>
          </cell>
          <cell r="AO5">
            <v>1.51</v>
          </cell>
          <cell r="AP5">
            <v>0</v>
          </cell>
          <cell r="AQ5">
            <v>0</v>
          </cell>
          <cell r="AR5">
            <v>0</v>
          </cell>
          <cell r="AS5">
            <v>0</v>
          </cell>
          <cell r="AT5">
            <v>0</v>
          </cell>
          <cell r="AU5">
            <v>0</v>
          </cell>
          <cell r="AV5">
            <v>0</v>
          </cell>
          <cell r="AW5">
            <v>0</v>
          </cell>
          <cell r="AX5">
            <v>0</v>
          </cell>
          <cell r="AY5">
            <v>0</v>
          </cell>
          <cell r="AZ5" t="str">
            <v/>
          </cell>
          <cell r="BA5" t="str">
            <v/>
          </cell>
          <cell r="BB5">
            <v>1.51</v>
          </cell>
        </row>
        <row r="6">
          <cell r="A6" t="str">
            <v>0F19</v>
          </cell>
          <cell r="B6" t="str">
            <v>American Nurses Association</v>
          </cell>
          <cell r="C6" t="str">
            <v>P</v>
          </cell>
          <cell r="D6" t="str">
            <v>C+R</v>
          </cell>
          <cell r="E6" t="str">
            <v>Loc</v>
          </cell>
          <cell r="F6" t="str">
            <v>3</v>
          </cell>
          <cell r="G6" t="str">
            <v>STPL</v>
          </cell>
          <cell r="H6" t="str">
            <v>Agg.STP with Sp</v>
          </cell>
          <cell r="I6" t="str">
            <v>B3732ZZR</v>
          </cell>
          <cell r="J6" t="str">
            <v>0212</v>
          </cell>
          <cell r="K6">
            <v>49305.57</v>
          </cell>
          <cell r="L6">
            <v>0</v>
          </cell>
          <cell r="M6">
            <v>393.55</v>
          </cell>
          <cell r="N6">
            <v>392.92</v>
          </cell>
          <cell r="O6">
            <v>0</v>
          </cell>
          <cell r="P6">
            <v>50092.04</v>
          </cell>
          <cell r="Q6">
            <v>5811.75</v>
          </cell>
          <cell r="R6">
            <v>904.6</v>
          </cell>
          <cell r="S6">
            <v>6716.35</v>
          </cell>
          <cell r="T6">
            <v>8611.18</v>
          </cell>
          <cell r="U6">
            <v>953.41</v>
          </cell>
          <cell r="V6">
            <v>0</v>
          </cell>
          <cell r="W6">
            <v>2288.1799999999998</v>
          </cell>
          <cell r="X6">
            <v>11852.77</v>
          </cell>
          <cell r="Y6">
            <v>0</v>
          </cell>
          <cell r="Z6">
            <v>151.06</v>
          </cell>
          <cell r="AA6">
            <v>0</v>
          </cell>
          <cell r="AB6">
            <v>0</v>
          </cell>
          <cell r="AC6">
            <v>12003.83</v>
          </cell>
          <cell r="AD6">
            <v>18720.18</v>
          </cell>
          <cell r="AE6" t="str">
            <v/>
          </cell>
          <cell r="AF6" t="str">
            <v/>
          </cell>
          <cell r="AG6">
            <v>68812.22</v>
          </cell>
          <cell r="AH6" t="str">
            <v>04</v>
          </cell>
          <cell r="AI6" t="str">
            <v>0211</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t="str">
            <v/>
          </cell>
          <cell r="BA6" t="str">
            <v/>
          </cell>
          <cell r="BB6">
            <v>0</v>
          </cell>
        </row>
        <row r="7">
          <cell r="A7" t="str">
            <v>0F27</v>
          </cell>
          <cell r="B7" t="str">
            <v>Prince George's County Public Schools</v>
          </cell>
          <cell r="C7" t="str">
            <v>P</v>
          </cell>
          <cell r="D7" t="str">
            <v>C+R</v>
          </cell>
          <cell r="E7" t="str">
            <v>Loc</v>
          </cell>
          <cell r="F7" t="str">
            <v>2</v>
          </cell>
          <cell r="G7" t="str">
            <v>ASO</v>
          </cell>
          <cell r="H7" t="str">
            <v>ASO w/o  Spec</v>
          </cell>
          <cell r="I7" t="str">
            <v>B3722PSR</v>
          </cell>
          <cell r="J7" t="str">
            <v>0212</v>
          </cell>
          <cell r="K7">
            <v>6332243.1100000003</v>
          </cell>
          <cell r="L7">
            <v>0</v>
          </cell>
          <cell r="M7">
            <v>22016.22</v>
          </cell>
          <cell r="N7">
            <v>45506.06</v>
          </cell>
          <cell r="O7">
            <v>0</v>
          </cell>
          <cell r="P7">
            <v>6399765.3899999997</v>
          </cell>
          <cell r="Q7">
            <v>0</v>
          </cell>
          <cell r="R7">
            <v>0</v>
          </cell>
          <cell r="S7">
            <v>0</v>
          </cell>
          <cell r="T7">
            <v>430922.71</v>
          </cell>
          <cell r="U7">
            <v>47496.49</v>
          </cell>
          <cell r="V7">
            <v>0</v>
          </cell>
          <cell r="W7">
            <v>0</v>
          </cell>
          <cell r="X7">
            <v>478419.20000000001</v>
          </cell>
          <cell r="Y7">
            <v>0</v>
          </cell>
          <cell r="Z7">
            <v>0</v>
          </cell>
          <cell r="AA7">
            <v>0</v>
          </cell>
          <cell r="AB7">
            <v>0</v>
          </cell>
          <cell r="AC7">
            <v>478419.20000000001</v>
          </cell>
          <cell r="AD7">
            <v>478419.20000000001</v>
          </cell>
          <cell r="AE7" t="str">
            <v/>
          </cell>
          <cell r="AF7" t="str">
            <v/>
          </cell>
          <cell r="AG7">
            <v>6878184.5899999999</v>
          </cell>
          <cell r="AH7" t="str">
            <v>10</v>
          </cell>
          <cell r="AI7" t="str">
            <v>0211</v>
          </cell>
          <cell r="AJ7">
            <v>102.62</v>
          </cell>
          <cell r="AK7">
            <v>0</v>
          </cell>
          <cell r="AL7">
            <v>0</v>
          </cell>
          <cell r="AM7">
            <v>0</v>
          </cell>
          <cell r="AN7">
            <v>0</v>
          </cell>
          <cell r="AO7">
            <v>102.62</v>
          </cell>
          <cell r="AP7">
            <v>0</v>
          </cell>
          <cell r="AQ7">
            <v>0</v>
          </cell>
          <cell r="AR7">
            <v>0</v>
          </cell>
          <cell r="AS7">
            <v>0</v>
          </cell>
          <cell r="AT7">
            <v>0</v>
          </cell>
          <cell r="AU7">
            <v>0</v>
          </cell>
          <cell r="AV7">
            <v>0</v>
          </cell>
          <cell r="AW7">
            <v>0</v>
          </cell>
          <cell r="AX7">
            <v>0</v>
          </cell>
          <cell r="AY7">
            <v>0</v>
          </cell>
          <cell r="AZ7" t="str">
            <v/>
          </cell>
          <cell r="BA7" t="str">
            <v/>
          </cell>
          <cell r="BB7">
            <v>102.62</v>
          </cell>
        </row>
        <row r="8">
          <cell r="A8" t="str">
            <v>0Y02</v>
          </cell>
          <cell r="B8" t="str">
            <v>Sheet Metal Workers Assocation</v>
          </cell>
          <cell r="C8" t="str">
            <v>P</v>
          </cell>
          <cell r="D8" t="str">
            <v>Rate</v>
          </cell>
          <cell r="E8" t="str">
            <v>Loc</v>
          </cell>
          <cell r="F8" t="str">
            <v>3</v>
          </cell>
          <cell r="G8" t="str">
            <v>STPL</v>
          </cell>
          <cell r="H8" t="str">
            <v>Agg.STP with Sp</v>
          </cell>
          <cell r="I8" t="str">
            <v>B3735ZZZ</v>
          </cell>
          <cell r="J8" t="str">
            <v>0212</v>
          </cell>
          <cell r="K8">
            <v>219864.01</v>
          </cell>
          <cell r="L8">
            <v>0</v>
          </cell>
          <cell r="M8">
            <v>3362.55</v>
          </cell>
          <cell r="N8">
            <v>0</v>
          </cell>
          <cell r="O8">
            <v>30983.57</v>
          </cell>
          <cell r="P8">
            <v>254210.13</v>
          </cell>
          <cell r="Q8">
            <v>6881.29</v>
          </cell>
          <cell r="R8">
            <v>10287.75</v>
          </cell>
          <cell r="S8">
            <v>17169.04</v>
          </cell>
          <cell r="T8">
            <v>18365.2</v>
          </cell>
          <cell r="U8">
            <v>2588.11</v>
          </cell>
          <cell r="V8">
            <v>-1076.6500000000001</v>
          </cell>
          <cell r="W8">
            <v>0</v>
          </cell>
          <cell r="X8">
            <v>19876.66</v>
          </cell>
          <cell r="Y8">
            <v>0</v>
          </cell>
          <cell r="Z8">
            <v>808.92</v>
          </cell>
          <cell r="AA8">
            <v>0</v>
          </cell>
          <cell r="AB8">
            <v>0</v>
          </cell>
          <cell r="AC8">
            <v>20685.580000000002</v>
          </cell>
          <cell r="AD8">
            <v>37854.620000000003</v>
          </cell>
          <cell r="AE8" t="str">
            <v/>
          </cell>
          <cell r="AF8" t="str">
            <v/>
          </cell>
          <cell r="AG8">
            <v>292064.75</v>
          </cell>
          <cell r="AH8" t="str">
            <v>01</v>
          </cell>
          <cell r="AI8" t="str">
            <v>0211</v>
          </cell>
          <cell r="AJ8">
            <v>210.63</v>
          </cell>
          <cell r="AK8">
            <v>0</v>
          </cell>
          <cell r="AL8">
            <v>0</v>
          </cell>
          <cell r="AM8">
            <v>0</v>
          </cell>
          <cell r="AN8">
            <v>-210.63</v>
          </cell>
          <cell r="AO8">
            <v>0</v>
          </cell>
          <cell r="AP8">
            <v>0</v>
          </cell>
          <cell r="AQ8">
            <v>0</v>
          </cell>
          <cell r="AR8">
            <v>0</v>
          </cell>
          <cell r="AS8">
            <v>0</v>
          </cell>
          <cell r="AT8">
            <v>0</v>
          </cell>
          <cell r="AU8">
            <v>0</v>
          </cell>
          <cell r="AV8">
            <v>0</v>
          </cell>
          <cell r="AW8">
            <v>0</v>
          </cell>
          <cell r="AX8">
            <v>0</v>
          </cell>
          <cell r="AY8">
            <v>0</v>
          </cell>
          <cell r="AZ8" t="str">
            <v/>
          </cell>
          <cell r="BA8" t="str">
            <v/>
          </cell>
          <cell r="BB8">
            <v>0</v>
          </cell>
        </row>
        <row r="9">
          <cell r="A9" t="str">
            <v>0Y08</v>
          </cell>
          <cell r="B9" t="str">
            <v>Medlantic Healthcare</v>
          </cell>
          <cell r="C9" t="str">
            <v>P</v>
          </cell>
          <cell r="D9" t="str">
            <v>C+R</v>
          </cell>
          <cell r="E9" t="str">
            <v>Loc</v>
          </cell>
          <cell r="F9" t="str">
            <v>3</v>
          </cell>
          <cell r="G9" t="str">
            <v>STPL</v>
          </cell>
          <cell r="H9" t="str">
            <v>Agg.STP with Sp</v>
          </cell>
          <cell r="I9" t="str">
            <v>B3732ZZR</v>
          </cell>
          <cell r="J9" t="str">
            <v>0212</v>
          </cell>
          <cell r="K9">
            <v>1728791.42</v>
          </cell>
          <cell r="L9">
            <v>39588.69</v>
          </cell>
          <cell r="M9">
            <v>2407.3200000000002</v>
          </cell>
          <cell r="N9">
            <v>14638.36</v>
          </cell>
          <cell r="O9">
            <v>0</v>
          </cell>
          <cell r="P9">
            <v>1706248.41</v>
          </cell>
          <cell r="Q9">
            <v>25944.3</v>
          </cell>
          <cell r="R9">
            <v>34103.26</v>
          </cell>
          <cell r="S9">
            <v>60047.56</v>
          </cell>
          <cell r="T9">
            <v>188962.23</v>
          </cell>
          <cell r="U9">
            <v>16511.259999999998</v>
          </cell>
          <cell r="V9">
            <v>0</v>
          </cell>
          <cell r="W9">
            <v>0</v>
          </cell>
          <cell r="X9">
            <v>205473.49</v>
          </cell>
          <cell r="Y9">
            <v>0</v>
          </cell>
          <cell r="Z9">
            <v>5603.78</v>
          </cell>
          <cell r="AA9">
            <v>0</v>
          </cell>
          <cell r="AB9">
            <v>0</v>
          </cell>
          <cell r="AC9">
            <v>211077.27</v>
          </cell>
          <cell r="AD9">
            <v>271124.83</v>
          </cell>
          <cell r="AE9" t="str">
            <v/>
          </cell>
          <cell r="AF9" t="str">
            <v/>
          </cell>
          <cell r="AG9">
            <v>1977373.24</v>
          </cell>
          <cell r="AH9" t="str">
            <v>01</v>
          </cell>
          <cell r="AI9" t="str">
            <v>0211</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t="str">
            <v/>
          </cell>
          <cell r="BA9" t="str">
            <v/>
          </cell>
          <cell r="BB9">
            <v>0</v>
          </cell>
        </row>
        <row r="10">
          <cell r="A10" t="str">
            <v>0Y10</v>
          </cell>
          <cell r="B10" t="str">
            <v>The American University</v>
          </cell>
          <cell r="C10" t="str">
            <v>P</v>
          </cell>
          <cell r="D10" t="str">
            <v>C+R</v>
          </cell>
          <cell r="E10" t="str">
            <v>Loc</v>
          </cell>
          <cell r="F10" t="str">
            <v>1</v>
          </cell>
          <cell r="G10" t="str">
            <v>ASO</v>
          </cell>
          <cell r="H10" t="str">
            <v>ASO with Spec</v>
          </cell>
          <cell r="I10" t="str">
            <v>B3712ZZR</v>
          </cell>
          <cell r="J10" t="str">
            <v>0212</v>
          </cell>
          <cell r="K10">
            <v>450334.41</v>
          </cell>
          <cell r="L10">
            <v>0</v>
          </cell>
          <cell r="M10">
            <v>1511.88</v>
          </cell>
          <cell r="N10">
            <v>2672.16</v>
          </cell>
          <cell r="O10">
            <v>0</v>
          </cell>
          <cell r="P10">
            <v>454518.45</v>
          </cell>
          <cell r="Q10">
            <v>12985.84</v>
          </cell>
          <cell r="R10">
            <v>0</v>
          </cell>
          <cell r="S10">
            <v>12985.84</v>
          </cell>
          <cell r="T10">
            <v>43925.77</v>
          </cell>
          <cell r="U10">
            <v>2429.52</v>
          </cell>
          <cell r="V10">
            <v>0</v>
          </cell>
          <cell r="W10">
            <v>0</v>
          </cell>
          <cell r="X10">
            <v>46355.29</v>
          </cell>
          <cell r="Y10">
            <v>0</v>
          </cell>
          <cell r="Z10">
            <v>1091.45</v>
          </cell>
          <cell r="AA10">
            <v>0</v>
          </cell>
          <cell r="AB10">
            <v>0</v>
          </cell>
          <cell r="AC10">
            <v>47446.74</v>
          </cell>
          <cell r="AD10">
            <v>60432.58</v>
          </cell>
          <cell r="AE10" t="str">
            <v/>
          </cell>
          <cell r="AF10" t="str">
            <v/>
          </cell>
          <cell r="AG10">
            <v>514951.03</v>
          </cell>
          <cell r="AH10" t="str">
            <v>01</v>
          </cell>
          <cell r="AI10" t="str">
            <v>0211</v>
          </cell>
          <cell r="AJ10">
            <v>20.03</v>
          </cell>
          <cell r="AK10">
            <v>0</v>
          </cell>
          <cell r="AL10">
            <v>0</v>
          </cell>
          <cell r="AM10">
            <v>0</v>
          </cell>
          <cell r="AN10">
            <v>0</v>
          </cell>
          <cell r="AO10">
            <v>20.03</v>
          </cell>
          <cell r="AP10">
            <v>0</v>
          </cell>
          <cell r="AQ10">
            <v>0</v>
          </cell>
          <cell r="AR10">
            <v>0</v>
          </cell>
          <cell r="AS10">
            <v>0</v>
          </cell>
          <cell r="AT10">
            <v>0</v>
          </cell>
          <cell r="AU10">
            <v>0</v>
          </cell>
          <cell r="AV10">
            <v>0</v>
          </cell>
          <cell r="AW10">
            <v>0</v>
          </cell>
          <cell r="AX10">
            <v>0</v>
          </cell>
          <cell r="AY10">
            <v>0</v>
          </cell>
          <cell r="AZ10" t="str">
            <v/>
          </cell>
          <cell r="BA10" t="str">
            <v/>
          </cell>
          <cell r="BB10">
            <v>20.03</v>
          </cell>
        </row>
        <row r="11">
          <cell r="A11" t="str">
            <v>1A20</v>
          </cell>
          <cell r="B11" t="str">
            <v>Chevy Chase Bank, F.S.B.</v>
          </cell>
          <cell r="C11" t="str">
            <v>P</v>
          </cell>
          <cell r="D11" t="str">
            <v>C+R</v>
          </cell>
          <cell r="E11" t="str">
            <v>Loc</v>
          </cell>
          <cell r="F11" t="str">
            <v>1</v>
          </cell>
          <cell r="G11" t="str">
            <v>ASO</v>
          </cell>
          <cell r="H11" t="str">
            <v>ASO with Spec</v>
          </cell>
          <cell r="I11" t="str">
            <v>B3712ZZR</v>
          </cell>
          <cell r="J11" t="str">
            <v>0212</v>
          </cell>
          <cell r="K11">
            <v>893280.96</v>
          </cell>
          <cell r="L11">
            <v>0</v>
          </cell>
          <cell r="M11">
            <v>6253.7</v>
          </cell>
          <cell r="N11">
            <v>6799.72</v>
          </cell>
          <cell r="O11">
            <v>0</v>
          </cell>
          <cell r="P11">
            <v>906334.38</v>
          </cell>
          <cell r="Q11">
            <v>10271.5</v>
          </cell>
          <cell r="R11">
            <v>0</v>
          </cell>
          <cell r="S11">
            <v>10271.5</v>
          </cell>
          <cell r="T11">
            <v>83543.259999999995</v>
          </cell>
          <cell r="U11">
            <v>9245.89</v>
          </cell>
          <cell r="V11">
            <v>0</v>
          </cell>
          <cell r="W11">
            <v>0</v>
          </cell>
          <cell r="X11">
            <v>92789.15</v>
          </cell>
          <cell r="Y11">
            <v>0</v>
          </cell>
          <cell r="Z11">
            <v>2766.4</v>
          </cell>
          <cell r="AA11">
            <v>0</v>
          </cell>
          <cell r="AB11">
            <v>0</v>
          </cell>
          <cell r="AC11">
            <v>95555.55</v>
          </cell>
          <cell r="AD11">
            <v>105827.05</v>
          </cell>
          <cell r="AE11" t="str">
            <v/>
          </cell>
          <cell r="AF11" t="str">
            <v/>
          </cell>
          <cell r="AG11">
            <v>1012161.43</v>
          </cell>
          <cell r="AH11" t="str">
            <v>04</v>
          </cell>
          <cell r="AI11" t="str">
            <v>0211</v>
          </cell>
          <cell r="AJ11">
            <v>8.66</v>
          </cell>
          <cell r="AK11">
            <v>0</v>
          </cell>
          <cell r="AL11">
            <v>0</v>
          </cell>
          <cell r="AM11">
            <v>0</v>
          </cell>
          <cell r="AN11">
            <v>0</v>
          </cell>
          <cell r="AO11">
            <v>8.66</v>
          </cell>
          <cell r="AP11">
            <v>0</v>
          </cell>
          <cell r="AQ11">
            <v>0</v>
          </cell>
          <cell r="AR11">
            <v>0</v>
          </cell>
          <cell r="AS11">
            <v>0</v>
          </cell>
          <cell r="AT11">
            <v>0</v>
          </cell>
          <cell r="AU11">
            <v>0</v>
          </cell>
          <cell r="AV11">
            <v>0</v>
          </cell>
          <cell r="AW11">
            <v>0</v>
          </cell>
          <cell r="AX11">
            <v>0</v>
          </cell>
          <cell r="AY11">
            <v>0</v>
          </cell>
          <cell r="AZ11" t="str">
            <v/>
          </cell>
          <cell r="BA11" t="str">
            <v/>
          </cell>
          <cell r="BB11">
            <v>8.66</v>
          </cell>
        </row>
        <row r="12">
          <cell r="A12" t="str">
            <v>3499</v>
          </cell>
          <cell r="B12" t="str">
            <v>American Federation of Teachers</v>
          </cell>
          <cell r="C12" t="str">
            <v>P</v>
          </cell>
          <cell r="D12" t="str">
            <v>C+R</v>
          </cell>
          <cell r="E12" t="str">
            <v>Loc</v>
          </cell>
          <cell r="F12" t="str">
            <v>1</v>
          </cell>
          <cell r="G12" t="str">
            <v>ASO</v>
          </cell>
          <cell r="H12" t="str">
            <v>ASO with Spec</v>
          </cell>
          <cell r="I12" t="str">
            <v>B3711ZZR</v>
          </cell>
          <cell r="J12" t="str">
            <v>0212</v>
          </cell>
          <cell r="K12">
            <v>184682.81</v>
          </cell>
          <cell r="L12">
            <v>0</v>
          </cell>
          <cell r="M12">
            <v>1034.53</v>
          </cell>
          <cell r="N12">
            <v>0</v>
          </cell>
          <cell r="O12">
            <v>0</v>
          </cell>
          <cell r="P12">
            <v>185717.34</v>
          </cell>
          <cell r="Q12">
            <v>7643.13</v>
          </cell>
          <cell r="R12">
            <v>0</v>
          </cell>
          <cell r="S12">
            <v>7643.13</v>
          </cell>
          <cell r="T12">
            <v>16702.060000000001</v>
          </cell>
          <cell r="U12">
            <v>1850.95</v>
          </cell>
          <cell r="V12">
            <v>0</v>
          </cell>
          <cell r="W12">
            <v>1894.5</v>
          </cell>
          <cell r="X12">
            <v>20447.509999999998</v>
          </cell>
          <cell r="Y12">
            <v>0</v>
          </cell>
          <cell r="Z12">
            <v>0</v>
          </cell>
          <cell r="AA12">
            <v>0</v>
          </cell>
          <cell r="AB12">
            <v>0</v>
          </cell>
          <cell r="AC12">
            <v>20447.509999999998</v>
          </cell>
          <cell r="AD12">
            <v>28090.639999999999</v>
          </cell>
          <cell r="AE12" t="str">
            <v/>
          </cell>
          <cell r="AF12" t="str">
            <v/>
          </cell>
          <cell r="AG12">
            <v>213807.98</v>
          </cell>
          <cell r="AH12" t="str">
            <v>10</v>
          </cell>
          <cell r="AI12" t="str">
            <v>0211</v>
          </cell>
          <cell r="AJ12">
            <v>15.02</v>
          </cell>
          <cell r="AK12">
            <v>0</v>
          </cell>
          <cell r="AL12">
            <v>0</v>
          </cell>
          <cell r="AM12">
            <v>0</v>
          </cell>
          <cell r="AN12">
            <v>0</v>
          </cell>
          <cell r="AO12">
            <v>15.02</v>
          </cell>
          <cell r="AP12">
            <v>0</v>
          </cell>
          <cell r="AQ12">
            <v>0</v>
          </cell>
          <cell r="AR12">
            <v>0</v>
          </cell>
          <cell r="AS12">
            <v>0</v>
          </cell>
          <cell r="AT12">
            <v>0</v>
          </cell>
          <cell r="AU12">
            <v>0</v>
          </cell>
          <cell r="AV12">
            <v>0</v>
          </cell>
          <cell r="AW12">
            <v>0</v>
          </cell>
          <cell r="AX12">
            <v>0</v>
          </cell>
          <cell r="AY12">
            <v>0</v>
          </cell>
          <cell r="AZ12" t="str">
            <v/>
          </cell>
          <cell r="BA12" t="str">
            <v/>
          </cell>
          <cell r="BB12">
            <v>15.02</v>
          </cell>
        </row>
        <row r="13">
          <cell r="A13" t="str">
            <v>3D00</v>
          </cell>
          <cell r="B13" t="str">
            <v>GEORGETOWN UNIVERSITY HOSPITAL</v>
          </cell>
          <cell r="C13" t="str">
            <v>P</v>
          </cell>
          <cell r="D13" t="str">
            <v>C+R</v>
          </cell>
          <cell r="E13" t="str">
            <v>Loc</v>
          </cell>
          <cell r="F13" t="str">
            <v>3</v>
          </cell>
          <cell r="G13" t="str">
            <v>STPL</v>
          </cell>
          <cell r="H13" t="str">
            <v>Agg.STP with Sp</v>
          </cell>
          <cell r="I13" t="str">
            <v>BAB8</v>
          </cell>
          <cell r="J13" t="str">
            <v>0212</v>
          </cell>
          <cell r="K13">
            <v>481110.46</v>
          </cell>
          <cell r="L13">
            <v>0</v>
          </cell>
          <cell r="M13">
            <v>1001.52</v>
          </cell>
          <cell r="N13">
            <v>5259.96</v>
          </cell>
          <cell r="O13">
            <v>0</v>
          </cell>
          <cell r="P13">
            <v>487371.94</v>
          </cell>
          <cell r="Q13">
            <v>10823.66</v>
          </cell>
          <cell r="R13">
            <v>17176.63</v>
          </cell>
          <cell r="S13">
            <v>28000.29</v>
          </cell>
          <cell r="T13">
            <v>62714.21</v>
          </cell>
          <cell r="U13">
            <v>5785.44</v>
          </cell>
          <cell r="V13">
            <v>0</v>
          </cell>
          <cell r="W13">
            <v>0</v>
          </cell>
          <cell r="X13">
            <v>68499.649999999994</v>
          </cell>
          <cell r="Y13">
            <v>0</v>
          </cell>
          <cell r="Z13">
            <v>2002.91</v>
          </cell>
          <cell r="AA13">
            <v>0</v>
          </cell>
          <cell r="AB13">
            <v>0</v>
          </cell>
          <cell r="AC13">
            <v>70502.559999999998</v>
          </cell>
          <cell r="AD13">
            <v>98502.85</v>
          </cell>
          <cell r="AE13" t="str">
            <v/>
          </cell>
          <cell r="AF13" t="str">
            <v/>
          </cell>
          <cell r="AG13">
            <v>585874.79</v>
          </cell>
          <cell r="AH13" t="str">
            <v>01</v>
          </cell>
          <cell r="AI13" t="str">
            <v>0211</v>
          </cell>
          <cell r="AJ13">
            <v>29.83</v>
          </cell>
          <cell r="AK13">
            <v>0</v>
          </cell>
          <cell r="AL13">
            <v>0</v>
          </cell>
          <cell r="AM13">
            <v>0</v>
          </cell>
          <cell r="AN13">
            <v>0</v>
          </cell>
          <cell r="AO13">
            <v>29.83</v>
          </cell>
          <cell r="AP13">
            <v>0</v>
          </cell>
          <cell r="AQ13">
            <v>0</v>
          </cell>
          <cell r="AR13">
            <v>0</v>
          </cell>
          <cell r="AS13">
            <v>0</v>
          </cell>
          <cell r="AT13">
            <v>0</v>
          </cell>
          <cell r="AU13">
            <v>0</v>
          </cell>
          <cell r="AV13">
            <v>0</v>
          </cell>
          <cell r="AW13">
            <v>0</v>
          </cell>
          <cell r="AX13">
            <v>0</v>
          </cell>
          <cell r="AY13">
            <v>0</v>
          </cell>
          <cell r="AZ13" t="str">
            <v/>
          </cell>
          <cell r="BA13" t="str">
            <v/>
          </cell>
          <cell r="BB13">
            <v>29.83</v>
          </cell>
        </row>
        <row r="14">
          <cell r="A14" t="str">
            <v>3D54</v>
          </cell>
          <cell r="B14" t="str">
            <v>TELECORP PCS, INC. (ACTIVE)</v>
          </cell>
          <cell r="C14" t="str">
            <v>P</v>
          </cell>
          <cell r="D14" t="str">
            <v>C+R</v>
          </cell>
          <cell r="E14" t="str">
            <v>Loc</v>
          </cell>
          <cell r="F14" t="str">
            <v>3</v>
          </cell>
          <cell r="G14" t="str">
            <v>STPL</v>
          </cell>
          <cell r="H14" t="str">
            <v>Agg.STP with Sp</v>
          </cell>
          <cell r="I14" t="str">
            <v>BAB8</v>
          </cell>
          <cell r="J14" t="str">
            <v>0212</v>
          </cell>
          <cell r="K14">
            <v>899751.73</v>
          </cell>
          <cell r="L14">
            <v>4433.76</v>
          </cell>
          <cell r="M14">
            <v>35542.75</v>
          </cell>
          <cell r="N14">
            <v>0</v>
          </cell>
          <cell r="O14">
            <v>0</v>
          </cell>
          <cell r="P14">
            <v>930860.72</v>
          </cell>
          <cell r="Q14">
            <v>41862.660000000003</v>
          </cell>
          <cell r="R14">
            <v>8133.63</v>
          </cell>
          <cell r="S14">
            <v>49996.29</v>
          </cell>
          <cell r="T14">
            <v>56998.63</v>
          </cell>
          <cell r="U14">
            <v>5258.18</v>
          </cell>
          <cell r="V14">
            <v>0</v>
          </cell>
          <cell r="W14">
            <v>21032.71</v>
          </cell>
          <cell r="X14">
            <v>83289.52</v>
          </cell>
          <cell r="Y14">
            <v>0</v>
          </cell>
          <cell r="Z14">
            <v>4560.57</v>
          </cell>
          <cell r="AA14">
            <v>0</v>
          </cell>
          <cell r="AB14">
            <v>0</v>
          </cell>
          <cell r="AC14">
            <v>87850.09</v>
          </cell>
          <cell r="AD14">
            <v>137846.38</v>
          </cell>
          <cell r="AE14" t="str">
            <v/>
          </cell>
          <cell r="AF14" t="str">
            <v/>
          </cell>
          <cell r="AG14">
            <v>1068707.1000000001</v>
          </cell>
          <cell r="AH14" t="str">
            <v>01</v>
          </cell>
          <cell r="AI14" t="str">
            <v>0211</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t="str">
            <v/>
          </cell>
          <cell r="BA14" t="str">
            <v/>
          </cell>
          <cell r="BB14">
            <v>0</v>
          </cell>
        </row>
        <row r="15">
          <cell r="A15" t="str">
            <v>4N01</v>
          </cell>
          <cell r="B15" t="str">
            <v>CALVERT COUNTY COMMISSIONERS</v>
          </cell>
          <cell r="C15" t="str">
            <v>P</v>
          </cell>
          <cell r="D15" t="str">
            <v>Rate</v>
          </cell>
          <cell r="E15" t="str">
            <v>Loc</v>
          </cell>
          <cell r="F15" t="str">
            <v>3</v>
          </cell>
          <cell r="G15" t="str">
            <v>STPL</v>
          </cell>
          <cell r="H15" t="str">
            <v>Agg.STP with Sp</v>
          </cell>
          <cell r="I15" t="str">
            <v>BBB8</v>
          </cell>
          <cell r="J15" t="str">
            <v>0212</v>
          </cell>
          <cell r="K15">
            <v>179061.12</v>
          </cell>
          <cell r="L15">
            <v>40470.61</v>
          </cell>
          <cell r="M15">
            <v>11.64</v>
          </cell>
          <cell r="N15">
            <v>1259.06</v>
          </cell>
          <cell r="O15">
            <v>0</v>
          </cell>
          <cell r="P15">
            <v>139861.21</v>
          </cell>
          <cell r="Q15">
            <v>2667.67</v>
          </cell>
          <cell r="R15">
            <v>298.89999999999998</v>
          </cell>
          <cell r="S15">
            <v>2966.57</v>
          </cell>
          <cell r="T15">
            <v>15697.1</v>
          </cell>
          <cell r="U15">
            <v>1738.72</v>
          </cell>
          <cell r="V15">
            <v>0</v>
          </cell>
          <cell r="W15">
            <v>0</v>
          </cell>
          <cell r="X15">
            <v>17435.82</v>
          </cell>
          <cell r="Y15">
            <v>0</v>
          </cell>
          <cell r="Z15">
            <v>0</v>
          </cell>
          <cell r="AA15">
            <v>0</v>
          </cell>
          <cell r="AB15">
            <v>0</v>
          </cell>
          <cell r="AC15">
            <v>17435.82</v>
          </cell>
          <cell r="AD15">
            <v>20402.39</v>
          </cell>
          <cell r="AE15" t="str">
            <v/>
          </cell>
          <cell r="AF15" t="str">
            <v/>
          </cell>
          <cell r="AG15">
            <v>160263.6</v>
          </cell>
          <cell r="AH15" t="str">
            <v>07</v>
          </cell>
          <cell r="AI15" t="str">
            <v>0211</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t="str">
            <v/>
          </cell>
          <cell r="BA15" t="str">
            <v/>
          </cell>
          <cell r="BB15">
            <v>0</v>
          </cell>
        </row>
        <row r="16">
          <cell r="A16" t="str">
            <v>4N02</v>
          </cell>
          <cell r="B16" t="str">
            <v>CHARLES COUNTY PUBLIC SCHOOLS</v>
          </cell>
          <cell r="C16" t="str">
            <v>P</v>
          </cell>
          <cell r="D16" t="str">
            <v>C+R</v>
          </cell>
          <cell r="E16" t="str">
            <v>Loc</v>
          </cell>
          <cell r="F16" t="str">
            <v>3</v>
          </cell>
          <cell r="G16" t="str">
            <v>STPL</v>
          </cell>
          <cell r="H16" t="str">
            <v>Agg.STP with Sp</v>
          </cell>
          <cell r="I16" t="str">
            <v>BAB8</v>
          </cell>
          <cell r="J16" t="str">
            <v>0212</v>
          </cell>
          <cell r="K16">
            <v>181404.25</v>
          </cell>
          <cell r="L16">
            <v>0</v>
          </cell>
          <cell r="M16">
            <v>459.13</v>
          </cell>
          <cell r="N16">
            <v>2637.93</v>
          </cell>
          <cell r="O16">
            <v>0</v>
          </cell>
          <cell r="P16">
            <v>184501.31</v>
          </cell>
          <cell r="Q16">
            <v>3710.04</v>
          </cell>
          <cell r="R16">
            <v>3514.2</v>
          </cell>
          <cell r="S16">
            <v>7224.24</v>
          </cell>
          <cell r="T16">
            <v>44649.120000000003</v>
          </cell>
          <cell r="U16">
            <v>0</v>
          </cell>
          <cell r="V16">
            <v>0</v>
          </cell>
          <cell r="W16">
            <v>0</v>
          </cell>
          <cell r="X16">
            <v>44649.120000000003</v>
          </cell>
          <cell r="Y16">
            <v>0</v>
          </cell>
          <cell r="Z16">
            <v>0</v>
          </cell>
          <cell r="AA16">
            <v>0</v>
          </cell>
          <cell r="AB16">
            <v>0</v>
          </cell>
          <cell r="AC16">
            <v>44649.120000000003</v>
          </cell>
          <cell r="AD16">
            <v>51873.36</v>
          </cell>
          <cell r="AE16" t="str">
            <v/>
          </cell>
          <cell r="AF16" t="str">
            <v/>
          </cell>
          <cell r="AG16">
            <v>236374.67</v>
          </cell>
          <cell r="AH16" t="str">
            <v>07</v>
          </cell>
          <cell r="AI16" t="str">
            <v>0211</v>
          </cell>
          <cell r="AJ16">
            <v>1.47</v>
          </cell>
          <cell r="AK16">
            <v>0</v>
          </cell>
          <cell r="AL16">
            <v>0</v>
          </cell>
          <cell r="AM16">
            <v>0</v>
          </cell>
          <cell r="AN16">
            <v>0</v>
          </cell>
          <cell r="AO16">
            <v>1.47</v>
          </cell>
          <cell r="AP16">
            <v>0</v>
          </cell>
          <cell r="AQ16">
            <v>0</v>
          </cell>
          <cell r="AR16">
            <v>0</v>
          </cell>
          <cell r="AS16">
            <v>0</v>
          </cell>
          <cell r="AT16">
            <v>0</v>
          </cell>
          <cell r="AU16">
            <v>0</v>
          </cell>
          <cell r="AV16">
            <v>0</v>
          </cell>
          <cell r="AW16">
            <v>0</v>
          </cell>
          <cell r="AX16">
            <v>0</v>
          </cell>
          <cell r="AY16">
            <v>0</v>
          </cell>
          <cell r="AZ16" t="str">
            <v/>
          </cell>
          <cell r="BA16" t="str">
            <v/>
          </cell>
          <cell r="BB16">
            <v>1.47</v>
          </cell>
        </row>
        <row r="17">
          <cell r="A17" t="str">
            <v>4N03</v>
          </cell>
          <cell r="B17" t="str">
            <v>HOWARD COUNTY PUBLIC SCHOOLS</v>
          </cell>
          <cell r="C17" t="str">
            <v>P</v>
          </cell>
          <cell r="D17" t="str">
            <v>C+R</v>
          </cell>
          <cell r="E17" t="str">
            <v>Loc</v>
          </cell>
          <cell r="F17" t="str">
            <v>2</v>
          </cell>
          <cell r="G17" t="str">
            <v>ASO</v>
          </cell>
          <cell r="H17" t="str">
            <v>ASO w/o  Spec</v>
          </cell>
          <cell r="I17" t="str">
            <v>CAD8</v>
          </cell>
          <cell r="J17" t="str">
            <v>0212</v>
          </cell>
          <cell r="K17">
            <v>234231.79</v>
          </cell>
          <cell r="L17">
            <v>0</v>
          </cell>
          <cell r="M17">
            <v>0</v>
          </cell>
          <cell r="N17">
            <v>0</v>
          </cell>
          <cell r="O17">
            <v>0</v>
          </cell>
          <cell r="P17">
            <v>234231.79</v>
          </cell>
          <cell r="Q17">
            <v>0</v>
          </cell>
          <cell r="R17">
            <v>0</v>
          </cell>
          <cell r="S17">
            <v>0</v>
          </cell>
          <cell r="T17">
            <v>3395</v>
          </cell>
          <cell r="U17">
            <v>0</v>
          </cell>
          <cell r="V17">
            <v>0</v>
          </cell>
          <cell r="W17">
            <v>0</v>
          </cell>
          <cell r="X17">
            <v>3395</v>
          </cell>
          <cell r="Y17">
            <v>0</v>
          </cell>
          <cell r="Z17">
            <v>0</v>
          </cell>
          <cell r="AA17">
            <v>0</v>
          </cell>
          <cell r="AB17">
            <v>0</v>
          </cell>
          <cell r="AC17">
            <v>3395</v>
          </cell>
          <cell r="AD17">
            <v>3395</v>
          </cell>
          <cell r="AE17" t="str">
            <v/>
          </cell>
          <cell r="AF17" t="str">
            <v/>
          </cell>
          <cell r="AG17">
            <v>237626.79</v>
          </cell>
          <cell r="AH17" t="str">
            <v>10</v>
          </cell>
          <cell r="AI17" t="str">
            <v>0211</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t="str">
            <v/>
          </cell>
          <cell r="BA17" t="str">
            <v/>
          </cell>
          <cell r="BB17">
            <v>0</v>
          </cell>
        </row>
        <row r="18">
          <cell r="A18" t="str">
            <v>5498</v>
          </cell>
          <cell r="B18" t="str">
            <v>Transit Employees Hlth &amp; Welfare Fund</v>
          </cell>
          <cell r="C18" t="str">
            <v>P</v>
          </cell>
          <cell r="D18" t="str">
            <v>Rate</v>
          </cell>
          <cell r="E18" t="str">
            <v>Loc</v>
          </cell>
          <cell r="F18" t="str">
            <v>1</v>
          </cell>
          <cell r="G18" t="str">
            <v>ASO</v>
          </cell>
          <cell r="H18" t="str">
            <v>ASO with Spec</v>
          </cell>
          <cell r="I18" t="str">
            <v>B3715ZZZ</v>
          </cell>
          <cell r="J18" t="str">
            <v>0212</v>
          </cell>
          <cell r="K18">
            <v>2427937.4700000002</v>
          </cell>
          <cell r="L18">
            <v>150344.79</v>
          </cell>
          <cell r="M18">
            <v>21118.85</v>
          </cell>
          <cell r="N18">
            <v>0</v>
          </cell>
          <cell r="O18">
            <v>0</v>
          </cell>
          <cell r="P18">
            <v>2298711.5299999998</v>
          </cell>
          <cell r="Q18">
            <v>25698.05</v>
          </cell>
          <cell r="R18">
            <v>0</v>
          </cell>
          <cell r="S18">
            <v>25698.05</v>
          </cell>
          <cell r="T18">
            <v>139497.87</v>
          </cell>
          <cell r="U18">
            <v>11872.16</v>
          </cell>
          <cell r="V18">
            <v>0</v>
          </cell>
          <cell r="W18">
            <v>0</v>
          </cell>
          <cell r="X18">
            <v>151370.03</v>
          </cell>
          <cell r="Y18">
            <v>0</v>
          </cell>
          <cell r="Z18">
            <v>4827.24</v>
          </cell>
          <cell r="AA18">
            <v>0</v>
          </cell>
          <cell r="AB18">
            <v>0</v>
          </cell>
          <cell r="AC18">
            <v>156197.26999999999</v>
          </cell>
          <cell r="AD18">
            <v>181895.32</v>
          </cell>
          <cell r="AE18" t="str">
            <v/>
          </cell>
          <cell r="AF18" t="str">
            <v/>
          </cell>
          <cell r="AG18">
            <v>2480606.85</v>
          </cell>
          <cell r="AH18" t="str">
            <v>01</v>
          </cell>
          <cell r="AI18" t="str">
            <v>0211</v>
          </cell>
          <cell r="AJ18">
            <v>148.75</v>
          </cell>
          <cell r="AK18">
            <v>0</v>
          </cell>
          <cell r="AL18">
            <v>0</v>
          </cell>
          <cell r="AM18">
            <v>0</v>
          </cell>
          <cell r="AN18">
            <v>0</v>
          </cell>
          <cell r="AO18">
            <v>148.75</v>
          </cell>
          <cell r="AP18">
            <v>0</v>
          </cell>
          <cell r="AQ18">
            <v>0</v>
          </cell>
          <cell r="AR18">
            <v>0</v>
          </cell>
          <cell r="AS18">
            <v>0</v>
          </cell>
          <cell r="AT18">
            <v>0</v>
          </cell>
          <cell r="AU18">
            <v>0</v>
          </cell>
          <cell r="AV18">
            <v>0</v>
          </cell>
          <cell r="AW18">
            <v>0</v>
          </cell>
          <cell r="AX18">
            <v>0</v>
          </cell>
          <cell r="AY18">
            <v>0</v>
          </cell>
          <cell r="AZ18" t="str">
            <v/>
          </cell>
          <cell r="BA18" t="str">
            <v/>
          </cell>
          <cell r="BB18">
            <v>148.75</v>
          </cell>
        </row>
        <row r="19">
          <cell r="A19" t="str">
            <v>6776</v>
          </cell>
          <cell r="B19" t="str">
            <v>Int'l Brotherhood of Electrical Workers</v>
          </cell>
          <cell r="C19" t="str">
            <v>P</v>
          </cell>
          <cell r="D19" t="str">
            <v>C+R</v>
          </cell>
          <cell r="E19" t="str">
            <v>Loc</v>
          </cell>
          <cell r="F19" t="str">
            <v>1</v>
          </cell>
          <cell r="G19" t="str">
            <v>ASO</v>
          </cell>
          <cell r="H19" t="str">
            <v>ASO with Spec</v>
          </cell>
          <cell r="I19" t="str">
            <v>B3711ZZR</v>
          </cell>
          <cell r="J19" t="str">
            <v>0212</v>
          </cell>
          <cell r="K19">
            <v>288599.15999999997</v>
          </cell>
          <cell r="L19">
            <v>0</v>
          </cell>
          <cell r="M19">
            <v>10504.11</v>
          </cell>
          <cell r="N19">
            <v>0</v>
          </cell>
          <cell r="O19">
            <v>0</v>
          </cell>
          <cell r="P19">
            <v>299103.27</v>
          </cell>
          <cell r="Q19">
            <v>3308.82</v>
          </cell>
          <cell r="R19">
            <v>0</v>
          </cell>
          <cell r="S19">
            <v>3308.82</v>
          </cell>
          <cell r="T19">
            <v>20468.509999999998</v>
          </cell>
          <cell r="U19">
            <v>3264.52</v>
          </cell>
          <cell r="V19">
            <v>0</v>
          </cell>
          <cell r="W19">
            <v>0</v>
          </cell>
          <cell r="X19">
            <v>23733.03</v>
          </cell>
          <cell r="Y19">
            <v>0</v>
          </cell>
          <cell r="Z19">
            <v>1755.81</v>
          </cell>
          <cell r="AA19">
            <v>53.67</v>
          </cell>
          <cell r="AB19">
            <v>0</v>
          </cell>
          <cell r="AC19">
            <v>25542.51</v>
          </cell>
          <cell r="AD19">
            <v>28851.33</v>
          </cell>
          <cell r="AE19" t="str">
            <v/>
          </cell>
          <cell r="AF19" t="str">
            <v/>
          </cell>
          <cell r="AG19">
            <v>327954.59999999998</v>
          </cell>
          <cell r="AH19" t="str">
            <v>08</v>
          </cell>
          <cell r="AI19" t="str">
            <v>0211</v>
          </cell>
          <cell r="AJ19">
            <v>89.28</v>
          </cell>
          <cell r="AK19">
            <v>0</v>
          </cell>
          <cell r="AL19">
            <v>0</v>
          </cell>
          <cell r="AM19">
            <v>0</v>
          </cell>
          <cell r="AN19">
            <v>0</v>
          </cell>
          <cell r="AO19">
            <v>89.28</v>
          </cell>
          <cell r="AP19">
            <v>0</v>
          </cell>
          <cell r="AQ19">
            <v>0</v>
          </cell>
          <cell r="AR19">
            <v>0</v>
          </cell>
          <cell r="AS19">
            <v>0</v>
          </cell>
          <cell r="AT19">
            <v>0</v>
          </cell>
          <cell r="AU19">
            <v>0</v>
          </cell>
          <cell r="AV19">
            <v>7.0000000000000007E-2</v>
          </cell>
          <cell r="AW19">
            <v>0</v>
          </cell>
          <cell r="AX19">
            <v>7.0000000000000007E-2</v>
          </cell>
          <cell r="AY19">
            <v>7.0000000000000007E-2</v>
          </cell>
          <cell r="AZ19" t="str">
            <v/>
          </cell>
          <cell r="BA19" t="str">
            <v/>
          </cell>
          <cell r="BB19">
            <v>89.35</v>
          </cell>
        </row>
        <row r="20">
          <cell r="A20" t="str">
            <v>7B75</v>
          </cell>
          <cell r="B20" t="str">
            <v>DIAMOND COMICS</v>
          </cell>
          <cell r="C20" t="str">
            <v>P</v>
          </cell>
          <cell r="D20" t="str">
            <v>C+R</v>
          </cell>
          <cell r="E20" t="str">
            <v>Loc</v>
          </cell>
          <cell r="F20" t="str">
            <v>3</v>
          </cell>
          <cell r="G20" t="str">
            <v>STPL</v>
          </cell>
          <cell r="H20" t="str">
            <v>Agg.STP with Sp</v>
          </cell>
          <cell r="I20" t="str">
            <v>BAB7</v>
          </cell>
          <cell r="J20" t="str">
            <v>0212</v>
          </cell>
          <cell r="K20">
            <v>1794.07</v>
          </cell>
          <cell r="L20">
            <v>0</v>
          </cell>
          <cell r="M20">
            <v>0</v>
          </cell>
          <cell r="N20">
            <v>117.72</v>
          </cell>
          <cell r="O20">
            <v>0</v>
          </cell>
          <cell r="P20">
            <v>1911.79</v>
          </cell>
          <cell r="Q20">
            <v>819.97</v>
          </cell>
          <cell r="R20">
            <v>98.74</v>
          </cell>
          <cell r="S20">
            <v>918.71</v>
          </cell>
          <cell r="T20">
            <v>1580.49</v>
          </cell>
          <cell r="U20">
            <v>0</v>
          </cell>
          <cell r="V20">
            <v>0</v>
          </cell>
          <cell r="W20">
            <v>250.7</v>
          </cell>
          <cell r="X20">
            <v>1831.19</v>
          </cell>
          <cell r="Y20">
            <v>0</v>
          </cell>
          <cell r="Z20">
            <v>0</v>
          </cell>
          <cell r="AA20">
            <v>0</v>
          </cell>
          <cell r="AB20">
            <v>0</v>
          </cell>
          <cell r="AC20">
            <v>1831.19</v>
          </cell>
          <cell r="AD20">
            <v>2749.9</v>
          </cell>
          <cell r="AE20" t="str">
            <v/>
          </cell>
          <cell r="AF20" t="str">
            <v/>
          </cell>
          <cell r="AG20">
            <v>4661.6899999999996</v>
          </cell>
          <cell r="AH20" t="str">
            <v>01</v>
          </cell>
          <cell r="AI20" t="str">
            <v>0211</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t="str">
            <v/>
          </cell>
          <cell r="BA20" t="str">
            <v/>
          </cell>
          <cell r="BB20">
            <v>0</v>
          </cell>
        </row>
        <row r="21">
          <cell r="A21" t="str">
            <v>7J01</v>
          </cell>
          <cell r="B21" t="str">
            <v>CONSTELLATION ENERGY GROUP (BGE)</v>
          </cell>
          <cell r="C21" t="str">
            <v>P</v>
          </cell>
          <cell r="D21" t="str">
            <v>C+R</v>
          </cell>
          <cell r="E21" t="str">
            <v>Loc</v>
          </cell>
          <cell r="F21" t="str">
            <v>2</v>
          </cell>
          <cell r="G21" t="str">
            <v>ASO</v>
          </cell>
          <cell r="H21" t="str">
            <v>ASO w/o  Spec</v>
          </cell>
          <cell r="I21" t="str">
            <v>BAD8</v>
          </cell>
          <cell r="J21" t="str">
            <v>0212</v>
          </cell>
          <cell r="K21">
            <v>449424.22</v>
          </cell>
          <cell r="L21">
            <v>0</v>
          </cell>
          <cell r="M21">
            <v>428.97</v>
          </cell>
          <cell r="N21">
            <v>12127.06</v>
          </cell>
          <cell r="O21">
            <v>0</v>
          </cell>
          <cell r="P21">
            <v>461980.25</v>
          </cell>
          <cell r="Q21">
            <v>0</v>
          </cell>
          <cell r="R21">
            <v>0</v>
          </cell>
          <cell r="S21">
            <v>0</v>
          </cell>
          <cell r="T21">
            <v>37453.79</v>
          </cell>
          <cell r="U21">
            <v>0</v>
          </cell>
          <cell r="V21">
            <v>0</v>
          </cell>
          <cell r="W21">
            <v>0</v>
          </cell>
          <cell r="X21">
            <v>37453.79</v>
          </cell>
          <cell r="Y21">
            <v>0</v>
          </cell>
          <cell r="Z21">
            <v>0</v>
          </cell>
          <cell r="AA21">
            <v>0</v>
          </cell>
          <cell r="AB21">
            <v>0</v>
          </cell>
          <cell r="AC21">
            <v>37453.79</v>
          </cell>
          <cell r="AD21">
            <v>37453.79</v>
          </cell>
          <cell r="AE21" t="str">
            <v/>
          </cell>
          <cell r="AF21" t="str">
            <v/>
          </cell>
          <cell r="AG21">
            <v>499434.04</v>
          </cell>
          <cell r="AH21" t="str">
            <v>01</v>
          </cell>
          <cell r="AI21" t="str">
            <v>0211</v>
          </cell>
          <cell r="AJ21">
            <v>7.04</v>
          </cell>
          <cell r="AK21">
            <v>0</v>
          </cell>
          <cell r="AL21">
            <v>0</v>
          </cell>
          <cell r="AM21">
            <v>0</v>
          </cell>
          <cell r="AN21">
            <v>0</v>
          </cell>
          <cell r="AO21">
            <v>7.04</v>
          </cell>
          <cell r="AP21">
            <v>0</v>
          </cell>
          <cell r="AQ21">
            <v>0</v>
          </cell>
          <cell r="AR21">
            <v>0</v>
          </cell>
          <cell r="AS21">
            <v>0</v>
          </cell>
          <cell r="AT21">
            <v>0</v>
          </cell>
          <cell r="AU21">
            <v>0</v>
          </cell>
          <cell r="AV21">
            <v>0</v>
          </cell>
          <cell r="AW21">
            <v>0</v>
          </cell>
          <cell r="AX21">
            <v>0</v>
          </cell>
          <cell r="AY21">
            <v>0</v>
          </cell>
          <cell r="AZ21" t="str">
            <v/>
          </cell>
          <cell r="BA21" t="str">
            <v/>
          </cell>
          <cell r="BB21">
            <v>7.04</v>
          </cell>
        </row>
        <row r="22">
          <cell r="A22" t="str">
            <v>7J07</v>
          </cell>
          <cell r="B22" t="str">
            <v>JOHNS HOPKINS UNIVERSITY</v>
          </cell>
          <cell r="C22" t="str">
            <v>P</v>
          </cell>
          <cell r="D22" t="str">
            <v>C+R</v>
          </cell>
          <cell r="E22" t="str">
            <v>Loc</v>
          </cell>
          <cell r="F22" t="str">
            <v>1</v>
          </cell>
          <cell r="G22" t="str">
            <v>ASO</v>
          </cell>
          <cell r="H22" t="str">
            <v>ASO with Spec</v>
          </cell>
          <cell r="I22" t="str">
            <v>BAS8</v>
          </cell>
          <cell r="J22" t="str">
            <v>0212</v>
          </cell>
          <cell r="K22">
            <v>205716.94</v>
          </cell>
          <cell r="L22">
            <v>0</v>
          </cell>
          <cell r="M22">
            <v>38.909999999999997</v>
          </cell>
          <cell r="N22">
            <v>11655.33</v>
          </cell>
          <cell r="O22">
            <v>0</v>
          </cell>
          <cell r="P22">
            <v>217411.18</v>
          </cell>
          <cell r="Q22">
            <v>363.26</v>
          </cell>
          <cell r="R22">
            <v>0</v>
          </cell>
          <cell r="S22">
            <v>363.26</v>
          </cell>
          <cell r="T22">
            <v>32219.48</v>
          </cell>
          <cell r="U22">
            <v>0</v>
          </cell>
          <cell r="V22">
            <v>0</v>
          </cell>
          <cell r="W22">
            <v>0</v>
          </cell>
          <cell r="X22">
            <v>32219.48</v>
          </cell>
          <cell r="Y22">
            <v>0</v>
          </cell>
          <cell r="Z22">
            <v>0</v>
          </cell>
          <cell r="AA22">
            <v>0</v>
          </cell>
          <cell r="AB22">
            <v>0</v>
          </cell>
          <cell r="AC22">
            <v>32219.48</v>
          </cell>
          <cell r="AD22">
            <v>32582.74</v>
          </cell>
          <cell r="AE22" t="str">
            <v/>
          </cell>
          <cell r="AF22" t="str">
            <v/>
          </cell>
          <cell r="AG22">
            <v>249993.92</v>
          </cell>
          <cell r="AH22" t="str">
            <v>01</v>
          </cell>
          <cell r="AI22" t="str">
            <v>0211</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t="str">
            <v/>
          </cell>
          <cell r="BA22" t="str">
            <v/>
          </cell>
          <cell r="BB22">
            <v>0</v>
          </cell>
        </row>
        <row r="23">
          <cell r="A23" t="str">
            <v>7J29</v>
          </cell>
          <cell r="B23" t="str">
            <v>MERCANTILE BANKSHARES</v>
          </cell>
          <cell r="C23" t="str">
            <v>P</v>
          </cell>
          <cell r="D23" t="str">
            <v>Rate</v>
          </cell>
          <cell r="E23" t="str">
            <v>Loc</v>
          </cell>
          <cell r="F23" t="str">
            <v>3</v>
          </cell>
          <cell r="G23" t="str">
            <v>STPL</v>
          </cell>
          <cell r="H23" t="str">
            <v>Agg.STP with Sp</v>
          </cell>
          <cell r="I23" t="str">
            <v>BBB8</v>
          </cell>
          <cell r="J23" t="str">
            <v>0212</v>
          </cell>
          <cell r="K23">
            <v>106930.79</v>
          </cell>
          <cell r="L23">
            <v>0</v>
          </cell>
          <cell r="M23">
            <v>156.69</v>
          </cell>
          <cell r="N23">
            <v>2197.09</v>
          </cell>
          <cell r="O23">
            <v>0</v>
          </cell>
          <cell r="P23">
            <v>109284.57</v>
          </cell>
          <cell r="Q23">
            <v>12385.96</v>
          </cell>
          <cell r="R23">
            <v>366.97</v>
          </cell>
          <cell r="S23">
            <v>12752.93</v>
          </cell>
          <cell r="T23">
            <v>28385.77</v>
          </cell>
          <cell r="U23">
            <v>3149.9</v>
          </cell>
          <cell r="V23">
            <v>0</v>
          </cell>
          <cell r="W23">
            <v>0</v>
          </cell>
          <cell r="X23">
            <v>31535.67</v>
          </cell>
          <cell r="Y23">
            <v>0</v>
          </cell>
          <cell r="Z23">
            <v>0</v>
          </cell>
          <cell r="AA23">
            <v>0</v>
          </cell>
          <cell r="AB23">
            <v>0</v>
          </cell>
          <cell r="AC23">
            <v>31535.67</v>
          </cell>
          <cell r="AD23">
            <v>44288.6</v>
          </cell>
          <cell r="AE23" t="str">
            <v/>
          </cell>
          <cell r="AF23" t="str">
            <v/>
          </cell>
          <cell r="AG23">
            <v>153573.17000000001</v>
          </cell>
          <cell r="AH23" t="str">
            <v>01</v>
          </cell>
          <cell r="AI23" t="str">
            <v>0211</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t="str">
            <v/>
          </cell>
          <cell r="BA23" t="str">
            <v/>
          </cell>
          <cell r="BB23">
            <v>0</v>
          </cell>
        </row>
        <row r="24">
          <cell r="A24" t="str">
            <v>7J30</v>
          </cell>
          <cell r="B24" t="str">
            <v>T ROWE PRICE</v>
          </cell>
          <cell r="C24" t="str">
            <v>P</v>
          </cell>
          <cell r="D24" t="str">
            <v>C+R</v>
          </cell>
          <cell r="E24" t="str">
            <v>Loc</v>
          </cell>
          <cell r="F24" t="str">
            <v>1</v>
          </cell>
          <cell r="G24" t="str">
            <v>ASO</v>
          </cell>
          <cell r="H24" t="str">
            <v>ASO with Spec</v>
          </cell>
          <cell r="I24" t="str">
            <v>BAS7</v>
          </cell>
          <cell r="J24" t="str">
            <v>0212</v>
          </cell>
          <cell r="K24">
            <v>25457.16</v>
          </cell>
          <cell r="L24">
            <v>0</v>
          </cell>
          <cell r="M24">
            <v>38.35</v>
          </cell>
          <cell r="N24">
            <v>643.79999999999995</v>
          </cell>
          <cell r="O24">
            <v>0</v>
          </cell>
          <cell r="P24">
            <v>26139.31</v>
          </cell>
          <cell r="Q24">
            <v>924.52</v>
          </cell>
          <cell r="R24">
            <v>0</v>
          </cell>
          <cell r="S24">
            <v>924.52</v>
          </cell>
          <cell r="T24">
            <v>3999.68</v>
          </cell>
          <cell r="U24">
            <v>0</v>
          </cell>
          <cell r="V24">
            <v>0</v>
          </cell>
          <cell r="W24">
            <v>0</v>
          </cell>
          <cell r="X24">
            <v>3999.68</v>
          </cell>
          <cell r="Y24">
            <v>0</v>
          </cell>
          <cell r="Z24">
            <v>0</v>
          </cell>
          <cell r="AA24">
            <v>0</v>
          </cell>
          <cell r="AB24">
            <v>0</v>
          </cell>
          <cell r="AC24">
            <v>3999.68</v>
          </cell>
          <cell r="AD24">
            <v>4924.2</v>
          </cell>
          <cell r="AE24" t="str">
            <v/>
          </cell>
          <cell r="AF24" t="str">
            <v/>
          </cell>
          <cell r="AG24">
            <v>31063.51</v>
          </cell>
          <cell r="AH24" t="str">
            <v>01</v>
          </cell>
          <cell r="AI24" t="str">
            <v>0211</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t="str">
            <v/>
          </cell>
          <cell r="BA24" t="str">
            <v/>
          </cell>
          <cell r="BB24">
            <v>0</v>
          </cell>
        </row>
        <row r="25">
          <cell r="A25" t="str">
            <v>7J53</v>
          </cell>
          <cell r="B25" t="str">
            <v>CAREFIRST, INC.</v>
          </cell>
          <cell r="C25" t="str">
            <v>P</v>
          </cell>
          <cell r="D25" t="str">
            <v>Rate</v>
          </cell>
          <cell r="E25" t="str">
            <v>Loc</v>
          </cell>
          <cell r="F25" t="str">
            <v>2</v>
          </cell>
          <cell r="G25" t="str">
            <v>ASO</v>
          </cell>
          <cell r="H25" t="str">
            <v>ASO w/o  Spec</v>
          </cell>
          <cell r="I25" t="str">
            <v>BAD8</v>
          </cell>
          <cell r="J25" t="str">
            <v>0212</v>
          </cell>
          <cell r="K25">
            <v>545433.13</v>
          </cell>
          <cell r="L25">
            <v>0</v>
          </cell>
          <cell r="M25">
            <v>886.09</v>
          </cell>
          <cell r="N25">
            <v>8188.45</v>
          </cell>
          <cell r="O25">
            <v>0</v>
          </cell>
          <cell r="P25">
            <v>554507.67000000004</v>
          </cell>
          <cell r="Q25">
            <v>0</v>
          </cell>
          <cell r="R25">
            <v>0</v>
          </cell>
          <cell r="S25">
            <v>0</v>
          </cell>
          <cell r="T25">
            <v>60273.599999999999</v>
          </cell>
          <cell r="U25">
            <v>6728.55</v>
          </cell>
          <cell r="V25">
            <v>0</v>
          </cell>
          <cell r="W25">
            <v>0</v>
          </cell>
          <cell r="X25">
            <v>67002.149999999994</v>
          </cell>
          <cell r="Y25">
            <v>0</v>
          </cell>
          <cell r="Z25">
            <v>0</v>
          </cell>
          <cell r="AA25">
            <v>0</v>
          </cell>
          <cell r="AB25">
            <v>0</v>
          </cell>
          <cell r="AC25">
            <v>67002.149999999994</v>
          </cell>
          <cell r="AD25">
            <v>67002.149999999994</v>
          </cell>
          <cell r="AE25" t="str">
            <v/>
          </cell>
          <cell r="AF25" t="str">
            <v/>
          </cell>
          <cell r="AG25">
            <v>621509.81999999995</v>
          </cell>
          <cell r="AH25" t="str">
            <v>04</v>
          </cell>
          <cell r="AI25" t="str">
            <v>0211</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t="str">
            <v/>
          </cell>
          <cell r="BA25" t="str">
            <v/>
          </cell>
          <cell r="BB25">
            <v>0</v>
          </cell>
        </row>
        <row r="26">
          <cell r="A26" t="str">
            <v>7J56</v>
          </cell>
          <cell r="B26" t="str">
            <v>LOYOLA COLLEGE</v>
          </cell>
          <cell r="C26" t="str">
            <v>P</v>
          </cell>
          <cell r="D26" t="str">
            <v>Rate</v>
          </cell>
          <cell r="E26" t="str">
            <v>Loc</v>
          </cell>
          <cell r="F26" t="str">
            <v>3</v>
          </cell>
          <cell r="G26" t="str">
            <v>STPL</v>
          </cell>
          <cell r="H26" t="str">
            <v>Agg.STP with Sp</v>
          </cell>
          <cell r="I26" t="str">
            <v>BBB8</v>
          </cell>
          <cell r="J26" t="str">
            <v>0212</v>
          </cell>
          <cell r="K26">
            <v>16810.080000000002</v>
          </cell>
          <cell r="L26">
            <v>780.56</v>
          </cell>
          <cell r="M26">
            <v>29.03</v>
          </cell>
          <cell r="N26">
            <v>358.08</v>
          </cell>
          <cell r="O26">
            <v>7842.28</v>
          </cell>
          <cell r="P26">
            <v>24258.91</v>
          </cell>
          <cell r="Q26">
            <v>1232.07</v>
          </cell>
          <cell r="R26">
            <v>20.11</v>
          </cell>
          <cell r="S26">
            <v>1252.18</v>
          </cell>
          <cell r="T26">
            <v>3177.94</v>
          </cell>
          <cell r="U26">
            <v>352.67</v>
          </cell>
          <cell r="V26">
            <v>0</v>
          </cell>
          <cell r="W26">
            <v>0</v>
          </cell>
          <cell r="X26">
            <v>3530.61</v>
          </cell>
          <cell r="Y26">
            <v>0</v>
          </cell>
          <cell r="Z26">
            <v>0</v>
          </cell>
          <cell r="AA26">
            <v>0</v>
          </cell>
          <cell r="AB26">
            <v>0</v>
          </cell>
          <cell r="AC26">
            <v>3530.61</v>
          </cell>
          <cell r="AD26">
            <v>4782.79</v>
          </cell>
          <cell r="AE26" t="str">
            <v/>
          </cell>
          <cell r="AF26" t="str">
            <v/>
          </cell>
          <cell r="AG26">
            <v>29041.7</v>
          </cell>
          <cell r="AH26" t="str">
            <v>07</v>
          </cell>
          <cell r="AI26" t="str">
            <v>0211</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t="str">
            <v/>
          </cell>
          <cell r="BA26" t="str">
            <v/>
          </cell>
          <cell r="BB26">
            <v>0</v>
          </cell>
        </row>
        <row r="27">
          <cell r="A27" t="str">
            <v>7J60</v>
          </cell>
          <cell r="B27" t="str">
            <v>ST. MARY'S COUNTY COMMISSIONERS</v>
          </cell>
          <cell r="C27" t="str">
            <v>P</v>
          </cell>
          <cell r="D27" t="str">
            <v>Rate</v>
          </cell>
          <cell r="E27" t="str">
            <v>Loc</v>
          </cell>
          <cell r="F27" t="str">
            <v>3</v>
          </cell>
          <cell r="G27" t="str">
            <v>STPL</v>
          </cell>
          <cell r="H27" t="str">
            <v>Agg.STP with Sp</v>
          </cell>
          <cell r="I27" t="str">
            <v>BBB8</v>
          </cell>
          <cell r="J27" t="str">
            <v>0212</v>
          </cell>
          <cell r="K27">
            <v>1846.2</v>
          </cell>
          <cell r="L27">
            <v>0</v>
          </cell>
          <cell r="M27">
            <v>0</v>
          </cell>
          <cell r="N27">
            <v>101.24</v>
          </cell>
          <cell r="O27">
            <v>0</v>
          </cell>
          <cell r="P27">
            <v>1947.44</v>
          </cell>
          <cell r="Q27">
            <v>205.74</v>
          </cell>
          <cell r="R27">
            <v>3.63</v>
          </cell>
          <cell r="S27">
            <v>209.37</v>
          </cell>
          <cell r="T27">
            <v>1095.02</v>
          </cell>
          <cell r="U27">
            <v>121.67</v>
          </cell>
          <cell r="V27">
            <v>0</v>
          </cell>
          <cell r="W27">
            <v>0</v>
          </cell>
          <cell r="X27">
            <v>1216.69</v>
          </cell>
          <cell r="Y27">
            <v>0</v>
          </cell>
          <cell r="Z27">
            <v>0</v>
          </cell>
          <cell r="AA27">
            <v>0</v>
          </cell>
          <cell r="AB27">
            <v>0</v>
          </cell>
          <cell r="AC27">
            <v>1216.69</v>
          </cell>
          <cell r="AD27">
            <v>1426.06</v>
          </cell>
          <cell r="AE27" t="str">
            <v/>
          </cell>
          <cell r="AF27" t="str">
            <v/>
          </cell>
          <cell r="AG27">
            <v>3373.5</v>
          </cell>
          <cell r="AH27" t="str">
            <v>07</v>
          </cell>
          <cell r="AI27" t="str">
            <v>0211</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t="str">
            <v/>
          </cell>
          <cell r="BA27" t="str">
            <v/>
          </cell>
          <cell r="BB27">
            <v>0</v>
          </cell>
        </row>
        <row r="28">
          <cell r="A28" t="str">
            <v>7J61</v>
          </cell>
          <cell r="B28" t="str">
            <v>ST. MARY'S COUNTY PUBLIC SCHOOLS</v>
          </cell>
          <cell r="C28" t="str">
            <v>P</v>
          </cell>
          <cell r="D28" t="str">
            <v>Rate</v>
          </cell>
          <cell r="E28" t="str">
            <v>Loc</v>
          </cell>
          <cell r="F28" t="str">
            <v>3</v>
          </cell>
          <cell r="G28" t="str">
            <v>STPL</v>
          </cell>
          <cell r="H28" t="str">
            <v>Agg.STP with Sp</v>
          </cell>
          <cell r="I28" t="str">
            <v>BBB8</v>
          </cell>
          <cell r="J28" t="str">
            <v>0212</v>
          </cell>
          <cell r="K28">
            <v>12277.1</v>
          </cell>
          <cell r="L28">
            <v>0</v>
          </cell>
          <cell r="M28">
            <v>0</v>
          </cell>
          <cell r="N28">
            <v>354.96</v>
          </cell>
          <cell r="O28">
            <v>0</v>
          </cell>
          <cell r="P28">
            <v>12632.06</v>
          </cell>
          <cell r="Q28">
            <v>768.26</v>
          </cell>
          <cell r="R28">
            <v>6.4</v>
          </cell>
          <cell r="S28">
            <v>774.66</v>
          </cell>
          <cell r="T28">
            <v>4098.3100000000004</v>
          </cell>
          <cell r="U28">
            <v>455.37</v>
          </cell>
          <cell r="V28">
            <v>0</v>
          </cell>
          <cell r="W28">
            <v>0</v>
          </cell>
          <cell r="X28">
            <v>4553.68</v>
          </cell>
          <cell r="Y28">
            <v>0</v>
          </cell>
          <cell r="Z28">
            <v>0</v>
          </cell>
          <cell r="AA28">
            <v>0</v>
          </cell>
          <cell r="AB28">
            <v>0</v>
          </cell>
          <cell r="AC28">
            <v>4553.68</v>
          </cell>
          <cell r="AD28">
            <v>5328.34</v>
          </cell>
          <cell r="AE28" t="str">
            <v/>
          </cell>
          <cell r="AF28" t="str">
            <v/>
          </cell>
          <cell r="AG28">
            <v>17960.400000000001</v>
          </cell>
          <cell r="AH28" t="str">
            <v>07</v>
          </cell>
          <cell r="AI28" t="str">
            <v>0211</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t="str">
            <v/>
          </cell>
          <cell r="BA28" t="str">
            <v/>
          </cell>
          <cell r="BB28">
            <v>0</v>
          </cell>
        </row>
        <row r="29">
          <cell r="A29" t="str">
            <v>7J62</v>
          </cell>
          <cell r="B29" t="str">
            <v>BOARD OF CHILD CARE</v>
          </cell>
          <cell r="C29" t="str">
            <v>P</v>
          </cell>
          <cell r="D29" t="str">
            <v>C+R</v>
          </cell>
          <cell r="E29" t="str">
            <v>Loc</v>
          </cell>
          <cell r="F29" t="str">
            <v>3</v>
          </cell>
          <cell r="G29" t="str">
            <v>STPL</v>
          </cell>
          <cell r="H29" t="str">
            <v>Agg.STP with Sp</v>
          </cell>
          <cell r="I29" t="str">
            <v>BAB7</v>
          </cell>
          <cell r="J29" t="str">
            <v>0212</v>
          </cell>
          <cell r="K29">
            <v>5008.16</v>
          </cell>
          <cell r="L29">
            <v>0</v>
          </cell>
          <cell r="M29">
            <v>0</v>
          </cell>
          <cell r="N29">
            <v>231.25</v>
          </cell>
          <cell r="O29">
            <v>0</v>
          </cell>
          <cell r="P29">
            <v>5239.41</v>
          </cell>
          <cell r="Q29">
            <v>451.4</v>
          </cell>
          <cell r="R29">
            <v>187.96</v>
          </cell>
          <cell r="S29">
            <v>639.36</v>
          </cell>
          <cell r="T29">
            <v>1727.27</v>
          </cell>
          <cell r="U29">
            <v>191.92</v>
          </cell>
          <cell r="V29">
            <v>0</v>
          </cell>
          <cell r="W29">
            <v>0</v>
          </cell>
          <cell r="X29">
            <v>1919.19</v>
          </cell>
          <cell r="Y29">
            <v>0</v>
          </cell>
          <cell r="Z29">
            <v>0</v>
          </cell>
          <cell r="AA29">
            <v>0</v>
          </cell>
          <cell r="AB29">
            <v>0</v>
          </cell>
          <cell r="AC29">
            <v>1919.19</v>
          </cell>
          <cell r="AD29">
            <v>2558.5500000000002</v>
          </cell>
          <cell r="AE29" t="str">
            <v/>
          </cell>
          <cell r="AF29" t="str">
            <v/>
          </cell>
          <cell r="AG29">
            <v>7797.96</v>
          </cell>
          <cell r="AH29" t="str">
            <v>07</v>
          </cell>
          <cell r="AI29" t="str">
            <v>0211</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t="str">
            <v/>
          </cell>
          <cell r="BA29" t="str">
            <v/>
          </cell>
          <cell r="BB29">
            <v>0</v>
          </cell>
        </row>
        <row r="30">
          <cell r="A30" t="str">
            <v>7M15</v>
          </cell>
          <cell r="B30" t="str">
            <v>UNITED CONTAINER MACHINERY GROUP</v>
          </cell>
          <cell r="C30" t="str">
            <v>P</v>
          </cell>
          <cell r="D30" t="str">
            <v>C+R</v>
          </cell>
          <cell r="E30" t="str">
            <v>Loc</v>
          </cell>
          <cell r="F30" t="str">
            <v>3</v>
          </cell>
          <cell r="G30" t="str">
            <v>STPL</v>
          </cell>
          <cell r="H30" t="str">
            <v>Agg.STP with Sp</v>
          </cell>
          <cell r="I30" t="str">
            <v>BAB7</v>
          </cell>
          <cell r="J30" t="str">
            <v>0212</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t="str">
            <v/>
          </cell>
          <cell r="AF30" t="str">
            <v/>
          </cell>
          <cell r="AG30">
            <v>0</v>
          </cell>
          <cell r="AH30" t="str">
            <v>01</v>
          </cell>
          <cell r="AI30" t="str">
            <v>0211</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t="str">
            <v/>
          </cell>
          <cell r="BA30" t="str">
            <v/>
          </cell>
          <cell r="BB30">
            <v>0</v>
          </cell>
        </row>
        <row r="31">
          <cell r="A31" t="str">
            <v>7S45</v>
          </cell>
          <cell r="B31" t="str">
            <v>J J HAINES</v>
          </cell>
          <cell r="C31" t="str">
            <v>P</v>
          </cell>
          <cell r="D31" t="str">
            <v>C+R</v>
          </cell>
          <cell r="E31" t="str">
            <v>Loc</v>
          </cell>
          <cell r="F31" t="str">
            <v>2</v>
          </cell>
          <cell r="G31" t="str">
            <v>ASO</v>
          </cell>
          <cell r="H31" t="str">
            <v>ASO w/o  Spec</v>
          </cell>
          <cell r="I31" t="str">
            <v>BAD7</v>
          </cell>
          <cell r="J31" t="str">
            <v>0212</v>
          </cell>
          <cell r="K31">
            <v>1386.56</v>
          </cell>
          <cell r="L31">
            <v>0</v>
          </cell>
          <cell r="M31">
            <v>44.37</v>
          </cell>
          <cell r="N31">
            <v>0</v>
          </cell>
          <cell r="O31">
            <v>0</v>
          </cell>
          <cell r="P31">
            <v>1430.93</v>
          </cell>
          <cell r="Q31">
            <v>0</v>
          </cell>
          <cell r="R31">
            <v>0</v>
          </cell>
          <cell r="S31">
            <v>0</v>
          </cell>
          <cell r="T31">
            <v>747.13</v>
          </cell>
          <cell r="U31">
            <v>83.16</v>
          </cell>
          <cell r="V31">
            <v>0</v>
          </cell>
          <cell r="W31">
            <v>57.01</v>
          </cell>
          <cell r="X31">
            <v>887.3</v>
          </cell>
          <cell r="Y31">
            <v>0</v>
          </cell>
          <cell r="Z31">
            <v>0</v>
          </cell>
          <cell r="AA31">
            <v>0</v>
          </cell>
          <cell r="AB31">
            <v>0</v>
          </cell>
          <cell r="AC31">
            <v>887.3</v>
          </cell>
          <cell r="AD31">
            <v>887.3</v>
          </cell>
          <cell r="AE31" t="str">
            <v/>
          </cell>
          <cell r="AF31" t="str">
            <v/>
          </cell>
          <cell r="AG31">
            <v>2318.23</v>
          </cell>
          <cell r="AH31" t="str">
            <v>05</v>
          </cell>
          <cell r="AI31" t="str">
            <v>0211</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t="str">
            <v/>
          </cell>
          <cell r="BA31" t="str">
            <v/>
          </cell>
          <cell r="BB31">
            <v>0</v>
          </cell>
        </row>
        <row r="32">
          <cell r="A32" t="str">
            <v>C414</v>
          </cell>
          <cell r="B32" t="str">
            <v>Henry M. Jackson</v>
          </cell>
          <cell r="C32" t="str">
            <v>P</v>
          </cell>
          <cell r="D32" t="str">
            <v>C+R</v>
          </cell>
          <cell r="E32" t="str">
            <v>Loc</v>
          </cell>
          <cell r="F32" t="str">
            <v>3</v>
          </cell>
          <cell r="G32" t="str">
            <v>STPL</v>
          </cell>
          <cell r="H32" t="str">
            <v>Agg.STP with Sp</v>
          </cell>
          <cell r="I32" t="str">
            <v>B1732ZZR</v>
          </cell>
          <cell r="J32" t="str">
            <v>0212</v>
          </cell>
          <cell r="K32">
            <v>230730.89</v>
          </cell>
          <cell r="L32">
            <v>0</v>
          </cell>
          <cell r="M32">
            <v>1992.08</v>
          </cell>
          <cell r="N32">
            <v>1143.8</v>
          </cell>
          <cell r="O32">
            <v>0</v>
          </cell>
          <cell r="P32">
            <v>233866.77</v>
          </cell>
          <cell r="Q32">
            <v>16730.03</v>
          </cell>
          <cell r="R32">
            <v>5041.18</v>
          </cell>
          <cell r="S32">
            <v>21771.21</v>
          </cell>
          <cell r="T32">
            <v>35885.96</v>
          </cell>
          <cell r="U32">
            <v>3077.04</v>
          </cell>
          <cell r="V32">
            <v>0</v>
          </cell>
          <cell r="W32">
            <v>11538.9</v>
          </cell>
          <cell r="X32">
            <v>50501.9</v>
          </cell>
          <cell r="Y32">
            <v>0</v>
          </cell>
          <cell r="Z32">
            <v>893.62</v>
          </cell>
          <cell r="AA32">
            <v>0</v>
          </cell>
          <cell r="AB32">
            <v>0</v>
          </cell>
          <cell r="AC32">
            <v>51395.519999999997</v>
          </cell>
          <cell r="AD32">
            <v>73166.73</v>
          </cell>
          <cell r="AE32" t="str">
            <v/>
          </cell>
          <cell r="AF32" t="str">
            <v/>
          </cell>
          <cell r="AG32">
            <v>307033.5</v>
          </cell>
          <cell r="AH32" t="str">
            <v>01</v>
          </cell>
          <cell r="AI32" t="str">
            <v>0211</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t="str">
            <v/>
          </cell>
          <cell r="BA32" t="str">
            <v/>
          </cell>
          <cell r="BB32">
            <v>0</v>
          </cell>
        </row>
        <row r="33">
          <cell r="A33" t="str">
            <v>D702</v>
          </cell>
          <cell r="B33" t="str">
            <v>Sibley Memorial Hospital</v>
          </cell>
          <cell r="C33" t="str">
            <v>P</v>
          </cell>
          <cell r="D33" t="str">
            <v>C+R</v>
          </cell>
          <cell r="E33" t="str">
            <v>Loc</v>
          </cell>
          <cell r="F33" t="str">
            <v>3</v>
          </cell>
          <cell r="G33" t="str">
            <v>STPL</v>
          </cell>
          <cell r="H33" t="str">
            <v>Agg.STP with Sp</v>
          </cell>
          <cell r="I33" t="str">
            <v>B3732ZZR</v>
          </cell>
          <cell r="J33" t="str">
            <v>0212</v>
          </cell>
          <cell r="K33">
            <v>209756.3</v>
          </cell>
          <cell r="L33">
            <v>0</v>
          </cell>
          <cell r="M33">
            <v>465.49</v>
          </cell>
          <cell r="N33">
            <v>2356</v>
          </cell>
          <cell r="O33">
            <v>0</v>
          </cell>
          <cell r="P33">
            <v>212577.79</v>
          </cell>
          <cell r="Q33">
            <v>14328.9</v>
          </cell>
          <cell r="R33">
            <v>7519.24</v>
          </cell>
          <cell r="S33">
            <v>21848.14</v>
          </cell>
          <cell r="T33">
            <v>35311.11</v>
          </cell>
          <cell r="U33">
            <v>7175.52</v>
          </cell>
          <cell r="V33">
            <v>0</v>
          </cell>
          <cell r="W33">
            <v>0</v>
          </cell>
          <cell r="X33">
            <v>42486.63</v>
          </cell>
          <cell r="Y33">
            <v>0</v>
          </cell>
          <cell r="Z33">
            <v>641.11</v>
          </cell>
          <cell r="AA33">
            <v>0</v>
          </cell>
          <cell r="AB33">
            <v>0</v>
          </cell>
          <cell r="AC33">
            <v>43127.74</v>
          </cell>
          <cell r="AD33">
            <v>64975.88</v>
          </cell>
          <cell r="AE33" t="str">
            <v/>
          </cell>
          <cell r="AF33" t="str">
            <v/>
          </cell>
          <cell r="AG33">
            <v>277553.67</v>
          </cell>
          <cell r="AH33" t="str">
            <v>05</v>
          </cell>
          <cell r="AI33" t="str">
            <v>0211</v>
          </cell>
          <cell r="AJ33">
            <v>7.78</v>
          </cell>
          <cell r="AK33">
            <v>0</v>
          </cell>
          <cell r="AL33">
            <v>0</v>
          </cell>
          <cell r="AM33">
            <v>0</v>
          </cell>
          <cell r="AN33">
            <v>0</v>
          </cell>
          <cell r="AO33">
            <v>7.78</v>
          </cell>
          <cell r="AP33">
            <v>0</v>
          </cell>
          <cell r="AQ33">
            <v>0</v>
          </cell>
          <cell r="AR33">
            <v>0</v>
          </cell>
          <cell r="AS33">
            <v>0</v>
          </cell>
          <cell r="AT33">
            <v>0</v>
          </cell>
          <cell r="AU33">
            <v>0</v>
          </cell>
          <cell r="AV33">
            <v>0</v>
          </cell>
          <cell r="AW33">
            <v>0</v>
          </cell>
          <cell r="AX33">
            <v>0</v>
          </cell>
          <cell r="AY33">
            <v>0</v>
          </cell>
          <cell r="AZ33" t="str">
            <v/>
          </cell>
          <cell r="BA33" t="str">
            <v/>
          </cell>
          <cell r="BB33">
            <v>7.78</v>
          </cell>
        </row>
        <row r="34">
          <cell r="A34" t="str">
            <v>F49N</v>
          </cell>
          <cell r="B34" t="str">
            <v>FAIRFAX COUNTY GOVERNMENT</v>
          </cell>
          <cell r="C34" t="str">
            <v>P</v>
          </cell>
          <cell r="D34" t="str">
            <v>C+R</v>
          </cell>
          <cell r="E34" t="str">
            <v>Loc</v>
          </cell>
          <cell r="F34" t="str">
            <v>2</v>
          </cell>
          <cell r="G34" t="str">
            <v>ASO</v>
          </cell>
          <cell r="H34" t="str">
            <v>ASO w/o  Spec</v>
          </cell>
          <cell r="I34" t="str">
            <v>B3722FGR</v>
          </cell>
          <cell r="J34" t="str">
            <v>0212</v>
          </cell>
          <cell r="K34">
            <v>3374246.36</v>
          </cell>
          <cell r="L34">
            <v>0</v>
          </cell>
          <cell r="M34">
            <v>0</v>
          </cell>
          <cell r="N34">
            <v>3760.41</v>
          </cell>
          <cell r="O34">
            <v>0</v>
          </cell>
          <cell r="P34">
            <v>3378006.77</v>
          </cell>
          <cell r="Q34">
            <v>0</v>
          </cell>
          <cell r="R34">
            <v>0</v>
          </cell>
          <cell r="S34">
            <v>0</v>
          </cell>
          <cell r="T34">
            <v>188802.8</v>
          </cell>
          <cell r="U34">
            <v>20931.57</v>
          </cell>
          <cell r="V34">
            <v>0</v>
          </cell>
          <cell r="W34">
            <v>0</v>
          </cell>
          <cell r="X34">
            <v>209734.37</v>
          </cell>
          <cell r="Y34">
            <v>0</v>
          </cell>
          <cell r="Z34">
            <v>5678.14</v>
          </cell>
          <cell r="AA34">
            <v>0</v>
          </cell>
          <cell r="AB34">
            <v>0</v>
          </cell>
          <cell r="AC34">
            <v>215412.51</v>
          </cell>
          <cell r="AD34">
            <v>215412.51</v>
          </cell>
          <cell r="AE34" t="str">
            <v/>
          </cell>
          <cell r="AF34" t="str">
            <v/>
          </cell>
          <cell r="AG34">
            <v>3593419.28</v>
          </cell>
          <cell r="AH34" t="str">
            <v>01</v>
          </cell>
          <cell r="AI34" t="str">
            <v>0211</v>
          </cell>
          <cell r="AJ34">
            <v>7.04</v>
          </cell>
          <cell r="AK34">
            <v>0</v>
          </cell>
          <cell r="AL34">
            <v>0</v>
          </cell>
          <cell r="AM34">
            <v>0</v>
          </cell>
          <cell r="AN34">
            <v>0</v>
          </cell>
          <cell r="AO34">
            <v>7.04</v>
          </cell>
          <cell r="AP34">
            <v>0</v>
          </cell>
          <cell r="AQ34">
            <v>0</v>
          </cell>
          <cell r="AR34">
            <v>0</v>
          </cell>
          <cell r="AS34">
            <v>0</v>
          </cell>
          <cell r="AT34">
            <v>0</v>
          </cell>
          <cell r="AU34">
            <v>0</v>
          </cell>
          <cell r="AV34">
            <v>0</v>
          </cell>
          <cell r="AW34">
            <v>0</v>
          </cell>
          <cell r="AX34">
            <v>0</v>
          </cell>
          <cell r="AY34">
            <v>0</v>
          </cell>
          <cell r="AZ34">
            <v>3415.63</v>
          </cell>
          <cell r="BA34">
            <v>0</v>
          </cell>
          <cell r="BB34">
            <v>3422.67</v>
          </cell>
        </row>
        <row r="35">
          <cell r="A35" t="str">
            <v>F70N</v>
          </cell>
          <cell r="B35" t="str">
            <v>FAIRFAX COUNTY PUBLIC SCHOOLS</v>
          </cell>
          <cell r="C35" t="str">
            <v>P</v>
          </cell>
          <cell r="D35" t="str">
            <v>C+R</v>
          </cell>
          <cell r="E35" t="str">
            <v>Loc</v>
          </cell>
          <cell r="F35" t="str">
            <v>2</v>
          </cell>
          <cell r="G35" t="str">
            <v>ASO</v>
          </cell>
          <cell r="H35" t="str">
            <v>ASO w/o  Spec</v>
          </cell>
          <cell r="I35" t="str">
            <v>B3722FSR</v>
          </cell>
          <cell r="J35" t="str">
            <v>0212</v>
          </cell>
          <cell r="K35">
            <v>3337633.61</v>
          </cell>
          <cell r="L35">
            <v>0</v>
          </cell>
          <cell r="M35">
            <v>0</v>
          </cell>
          <cell r="N35">
            <v>1463.33</v>
          </cell>
          <cell r="O35">
            <v>0</v>
          </cell>
          <cell r="P35">
            <v>3339096.94</v>
          </cell>
          <cell r="Q35">
            <v>0</v>
          </cell>
          <cell r="R35">
            <v>0</v>
          </cell>
          <cell r="S35">
            <v>0</v>
          </cell>
          <cell r="T35">
            <v>193702.44</v>
          </cell>
          <cell r="U35">
            <v>24961.65</v>
          </cell>
          <cell r="V35">
            <v>0</v>
          </cell>
          <cell r="W35">
            <v>0</v>
          </cell>
          <cell r="X35">
            <v>218664.09</v>
          </cell>
          <cell r="Y35">
            <v>0</v>
          </cell>
          <cell r="Z35">
            <v>3450.9</v>
          </cell>
          <cell r="AA35">
            <v>0</v>
          </cell>
          <cell r="AB35">
            <v>0</v>
          </cell>
          <cell r="AC35">
            <v>222114.99</v>
          </cell>
          <cell r="AD35">
            <v>222114.99</v>
          </cell>
          <cell r="AE35" t="str">
            <v/>
          </cell>
          <cell r="AF35" t="str">
            <v/>
          </cell>
          <cell r="AG35">
            <v>3561211.93</v>
          </cell>
          <cell r="AH35" t="str">
            <v>01</v>
          </cell>
          <cell r="AI35" t="str">
            <v>0211</v>
          </cell>
          <cell r="AJ35">
            <v>24.13</v>
          </cell>
          <cell r="AK35">
            <v>0</v>
          </cell>
          <cell r="AL35">
            <v>0</v>
          </cell>
          <cell r="AM35">
            <v>0</v>
          </cell>
          <cell r="AN35">
            <v>0</v>
          </cell>
          <cell r="AO35">
            <v>24.13</v>
          </cell>
          <cell r="AP35">
            <v>0</v>
          </cell>
          <cell r="AQ35">
            <v>0</v>
          </cell>
          <cell r="AR35">
            <v>0</v>
          </cell>
          <cell r="AS35">
            <v>-23.41</v>
          </cell>
          <cell r="AT35">
            <v>0</v>
          </cell>
          <cell r="AU35">
            <v>-0.2</v>
          </cell>
          <cell r="AV35">
            <v>0</v>
          </cell>
          <cell r="AW35">
            <v>0</v>
          </cell>
          <cell r="AX35">
            <v>-23.61</v>
          </cell>
          <cell r="AY35">
            <v>-23.61</v>
          </cell>
          <cell r="AZ35" t="str">
            <v/>
          </cell>
          <cell r="BA35" t="str">
            <v/>
          </cell>
          <cell r="BB35">
            <v>0.52</v>
          </cell>
        </row>
        <row r="36">
          <cell r="A36" t="str">
            <v>MR62</v>
          </cell>
          <cell r="B36" t="str">
            <v>THE BROOKINGS INSTITUTION</v>
          </cell>
          <cell r="C36" t="str">
            <v>P</v>
          </cell>
          <cell r="D36" t="str">
            <v>C+R</v>
          </cell>
          <cell r="E36" t="str">
            <v>Loc</v>
          </cell>
          <cell r="F36" t="str">
            <v>2</v>
          </cell>
          <cell r="G36" t="str">
            <v>ASO</v>
          </cell>
          <cell r="H36" t="str">
            <v>ASO w/o  Spec</v>
          </cell>
          <cell r="I36" t="str">
            <v>C3624ZZR</v>
          </cell>
          <cell r="J36" t="str">
            <v>0212</v>
          </cell>
          <cell r="K36">
            <v>16056.44</v>
          </cell>
          <cell r="L36">
            <v>0</v>
          </cell>
          <cell r="M36">
            <v>0</v>
          </cell>
          <cell r="N36">
            <v>1045.1600000000001</v>
          </cell>
          <cell r="O36">
            <v>0</v>
          </cell>
          <cell r="P36">
            <v>17101.599999999999</v>
          </cell>
          <cell r="Q36">
            <v>0</v>
          </cell>
          <cell r="R36">
            <v>0</v>
          </cell>
          <cell r="S36">
            <v>0</v>
          </cell>
          <cell r="T36">
            <v>4913.45</v>
          </cell>
          <cell r="U36">
            <v>2087.87</v>
          </cell>
          <cell r="V36">
            <v>0</v>
          </cell>
          <cell r="W36">
            <v>0</v>
          </cell>
          <cell r="X36">
            <v>7001.32</v>
          </cell>
          <cell r="Y36">
            <v>0</v>
          </cell>
          <cell r="Z36">
            <v>0</v>
          </cell>
          <cell r="AA36">
            <v>0</v>
          </cell>
          <cell r="AB36">
            <v>0</v>
          </cell>
          <cell r="AC36">
            <v>7001.32</v>
          </cell>
          <cell r="AD36">
            <v>7001.32</v>
          </cell>
          <cell r="AE36" t="str">
            <v/>
          </cell>
          <cell r="AF36" t="str">
            <v/>
          </cell>
          <cell r="AG36">
            <v>24102.92</v>
          </cell>
          <cell r="AH36" t="str">
            <v>01</v>
          </cell>
          <cell r="AI36" t="str">
            <v>0211</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t="str">
            <v/>
          </cell>
          <cell r="BA36" t="str">
            <v/>
          </cell>
          <cell r="BB36">
            <v>0</v>
          </cell>
        </row>
        <row r="37">
          <cell r="A37" t="str">
            <v>MR63</v>
          </cell>
          <cell r="B37" t="str">
            <v>CVS PHARMACY</v>
          </cell>
          <cell r="C37" t="str">
            <v>P</v>
          </cell>
          <cell r="D37" t="str">
            <v>C+R</v>
          </cell>
          <cell r="E37" t="str">
            <v>Loc</v>
          </cell>
          <cell r="F37" t="str">
            <v>2</v>
          </cell>
          <cell r="G37" t="str">
            <v>ASO</v>
          </cell>
          <cell r="H37" t="str">
            <v>ASO w/o  Spec</v>
          </cell>
          <cell r="I37" t="str">
            <v>BAD8</v>
          </cell>
          <cell r="J37" t="str">
            <v>0212</v>
          </cell>
          <cell r="K37">
            <v>761195.29</v>
          </cell>
          <cell r="L37">
            <v>0</v>
          </cell>
          <cell r="M37">
            <v>29272.67</v>
          </cell>
          <cell r="N37">
            <v>5468.4</v>
          </cell>
          <cell r="O37">
            <v>0</v>
          </cell>
          <cell r="P37">
            <v>795936.36</v>
          </cell>
          <cell r="Q37">
            <v>0</v>
          </cell>
          <cell r="R37">
            <v>0</v>
          </cell>
          <cell r="S37">
            <v>0</v>
          </cell>
          <cell r="T37">
            <v>101767.72</v>
          </cell>
          <cell r="U37">
            <v>11307.53</v>
          </cell>
          <cell r="V37">
            <v>0</v>
          </cell>
          <cell r="W37">
            <v>0</v>
          </cell>
          <cell r="X37">
            <v>113075.25</v>
          </cell>
          <cell r="Y37">
            <v>0</v>
          </cell>
          <cell r="Z37">
            <v>5288.85</v>
          </cell>
          <cell r="AA37">
            <v>0</v>
          </cell>
          <cell r="AB37">
            <v>0</v>
          </cell>
          <cell r="AC37">
            <v>118364.1</v>
          </cell>
          <cell r="AD37">
            <v>118364.1</v>
          </cell>
          <cell r="AE37" t="str">
            <v/>
          </cell>
          <cell r="AF37" t="str">
            <v/>
          </cell>
          <cell r="AG37">
            <v>914300.46</v>
          </cell>
          <cell r="AH37" t="str">
            <v>06</v>
          </cell>
          <cell r="AI37" t="str">
            <v>0211</v>
          </cell>
          <cell r="AJ37">
            <v>0</v>
          </cell>
          <cell r="AK37">
            <v>0</v>
          </cell>
          <cell r="AL37">
            <v>0</v>
          </cell>
          <cell r="AM37">
            <v>4.96</v>
          </cell>
          <cell r="AN37">
            <v>0</v>
          </cell>
          <cell r="AO37">
            <v>4.96</v>
          </cell>
          <cell r="AP37">
            <v>0</v>
          </cell>
          <cell r="AQ37">
            <v>0</v>
          </cell>
          <cell r="AR37">
            <v>0</v>
          </cell>
          <cell r="AS37">
            <v>62.02</v>
          </cell>
          <cell r="AT37">
            <v>0</v>
          </cell>
          <cell r="AU37">
            <v>2.42</v>
          </cell>
          <cell r="AV37">
            <v>0</v>
          </cell>
          <cell r="AW37">
            <v>0</v>
          </cell>
          <cell r="AX37">
            <v>64.44</v>
          </cell>
          <cell r="AY37">
            <v>64.44</v>
          </cell>
          <cell r="AZ37" t="str">
            <v/>
          </cell>
          <cell r="BA37" t="str">
            <v/>
          </cell>
          <cell r="BB37">
            <v>69.400000000000006</v>
          </cell>
        </row>
        <row r="38">
          <cell r="A38" t="str">
            <v>NJ52</v>
          </cell>
          <cell r="B38" t="str">
            <v>CHOICE HOTELS INTERNATIONAL, INC.</v>
          </cell>
          <cell r="C38" t="str">
            <v>P</v>
          </cell>
          <cell r="D38" t="str">
            <v>C+R</v>
          </cell>
          <cell r="E38" t="str">
            <v>Loc</v>
          </cell>
          <cell r="F38" t="str">
            <v>3</v>
          </cell>
          <cell r="G38" t="str">
            <v>STPL</v>
          </cell>
          <cell r="H38" t="str">
            <v>Agg.STP with Sp</v>
          </cell>
          <cell r="I38" t="str">
            <v>B3733PPR</v>
          </cell>
          <cell r="J38" t="str">
            <v>0212</v>
          </cell>
          <cell r="K38">
            <v>106293.11</v>
          </cell>
          <cell r="L38">
            <v>0</v>
          </cell>
          <cell r="M38">
            <v>14209.91</v>
          </cell>
          <cell r="N38">
            <v>0</v>
          </cell>
          <cell r="O38">
            <v>0</v>
          </cell>
          <cell r="P38">
            <v>120503.02</v>
          </cell>
          <cell r="Q38">
            <v>7577.41</v>
          </cell>
          <cell r="R38">
            <v>5494.15</v>
          </cell>
          <cell r="S38">
            <v>13071.56</v>
          </cell>
          <cell r="T38">
            <v>33561.800000000003</v>
          </cell>
          <cell r="U38">
            <v>2700.38</v>
          </cell>
          <cell r="V38">
            <v>0</v>
          </cell>
          <cell r="W38">
            <v>0</v>
          </cell>
          <cell r="X38">
            <v>36262.18</v>
          </cell>
          <cell r="Y38">
            <v>0</v>
          </cell>
          <cell r="Z38">
            <v>303.5</v>
          </cell>
          <cell r="AA38">
            <v>0</v>
          </cell>
          <cell r="AB38">
            <v>0</v>
          </cell>
          <cell r="AC38">
            <v>36565.68</v>
          </cell>
          <cell r="AD38">
            <v>49637.24</v>
          </cell>
          <cell r="AE38" t="str">
            <v/>
          </cell>
          <cell r="AF38" t="str">
            <v/>
          </cell>
          <cell r="AG38">
            <v>170140.26</v>
          </cell>
          <cell r="AH38" t="str">
            <v>01</v>
          </cell>
          <cell r="AI38" t="str">
            <v>0211</v>
          </cell>
          <cell r="AJ38">
            <v>4.88</v>
          </cell>
          <cell r="AK38">
            <v>0</v>
          </cell>
          <cell r="AL38">
            <v>0</v>
          </cell>
          <cell r="AM38">
            <v>0</v>
          </cell>
          <cell r="AN38">
            <v>0</v>
          </cell>
          <cell r="AO38">
            <v>4.88</v>
          </cell>
          <cell r="AP38">
            <v>0</v>
          </cell>
          <cell r="AQ38">
            <v>0</v>
          </cell>
          <cell r="AR38">
            <v>0</v>
          </cell>
          <cell r="AS38">
            <v>0</v>
          </cell>
          <cell r="AT38">
            <v>0</v>
          </cell>
          <cell r="AU38">
            <v>0</v>
          </cell>
          <cell r="AV38">
            <v>0</v>
          </cell>
          <cell r="AW38">
            <v>0</v>
          </cell>
          <cell r="AX38">
            <v>0</v>
          </cell>
          <cell r="AY38">
            <v>0</v>
          </cell>
          <cell r="AZ38" t="str">
            <v/>
          </cell>
          <cell r="BA38" t="str">
            <v/>
          </cell>
          <cell r="BB38">
            <v>4.88</v>
          </cell>
        </row>
        <row r="39">
          <cell r="A39" t="str">
            <v>NJ54</v>
          </cell>
          <cell r="B39" t="str">
            <v>FOREST CITY ENTERPRISES, INC.</v>
          </cell>
          <cell r="C39" t="str">
            <v>P</v>
          </cell>
          <cell r="D39" t="str">
            <v>C+R</v>
          </cell>
          <cell r="E39" t="str">
            <v>Loc</v>
          </cell>
          <cell r="F39" t="str">
            <v>1</v>
          </cell>
          <cell r="G39" t="str">
            <v>ASO</v>
          </cell>
          <cell r="H39" t="str">
            <v>ASO with Spec</v>
          </cell>
          <cell r="I39" t="str">
            <v>B3715ZZR</v>
          </cell>
          <cell r="J39" t="str">
            <v>0212</v>
          </cell>
          <cell r="K39">
            <v>243678.33</v>
          </cell>
          <cell r="L39">
            <v>420</v>
          </cell>
          <cell r="M39">
            <v>18794.2</v>
          </cell>
          <cell r="N39">
            <v>0</v>
          </cell>
          <cell r="O39">
            <v>0</v>
          </cell>
          <cell r="P39">
            <v>262052.53</v>
          </cell>
          <cell r="Q39">
            <v>12746.08</v>
          </cell>
          <cell r="R39">
            <v>0</v>
          </cell>
          <cell r="S39">
            <v>12746.08</v>
          </cell>
          <cell r="T39">
            <v>34920.33</v>
          </cell>
          <cell r="U39">
            <v>3131.87</v>
          </cell>
          <cell r="V39">
            <v>0</v>
          </cell>
          <cell r="W39">
            <v>908.24</v>
          </cell>
          <cell r="X39">
            <v>38960.44</v>
          </cell>
          <cell r="Y39">
            <v>0</v>
          </cell>
          <cell r="Z39">
            <v>110.64</v>
          </cell>
          <cell r="AA39">
            <v>0</v>
          </cell>
          <cell r="AB39">
            <v>0</v>
          </cell>
          <cell r="AC39">
            <v>39071.08</v>
          </cell>
          <cell r="AD39">
            <v>51817.16</v>
          </cell>
          <cell r="AE39" t="str">
            <v/>
          </cell>
          <cell r="AF39" t="str">
            <v/>
          </cell>
          <cell r="AG39">
            <v>313869.69</v>
          </cell>
          <cell r="AH39" t="str">
            <v>01</v>
          </cell>
          <cell r="AI39" t="str">
            <v>0211</v>
          </cell>
          <cell r="AJ39">
            <v>1482.3</v>
          </cell>
          <cell r="AK39">
            <v>0</v>
          </cell>
          <cell r="AL39">
            <v>0</v>
          </cell>
          <cell r="AM39">
            <v>0</v>
          </cell>
          <cell r="AN39">
            <v>0</v>
          </cell>
          <cell r="AO39">
            <v>1482.3</v>
          </cell>
          <cell r="AP39">
            <v>0</v>
          </cell>
          <cell r="AQ39">
            <v>0</v>
          </cell>
          <cell r="AR39">
            <v>0</v>
          </cell>
          <cell r="AS39">
            <v>0</v>
          </cell>
          <cell r="AT39">
            <v>0</v>
          </cell>
          <cell r="AU39">
            <v>0</v>
          </cell>
          <cell r="AV39">
            <v>0</v>
          </cell>
          <cell r="AW39">
            <v>0</v>
          </cell>
          <cell r="AX39">
            <v>0</v>
          </cell>
          <cell r="AY39">
            <v>0</v>
          </cell>
          <cell r="AZ39" t="str">
            <v/>
          </cell>
          <cell r="BA39" t="str">
            <v/>
          </cell>
          <cell r="BB39">
            <v>1482.3</v>
          </cell>
        </row>
        <row r="40">
          <cell r="A40" t="str">
            <v>NP50</v>
          </cell>
          <cell r="B40" t="str">
            <v>CATHOLIC DIOCESE OF ARLINGTON</v>
          </cell>
          <cell r="C40" t="str">
            <v>P</v>
          </cell>
          <cell r="D40" t="str">
            <v>C+R</v>
          </cell>
          <cell r="E40" t="str">
            <v>Loc</v>
          </cell>
          <cell r="F40" t="str">
            <v>3</v>
          </cell>
          <cell r="G40" t="str">
            <v>STPL</v>
          </cell>
          <cell r="H40" t="str">
            <v>Agg.STP with Sp</v>
          </cell>
          <cell r="I40" t="str">
            <v>B3733HPR</v>
          </cell>
          <cell r="J40" t="str">
            <v>0212</v>
          </cell>
          <cell r="K40">
            <v>285469.08</v>
          </cell>
          <cell r="L40">
            <v>0</v>
          </cell>
          <cell r="M40">
            <v>1528.32</v>
          </cell>
          <cell r="N40">
            <v>0</v>
          </cell>
          <cell r="O40">
            <v>0</v>
          </cell>
          <cell r="P40">
            <v>286997.40000000002</v>
          </cell>
          <cell r="Q40">
            <v>6746.84</v>
          </cell>
          <cell r="R40">
            <v>3901.7</v>
          </cell>
          <cell r="S40">
            <v>10648.54</v>
          </cell>
          <cell r="T40">
            <v>42243.85</v>
          </cell>
          <cell r="U40">
            <v>4685.3599999999997</v>
          </cell>
          <cell r="V40">
            <v>0</v>
          </cell>
          <cell r="W40">
            <v>0</v>
          </cell>
          <cell r="X40">
            <v>46929.21</v>
          </cell>
          <cell r="Y40">
            <v>0</v>
          </cell>
          <cell r="Z40">
            <v>614.4</v>
          </cell>
          <cell r="AA40">
            <v>0</v>
          </cell>
          <cell r="AB40">
            <v>0</v>
          </cell>
          <cell r="AC40">
            <v>47543.61</v>
          </cell>
          <cell r="AD40">
            <v>58192.15</v>
          </cell>
          <cell r="AE40" t="str">
            <v/>
          </cell>
          <cell r="AF40" t="str">
            <v/>
          </cell>
          <cell r="AG40">
            <v>345189.55</v>
          </cell>
          <cell r="AH40" t="str">
            <v>03</v>
          </cell>
          <cell r="AI40" t="str">
            <v>0211</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t="str">
            <v/>
          </cell>
          <cell r="BA40" t="str">
            <v/>
          </cell>
          <cell r="BB40">
            <v>0</v>
          </cell>
        </row>
        <row r="41">
          <cell r="A41" t="str">
            <v>NS45</v>
          </cell>
          <cell r="B41" t="str">
            <v>PROVIDENCE HOSPITAL</v>
          </cell>
          <cell r="C41" t="str">
            <v>P</v>
          </cell>
          <cell r="D41" t="str">
            <v>C+R</v>
          </cell>
          <cell r="E41" t="str">
            <v>Loc</v>
          </cell>
          <cell r="F41" t="str">
            <v>1</v>
          </cell>
          <cell r="G41" t="str">
            <v>ASO</v>
          </cell>
          <cell r="H41" t="str">
            <v>ASO with Spec</v>
          </cell>
          <cell r="I41" t="str">
            <v>B3713HPR</v>
          </cell>
          <cell r="J41" t="str">
            <v>0212</v>
          </cell>
          <cell r="K41">
            <v>143975.35999999999</v>
          </cell>
          <cell r="L41">
            <v>0</v>
          </cell>
          <cell r="M41">
            <v>216.25</v>
          </cell>
          <cell r="N41">
            <v>1422.1</v>
          </cell>
          <cell r="O41">
            <v>0</v>
          </cell>
          <cell r="P41">
            <v>145613.71</v>
          </cell>
          <cell r="Q41">
            <v>3258.66</v>
          </cell>
          <cell r="R41">
            <v>0</v>
          </cell>
          <cell r="S41">
            <v>3258.66</v>
          </cell>
          <cell r="T41">
            <v>23870.26</v>
          </cell>
          <cell r="U41">
            <v>3691.68</v>
          </cell>
          <cell r="V41">
            <v>0</v>
          </cell>
          <cell r="W41">
            <v>0</v>
          </cell>
          <cell r="X41">
            <v>27561.94</v>
          </cell>
          <cell r="Y41">
            <v>0</v>
          </cell>
          <cell r="Z41">
            <v>0</v>
          </cell>
          <cell r="AA41">
            <v>0</v>
          </cell>
          <cell r="AB41">
            <v>0</v>
          </cell>
          <cell r="AC41">
            <v>27561.94</v>
          </cell>
          <cell r="AD41">
            <v>30820.6</v>
          </cell>
          <cell r="AE41" t="str">
            <v/>
          </cell>
          <cell r="AF41" t="str">
            <v/>
          </cell>
          <cell r="AG41">
            <v>176434.31</v>
          </cell>
          <cell r="AH41" t="str">
            <v>01</v>
          </cell>
          <cell r="AI41" t="str">
            <v>0211</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t="str">
            <v/>
          </cell>
          <cell r="BA41" t="str">
            <v/>
          </cell>
          <cell r="BB41">
            <v>0</v>
          </cell>
        </row>
        <row r="42">
          <cell r="A42" t="str">
            <v>P436</v>
          </cell>
          <cell r="B42" t="str">
            <v>Overseas Private Investment Corp.</v>
          </cell>
          <cell r="C42" t="str">
            <v>P</v>
          </cell>
          <cell r="D42" t="str">
            <v>Rate</v>
          </cell>
          <cell r="E42" t="str">
            <v>Loc</v>
          </cell>
          <cell r="F42" t="str">
            <v>5</v>
          </cell>
          <cell r="G42" t="str">
            <v>INSU</v>
          </cell>
          <cell r="H42" t="str">
            <v>Insured with Sp</v>
          </cell>
          <cell r="I42" t="str">
            <v>B3551ZZZ</v>
          </cell>
          <cell r="J42" t="str">
            <v>0212</v>
          </cell>
          <cell r="K42">
            <v>39731.21</v>
          </cell>
          <cell r="L42">
            <v>0</v>
          </cell>
          <cell r="M42">
            <v>23.9</v>
          </cell>
          <cell r="N42">
            <v>0</v>
          </cell>
          <cell r="O42">
            <v>0</v>
          </cell>
          <cell r="P42">
            <v>39755.11</v>
          </cell>
          <cell r="Q42">
            <v>3036.9</v>
          </cell>
          <cell r="R42">
            <v>888.28</v>
          </cell>
          <cell r="S42">
            <v>3925.18</v>
          </cell>
          <cell r="T42">
            <v>5458.01</v>
          </cell>
          <cell r="U42">
            <v>789</v>
          </cell>
          <cell r="V42">
            <v>-238.44</v>
          </cell>
          <cell r="W42">
            <v>0</v>
          </cell>
          <cell r="X42">
            <v>6008.57</v>
          </cell>
          <cell r="Y42">
            <v>0</v>
          </cell>
          <cell r="Z42">
            <v>61.88</v>
          </cell>
          <cell r="AA42">
            <v>0</v>
          </cell>
          <cell r="AB42">
            <v>0</v>
          </cell>
          <cell r="AC42">
            <v>6070.45</v>
          </cell>
          <cell r="AD42">
            <v>9995.6299999999992</v>
          </cell>
          <cell r="AE42" t="str">
            <v/>
          </cell>
          <cell r="AF42" t="str">
            <v/>
          </cell>
          <cell r="AG42">
            <v>49750.74</v>
          </cell>
          <cell r="AH42" t="str">
            <v>01</v>
          </cell>
          <cell r="AI42" t="str">
            <v>0211</v>
          </cell>
          <cell r="AJ42">
            <v>7.78</v>
          </cell>
          <cell r="AK42">
            <v>0</v>
          </cell>
          <cell r="AL42">
            <v>0</v>
          </cell>
          <cell r="AM42">
            <v>0</v>
          </cell>
          <cell r="AN42">
            <v>0</v>
          </cell>
          <cell r="AO42">
            <v>7.78</v>
          </cell>
          <cell r="AP42">
            <v>0</v>
          </cell>
          <cell r="AQ42">
            <v>0</v>
          </cell>
          <cell r="AR42">
            <v>0</v>
          </cell>
          <cell r="AS42">
            <v>0</v>
          </cell>
          <cell r="AT42">
            <v>0</v>
          </cell>
          <cell r="AU42">
            <v>0</v>
          </cell>
          <cell r="AV42">
            <v>0</v>
          </cell>
          <cell r="AW42">
            <v>0</v>
          </cell>
          <cell r="AX42">
            <v>0</v>
          </cell>
          <cell r="AY42">
            <v>0</v>
          </cell>
          <cell r="AZ42" t="str">
            <v/>
          </cell>
          <cell r="BA42" t="str">
            <v/>
          </cell>
          <cell r="BB42">
            <v>7.78</v>
          </cell>
        </row>
        <row r="43">
          <cell r="A43" t="str">
            <v>PG50</v>
          </cell>
          <cell r="B43" t="str">
            <v>MONTGOMERY COUNTY GOVERNMENT</v>
          </cell>
          <cell r="C43" t="str">
            <v>P</v>
          </cell>
          <cell r="D43" t="str">
            <v>C+R</v>
          </cell>
          <cell r="E43" t="str">
            <v>Loc</v>
          </cell>
          <cell r="F43" t="str">
            <v>6</v>
          </cell>
          <cell r="G43" t="str">
            <v>INSU</v>
          </cell>
          <cell r="H43" t="str">
            <v>Insured w/o  Sp</v>
          </cell>
          <cell r="I43" t="str">
            <v>B7741ZZR</v>
          </cell>
          <cell r="J43" t="str">
            <v>0212</v>
          </cell>
          <cell r="K43">
            <v>740881.53</v>
          </cell>
          <cell r="L43">
            <v>0</v>
          </cell>
          <cell r="M43">
            <v>5928.3</v>
          </cell>
          <cell r="N43">
            <v>0</v>
          </cell>
          <cell r="O43">
            <v>0</v>
          </cell>
          <cell r="P43">
            <v>746809.83</v>
          </cell>
          <cell r="Q43">
            <v>0</v>
          </cell>
          <cell r="R43">
            <v>35676.42</v>
          </cell>
          <cell r="S43">
            <v>35676.42</v>
          </cell>
          <cell r="T43">
            <v>38699.620000000003</v>
          </cell>
          <cell r="U43">
            <v>4640.24</v>
          </cell>
          <cell r="V43">
            <v>0</v>
          </cell>
          <cell r="W43">
            <v>0</v>
          </cell>
          <cell r="X43">
            <v>43339.86</v>
          </cell>
          <cell r="Y43">
            <v>0</v>
          </cell>
          <cell r="Z43">
            <v>0</v>
          </cell>
          <cell r="AA43">
            <v>0</v>
          </cell>
          <cell r="AB43">
            <v>0</v>
          </cell>
          <cell r="AC43">
            <v>43339.86</v>
          </cell>
          <cell r="AD43">
            <v>79016.28</v>
          </cell>
          <cell r="AE43" t="str">
            <v/>
          </cell>
          <cell r="AF43" t="str">
            <v/>
          </cell>
          <cell r="AG43">
            <v>825826.11</v>
          </cell>
          <cell r="AH43" t="str">
            <v>01</v>
          </cell>
          <cell r="AI43" t="str">
            <v>0211</v>
          </cell>
          <cell r="AJ43">
            <v>42.52</v>
          </cell>
          <cell r="AK43">
            <v>0</v>
          </cell>
          <cell r="AL43">
            <v>0</v>
          </cell>
          <cell r="AM43">
            <v>0</v>
          </cell>
          <cell r="AN43">
            <v>0</v>
          </cell>
          <cell r="AO43">
            <v>42.52</v>
          </cell>
          <cell r="AP43">
            <v>0</v>
          </cell>
          <cell r="AQ43">
            <v>0</v>
          </cell>
          <cell r="AR43">
            <v>0</v>
          </cell>
          <cell r="AS43">
            <v>0</v>
          </cell>
          <cell r="AT43">
            <v>0</v>
          </cell>
          <cell r="AU43">
            <v>0</v>
          </cell>
          <cell r="AV43">
            <v>0</v>
          </cell>
          <cell r="AW43">
            <v>0</v>
          </cell>
          <cell r="AX43">
            <v>0</v>
          </cell>
          <cell r="AY43">
            <v>0</v>
          </cell>
          <cell r="AZ43" t="str">
            <v/>
          </cell>
          <cell r="BA43" t="str">
            <v/>
          </cell>
          <cell r="BB43">
            <v>42.52</v>
          </cell>
        </row>
        <row r="44">
          <cell r="A44" t="str">
            <v>PG52</v>
          </cell>
          <cell r="B44" t="str">
            <v>MONTGOMERY COUNTY GOVERNMENT POS</v>
          </cell>
          <cell r="C44" t="str">
            <v>P</v>
          </cell>
          <cell r="D44" t="str">
            <v>C+R</v>
          </cell>
          <cell r="E44" t="str">
            <v>Loc</v>
          </cell>
          <cell r="F44" t="str">
            <v>6</v>
          </cell>
          <cell r="G44" t="str">
            <v>INSU</v>
          </cell>
          <cell r="H44" t="str">
            <v>Insured w/o  Sp</v>
          </cell>
          <cell r="I44" t="str">
            <v>B7762ZZR</v>
          </cell>
          <cell r="J44" t="str">
            <v>0212</v>
          </cell>
          <cell r="K44">
            <v>2662345.35</v>
          </cell>
          <cell r="L44">
            <v>0</v>
          </cell>
          <cell r="M44">
            <v>11389.94</v>
          </cell>
          <cell r="N44">
            <v>10847.48</v>
          </cell>
          <cell r="O44">
            <v>0</v>
          </cell>
          <cell r="P44">
            <v>2684582.77</v>
          </cell>
          <cell r="Q44">
            <v>0</v>
          </cell>
          <cell r="R44">
            <v>75457.84</v>
          </cell>
          <cell r="S44">
            <v>75457.84</v>
          </cell>
          <cell r="T44">
            <v>143711.60999999999</v>
          </cell>
          <cell r="U44">
            <v>16594.87</v>
          </cell>
          <cell r="V44">
            <v>0</v>
          </cell>
          <cell r="W44">
            <v>0</v>
          </cell>
          <cell r="X44">
            <v>160306.48000000001</v>
          </cell>
          <cell r="Y44">
            <v>0</v>
          </cell>
          <cell r="Z44">
            <v>8776.25</v>
          </cell>
          <cell r="AA44">
            <v>0</v>
          </cell>
          <cell r="AB44">
            <v>0</v>
          </cell>
          <cell r="AC44">
            <v>169082.73</v>
          </cell>
          <cell r="AD44">
            <v>244540.57</v>
          </cell>
          <cell r="AE44" t="str">
            <v/>
          </cell>
          <cell r="AF44" t="str">
            <v/>
          </cell>
          <cell r="AG44">
            <v>2929123.34</v>
          </cell>
          <cell r="AH44" t="str">
            <v>01</v>
          </cell>
          <cell r="AI44" t="str">
            <v>0211</v>
          </cell>
          <cell r="AJ44">
            <v>0</v>
          </cell>
          <cell r="AK44">
            <v>0</v>
          </cell>
          <cell r="AL44">
            <v>0</v>
          </cell>
          <cell r="AM44">
            <v>0</v>
          </cell>
          <cell r="AN44">
            <v>0</v>
          </cell>
          <cell r="AO44">
            <v>0</v>
          </cell>
          <cell r="AP44">
            <v>0</v>
          </cell>
          <cell r="AQ44">
            <v>13.66</v>
          </cell>
          <cell r="AR44">
            <v>13.66</v>
          </cell>
          <cell r="AS44">
            <v>29.02</v>
          </cell>
          <cell r="AT44">
            <v>0</v>
          </cell>
          <cell r="AU44">
            <v>0</v>
          </cell>
          <cell r="AV44">
            <v>0</v>
          </cell>
          <cell r="AW44">
            <v>0</v>
          </cell>
          <cell r="AX44">
            <v>29.02</v>
          </cell>
          <cell r="AY44">
            <v>42.68</v>
          </cell>
          <cell r="AZ44" t="str">
            <v/>
          </cell>
          <cell r="BA44" t="str">
            <v/>
          </cell>
          <cell r="BB44">
            <v>42.68</v>
          </cell>
        </row>
        <row r="45">
          <cell r="A45" t="str">
            <v>PK55</v>
          </cell>
          <cell r="B45" t="str">
            <v>MIRANT CORPORATION</v>
          </cell>
          <cell r="C45" t="str">
            <v>P</v>
          </cell>
          <cell r="D45" t="str">
            <v>C+R</v>
          </cell>
          <cell r="E45" t="str">
            <v>Loc</v>
          </cell>
          <cell r="F45" t="str">
            <v>2</v>
          </cell>
          <cell r="G45" t="str">
            <v>ASO</v>
          </cell>
          <cell r="H45" t="str">
            <v>ASO w/o  Spec</v>
          </cell>
          <cell r="I45" t="str">
            <v>B3723HPR</v>
          </cell>
          <cell r="J45" t="str">
            <v>0212</v>
          </cell>
          <cell r="K45">
            <v>248204.51</v>
          </cell>
          <cell r="L45">
            <v>0</v>
          </cell>
          <cell r="M45">
            <v>3742.85</v>
          </cell>
          <cell r="N45">
            <v>236.16</v>
          </cell>
          <cell r="O45">
            <v>0</v>
          </cell>
          <cell r="P45">
            <v>252183.52</v>
          </cell>
          <cell r="Q45">
            <v>0</v>
          </cell>
          <cell r="R45">
            <v>0</v>
          </cell>
          <cell r="S45">
            <v>0</v>
          </cell>
          <cell r="T45">
            <v>14581.21</v>
          </cell>
          <cell r="U45">
            <v>1308.9100000000001</v>
          </cell>
          <cell r="V45">
            <v>0</v>
          </cell>
          <cell r="W45">
            <v>0</v>
          </cell>
          <cell r="X45">
            <v>15890.12</v>
          </cell>
          <cell r="Y45">
            <v>0</v>
          </cell>
          <cell r="Z45">
            <v>0</v>
          </cell>
          <cell r="AA45">
            <v>0</v>
          </cell>
          <cell r="AB45">
            <v>0</v>
          </cell>
          <cell r="AC45">
            <v>15890.12</v>
          </cell>
          <cell r="AD45">
            <v>15890.12</v>
          </cell>
          <cell r="AE45" t="str">
            <v/>
          </cell>
          <cell r="AF45" t="str">
            <v/>
          </cell>
          <cell r="AG45">
            <v>268073.64</v>
          </cell>
          <cell r="AH45" t="str">
            <v>01</v>
          </cell>
          <cell r="AI45" t="str">
            <v>0211</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t="str">
            <v/>
          </cell>
          <cell r="BA45" t="str">
            <v/>
          </cell>
          <cell r="BB45">
            <v>0</v>
          </cell>
        </row>
        <row r="46">
          <cell r="A46" t="str">
            <v>PK60</v>
          </cell>
          <cell r="B46" t="str">
            <v>ICF CONSULTING</v>
          </cell>
          <cell r="C46" t="str">
            <v>P</v>
          </cell>
          <cell r="D46" t="str">
            <v>C+R</v>
          </cell>
          <cell r="E46" t="str">
            <v>Loc</v>
          </cell>
          <cell r="F46" t="str">
            <v>3</v>
          </cell>
          <cell r="G46" t="str">
            <v>STPL</v>
          </cell>
          <cell r="H46" t="str">
            <v>Agg.STP with Sp</v>
          </cell>
          <cell r="I46" t="str">
            <v>B3733HPR</v>
          </cell>
          <cell r="J46" t="str">
            <v>0212</v>
          </cell>
          <cell r="K46">
            <v>144482.29999999999</v>
          </cell>
          <cell r="L46">
            <v>16505.509999999998</v>
          </cell>
          <cell r="M46">
            <v>7403.02</v>
          </cell>
          <cell r="N46">
            <v>0</v>
          </cell>
          <cell r="O46">
            <v>24142.22</v>
          </cell>
          <cell r="P46">
            <v>159522.03</v>
          </cell>
          <cell r="Q46">
            <v>7223.9</v>
          </cell>
          <cell r="R46">
            <v>4215.76</v>
          </cell>
          <cell r="S46">
            <v>11439.66</v>
          </cell>
          <cell r="T46">
            <v>19259.490000000002</v>
          </cell>
          <cell r="U46">
            <v>1420.21</v>
          </cell>
          <cell r="V46">
            <v>0</v>
          </cell>
          <cell r="W46">
            <v>0</v>
          </cell>
          <cell r="X46">
            <v>20679.7</v>
          </cell>
          <cell r="Y46">
            <v>0</v>
          </cell>
          <cell r="Z46">
            <v>1207.8399999999999</v>
          </cell>
          <cell r="AA46">
            <v>0</v>
          </cell>
          <cell r="AB46">
            <v>0</v>
          </cell>
          <cell r="AC46">
            <v>21887.54</v>
          </cell>
          <cell r="AD46">
            <v>33327.199999999997</v>
          </cell>
          <cell r="AE46" t="str">
            <v/>
          </cell>
          <cell r="AF46" t="str">
            <v/>
          </cell>
          <cell r="AG46">
            <v>192849.23</v>
          </cell>
          <cell r="AH46" t="str">
            <v>01</v>
          </cell>
          <cell r="AI46" t="str">
            <v>0211</v>
          </cell>
          <cell r="AJ46">
            <v>79.040000000000006</v>
          </cell>
          <cell r="AK46">
            <v>0</v>
          </cell>
          <cell r="AL46">
            <v>0</v>
          </cell>
          <cell r="AM46">
            <v>0</v>
          </cell>
          <cell r="AN46">
            <v>-79.040000000000006</v>
          </cell>
          <cell r="AO46">
            <v>0</v>
          </cell>
          <cell r="AP46">
            <v>0</v>
          </cell>
          <cell r="AQ46">
            <v>0</v>
          </cell>
          <cell r="AR46">
            <v>0</v>
          </cell>
          <cell r="AS46">
            <v>0</v>
          </cell>
          <cell r="AT46">
            <v>0</v>
          </cell>
          <cell r="AU46">
            <v>0</v>
          </cell>
          <cell r="AV46">
            <v>0</v>
          </cell>
          <cell r="AW46">
            <v>0</v>
          </cell>
          <cell r="AX46">
            <v>0</v>
          </cell>
          <cell r="AY46">
            <v>0</v>
          </cell>
          <cell r="AZ46" t="str">
            <v/>
          </cell>
          <cell r="BA46" t="str">
            <v/>
          </cell>
          <cell r="BB46">
            <v>0</v>
          </cell>
        </row>
        <row r="47">
          <cell r="A47" t="str">
            <v>PK61</v>
          </cell>
          <cell r="B47" t="str">
            <v>SUNBURST HOSPITALITES</v>
          </cell>
          <cell r="C47" t="str">
            <v>P</v>
          </cell>
          <cell r="D47" t="str">
            <v>C+R</v>
          </cell>
          <cell r="E47" t="str">
            <v>Loc</v>
          </cell>
          <cell r="F47" t="str">
            <v>3</v>
          </cell>
          <cell r="G47" t="str">
            <v>STPL</v>
          </cell>
          <cell r="H47" t="str">
            <v>Agg.STP with Sp</v>
          </cell>
          <cell r="I47" t="str">
            <v>BAB7</v>
          </cell>
          <cell r="J47" t="str">
            <v>0212</v>
          </cell>
          <cell r="K47">
            <v>271000.76</v>
          </cell>
          <cell r="L47">
            <v>714.82</v>
          </cell>
          <cell r="M47">
            <v>18128.43</v>
          </cell>
          <cell r="N47">
            <v>0</v>
          </cell>
          <cell r="O47">
            <v>0</v>
          </cell>
          <cell r="P47">
            <v>288414.37</v>
          </cell>
          <cell r="Q47">
            <v>4003.16</v>
          </cell>
          <cell r="R47">
            <v>2570.91</v>
          </cell>
          <cell r="S47">
            <v>6574.07</v>
          </cell>
          <cell r="T47">
            <v>24877.79</v>
          </cell>
          <cell r="U47">
            <v>1776.98</v>
          </cell>
          <cell r="V47">
            <v>0</v>
          </cell>
          <cell r="W47">
            <v>0</v>
          </cell>
          <cell r="X47">
            <v>26654.77</v>
          </cell>
          <cell r="Y47">
            <v>0</v>
          </cell>
          <cell r="Z47">
            <v>214.75</v>
          </cell>
          <cell r="AA47">
            <v>0</v>
          </cell>
          <cell r="AB47">
            <v>0</v>
          </cell>
          <cell r="AC47">
            <v>26869.52</v>
          </cell>
          <cell r="AD47">
            <v>33443.589999999997</v>
          </cell>
          <cell r="AE47" t="str">
            <v/>
          </cell>
          <cell r="AF47" t="str">
            <v/>
          </cell>
          <cell r="AG47">
            <v>321857.96000000002</v>
          </cell>
          <cell r="AH47" t="str">
            <v>01</v>
          </cell>
          <cell r="AI47" t="str">
            <v>0211</v>
          </cell>
          <cell r="AJ47">
            <v>222.96</v>
          </cell>
          <cell r="AK47">
            <v>0</v>
          </cell>
          <cell r="AL47">
            <v>0</v>
          </cell>
          <cell r="AM47">
            <v>0</v>
          </cell>
          <cell r="AN47">
            <v>0</v>
          </cell>
          <cell r="AO47">
            <v>222.96</v>
          </cell>
          <cell r="AP47">
            <v>0</v>
          </cell>
          <cell r="AQ47">
            <v>0</v>
          </cell>
          <cell r="AR47">
            <v>0</v>
          </cell>
          <cell r="AS47">
            <v>0</v>
          </cell>
          <cell r="AT47">
            <v>0</v>
          </cell>
          <cell r="AU47">
            <v>0</v>
          </cell>
          <cell r="AV47">
            <v>0</v>
          </cell>
          <cell r="AW47">
            <v>0</v>
          </cell>
          <cell r="AX47">
            <v>0</v>
          </cell>
          <cell r="AY47">
            <v>0</v>
          </cell>
          <cell r="AZ47" t="str">
            <v/>
          </cell>
          <cell r="BA47" t="str">
            <v/>
          </cell>
          <cell r="BB47">
            <v>222.96</v>
          </cell>
        </row>
        <row r="48">
          <cell r="A48" t="str">
            <v>PP20</v>
          </cell>
          <cell r="B48" t="str">
            <v>MONTGOMERY COUNTY PUBLIC SCHOOLS</v>
          </cell>
          <cell r="C48" t="str">
            <v>P</v>
          </cell>
          <cell r="D48" t="str">
            <v>C+R</v>
          </cell>
          <cell r="E48" t="str">
            <v>Loc</v>
          </cell>
          <cell r="F48" t="str">
            <v>2</v>
          </cell>
          <cell r="G48" t="str">
            <v>ASO</v>
          </cell>
          <cell r="H48" t="str">
            <v>ASO w/o  Spec</v>
          </cell>
          <cell r="I48" t="str">
            <v>B3721ZZR</v>
          </cell>
          <cell r="J48" t="str">
            <v>0212</v>
          </cell>
          <cell r="K48">
            <v>2745293.29</v>
          </cell>
          <cell r="L48">
            <v>0</v>
          </cell>
          <cell r="M48">
            <v>13463.83</v>
          </cell>
          <cell r="N48">
            <v>14154.24</v>
          </cell>
          <cell r="O48">
            <v>0</v>
          </cell>
          <cell r="P48">
            <v>2772911.36</v>
          </cell>
          <cell r="Q48">
            <v>0</v>
          </cell>
          <cell r="R48">
            <v>0</v>
          </cell>
          <cell r="S48">
            <v>0</v>
          </cell>
          <cell r="T48">
            <v>280434.44</v>
          </cell>
          <cell r="U48">
            <v>17930.59</v>
          </cell>
          <cell r="V48">
            <v>0</v>
          </cell>
          <cell r="W48">
            <v>0</v>
          </cell>
          <cell r="X48">
            <v>298365.03000000003</v>
          </cell>
          <cell r="Y48">
            <v>0</v>
          </cell>
          <cell r="Z48">
            <v>14772.38</v>
          </cell>
          <cell r="AA48">
            <v>0</v>
          </cell>
          <cell r="AB48">
            <v>0</v>
          </cell>
          <cell r="AC48">
            <v>313137.40999999997</v>
          </cell>
          <cell r="AD48">
            <v>313137.40999999997</v>
          </cell>
          <cell r="AE48" t="str">
            <v/>
          </cell>
          <cell r="AF48" t="str">
            <v/>
          </cell>
          <cell r="AG48">
            <v>3086048.77</v>
          </cell>
          <cell r="AH48" t="str">
            <v>01</v>
          </cell>
          <cell r="AI48" t="str">
            <v>0211</v>
          </cell>
          <cell r="AJ48">
            <v>149.97</v>
          </cell>
          <cell r="AK48">
            <v>0</v>
          </cell>
          <cell r="AL48">
            <v>0</v>
          </cell>
          <cell r="AM48">
            <v>0</v>
          </cell>
          <cell r="AN48">
            <v>0</v>
          </cell>
          <cell r="AO48">
            <v>149.97</v>
          </cell>
          <cell r="AP48">
            <v>0</v>
          </cell>
          <cell r="AQ48">
            <v>0</v>
          </cell>
          <cell r="AR48">
            <v>0</v>
          </cell>
          <cell r="AS48">
            <v>0</v>
          </cell>
          <cell r="AT48">
            <v>0</v>
          </cell>
          <cell r="AU48">
            <v>0</v>
          </cell>
          <cell r="AV48">
            <v>0</v>
          </cell>
          <cell r="AW48">
            <v>0</v>
          </cell>
          <cell r="AX48">
            <v>0</v>
          </cell>
          <cell r="AY48">
            <v>0</v>
          </cell>
          <cell r="AZ48" t="str">
            <v/>
          </cell>
          <cell r="BA48" t="str">
            <v/>
          </cell>
          <cell r="BB48">
            <v>149.97</v>
          </cell>
        </row>
        <row r="49">
          <cell r="A49" t="str">
            <v>PP28</v>
          </cell>
          <cell r="B49" t="str">
            <v>MARYLAND NATIONAL CAPITAL PARK &amp; PLANNIN</v>
          </cell>
          <cell r="C49" t="str">
            <v>P</v>
          </cell>
          <cell r="D49" t="str">
            <v>C+R</v>
          </cell>
          <cell r="E49" t="str">
            <v>Loc</v>
          </cell>
          <cell r="F49" t="str">
            <v>3</v>
          </cell>
          <cell r="G49" t="str">
            <v>STPL</v>
          </cell>
          <cell r="H49" t="str">
            <v>Agg.STP with Sp</v>
          </cell>
          <cell r="I49" t="str">
            <v>B7732ZZR</v>
          </cell>
          <cell r="J49" t="str">
            <v>0212</v>
          </cell>
          <cell r="K49">
            <v>236178.87</v>
          </cell>
          <cell r="L49">
            <v>0</v>
          </cell>
          <cell r="M49">
            <v>744.37</v>
          </cell>
          <cell r="N49">
            <v>1668.96</v>
          </cell>
          <cell r="O49">
            <v>0</v>
          </cell>
          <cell r="P49">
            <v>238592.2</v>
          </cell>
          <cell r="Q49">
            <v>7396.26</v>
          </cell>
          <cell r="R49">
            <v>1640.6</v>
          </cell>
          <cell r="S49">
            <v>9036.86</v>
          </cell>
          <cell r="T49">
            <v>44179.58</v>
          </cell>
          <cell r="U49">
            <v>687.09</v>
          </cell>
          <cell r="V49">
            <v>0</v>
          </cell>
          <cell r="W49">
            <v>0</v>
          </cell>
          <cell r="X49">
            <v>44866.67</v>
          </cell>
          <cell r="Y49">
            <v>0</v>
          </cell>
          <cell r="Z49">
            <v>2111.41</v>
          </cell>
          <cell r="AA49">
            <v>0</v>
          </cell>
          <cell r="AB49">
            <v>0</v>
          </cell>
          <cell r="AC49">
            <v>46978.080000000002</v>
          </cell>
          <cell r="AD49">
            <v>56014.94</v>
          </cell>
          <cell r="AE49" t="str">
            <v/>
          </cell>
          <cell r="AF49" t="str">
            <v/>
          </cell>
          <cell r="AG49">
            <v>294607.14</v>
          </cell>
          <cell r="AH49" t="str">
            <v>01</v>
          </cell>
          <cell r="AI49" t="str">
            <v>0211</v>
          </cell>
          <cell r="AJ49">
            <v>25.69</v>
          </cell>
          <cell r="AK49">
            <v>0</v>
          </cell>
          <cell r="AL49">
            <v>0</v>
          </cell>
          <cell r="AM49">
            <v>0</v>
          </cell>
          <cell r="AN49">
            <v>0</v>
          </cell>
          <cell r="AO49">
            <v>25.69</v>
          </cell>
          <cell r="AP49">
            <v>0</v>
          </cell>
          <cell r="AQ49">
            <v>0</v>
          </cell>
          <cell r="AR49">
            <v>0</v>
          </cell>
          <cell r="AS49">
            <v>0</v>
          </cell>
          <cell r="AT49">
            <v>0</v>
          </cell>
          <cell r="AU49">
            <v>0</v>
          </cell>
          <cell r="AV49">
            <v>0</v>
          </cell>
          <cell r="AW49">
            <v>0</v>
          </cell>
          <cell r="AX49">
            <v>0</v>
          </cell>
          <cell r="AY49">
            <v>0</v>
          </cell>
          <cell r="AZ49" t="str">
            <v/>
          </cell>
          <cell r="BA49" t="str">
            <v/>
          </cell>
          <cell r="BB49">
            <v>25.69</v>
          </cell>
        </row>
        <row r="50">
          <cell r="A50" t="str">
            <v>QU09</v>
          </cell>
          <cell r="B50" t="str">
            <v>ALLFIRST</v>
          </cell>
          <cell r="C50" t="str">
            <v>P</v>
          </cell>
          <cell r="D50" t="str">
            <v>C+R</v>
          </cell>
          <cell r="E50" t="str">
            <v>Loc</v>
          </cell>
          <cell r="F50" t="str">
            <v>2</v>
          </cell>
          <cell r="G50" t="str">
            <v>ASO</v>
          </cell>
          <cell r="H50" t="str">
            <v>ASO w/o  Spec</v>
          </cell>
          <cell r="I50" t="str">
            <v>HAD8</v>
          </cell>
          <cell r="J50" t="str">
            <v>0212</v>
          </cell>
          <cell r="K50">
            <v>280865.37</v>
          </cell>
          <cell r="L50">
            <v>0</v>
          </cell>
          <cell r="M50">
            <v>0</v>
          </cell>
          <cell r="N50">
            <v>14505.24</v>
          </cell>
          <cell r="O50">
            <v>0</v>
          </cell>
          <cell r="P50">
            <v>295370.61</v>
          </cell>
          <cell r="Q50">
            <v>0</v>
          </cell>
          <cell r="R50">
            <v>0</v>
          </cell>
          <cell r="S50">
            <v>0</v>
          </cell>
          <cell r="T50">
            <v>26618.67</v>
          </cell>
          <cell r="U50">
            <v>832.73</v>
          </cell>
          <cell r="V50">
            <v>0</v>
          </cell>
          <cell r="W50">
            <v>0</v>
          </cell>
          <cell r="X50">
            <v>27451.4</v>
          </cell>
          <cell r="Y50">
            <v>0</v>
          </cell>
          <cell r="Z50">
            <v>0</v>
          </cell>
          <cell r="AA50">
            <v>0</v>
          </cell>
          <cell r="AB50">
            <v>0</v>
          </cell>
          <cell r="AC50">
            <v>27451.4</v>
          </cell>
          <cell r="AD50">
            <v>27451.4</v>
          </cell>
          <cell r="AE50" t="str">
            <v/>
          </cell>
          <cell r="AF50" t="str">
            <v/>
          </cell>
          <cell r="AG50">
            <v>322822.01</v>
          </cell>
          <cell r="AH50" t="str">
            <v>09</v>
          </cell>
          <cell r="AI50" t="str">
            <v>0211</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t="str">
            <v/>
          </cell>
          <cell r="BA50" t="str">
            <v/>
          </cell>
          <cell r="BB50">
            <v>0</v>
          </cell>
        </row>
        <row r="51">
          <cell r="A51" t="str">
            <v>QU92</v>
          </cell>
          <cell r="B51" t="str">
            <v>QUEEN ANNE'S COUNTY BOARD OF EDUCATION</v>
          </cell>
          <cell r="C51" t="str">
            <v>P</v>
          </cell>
          <cell r="D51" t="str">
            <v>Rate</v>
          </cell>
          <cell r="E51" t="str">
            <v>Loc</v>
          </cell>
          <cell r="F51" t="str">
            <v>3</v>
          </cell>
          <cell r="G51" t="str">
            <v>STPL</v>
          </cell>
          <cell r="H51" t="str">
            <v>Agg.STP with Sp</v>
          </cell>
          <cell r="I51" t="str">
            <v>HBB8</v>
          </cell>
          <cell r="J51" t="str">
            <v>0212</v>
          </cell>
          <cell r="K51">
            <v>411461.8</v>
          </cell>
          <cell r="L51">
            <v>0</v>
          </cell>
          <cell r="M51">
            <v>32.67</v>
          </cell>
          <cell r="N51">
            <v>9022.7999999999993</v>
          </cell>
          <cell r="O51">
            <v>0</v>
          </cell>
          <cell r="P51">
            <v>420517.27</v>
          </cell>
          <cell r="Q51">
            <v>10417.219999999999</v>
          </cell>
          <cell r="R51">
            <v>4485.8599999999997</v>
          </cell>
          <cell r="S51">
            <v>14903.08</v>
          </cell>
          <cell r="T51">
            <v>63417.3</v>
          </cell>
          <cell r="U51">
            <v>3340.73</v>
          </cell>
          <cell r="V51">
            <v>0</v>
          </cell>
          <cell r="W51">
            <v>0</v>
          </cell>
          <cell r="X51">
            <v>66758.03</v>
          </cell>
          <cell r="Y51">
            <v>0</v>
          </cell>
          <cell r="Z51">
            <v>0</v>
          </cell>
          <cell r="AA51">
            <v>0</v>
          </cell>
          <cell r="AB51">
            <v>0</v>
          </cell>
          <cell r="AC51">
            <v>66758.03</v>
          </cell>
          <cell r="AD51">
            <v>81661.11</v>
          </cell>
          <cell r="AE51" t="str">
            <v/>
          </cell>
          <cell r="AF51" t="str">
            <v/>
          </cell>
          <cell r="AG51">
            <v>502178.38</v>
          </cell>
          <cell r="AH51" t="str">
            <v>09</v>
          </cell>
          <cell r="AI51" t="str">
            <v>0211</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t="str">
            <v/>
          </cell>
          <cell r="BA51" t="str">
            <v/>
          </cell>
          <cell r="BB51">
            <v>0</v>
          </cell>
        </row>
        <row r="52">
          <cell r="A52" t="str">
            <v>QU93</v>
          </cell>
          <cell r="B52" t="str">
            <v>WICOMICO COUNTY</v>
          </cell>
          <cell r="C52" t="str">
            <v>P</v>
          </cell>
          <cell r="D52" t="str">
            <v>Rate</v>
          </cell>
          <cell r="E52" t="str">
            <v>Loc</v>
          </cell>
          <cell r="F52" t="str">
            <v>4</v>
          </cell>
          <cell r="G52" t="str">
            <v>STPL</v>
          </cell>
          <cell r="H52" t="str">
            <v>Agg.STP w/o  Sp</v>
          </cell>
          <cell r="I52" t="str">
            <v>HBA8</v>
          </cell>
          <cell r="J52" t="str">
            <v>0212</v>
          </cell>
          <cell r="K52">
            <v>96393.279999999999</v>
          </cell>
          <cell r="L52">
            <v>0</v>
          </cell>
          <cell r="M52">
            <v>0</v>
          </cell>
          <cell r="N52">
            <v>664.9</v>
          </cell>
          <cell r="O52">
            <v>-48019.27</v>
          </cell>
          <cell r="P52">
            <v>49038.91</v>
          </cell>
          <cell r="Q52">
            <v>0</v>
          </cell>
          <cell r="R52">
            <v>472.98</v>
          </cell>
          <cell r="S52">
            <v>472.98</v>
          </cell>
          <cell r="T52">
            <v>4626.45</v>
          </cell>
          <cell r="U52">
            <v>232.81</v>
          </cell>
          <cell r="V52">
            <v>0</v>
          </cell>
          <cell r="W52">
            <v>0</v>
          </cell>
          <cell r="X52">
            <v>4859.26</v>
          </cell>
          <cell r="Y52">
            <v>0</v>
          </cell>
          <cell r="Z52">
            <v>0</v>
          </cell>
          <cell r="AA52">
            <v>0</v>
          </cell>
          <cell r="AB52">
            <v>0</v>
          </cell>
          <cell r="AC52">
            <v>4859.26</v>
          </cell>
          <cell r="AD52">
            <v>5332.24</v>
          </cell>
          <cell r="AE52" t="str">
            <v/>
          </cell>
          <cell r="AF52" t="str">
            <v/>
          </cell>
          <cell r="AG52">
            <v>54371.15</v>
          </cell>
          <cell r="AH52" t="str">
            <v>09</v>
          </cell>
          <cell r="AI52" t="str">
            <v>0211</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t="str">
            <v/>
          </cell>
          <cell r="BA52" t="str">
            <v/>
          </cell>
          <cell r="BB52">
            <v>0</v>
          </cell>
        </row>
        <row r="53">
          <cell r="A53" t="str">
            <v>R12A</v>
          </cell>
          <cell r="B53" t="str">
            <v>Arlington County Government</v>
          </cell>
          <cell r="C53" t="str">
            <v>P</v>
          </cell>
          <cell r="D53" t="str">
            <v>C+R</v>
          </cell>
          <cell r="E53" t="str">
            <v>Loc</v>
          </cell>
          <cell r="F53" t="str">
            <v>2</v>
          </cell>
          <cell r="G53" t="str">
            <v>ASO</v>
          </cell>
          <cell r="H53" t="str">
            <v>ASO w/o  Spec</v>
          </cell>
          <cell r="I53" t="str">
            <v>B3722AGR</v>
          </cell>
          <cell r="J53" t="str">
            <v>0212</v>
          </cell>
          <cell r="K53">
            <v>1157489.1599999999</v>
          </cell>
          <cell r="L53">
            <v>0</v>
          </cell>
          <cell r="M53">
            <v>8996</v>
          </cell>
          <cell r="N53">
            <v>1776.92</v>
          </cell>
          <cell r="O53">
            <v>0</v>
          </cell>
          <cell r="P53">
            <v>1168262.08</v>
          </cell>
          <cell r="Q53">
            <v>0</v>
          </cell>
          <cell r="R53">
            <v>0</v>
          </cell>
          <cell r="S53">
            <v>0</v>
          </cell>
          <cell r="T53">
            <v>107219.93</v>
          </cell>
          <cell r="U53">
            <v>11952.97</v>
          </cell>
          <cell r="V53">
            <v>0</v>
          </cell>
          <cell r="W53">
            <v>0</v>
          </cell>
          <cell r="X53">
            <v>119172.9</v>
          </cell>
          <cell r="Y53">
            <v>0</v>
          </cell>
          <cell r="Z53">
            <v>0</v>
          </cell>
          <cell r="AA53">
            <v>0</v>
          </cell>
          <cell r="AB53">
            <v>0</v>
          </cell>
          <cell r="AC53">
            <v>119172.9</v>
          </cell>
          <cell r="AD53">
            <v>119172.9</v>
          </cell>
          <cell r="AE53" t="str">
            <v/>
          </cell>
          <cell r="AF53" t="str">
            <v/>
          </cell>
          <cell r="AG53">
            <v>1287434.98</v>
          </cell>
          <cell r="AH53" t="str">
            <v>07</v>
          </cell>
          <cell r="AI53" t="str">
            <v>0211</v>
          </cell>
          <cell r="AJ53">
            <v>14.82</v>
          </cell>
          <cell r="AK53">
            <v>0</v>
          </cell>
          <cell r="AL53">
            <v>0</v>
          </cell>
          <cell r="AM53">
            <v>0</v>
          </cell>
          <cell r="AN53">
            <v>0</v>
          </cell>
          <cell r="AO53">
            <v>14.82</v>
          </cell>
          <cell r="AP53">
            <v>0</v>
          </cell>
          <cell r="AQ53">
            <v>0</v>
          </cell>
          <cell r="AR53">
            <v>0</v>
          </cell>
          <cell r="AS53">
            <v>0</v>
          </cell>
          <cell r="AT53">
            <v>0</v>
          </cell>
          <cell r="AU53">
            <v>0</v>
          </cell>
          <cell r="AV53">
            <v>0</v>
          </cell>
          <cell r="AW53">
            <v>0</v>
          </cell>
          <cell r="AX53">
            <v>0</v>
          </cell>
          <cell r="AY53">
            <v>0</v>
          </cell>
          <cell r="AZ53" t="str">
            <v/>
          </cell>
          <cell r="BA53" t="str">
            <v/>
          </cell>
          <cell r="BB53">
            <v>14.82</v>
          </cell>
        </row>
        <row r="54">
          <cell r="A54" t="str">
            <v>R12B</v>
          </cell>
          <cell r="B54" t="str">
            <v>Arlington County School Board</v>
          </cell>
          <cell r="C54" t="str">
            <v>P</v>
          </cell>
          <cell r="D54" t="str">
            <v>C+R</v>
          </cell>
          <cell r="E54" t="str">
            <v>Loc</v>
          </cell>
          <cell r="F54" t="str">
            <v>2</v>
          </cell>
          <cell r="G54" t="str">
            <v>ASO</v>
          </cell>
          <cell r="H54" t="str">
            <v>ASO w/o  Spec</v>
          </cell>
          <cell r="I54" t="str">
            <v>B3721ASR</v>
          </cell>
          <cell r="J54" t="str">
            <v>0212</v>
          </cell>
          <cell r="K54">
            <v>1100618.94</v>
          </cell>
          <cell r="L54">
            <v>0</v>
          </cell>
          <cell r="M54">
            <v>2219.59</v>
          </cell>
          <cell r="N54">
            <v>1071.26</v>
          </cell>
          <cell r="O54">
            <v>0</v>
          </cell>
          <cell r="P54">
            <v>1103909.79</v>
          </cell>
          <cell r="Q54">
            <v>0</v>
          </cell>
          <cell r="R54">
            <v>0</v>
          </cell>
          <cell r="S54">
            <v>0</v>
          </cell>
          <cell r="T54">
            <v>81859.33</v>
          </cell>
          <cell r="U54">
            <v>9126.68</v>
          </cell>
          <cell r="V54">
            <v>0</v>
          </cell>
          <cell r="W54">
            <v>0</v>
          </cell>
          <cell r="X54">
            <v>90986.01</v>
          </cell>
          <cell r="Y54">
            <v>0</v>
          </cell>
          <cell r="Z54">
            <v>5212.8</v>
          </cell>
          <cell r="AA54">
            <v>0</v>
          </cell>
          <cell r="AB54">
            <v>0</v>
          </cell>
          <cell r="AC54">
            <v>96198.81</v>
          </cell>
          <cell r="AD54">
            <v>96198.81</v>
          </cell>
          <cell r="AE54" t="str">
            <v/>
          </cell>
          <cell r="AF54" t="str">
            <v/>
          </cell>
          <cell r="AG54">
            <v>1200108.6000000001</v>
          </cell>
          <cell r="AH54" t="str">
            <v>07</v>
          </cell>
          <cell r="AI54" t="str">
            <v>0211</v>
          </cell>
          <cell r="AJ54">
            <v>9.25</v>
          </cell>
          <cell r="AK54">
            <v>0</v>
          </cell>
          <cell r="AL54">
            <v>0</v>
          </cell>
          <cell r="AM54">
            <v>0</v>
          </cell>
          <cell r="AN54">
            <v>0</v>
          </cell>
          <cell r="AO54">
            <v>9.25</v>
          </cell>
          <cell r="AP54">
            <v>0</v>
          </cell>
          <cell r="AQ54">
            <v>0</v>
          </cell>
          <cell r="AR54">
            <v>0</v>
          </cell>
          <cell r="AS54">
            <v>0</v>
          </cell>
          <cell r="AT54">
            <v>0</v>
          </cell>
          <cell r="AU54">
            <v>0</v>
          </cell>
          <cell r="AV54">
            <v>0</v>
          </cell>
          <cell r="AW54">
            <v>0</v>
          </cell>
          <cell r="AX54">
            <v>0</v>
          </cell>
          <cell r="AY54">
            <v>0</v>
          </cell>
          <cell r="AZ54" t="str">
            <v/>
          </cell>
          <cell r="BA54" t="str">
            <v/>
          </cell>
          <cell r="BB54">
            <v>9.25</v>
          </cell>
        </row>
        <row r="55">
          <cell r="A55" t="str">
            <v>R131</v>
          </cell>
          <cell r="B55" t="str">
            <v>Fairfax Hospital Retiree</v>
          </cell>
          <cell r="C55" t="str">
            <v>P</v>
          </cell>
          <cell r="D55" t="str">
            <v>Rate</v>
          </cell>
          <cell r="E55" t="str">
            <v>Loc</v>
          </cell>
          <cell r="F55" t="str">
            <v>2</v>
          </cell>
          <cell r="G55" t="str">
            <v>ASO</v>
          </cell>
          <cell r="H55" t="str">
            <v>ASO w/o  Spec</v>
          </cell>
          <cell r="I55" t="str">
            <v>B3721ZZZ</v>
          </cell>
          <cell r="J55" t="str">
            <v>0212</v>
          </cell>
          <cell r="K55">
            <v>45202.76</v>
          </cell>
          <cell r="L55">
            <v>0</v>
          </cell>
          <cell r="M55">
            <v>1.47</v>
          </cell>
          <cell r="N55">
            <v>0</v>
          </cell>
          <cell r="O55">
            <v>0</v>
          </cell>
          <cell r="P55">
            <v>45204.23</v>
          </cell>
          <cell r="Q55">
            <v>0</v>
          </cell>
          <cell r="R55">
            <v>0</v>
          </cell>
          <cell r="S55">
            <v>0</v>
          </cell>
          <cell r="T55">
            <v>10715.62</v>
          </cell>
          <cell r="U55">
            <v>1200.19</v>
          </cell>
          <cell r="V55">
            <v>-379.01</v>
          </cell>
          <cell r="W55">
            <v>0</v>
          </cell>
          <cell r="X55">
            <v>11536.8</v>
          </cell>
          <cell r="Y55">
            <v>0</v>
          </cell>
          <cell r="Z55">
            <v>0</v>
          </cell>
          <cell r="AA55">
            <v>0</v>
          </cell>
          <cell r="AB55">
            <v>0</v>
          </cell>
          <cell r="AC55">
            <v>11536.8</v>
          </cell>
          <cell r="AD55">
            <v>11536.8</v>
          </cell>
          <cell r="AE55" t="str">
            <v/>
          </cell>
          <cell r="AF55" t="str">
            <v/>
          </cell>
          <cell r="AG55">
            <v>56741.03</v>
          </cell>
          <cell r="AH55" t="str">
            <v>01</v>
          </cell>
          <cell r="AI55" t="str">
            <v>0211</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t="str">
            <v/>
          </cell>
          <cell r="BA55" t="str">
            <v/>
          </cell>
          <cell r="BB55">
            <v>0</v>
          </cell>
        </row>
        <row r="56">
          <cell r="A56" t="str">
            <v>R138</v>
          </cell>
          <cell r="B56" t="str">
            <v>National Geographic Society</v>
          </cell>
          <cell r="C56" t="str">
            <v>P</v>
          </cell>
          <cell r="D56" t="str">
            <v>C+R</v>
          </cell>
          <cell r="E56" t="str">
            <v>Loc</v>
          </cell>
          <cell r="F56" t="str">
            <v>2</v>
          </cell>
          <cell r="G56" t="str">
            <v>ASO</v>
          </cell>
          <cell r="H56" t="str">
            <v>ASO w/o  Spec</v>
          </cell>
          <cell r="I56" t="str">
            <v>BAD8</v>
          </cell>
          <cell r="J56" t="str">
            <v>0212</v>
          </cell>
          <cell r="K56">
            <v>689010.11</v>
          </cell>
          <cell r="L56">
            <v>0</v>
          </cell>
          <cell r="M56">
            <v>5523.44</v>
          </cell>
          <cell r="N56">
            <v>0</v>
          </cell>
          <cell r="O56">
            <v>0</v>
          </cell>
          <cell r="P56">
            <v>694533.55</v>
          </cell>
          <cell r="Q56">
            <v>0</v>
          </cell>
          <cell r="R56">
            <v>0</v>
          </cell>
          <cell r="S56">
            <v>0</v>
          </cell>
          <cell r="T56">
            <v>59437.93</v>
          </cell>
          <cell r="U56">
            <v>8029.91</v>
          </cell>
          <cell r="V56">
            <v>-5712</v>
          </cell>
          <cell r="W56">
            <v>0</v>
          </cell>
          <cell r="X56">
            <v>61755.839999999997</v>
          </cell>
          <cell r="Y56">
            <v>0</v>
          </cell>
          <cell r="Z56">
            <v>3014.55</v>
          </cell>
          <cell r="AA56">
            <v>0</v>
          </cell>
          <cell r="AB56">
            <v>0</v>
          </cell>
          <cell r="AC56">
            <v>64770.39</v>
          </cell>
          <cell r="AD56">
            <v>64770.39</v>
          </cell>
          <cell r="AE56" t="str">
            <v/>
          </cell>
          <cell r="AF56" t="str">
            <v/>
          </cell>
          <cell r="AG56">
            <v>759303.94</v>
          </cell>
          <cell r="AH56" t="str">
            <v>01</v>
          </cell>
          <cell r="AI56" t="str">
            <v>0211</v>
          </cell>
          <cell r="AJ56">
            <v>365.33</v>
          </cell>
          <cell r="AK56">
            <v>0</v>
          </cell>
          <cell r="AL56">
            <v>0</v>
          </cell>
          <cell r="AM56">
            <v>0</v>
          </cell>
          <cell r="AN56">
            <v>0</v>
          </cell>
          <cell r="AO56">
            <v>365.33</v>
          </cell>
          <cell r="AP56">
            <v>0</v>
          </cell>
          <cell r="AQ56">
            <v>0</v>
          </cell>
          <cell r="AR56">
            <v>0</v>
          </cell>
          <cell r="AS56">
            <v>0</v>
          </cell>
          <cell r="AT56">
            <v>0</v>
          </cell>
          <cell r="AU56">
            <v>0</v>
          </cell>
          <cell r="AV56">
            <v>0</v>
          </cell>
          <cell r="AW56">
            <v>0</v>
          </cell>
          <cell r="AX56">
            <v>0</v>
          </cell>
          <cell r="AY56">
            <v>0</v>
          </cell>
          <cell r="AZ56" t="str">
            <v/>
          </cell>
          <cell r="BA56" t="str">
            <v/>
          </cell>
          <cell r="BB56">
            <v>365.33</v>
          </cell>
        </row>
        <row r="57">
          <cell r="A57" t="str">
            <v>R153</v>
          </cell>
          <cell r="B57" t="str">
            <v>Kiplinger Washington Editors, Inc.</v>
          </cell>
          <cell r="C57" t="str">
            <v>P</v>
          </cell>
          <cell r="D57" t="str">
            <v>C+R</v>
          </cell>
          <cell r="E57" t="str">
            <v>Loc</v>
          </cell>
          <cell r="F57" t="str">
            <v>1</v>
          </cell>
          <cell r="G57" t="str">
            <v>ASO</v>
          </cell>
          <cell r="H57" t="str">
            <v>ASO with Spec</v>
          </cell>
          <cell r="I57" t="str">
            <v>B3713ZZR</v>
          </cell>
          <cell r="J57" t="str">
            <v>0212</v>
          </cell>
          <cell r="K57">
            <v>85281.78</v>
          </cell>
          <cell r="L57">
            <v>0</v>
          </cell>
          <cell r="M57">
            <v>1139.54</v>
          </cell>
          <cell r="N57">
            <v>217.5</v>
          </cell>
          <cell r="O57">
            <v>0</v>
          </cell>
          <cell r="P57">
            <v>86638.82</v>
          </cell>
          <cell r="Q57">
            <v>1394.6</v>
          </cell>
          <cell r="R57">
            <v>0</v>
          </cell>
          <cell r="S57">
            <v>1394.6</v>
          </cell>
          <cell r="T57">
            <v>9888.18</v>
          </cell>
          <cell r="U57">
            <v>1095.8599999999999</v>
          </cell>
          <cell r="V57">
            <v>0</v>
          </cell>
          <cell r="W57">
            <v>0</v>
          </cell>
          <cell r="X57">
            <v>10984.04</v>
          </cell>
          <cell r="Y57">
            <v>0</v>
          </cell>
          <cell r="Z57">
            <v>0</v>
          </cell>
          <cell r="AA57">
            <v>0</v>
          </cell>
          <cell r="AB57">
            <v>0</v>
          </cell>
          <cell r="AC57">
            <v>10984.04</v>
          </cell>
          <cell r="AD57">
            <v>12378.64</v>
          </cell>
          <cell r="AE57" t="str">
            <v/>
          </cell>
          <cell r="AF57" t="str">
            <v/>
          </cell>
          <cell r="AG57">
            <v>99017.46</v>
          </cell>
          <cell r="AH57" t="str">
            <v>07</v>
          </cell>
          <cell r="AI57" t="str">
            <v>0211</v>
          </cell>
          <cell r="AJ57">
            <v>107.62</v>
          </cell>
          <cell r="AK57">
            <v>0</v>
          </cell>
          <cell r="AL57">
            <v>0</v>
          </cell>
          <cell r="AM57">
            <v>0</v>
          </cell>
          <cell r="AN57">
            <v>0</v>
          </cell>
          <cell r="AO57">
            <v>107.62</v>
          </cell>
          <cell r="AP57">
            <v>0</v>
          </cell>
          <cell r="AQ57">
            <v>0</v>
          </cell>
          <cell r="AR57">
            <v>0</v>
          </cell>
          <cell r="AS57">
            <v>0</v>
          </cell>
          <cell r="AT57">
            <v>0</v>
          </cell>
          <cell r="AU57">
            <v>0</v>
          </cell>
          <cell r="AV57">
            <v>0</v>
          </cell>
          <cell r="AW57">
            <v>0</v>
          </cell>
          <cell r="AX57">
            <v>0</v>
          </cell>
          <cell r="AY57">
            <v>0</v>
          </cell>
          <cell r="AZ57" t="str">
            <v/>
          </cell>
          <cell r="BA57" t="str">
            <v/>
          </cell>
          <cell r="BB57">
            <v>107.62</v>
          </cell>
        </row>
        <row r="58">
          <cell r="A58" t="str">
            <v>R160</v>
          </cell>
          <cell r="B58" t="str">
            <v>Prince George's Community College</v>
          </cell>
          <cell r="C58" t="str">
            <v>P</v>
          </cell>
          <cell r="D58" t="str">
            <v>Rate</v>
          </cell>
          <cell r="E58" t="str">
            <v>Loc</v>
          </cell>
          <cell r="F58" t="str">
            <v>3</v>
          </cell>
          <cell r="G58" t="str">
            <v>STPL</v>
          </cell>
          <cell r="H58" t="str">
            <v>Agg.STP with Sp</v>
          </cell>
          <cell r="I58" t="str">
            <v>B3733HPZ</v>
          </cell>
          <cell r="J58" t="str">
            <v>0212</v>
          </cell>
          <cell r="K58">
            <v>307227.12</v>
          </cell>
          <cell r="L58">
            <v>0</v>
          </cell>
          <cell r="M58">
            <v>1816.43</v>
          </cell>
          <cell r="N58">
            <v>797.86</v>
          </cell>
          <cell r="O58">
            <v>0</v>
          </cell>
          <cell r="P58">
            <v>309841.40999999997</v>
          </cell>
          <cell r="Q58">
            <v>15037.16</v>
          </cell>
          <cell r="R58">
            <v>3304.43</v>
          </cell>
          <cell r="S58">
            <v>18341.59</v>
          </cell>
          <cell r="T58">
            <v>31504.76</v>
          </cell>
          <cell r="U58">
            <v>173.03</v>
          </cell>
          <cell r="V58">
            <v>-173.03</v>
          </cell>
          <cell r="W58">
            <v>0</v>
          </cell>
          <cell r="X58">
            <v>31504.76</v>
          </cell>
          <cell r="Y58">
            <v>0</v>
          </cell>
          <cell r="Z58">
            <v>1127.76</v>
          </cell>
          <cell r="AA58">
            <v>0</v>
          </cell>
          <cell r="AB58">
            <v>0</v>
          </cell>
          <cell r="AC58">
            <v>32632.52</v>
          </cell>
          <cell r="AD58">
            <v>50974.11</v>
          </cell>
          <cell r="AE58" t="str">
            <v/>
          </cell>
          <cell r="AF58" t="str">
            <v/>
          </cell>
          <cell r="AG58">
            <v>360815.52</v>
          </cell>
          <cell r="AH58" t="str">
            <v>07</v>
          </cell>
          <cell r="AI58" t="str">
            <v>0211</v>
          </cell>
          <cell r="AJ58">
            <v>1.51</v>
          </cell>
          <cell r="AK58">
            <v>0</v>
          </cell>
          <cell r="AL58">
            <v>0</v>
          </cell>
          <cell r="AM58">
            <v>0</v>
          </cell>
          <cell r="AN58">
            <v>0</v>
          </cell>
          <cell r="AO58">
            <v>1.51</v>
          </cell>
          <cell r="AP58">
            <v>0</v>
          </cell>
          <cell r="AQ58">
            <v>0</v>
          </cell>
          <cell r="AR58">
            <v>0</v>
          </cell>
          <cell r="AS58">
            <v>0</v>
          </cell>
          <cell r="AT58">
            <v>0</v>
          </cell>
          <cell r="AU58">
            <v>0</v>
          </cell>
          <cell r="AV58">
            <v>0</v>
          </cell>
          <cell r="AW58">
            <v>0</v>
          </cell>
          <cell r="AX58">
            <v>0</v>
          </cell>
          <cell r="AY58">
            <v>0</v>
          </cell>
          <cell r="AZ58" t="str">
            <v/>
          </cell>
          <cell r="BA58" t="str">
            <v/>
          </cell>
          <cell r="BB58">
            <v>1.51</v>
          </cell>
        </row>
        <row r="59">
          <cell r="A59" t="str">
            <v>R182</v>
          </cell>
          <cell r="B59" t="str">
            <v>George Washington University</v>
          </cell>
          <cell r="C59" t="str">
            <v>P</v>
          </cell>
          <cell r="D59" t="str">
            <v>C+R</v>
          </cell>
          <cell r="E59" t="str">
            <v>Loc</v>
          </cell>
          <cell r="F59" t="str">
            <v>3</v>
          </cell>
          <cell r="G59" t="str">
            <v>STPL</v>
          </cell>
          <cell r="H59" t="str">
            <v>Agg.STP with Sp</v>
          </cell>
          <cell r="I59" t="str">
            <v>B3733HPR</v>
          </cell>
          <cell r="J59" t="str">
            <v>0212</v>
          </cell>
          <cell r="K59">
            <v>645532.36</v>
          </cell>
          <cell r="L59">
            <v>-5138.9799999999996</v>
          </cell>
          <cell r="M59">
            <v>5814.77</v>
          </cell>
          <cell r="N59">
            <v>624.71</v>
          </cell>
          <cell r="O59">
            <v>0</v>
          </cell>
          <cell r="P59">
            <v>657110.81999999995</v>
          </cell>
          <cell r="Q59">
            <v>11428.9</v>
          </cell>
          <cell r="R59">
            <v>3800.25</v>
          </cell>
          <cell r="S59">
            <v>15229.15</v>
          </cell>
          <cell r="T59">
            <v>81025.84</v>
          </cell>
          <cell r="U59">
            <v>15513.36</v>
          </cell>
          <cell r="V59">
            <v>0</v>
          </cell>
          <cell r="W59">
            <v>15723</v>
          </cell>
          <cell r="X59">
            <v>112262.2</v>
          </cell>
          <cell r="Y59">
            <v>0</v>
          </cell>
          <cell r="Z59">
            <v>1924.77</v>
          </cell>
          <cell r="AA59">
            <v>559.04999999999995</v>
          </cell>
          <cell r="AB59">
            <v>0</v>
          </cell>
          <cell r="AC59">
            <v>114746.02</v>
          </cell>
          <cell r="AD59">
            <v>129975.17</v>
          </cell>
          <cell r="AE59" t="str">
            <v/>
          </cell>
          <cell r="AF59" t="str">
            <v/>
          </cell>
          <cell r="AG59">
            <v>787085.99</v>
          </cell>
          <cell r="AH59" t="str">
            <v>01</v>
          </cell>
          <cell r="AI59" t="str">
            <v>0211</v>
          </cell>
          <cell r="AJ59">
            <v>45.01</v>
          </cell>
          <cell r="AK59">
            <v>0</v>
          </cell>
          <cell r="AL59">
            <v>0</v>
          </cell>
          <cell r="AM59">
            <v>0</v>
          </cell>
          <cell r="AN59">
            <v>0</v>
          </cell>
          <cell r="AO59">
            <v>45.01</v>
          </cell>
          <cell r="AP59">
            <v>0</v>
          </cell>
          <cell r="AQ59">
            <v>0</v>
          </cell>
          <cell r="AR59">
            <v>0</v>
          </cell>
          <cell r="AS59">
            <v>0</v>
          </cell>
          <cell r="AT59">
            <v>0</v>
          </cell>
          <cell r="AU59">
            <v>0</v>
          </cell>
          <cell r="AV59">
            <v>0.05</v>
          </cell>
          <cell r="AW59">
            <v>0</v>
          </cell>
          <cell r="AX59">
            <v>0.05</v>
          </cell>
          <cell r="AY59">
            <v>0.05</v>
          </cell>
          <cell r="AZ59" t="str">
            <v/>
          </cell>
          <cell r="BA59" t="str">
            <v/>
          </cell>
          <cell r="BB59">
            <v>45.06</v>
          </cell>
        </row>
        <row r="60">
          <cell r="A60" t="str">
            <v>R189</v>
          </cell>
          <cell r="B60" t="str">
            <v>Communication Workers of America</v>
          </cell>
          <cell r="C60" t="str">
            <v>P</v>
          </cell>
          <cell r="D60" t="str">
            <v>C+R</v>
          </cell>
          <cell r="E60" t="str">
            <v>Loc</v>
          </cell>
          <cell r="F60" t="str">
            <v>3</v>
          </cell>
          <cell r="G60" t="str">
            <v>STPL</v>
          </cell>
          <cell r="H60" t="str">
            <v>Agg.STP with Sp</v>
          </cell>
          <cell r="I60" t="str">
            <v>B3735ZZR</v>
          </cell>
          <cell r="J60" t="str">
            <v>0212</v>
          </cell>
          <cell r="K60">
            <v>427718.09</v>
          </cell>
          <cell r="L60">
            <v>24.28</v>
          </cell>
          <cell r="M60">
            <v>17214.87</v>
          </cell>
          <cell r="N60">
            <v>0</v>
          </cell>
          <cell r="O60">
            <v>0</v>
          </cell>
          <cell r="P60">
            <v>444908.68</v>
          </cell>
          <cell r="Q60">
            <v>9774.9699999999993</v>
          </cell>
          <cell r="R60">
            <v>4273.5600000000004</v>
          </cell>
          <cell r="S60">
            <v>14048.53</v>
          </cell>
          <cell r="T60">
            <v>45875.61</v>
          </cell>
          <cell r="U60">
            <v>5076.1400000000003</v>
          </cell>
          <cell r="V60">
            <v>0</v>
          </cell>
          <cell r="W60">
            <v>8375.6299999999992</v>
          </cell>
          <cell r="X60">
            <v>59327.38</v>
          </cell>
          <cell r="Y60">
            <v>0</v>
          </cell>
          <cell r="Z60">
            <v>840.84</v>
          </cell>
          <cell r="AA60">
            <v>0</v>
          </cell>
          <cell r="AB60">
            <v>0</v>
          </cell>
          <cell r="AC60">
            <v>60168.22</v>
          </cell>
          <cell r="AD60">
            <v>74216.75</v>
          </cell>
          <cell r="AE60" t="str">
            <v/>
          </cell>
          <cell r="AF60" t="str">
            <v/>
          </cell>
          <cell r="AG60">
            <v>519125.43</v>
          </cell>
          <cell r="AH60" t="str">
            <v>07</v>
          </cell>
          <cell r="AI60" t="str">
            <v>0211</v>
          </cell>
          <cell r="AJ60">
            <v>1145.23</v>
          </cell>
          <cell r="AK60">
            <v>0</v>
          </cell>
          <cell r="AL60">
            <v>0</v>
          </cell>
          <cell r="AM60">
            <v>0</v>
          </cell>
          <cell r="AN60">
            <v>0</v>
          </cell>
          <cell r="AO60">
            <v>1145.23</v>
          </cell>
          <cell r="AP60">
            <v>0</v>
          </cell>
          <cell r="AQ60">
            <v>0</v>
          </cell>
          <cell r="AR60">
            <v>0</v>
          </cell>
          <cell r="AS60">
            <v>0</v>
          </cell>
          <cell r="AT60">
            <v>0</v>
          </cell>
          <cell r="AU60">
            <v>0</v>
          </cell>
          <cell r="AV60">
            <v>0.89</v>
          </cell>
          <cell r="AW60">
            <v>0</v>
          </cell>
          <cell r="AX60">
            <v>0.89</v>
          </cell>
          <cell r="AY60">
            <v>0.89</v>
          </cell>
          <cell r="AZ60" t="str">
            <v/>
          </cell>
          <cell r="BA60" t="str">
            <v/>
          </cell>
          <cell r="BB60">
            <v>1146.1199999999999</v>
          </cell>
        </row>
        <row r="61">
          <cell r="A61" t="str">
            <v>R304</v>
          </cell>
          <cell r="B61" t="str">
            <v>FAES</v>
          </cell>
          <cell r="C61" t="str">
            <v>P</v>
          </cell>
          <cell r="D61" t="str">
            <v>Rate</v>
          </cell>
          <cell r="E61" t="str">
            <v>Loc</v>
          </cell>
          <cell r="F61" t="str">
            <v>5</v>
          </cell>
          <cell r="G61" t="str">
            <v>INSU</v>
          </cell>
          <cell r="H61" t="str">
            <v>Insured with Sp</v>
          </cell>
          <cell r="I61" t="str">
            <v>BDB8</v>
          </cell>
          <cell r="J61" t="str">
            <v>0212</v>
          </cell>
          <cell r="K61">
            <v>576485.51</v>
          </cell>
          <cell r="L61">
            <v>0</v>
          </cell>
          <cell r="M61">
            <v>5394.26</v>
          </cell>
          <cell r="N61">
            <v>0</v>
          </cell>
          <cell r="O61">
            <v>0</v>
          </cell>
          <cell r="P61">
            <v>581879.77</v>
          </cell>
          <cell r="Q61">
            <v>8379.98</v>
          </cell>
          <cell r="R61">
            <v>17957.099999999999</v>
          </cell>
          <cell r="S61">
            <v>26337.08</v>
          </cell>
          <cell r="T61">
            <v>63828.39</v>
          </cell>
          <cell r="U61">
            <v>6609.45</v>
          </cell>
          <cell r="V61">
            <v>0</v>
          </cell>
          <cell r="W61">
            <v>28326.21</v>
          </cell>
          <cell r="X61">
            <v>98764.05</v>
          </cell>
          <cell r="Y61">
            <v>0</v>
          </cell>
          <cell r="Z61">
            <v>6513.85</v>
          </cell>
          <cell r="AA61">
            <v>0</v>
          </cell>
          <cell r="AB61">
            <v>0</v>
          </cell>
          <cell r="AC61">
            <v>105277.9</v>
          </cell>
          <cell r="AD61">
            <v>131614.98000000001</v>
          </cell>
          <cell r="AE61" t="str">
            <v/>
          </cell>
          <cell r="AF61" t="str">
            <v/>
          </cell>
          <cell r="AG61">
            <v>713494.75</v>
          </cell>
          <cell r="AH61" t="str">
            <v>01</v>
          </cell>
          <cell r="AI61" t="str">
            <v>0211</v>
          </cell>
          <cell r="AJ61">
            <v>129.66999999999999</v>
          </cell>
          <cell r="AK61">
            <v>0</v>
          </cell>
          <cell r="AL61">
            <v>0</v>
          </cell>
          <cell r="AM61">
            <v>0</v>
          </cell>
          <cell r="AN61">
            <v>0</v>
          </cell>
          <cell r="AO61">
            <v>129.66999999999999</v>
          </cell>
          <cell r="AP61">
            <v>0</v>
          </cell>
          <cell r="AQ61">
            <v>0</v>
          </cell>
          <cell r="AR61">
            <v>0</v>
          </cell>
          <cell r="AS61">
            <v>0</v>
          </cell>
          <cell r="AT61">
            <v>0</v>
          </cell>
          <cell r="AU61">
            <v>0</v>
          </cell>
          <cell r="AV61">
            <v>0</v>
          </cell>
          <cell r="AW61">
            <v>0</v>
          </cell>
          <cell r="AX61">
            <v>0</v>
          </cell>
          <cell r="AY61">
            <v>0</v>
          </cell>
          <cell r="AZ61" t="str">
            <v/>
          </cell>
          <cell r="BA61" t="str">
            <v/>
          </cell>
          <cell r="BB61">
            <v>129.66999999999999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5C67B-020A-45E1-A128-407208C4648B}">
  <dimension ref="A1:R16"/>
  <sheetViews>
    <sheetView tabSelected="1" workbookViewId="0">
      <selection activeCell="F20" sqref="F20"/>
    </sheetView>
  </sheetViews>
  <sheetFormatPr defaultRowHeight="14.4" x14ac:dyDescent="0.3"/>
  <cols>
    <col min="4" max="4" width="16.44140625" customWidth="1"/>
    <col min="6" max="6" width="6.88671875" customWidth="1"/>
    <col min="7" max="7" width="7.5546875" customWidth="1"/>
    <col min="8" max="8" width="8.44140625" customWidth="1"/>
  </cols>
  <sheetData>
    <row r="1" spans="1:18" ht="15" thickBot="1" x14ac:dyDescent="0.35">
      <c r="A1" s="85" t="s">
        <v>83</v>
      </c>
    </row>
    <row r="2" spans="1:18" ht="15" thickBot="1" x14ac:dyDescent="0.35">
      <c r="A2" s="98"/>
      <c r="B2" s="98"/>
      <c r="C2" s="98"/>
      <c r="D2" s="98"/>
      <c r="E2" s="99">
        <v>2017</v>
      </c>
      <c r="F2" s="99"/>
      <c r="G2" s="99">
        <v>2018</v>
      </c>
      <c r="H2" s="99"/>
      <c r="I2" s="99">
        <v>2019</v>
      </c>
      <c r="J2" s="99"/>
      <c r="K2" s="99">
        <v>2020</v>
      </c>
      <c r="L2" s="99"/>
      <c r="M2" s="99">
        <v>2021</v>
      </c>
      <c r="N2" s="99"/>
      <c r="O2" s="99">
        <v>2022</v>
      </c>
      <c r="P2" s="99"/>
      <c r="Q2" s="99">
        <v>2023</v>
      </c>
      <c r="R2" s="99"/>
    </row>
    <row r="3" spans="1:18" x14ac:dyDescent="0.3">
      <c r="A3" s="101" t="s">
        <v>116</v>
      </c>
      <c r="B3" s="101"/>
      <c r="C3" s="101"/>
      <c r="D3" s="101"/>
      <c r="E3" s="102">
        <v>9822.01</v>
      </c>
      <c r="F3" s="102"/>
      <c r="G3" s="102">
        <v>10080.74</v>
      </c>
      <c r="H3" s="102"/>
      <c r="I3" s="102">
        <v>12149.07</v>
      </c>
      <c r="J3" s="102"/>
      <c r="K3" s="102">
        <v>15991.23</v>
      </c>
      <c r="L3" s="102"/>
      <c r="M3" s="102">
        <v>28401.84</v>
      </c>
      <c r="N3" s="102"/>
      <c r="O3" s="102">
        <v>21338.82</v>
      </c>
      <c r="P3" s="102"/>
      <c r="Q3" s="102">
        <f>'Partners 23-24 No Change'!M79</f>
        <v>33947.245999999999</v>
      </c>
      <c r="R3" s="102"/>
    </row>
    <row r="4" spans="1:18" ht="36" customHeight="1" x14ac:dyDescent="0.3">
      <c r="A4" s="106" t="s">
        <v>122</v>
      </c>
      <c r="B4" s="107"/>
      <c r="C4" s="107"/>
      <c r="D4" s="108"/>
      <c r="E4" s="171"/>
      <c r="F4" s="171"/>
      <c r="G4" s="172">
        <f>(G3-E3)/E3</f>
        <v>2.6341858743780505E-2</v>
      </c>
      <c r="H4" s="172"/>
      <c r="I4" s="172">
        <v>-6.4399999999999999E-2</v>
      </c>
      <c r="J4" s="172"/>
      <c r="K4" s="172">
        <v>2.64E-2</v>
      </c>
      <c r="L4" s="172"/>
      <c r="M4" s="172">
        <v>3.6700000000000003E-2</v>
      </c>
      <c r="N4" s="172"/>
      <c r="O4" s="172">
        <v>-1.29E-2</v>
      </c>
      <c r="P4" s="172"/>
      <c r="Q4" s="172">
        <f>'Partners 23-24 No Change'!M81</f>
        <v>0.16077017108644232</v>
      </c>
      <c r="R4" s="172"/>
    </row>
    <row r="5" spans="1:18" s="166" customFormat="1" x14ac:dyDescent="0.3">
      <c r="A5" s="163" t="s">
        <v>117</v>
      </c>
      <c r="B5" s="163"/>
      <c r="C5" s="163"/>
      <c r="D5" s="163"/>
      <c r="E5" s="164">
        <v>15</v>
      </c>
      <c r="F5" s="165"/>
      <c r="G5" s="164">
        <v>15</v>
      </c>
      <c r="H5" s="165"/>
      <c r="I5" s="164">
        <v>18</v>
      </c>
      <c r="J5" s="165"/>
      <c r="K5" s="164">
        <v>22</v>
      </c>
      <c r="L5" s="165"/>
      <c r="M5" s="164">
        <v>27</v>
      </c>
      <c r="N5" s="165"/>
      <c r="O5" s="164">
        <v>36</v>
      </c>
      <c r="P5" s="165"/>
      <c r="Q5" s="164">
        <v>30</v>
      </c>
      <c r="R5" s="165"/>
    </row>
    <row r="6" spans="1:18" s="166" customFormat="1" x14ac:dyDescent="0.3">
      <c r="A6" s="106" t="s">
        <v>123</v>
      </c>
      <c r="B6" s="107"/>
      <c r="C6" s="107"/>
      <c r="D6" s="108"/>
      <c r="E6" s="171"/>
      <c r="F6" s="171"/>
      <c r="G6" s="172">
        <f>(G5-E5)/E5</f>
        <v>0</v>
      </c>
      <c r="H6" s="172"/>
      <c r="I6" s="172">
        <f>(I5-G5)/G5</f>
        <v>0.2</v>
      </c>
      <c r="J6" s="172"/>
      <c r="K6" s="172">
        <f>(K5-I5)/I5</f>
        <v>0.22222222222222221</v>
      </c>
      <c r="L6" s="172"/>
      <c r="M6" s="172">
        <f t="shared" ref="M6" si="0">(M5-K5)/K5</f>
        <v>0.22727272727272727</v>
      </c>
      <c r="N6" s="172"/>
      <c r="O6" s="172">
        <f t="shared" ref="O6" si="1">(O5-M5)/M5</f>
        <v>0.33333333333333331</v>
      </c>
      <c r="P6" s="172"/>
      <c r="Q6" s="172">
        <f t="shared" ref="Q6" si="2">(Q5-O5)/O5</f>
        <v>-0.16666666666666666</v>
      </c>
      <c r="R6" s="172"/>
    </row>
    <row r="7" spans="1:18" x14ac:dyDescent="0.3">
      <c r="A7" s="115" t="s">
        <v>119</v>
      </c>
      <c r="B7" s="115"/>
      <c r="C7" s="115"/>
      <c r="D7" s="115"/>
      <c r="E7" s="169" t="s">
        <v>121</v>
      </c>
      <c r="F7" s="170"/>
      <c r="G7" s="169" t="s">
        <v>121</v>
      </c>
      <c r="H7" s="170"/>
      <c r="I7" s="169" t="s">
        <v>121</v>
      </c>
      <c r="J7" s="170"/>
      <c r="K7" s="169" t="s">
        <v>121</v>
      </c>
      <c r="L7" s="170"/>
      <c r="M7" s="169" t="s">
        <v>121</v>
      </c>
      <c r="N7" s="170"/>
      <c r="O7" s="169" t="s">
        <v>121</v>
      </c>
      <c r="P7" s="170"/>
      <c r="Q7" s="169" t="s">
        <v>121</v>
      </c>
      <c r="R7" s="170"/>
    </row>
    <row r="8" spans="1:18" ht="29.4" customHeight="1" x14ac:dyDescent="0.3">
      <c r="A8" s="115" t="s">
        <v>118</v>
      </c>
      <c r="B8" s="115"/>
      <c r="C8" s="115"/>
      <c r="D8" s="115"/>
      <c r="E8" s="167" t="s">
        <v>120</v>
      </c>
      <c r="F8" s="168"/>
      <c r="G8" s="167" t="s">
        <v>120</v>
      </c>
      <c r="H8" s="168"/>
      <c r="I8" s="167" t="s">
        <v>120</v>
      </c>
      <c r="J8" s="168"/>
      <c r="K8" s="167" t="s">
        <v>120</v>
      </c>
      <c r="L8" s="168"/>
      <c r="M8" s="167" t="s">
        <v>120</v>
      </c>
      <c r="N8" s="168"/>
      <c r="O8" s="167" t="s">
        <v>120</v>
      </c>
      <c r="P8" s="168"/>
      <c r="Q8" s="167" t="s">
        <v>120</v>
      </c>
      <c r="R8" s="168"/>
    </row>
    <row r="10" spans="1:18" x14ac:dyDescent="0.3">
      <c r="A10" s="129"/>
      <c r="B10" s="173" t="s">
        <v>124</v>
      </c>
      <c r="C10" s="173"/>
      <c r="D10" s="173"/>
      <c r="E10" s="173"/>
      <c r="F10" s="173"/>
      <c r="G10" s="173"/>
      <c r="H10" s="173"/>
      <c r="I10" s="173"/>
      <c r="J10" s="173"/>
      <c r="K10" s="173"/>
      <c r="L10" s="173"/>
      <c r="M10" s="173"/>
      <c r="N10" s="173"/>
      <c r="O10" s="173"/>
      <c r="P10" s="173"/>
    </row>
    <row r="11" spans="1:18" x14ac:dyDescent="0.3">
      <c r="A11" s="129"/>
      <c r="B11" s="173"/>
      <c r="C11" s="173"/>
      <c r="D11" s="173"/>
      <c r="E11" s="173"/>
      <c r="F11" s="173"/>
      <c r="G11" s="173"/>
      <c r="H11" s="173"/>
      <c r="I11" s="173"/>
      <c r="J11" s="173"/>
      <c r="K11" s="173"/>
      <c r="L11" s="173"/>
      <c r="M11" s="173"/>
      <c r="N11" s="173"/>
      <c r="O11" s="173"/>
      <c r="P11" s="173"/>
    </row>
    <row r="12" spans="1:18" x14ac:dyDescent="0.3">
      <c r="A12" s="129"/>
      <c r="B12" s="173"/>
      <c r="C12" s="173"/>
      <c r="D12" s="173"/>
      <c r="E12" s="173"/>
      <c r="F12" s="173"/>
      <c r="G12" s="173"/>
      <c r="H12" s="173"/>
      <c r="I12" s="173"/>
      <c r="J12" s="173"/>
      <c r="K12" s="173"/>
      <c r="L12" s="173"/>
      <c r="M12" s="173"/>
      <c r="N12" s="173"/>
      <c r="O12" s="173"/>
      <c r="P12" s="173"/>
    </row>
    <row r="13" spans="1:18" x14ac:dyDescent="0.3">
      <c r="A13" s="129"/>
      <c r="B13" s="173"/>
      <c r="C13" s="173"/>
      <c r="D13" s="173"/>
      <c r="E13" s="173"/>
      <c r="F13" s="173"/>
      <c r="G13" s="173"/>
      <c r="H13" s="173"/>
      <c r="I13" s="173"/>
      <c r="J13" s="173"/>
      <c r="K13" s="173"/>
      <c r="L13" s="173"/>
      <c r="M13" s="173"/>
      <c r="N13" s="173"/>
      <c r="O13" s="173"/>
      <c r="P13" s="173"/>
    </row>
    <row r="14" spans="1:18" x14ac:dyDescent="0.3">
      <c r="A14" s="129"/>
      <c r="B14" s="173"/>
      <c r="C14" s="173"/>
      <c r="D14" s="173"/>
      <c r="E14" s="173"/>
      <c r="F14" s="173"/>
      <c r="G14" s="173"/>
      <c r="H14" s="173"/>
      <c r="I14" s="173"/>
      <c r="J14" s="173"/>
      <c r="K14" s="173"/>
      <c r="L14" s="173"/>
      <c r="M14" s="173"/>
      <c r="N14" s="173"/>
      <c r="O14" s="173"/>
      <c r="P14" s="173"/>
    </row>
    <row r="15" spans="1:18" x14ac:dyDescent="0.3">
      <c r="A15" s="129"/>
      <c r="B15" s="173"/>
      <c r="C15" s="173"/>
      <c r="D15" s="173"/>
      <c r="E15" s="173"/>
      <c r="F15" s="173"/>
      <c r="G15" s="173"/>
      <c r="H15" s="173"/>
      <c r="I15" s="173"/>
      <c r="J15" s="173"/>
      <c r="K15" s="173"/>
      <c r="L15" s="173"/>
      <c r="M15" s="173"/>
      <c r="N15" s="173"/>
      <c r="O15" s="173"/>
      <c r="P15" s="173"/>
    </row>
    <row r="16" spans="1:18" x14ac:dyDescent="0.3">
      <c r="B16" s="173"/>
      <c r="C16" s="173"/>
      <c r="D16" s="173"/>
      <c r="E16" s="173"/>
      <c r="F16" s="173"/>
      <c r="G16" s="173"/>
      <c r="H16" s="173"/>
      <c r="I16" s="173"/>
      <c r="J16" s="173"/>
      <c r="K16" s="173"/>
      <c r="L16" s="173"/>
      <c r="M16" s="173"/>
      <c r="N16" s="173"/>
      <c r="O16" s="173"/>
      <c r="P16" s="173"/>
    </row>
  </sheetData>
  <mergeCells count="56">
    <mergeCell ref="B10:P16"/>
    <mergeCell ref="A6:D6"/>
    <mergeCell ref="E6:F6"/>
    <mergeCell ref="G6:H6"/>
    <mergeCell ref="I6:J6"/>
    <mergeCell ref="K6:L6"/>
    <mergeCell ref="M6:N6"/>
    <mergeCell ref="Q2:R2"/>
    <mergeCell ref="Q3:R3"/>
    <mergeCell ref="Q4:R4"/>
    <mergeCell ref="Q5:R5"/>
    <mergeCell ref="Q7:R7"/>
    <mergeCell ref="Q8:R8"/>
    <mergeCell ref="Q6:R6"/>
    <mergeCell ref="O2:P2"/>
    <mergeCell ref="O3:P3"/>
    <mergeCell ref="O4:P4"/>
    <mergeCell ref="O5:P5"/>
    <mergeCell ref="O7:P7"/>
    <mergeCell ref="O8:P8"/>
    <mergeCell ref="O6:P6"/>
    <mergeCell ref="M2:N2"/>
    <mergeCell ref="M3:N3"/>
    <mergeCell ref="M4:N4"/>
    <mergeCell ref="M5:N5"/>
    <mergeCell ref="M7:N7"/>
    <mergeCell ref="M8:N8"/>
    <mergeCell ref="I4:J4"/>
    <mergeCell ref="I5:J5"/>
    <mergeCell ref="I7:J7"/>
    <mergeCell ref="I8:J8"/>
    <mergeCell ref="K2:L2"/>
    <mergeCell ref="K3:L3"/>
    <mergeCell ref="K4:L4"/>
    <mergeCell ref="K5:L5"/>
    <mergeCell ref="K7:L7"/>
    <mergeCell ref="K8:L8"/>
    <mergeCell ref="A7:D7"/>
    <mergeCell ref="E7:F7"/>
    <mergeCell ref="G7:H7"/>
    <mergeCell ref="A8:D8"/>
    <mergeCell ref="E8:F8"/>
    <mergeCell ref="G8:H8"/>
    <mergeCell ref="A4:D4"/>
    <mergeCell ref="E4:F4"/>
    <mergeCell ref="G4:H4"/>
    <mergeCell ref="A5:D5"/>
    <mergeCell ref="E5:F5"/>
    <mergeCell ref="G5:H5"/>
    <mergeCell ref="E2:F2"/>
    <mergeCell ref="G2:H2"/>
    <mergeCell ref="A3:D3"/>
    <mergeCell ref="E3:F3"/>
    <mergeCell ref="G3:H3"/>
    <mergeCell ref="I2:J2"/>
    <mergeCell ref="I3:J3"/>
  </mergeCells>
  <phoneticPr fontId="20" type="noConversion"/>
  <pageMargins left="0.7" right="0.7" top="0.75" bottom="0.75" header="0.3" footer="0.3"/>
  <pageSetup scale="15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101D-0DDE-4E79-96FB-47AC8AC2CB12}">
  <dimension ref="A1:J31"/>
  <sheetViews>
    <sheetView topLeftCell="A7" workbookViewId="0">
      <selection activeCell="J9" sqref="J9"/>
    </sheetView>
  </sheetViews>
  <sheetFormatPr defaultRowHeight="14.4" x14ac:dyDescent="0.3"/>
  <cols>
    <col min="4" max="4" width="16.44140625" customWidth="1"/>
    <col min="6" max="6" width="6.88671875" customWidth="1"/>
    <col min="7" max="7" width="7.5546875" customWidth="1"/>
    <col min="8" max="8" width="8.44140625" customWidth="1"/>
  </cols>
  <sheetData>
    <row r="1" spans="1:10" x14ac:dyDescent="0.3">
      <c r="A1" s="85" t="s">
        <v>83</v>
      </c>
    </row>
    <row r="2" spans="1:10" s="90" customFormat="1" ht="11.4" x14ac:dyDescent="0.2">
      <c r="A2" s="86"/>
      <c r="B2" s="87"/>
      <c r="C2" s="86"/>
      <c r="D2" s="86"/>
      <c r="E2" s="88"/>
      <c r="F2" s="88"/>
      <c r="G2" s="89"/>
      <c r="H2" s="89"/>
    </row>
    <row r="4" spans="1:10" x14ac:dyDescent="0.3">
      <c r="A4" s="91" t="s">
        <v>84</v>
      </c>
    </row>
    <row r="5" spans="1:10" x14ac:dyDescent="0.3">
      <c r="A5" s="92" t="s">
        <v>85</v>
      </c>
      <c r="B5" s="93"/>
      <c r="C5" s="93"/>
      <c r="D5" s="93"/>
      <c r="E5" s="93"/>
      <c r="F5" s="93"/>
      <c r="G5" s="93"/>
      <c r="H5" s="93"/>
      <c r="I5" s="94"/>
    </row>
    <row r="6" spans="1:10" ht="15" thickBot="1" x14ac:dyDescent="0.35">
      <c r="A6" s="95" t="s">
        <v>86</v>
      </c>
      <c r="B6" s="95"/>
      <c r="C6" s="95"/>
      <c r="D6" s="95"/>
      <c r="E6" s="96"/>
      <c r="F6" s="96"/>
      <c r="G6" s="96"/>
      <c r="H6" s="96"/>
      <c r="I6" s="97"/>
    </row>
    <row r="7" spans="1:10" ht="15" thickBot="1" x14ac:dyDescent="0.35">
      <c r="A7" s="98"/>
      <c r="B7" s="98"/>
      <c r="C7" s="98"/>
      <c r="D7" s="98"/>
      <c r="E7" s="99" t="s">
        <v>87</v>
      </c>
      <c r="F7" s="99"/>
      <c r="G7" s="99" t="s">
        <v>88</v>
      </c>
      <c r="H7" s="99"/>
      <c r="I7" s="100"/>
    </row>
    <row r="8" spans="1:10" x14ac:dyDescent="0.3">
      <c r="A8" s="101" t="s">
        <v>110</v>
      </c>
      <c r="B8" s="101"/>
      <c r="C8" s="101"/>
      <c r="D8" s="101"/>
      <c r="E8" s="102">
        <f>'Partners 23-24 No Change'!M78</f>
        <v>29245.450000000004</v>
      </c>
      <c r="F8" s="102"/>
      <c r="G8" s="103">
        <f>SUM('Partners 23-24 No Change'!F6:F76)</f>
        <v>5330.16</v>
      </c>
      <c r="H8" s="104"/>
      <c r="I8" s="105"/>
    </row>
    <row r="9" spans="1:10" ht="36" customHeight="1" x14ac:dyDescent="0.35">
      <c r="A9" s="106" t="s">
        <v>89</v>
      </c>
      <c r="B9" s="107"/>
      <c r="C9" s="107"/>
      <c r="D9" s="108"/>
      <c r="E9" s="109">
        <f>'Partners 23-24 No Change'!M79</f>
        <v>33947.245999999999</v>
      </c>
      <c r="F9" s="109"/>
      <c r="G9" s="109">
        <f>SUM('Partners 23-24 No Change'!M6:M75)</f>
        <v>5237.7639999999992</v>
      </c>
      <c r="H9" s="109"/>
      <c r="I9" s="110" t="s">
        <v>90</v>
      </c>
      <c r="J9" s="111"/>
    </row>
    <row r="10" spans="1:10" x14ac:dyDescent="0.3">
      <c r="A10" s="112" t="s">
        <v>9</v>
      </c>
      <c r="B10" s="112"/>
      <c r="C10" s="112"/>
      <c r="D10" s="112"/>
      <c r="E10" s="113">
        <f>(E9-$E$8)/$E$8</f>
        <v>0.16077017108644232</v>
      </c>
      <c r="F10" s="114"/>
      <c r="G10" s="113">
        <f>(G9-$G$8)/$E$8</f>
        <v>-3.1593290580244323E-3</v>
      </c>
      <c r="H10" s="114"/>
      <c r="I10" s="110"/>
    </row>
    <row r="11" spans="1:10" x14ac:dyDescent="0.3">
      <c r="A11" s="115" t="s">
        <v>92</v>
      </c>
      <c r="B11" s="115"/>
      <c r="C11" s="115"/>
      <c r="D11" s="115"/>
      <c r="E11" s="116">
        <f>E9-$E$8</f>
        <v>4701.7959999999948</v>
      </c>
      <c r="F11" s="117"/>
      <c r="G11" s="116">
        <f>G9-$G$8</f>
        <v>-92.39600000000064</v>
      </c>
      <c r="H11" s="117"/>
      <c r="I11" s="110"/>
    </row>
    <row r="12" spans="1:10" x14ac:dyDescent="0.3">
      <c r="A12" s="115" t="s">
        <v>93</v>
      </c>
      <c r="B12" s="115"/>
      <c r="C12" s="115"/>
      <c r="D12" s="115"/>
      <c r="E12" s="116">
        <f>E11*12</f>
        <v>56421.551999999938</v>
      </c>
      <c r="F12" s="117"/>
      <c r="G12" s="116">
        <f>G11*12</f>
        <v>-1108.7520000000077</v>
      </c>
      <c r="H12" s="117"/>
      <c r="I12" s="110"/>
    </row>
    <row r="13" spans="1:10" ht="39.6" customHeight="1" x14ac:dyDescent="0.35">
      <c r="A13" s="118" t="s">
        <v>94</v>
      </c>
      <c r="B13" s="118"/>
      <c r="C13" s="118"/>
      <c r="D13" s="118"/>
      <c r="E13" s="119">
        <f>'Partners 23-24 75%'!M79</f>
        <v>32236.462500000001</v>
      </c>
      <c r="F13" s="119"/>
      <c r="G13" s="120">
        <f>SUM('Partners 23-24 75%'!M6:M76)</f>
        <v>7496.8375000000015</v>
      </c>
      <c r="H13" s="121"/>
      <c r="I13" s="122" t="s">
        <v>95</v>
      </c>
      <c r="J13" s="111" t="s">
        <v>91</v>
      </c>
    </row>
    <row r="14" spans="1:10" x14ac:dyDescent="0.3">
      <c r="A14" s="123" t="s">
        <v>9</v>
      </c>
      <c r="B14" s="123"/>
      <c r="C14" s="123"/>
      <c r="D14" s="123"/>
      <c r="E14" s="124">
        <f>(E13-$E$8)/$E$8</f>
        <v>0.10227274670076872</v>
      </c>
      <c r="F14" s="125"/>
      <c r="G14" s="124">
        <f>(G13-$G$8)/$E$8</f>
        <v>7.4085968928500029E-2</v>
      </c>
      <c r="H14" s="125"/>
      <c r="I14" s="122"/>
    </row>
    <row r="15" spans="1:10" x14ac:dyDescent="0.3">
      <c r="A15" s="126" t="s">
        <v>92</v>
      </c>
      <c r="B15" s="126"/>
      <c r="C15" s="126"/>
      <c r="D15" s="126"/>
      <c r="E15" s="127">
        <f>E13-$E$8</f>
        <v>2991.0124999999971</v>
      </c>
      <c r="F15" s="128"/>
      <c r="G15" s="127">
        <f>G13-$G$8</f>
        <v>2166.6775000000016</v>
      </c>
      <c r="H15" s="128"/>
      <c r="I15" s="122"/>
    </row>
    <row r="16" spans="1:10" x14ac:dyDescent="0.3">
      <c r="A16" s="126" t="s">
        <v>93</v>
      </c>
      <c r="B16" s="126"/>
      <c r="C16" s="126"/>
      <c r="D16" s="126"/>
      <c r="E16" s="127">
        <f>E15*12</f>
        <v>35892.149999999965</v>
      </c>
      <c r="F16" s="128"/>
      <c r="G16" s="127">
        <f>G15*12</f>
        <v>26000.130000000019</v>
      </c>
      <c r="H16" s="128"/>
      <c r="I16" s="122"/>
    </row>
    <row r="17" spans="1:9" ht="45.6" customHeight="1" x14ac:dyDescent="0.3">
      <c r="A17" s="131" t="s">
        <v>111</v>
      </c>
      <c r="B17" s="132"/>
      <c r="C17" s="132"/>
      <c r="D17" s="133"/>
      <c r="E17" s="134">
        <f>'Prtnrs Change Ref to Gold HRA'!M79+('Prtnrs Change Ref to Gold HRA'!M83/12)</f>
        <v>38074.68</v>
      </c>
      <c r="F17" s="135"/>
      <c r="G17" s="134">
        <f>SUM('Prtnrs Change Ref to Gold HRA'!M6:M75)</f>
        <v>7737.4200000000019</v>
      </c>
      <c r="H17" s="135"/>
      <c r="I17" s="136" t="s">
        <v>113</v>
      </c>
    </row>
    <row r="18" spans="1:9" x14ac:dyDescent="0.3">
      <c r="A18" s="137" t="s">
        <v>9</v>
      </c>
      <c r="B18" s="138"/>
      <c r="C18" s="138"/>
      <c r="D18" s="139"/>
      <c r="E18" s="140">
        <f>(E17-$E$8)/$E$8</f>
        <v>0.30190097946860089</v>
      </c>
      <c r="F18" s="141"/>
      <c r="G18" s="140">
        <f>(G17-$G$8)/$E$8</f>
        <v>8.2312291313691582E-2</v>
      </c>
      <c r="H18" s="141"/>
      <c r="I18" s="136"/>
    </row>
    <row r="19" spans="1:9" x14ac:dyDescent="0.3">
      <c r="A19" s="142" t="s">
        <v>92</v>
      </c>
      <c r="B19" s="143"/>
      <c r="C19" s="143"/>
      <c r="D19" s="144"/>
      <c r="E19" s="145">
        <f>E17-$E$8</f>
        <v>8829.2299999999959</v>
      </c>
      <c r="F19" s="146"/>
      <c r="G19" s="145">
        <f>G17-$G$8</f>
        <v>2407.260000000002</v>
      </c>
      <c r="H19" s="146"/>
      <c r="I19" s="136"/>
    </row>
    <row r="20" spans="1:9" x14ac:dyDescent="0.3">
      <c r="A20" s="142" t="s">
        <v>93</v>
      </c>
      <c r="B20" s="143"/>
      <c r="C20" s="143"/>
      <c r="D20" s="144"/>
      <c r="E20" s="145">
        <f>E19*12</f>
        <v>105950.75999999995</v>
      </c>
      <c r="F20" s="146"/>
      <c r="G20" s="145">
        <f>G19*12</f>
        <v>28887.120000000024</v>
      </c>
      <c r="H20" s="146"/>
      <c r="I20" s="136"/>
    </row>
    <row r="21" spans="1:9" ht="46.8" customHeight="1" x14ac:dyDescent="0.3">
      <c r="A21" s="147" t="s">
        <v>112</v>
      </c>
      <c r="B21" s="148"/>
      <c r="C21" s="148"/>
      <c r="D21" s="149"/>
      <c r="E21" s="150">
        <f>'Prtnrs Change Ref to Silver HRA'!M79+('Prtnrs Change Ref to Silver HRA'!M83/12)</f>
        <v>34915.887999999992</v>
      </c>
      <c r="F21" s="151"/>
      <c r="G21" s="150">
        <f>SUM('Prtnrs Change Ref to Silver HRA'!M6:M75)</f>
        <v>6828.9719999999988</v>
      </c>
      <c r="H21" s="151"/>
      <c r="I21" s="152" t="s">
        <v>114</v>
      </c>
    </row>
    <row r="22" spans="1:9" x14ac:dyDescent="0.3">
      <c r="A22" s="153" t="s">
        <v>9</v>
      </c>
      <c r="B22" s="154"/>
      <c r="C22" s="154"/>
      <c r="D22" s="155"/>
      <c r="E22" s="156">
        <f>(E21-$E$8)/$E$8</f>
        <v>0.19389128907231676</v>
      </c>
      <c r="F22" s="157"/>
      <c r="G22" s="156">
        <f>(G21-$G$8)/$E$8</f>
        <v>5.1249408027573475E-2</v>
      </c>
      <c r="H22" s="157"/>
      <c r="I22" s="152"/>
    </row>
    <row r="23" spans="1:9" x14ac:dyDescent="0.3">
      <c r="A23" s="158" t="s">
        <v>92</v>
      </c>
      <c r="B23" s="159"/>
      <c r="C23" s="159"/>
      <c r="D23" s="160"/>
      <c r="E23" s="161">
        <f>E21-$E$8</f>
        <v>5670.4379999999874</v>
      </c>
      <c r="F23" s="162"/>
      <c r="G23" s="161">
        <f>G21-$G$8</f>
        <v>1498.811999999999</v>
      </c>
      <c r="H23" s="162"/>
      <c r="I23" s="152"/>
    </row>
    <row r="24" spans="1:9" x14ac:dyDescent="0.3">
      <c r="A24" s="158" t="s">
        <v>93</v>
      </c>
      <c r="B24" s="159"/>
      <c r="C24" s="159"/>
      <c r="D24" s="160"/>
      <c r="E24" s="161">
        <f>E23*12</f>
        <v>68045.255999999848</v>
      </c>
      <c r="F24" s="162"/>
      <c r="G24" s="161">
        <f>G23*12</f>
        <v>17985.743999999988</v>
      </c>
      <c r="H24" s="162"/>
      <c r="I24" s="152"/>
    </row>
    <row r="25" spans="1:9" x14ac:dyDescent="0.3">
      <c r="A25" t="s">
        <v>96</v>
      </c>
    </row>
    <row r="26" spans="1:9" x14ac:dyDescent="0.3">
      <c r="A26" s="129" t="s">
        <v>97</v>
      </c>
    </row>
    <row r="27" spans="1:9" x14ac:dyDescent="0.3">
      <c r="A27" s="129" t="s">
        <v>98</v>
      </c>
    </row>
    <row r="28" spans="1:9" x14ac:dyDescent="0.3">
      <c r="A28" s="129" t="s">
        <v>99</v>
      </c>
    </row>
    <row r="29" spans="1:9" x14ac:dyDescent="0.3">
      <c r="A29" s="129" t="s">
        <v>100</v>
      </c>
    </row>
    <row r="30" spans="1:9" x14ac:dyDescent="0.3">
      <c r="A30" s="129"/>
    </row>
    <row r="31" spans="1:9" x14ac:dyDescent="0.3">
      <c r="A31" s="129"/>
    </row>
  </sheetData>
  <mergeCells count="56">
    <mergeCell ref="A24:D24"/>
    <mergeCell ref="E24:F24"/>
    <mergeCell ref="G24:H24"/>
    <mergeCell ref="A22:D22"/>
    <mergeCell ref="E22:F22"/>
    <mergeCell ref="G22:H22"/>
    <mergeCell ref="A23:D23"/>
    <mergeCell ref="E23:F23"/>
    <mergeCell ref="G23:H23"/>
    <mergeCell ref="E21:F21"/>
    <mergeCell ref="G21:H21"/>
    <mergeCell ref="A21:D21"/>
    <mergeCell ref="A19:D19"/>
    <mergeCell ref="E19:F19"/>
    <mergeCell ref="G19:H19"/>
    <mergeCell ref="A20:D20"/>
    <mergeCell ref="E20:F20"/>
    <mergeCell ref="G20:H20"/>
    <mergeCell ref="A17:D17"/>
    <mergeCell ref="E17:F17"/>
    <mergeCell ref="G17:H17"/>
    <mergeCell ref="A18:D18"/>
    <mergeCell ref="E18:F18"/>
    <mergeCell ref="G18:H18"/>
    <mergeCell ref="A15:D15"/>
    <mergeCell ref="E15:F15"/>
    <mergeCell ref="G15:H15"/>
    <mergeCell ref="A16:D16"/>
    <mergeCell ref="E16:F16"/>
    <mergeCell ref="G16:H16"/>
    <mergeCell ref="A13:D13"/>
    <mergeCell ref="E13:F13"/>
    <mergeCell ref="G13:H13"/>
    <mergeCell ref="A14:D14"/>
    <mergeCell ref="E14:F14"/>
    <mergeCell ref="G14:H14"/>
    <mergeCell ref="A11:D11"/>
    <mergeCell ref="E11:F11"/>
    <mergeCell ref="G11:H11"/>
    <mergeCell ref="A12:D12"/>
    <mergeCell ref="E12:F12"/>
    <mergeCell ref="G12:H12"/>
    <mergeCell ref="A9:D9"/>
    <mergeCell ref="E9:F9"/>
    <mergeCell ref="G9:H9"/>
    <mergeCell ref="A10:D10"/>
    <mergeCell ref="E10:F10"/>
    <mergeCell ref="G10:H10"/>
    <mergeCell ref="E2:F2"/>
    <mergeCell ref="A5:I5"/>
    <mergeCell ref="A6:I6"/>
    <mergeCell ref="E7:F7"/>
    <mergeCell ref="G7:H7"/>
    <mergeCell ref="A8:D8"/>
    <mergeCell ref="E8:F8"/>
    <mergeCell ref="G8:H8"/>
  </mergeCells>
  <pageMargins left="0.7" right="0.7" top="0.75" bottom="0.75" header="0.3" footer="0.3"/>
  <pageSetup scale="15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D518-4CCD-4CD2-9396-17FB0AFB29E5}">
  <dimension ref="A1:Q160"/>
  <sheetViews>
    <sheetView zoomScaleNormal="100" workbookViewId="0">
      <selection activeCell="B76" sqref="B6:B76"/>
    </sheetView>
  </sheetViews>
  <sheetFormatPr defaultColWidth="9.109375" defaultRowHeight="14.4" x14ac:dyDescent="0.3"/>
  <cols>
    <col min="1" max="1" width="25.6640625" style="3" customWidth="1"/>
    <col min="2" max="2" width="12" style="7" customWidth="1"/>
    <col min="3" max="3" width="11" style="7" customWidth="1"/>
    <col min="4" max="4" width="11.5546875" style="28" bestFit="1" customWidth="1"/>
    <col min="5" max="5" width="17.44140625" style="7" customWidth="1"/>
    <col min="6" max="6" width="16.6640625" style="19" bestFit="1" customWidth="1"/>
    <col min="7" max="7" width="18" style="19" bestFit="1" customWidth="1"/>
    <col min="8" max="8" width="13.44140625" style="43" customWidth="1"/>
    <col min="9" max="10" width="13.44140625" style="19" customWidth="1"/>
    <col min="11" max="11" width="13.44140625" style="20" customWidth="1"/>
    <col min="12" max="12" width="13.6640625" style="21" customWidth="1"/>
    <col min="13" max="13" width="18.6640625" style="19" bestFit="1" customWidth="1"/>
    <col min="14" max="14" width="14.109375" style="19" customWidth="1"/>
    <col min="15" max="15" width="12.33203125" style="19" customWidth="1"/>
    <col min="16" max="16" width="12.33203125" style="13" customWidth="1"/>
    <col min="17" max="17" width="12.33203125" style="19" customWidth="1"/>
    <col min="18" max="16384" width="9.109375" style="3"/>
  </cols>
  <sheetData>
    <row r="1" spans="1:17" ht="15" thickBot="1" x14ac:dyDescent="0.35">
      <c r="A1" s="1" t="s">
        <v>13</v>
      </c>
      <c r="B1" s="2"/>
      <c r="C1" s="2"/>
      <c r="D1" s="26"/>
      <c r="E1" s="2"/>
      <c r="F1" s="23"/>
      <c r="G1" s="12"/>
      <c r="H1" s="41"/>
      <c r="I1" s="24"/>
      <c r="J1" s="24"/>
      <c r="K1" s="14"/>
      <c r="L1" s="10"/>
      <c r="M1" s="23" t="s">
        <v>81</v>
      </c>
      <c r="N1" s="12">
        <v>0.8</v>
      </c>
      <c r="O1" s="16" t="s">
        <v>0</v>
      </c>
      <c r="P1" s="12">
        <v>0.8</v>
      </c>
      <c r="Q1" s="16" t="s">
        <v>3</v>
      </c>
    </row>
    <row r="2" spans="1:17" x14ac:dyDescent="0.3">
      <c r="A2" s="2">
        <v>1</v>
      </c>
      <c r="B2" s="2"/>
      <c r="C2" s="2"/>
      <c r="D2" s="26"/>
      <c r="E2" s="2"/>
      <c r="F2" s="10"/>
      <c r="G2" s="46"/>
      <c r="H2" s="41"/>
      <c r="I2" s="24"/>
      <c r="J2" s="24"/>
      <c r="K2" s="14"/>
      <c r="L2" s="10"/>
      <c r="M2" s="10"/>
      <c r="N2" s="75" t="s">
        <v>12</v>
      </c>
      <c r="O2" s="75"/>
      <c r="P2" s="75"/>
      <c r="Q2" s="75"/>
    </row>
    <row r="3" spans="1:17" ht="15.75" customHeight="1" thickBot="1" x14ac:dyDescent="0.35">
      <c r="A3" s="4" t="s">
        <v>7</v>
      </c>
      <c r="B3" s="25">
        <v>45139</v>
      </c>
      <c r="C3" s="25"/>
      <c r="D3" s="25"/>
      <c r="E3" s="17"/>
      <c r="F3" s="11"/>
      <c r="G3" s="46"/>
      <c r="H3" s="42"/>
      <c r="I3" s="16"/>
      <c r="J3" s="16"/>
      <c r="K3" s="18"/>
      <c r="L3" s="11"/>
      <c r="M3" s="11"/>
      <c r="N3" s="76"/>
      <c r="O3" s="76"/>
      <c r="P3" s="76"/>
      <c r="Q3" s="76"/>
    </row>
    <row r="4" spans="1:17" ht="15.75" customHeight="1" thickBot="1" x14ac:dyDescent="0.35">
      <c r="A4" s="77" t="s">
        <v>11</v>
      </c>
      <c r="B4" s="78"/>
      <c r="C4" s="78"/>
      <c r="D4" s="79"/>
      <c r="E4" s="80" t="s">
        <v>16</v>
      </c>
      <c r="F4" s="81"/>
      <c r="G4" s="81"/>
      <c r="H4" s="82" t="s">
        <v>17</v>
      </c>
      <c r="I4" s="83"/>
      <c r="J4" s="84"/>
      <c r="K4" s="53" t="s">
        <v>62</v>
      </c>
      <c r="L4" s="58"/>
      <c r="M4" s="11"/>
      <c r="N4" s="24"/>
      <c r="O4" s="24"/>
      <c r="P4" s="24"/>
      <c r="Q4" s="24"/>
    </row>
    <row r="5" spans="1:17" ht="87" thickBot="1" x14ac:dyDescent="0.35">
      <c r="A5" s="5" t="s">
        <v>0</v>
      </c>
      <c r="B5" s="8" t="s">
        <v>64</v>
      </c>
      <c r="C5" s="27" t="s">
        <v>6</v>
      </c>
      <c r="D5" s="6" t="s">
        <v>1</v>
      </c>
      <c r="E5" s="49" t="s">
        <v>59</v>
      </c>
      <c r="F5" s="59" t="s">
        <v>60</v>
      </c>
      <c r="G5" s="60" t="s">
        <v>61</v>
      </c>
      <c r="H5" s="9" t="s">
        <v>78</v>
      </c>
      <c r="I5" s="9" t="s">
        <v>5</v>
      </c>
      <c r="J5" s="15" t="s">
        <v>4</v>
      </c>
      <c r="K5" s="8" t="s">
        <v>2</v>
      </c>
      <c r="L5" s="49" t="s">
        <v>63</v>
      </c>
      <c r="M5" s="50" t="s">
        <v>14</v>
      </c>
      <c r="N5" s="64" t="s">
        <v>82</v>
      </c>
      <c r="O5" s="65" t="s">
        <v>15</v>
      </c>
      <c r="P5" s="66" t="s">
        <v>18</v>
      </c>
      <c r="Q5" s="3"/>
    </row>
    <row r="6" spans="1:17" ht="43.2" x14ac:dyDescent="0.3">
      <c r="A6" t="s">
        <v>19</v>
      </c>
      <c r="B6">
        <v>1</v>
      </c>
      <c r="C6" s="30">
        <v>34087</v>
      </c>
      <c r="D6" s="40">
        <f>($B$3-C6)/365</f>
        <v>30.279452054794522</v>
      </c>
      <c r="E6" s="67">
        <v>650.85</v>
      </c>
      <c r="F6" s="67">
        <v>257.39</v>
      </c>
      <c r="G6" s="67">
        <v>908.24</v>
      </c>
      <c r="H6" s="48">
        <f>'[2]MEDICAL-Table Rates'!$S$42</f>
        <v>513.4</v>
      </c>
      <c r="I6" s="34">
        <v>1055.95</v>
      </c>
      <c r="J6" s="35">
        <f>(I6-G6)/G6</f>
        <v>0.16263322469831767</v>
      </c>
      <c r="K6" s="68" t="s">
        <v>65</v>
      </c>
      <c r="L6" s="36">
        <f>IF($N$1*H6+$P$1*H7&gt;=I6,I6,$N$1*H6+$P$1*H7)</f>
        <v>755.53600000000006</v>
      </c>
      <c r="M6" s="37">
        <f>I6-L6</f>
        <v>300.41399999999999</v>
      </c>
      <c r="N6" s="63">
        <f>(L6-E6)/E6</f>
        <v>0.16084504878236158</v>
      </c>
      <c r="O6" s="63">
        <f>(M6-F6)/F6</f>
        <v>0.16715490112280976</v>
      </c>
      <c r="P6" s="71">
        <f>M6/I6</f>
        <v>0.28449642502012401</v>
      </c>
      <c r="Q6" s="3"/>
    </row>
    <row r="7" spans="1:17" x14ac:dyDescent="0.3">
      <c r="A7"/>
      <c r="B7"/>
      <c r="C7" s="30"/>
      <c r="D7" s="40">
        <v>1</v>
      </c>
      <c r="E7" s="67"/>
      <c r="F7" s="67"/>
      <c r="G7" s="67"/>
      <c r="H7" s="48">
        <f>'[2]MEDICAL-Table Rates'!$S$16</f>
        <v>431.02</v>
      </c>
      <c r="I7" s="34"/>
      <c r="J7" s="35"/>
      <c r="K7" s="68"/>
      <c r="L7" s="61"/>
      <c r="M7" s="62"/>
      <c r="N7" s="63"/>
      <c r="O7" s="63"/>
      <c r="P7" s="51"/>
      <c r="Q7" s="3"/>
    </row>
    <row r="8" spans="1:17" ht="43.2" x14ac:dyDescent="0.3">
      <c r="A8" t="s">
        <v>20</v>
      </c>
      <c r="B8">
        <v>0</v>
      </c>
      <c r="C8" s="30">
        <v>26679</v>
      </c>
      <c r="D8" s="40">
        <f t="shared" ref="D8:D9" si="0">($B$3-C8)/365</f>
        <v>50.575342465753423</v>
      </c>
      <c r="E8" s="67">
        <v>633.82000000000005</v>
      </c>
      <c r="F8" s="67">
        <v>112.9</v>
      </c>
      <c r="G8" s="67">
        <v>746.72</v>
      </c>
      <c r="H8" s="48">
        <f>'[2]MEDICAL-Table Rates'!$S$75</f>
        <v>943.1</v>
      </c>
      <c r="I8" s="34">
        <v>887.51</v>
      </c>
      <c r="J8" s="35">
        <f t="shared" ref="J8:J9" si="1">(I8-G8)/G8</f>
        <v>0.1885445682451253</v>
      </c>
      <c r="K8" s="68" t="s">
        <v>66</v>
      </c>
      <c r="L8" s="36">
        <f>IF($N$1*H8&gt;=I8,I8,$N$1*H8)</f>
        <v>754.48</v>
      </c>
      <c r="M8" s="37">
        <f>I8-L8</f>
        <v>133.02999999999997</v>
      </c>
      <c r="N8" s="63">
        <f t="shared" ref="N8:N9" si="2">(L8-E8)/E8</f>
        <v>0.19036950553784979</v>
      </c>
      <c r="O8" s="63">
        <f t="shared" ref="O8:O9" si="3">(M8-F8)/F8</f>
        <v>0.1782993799822849</v>
      </c>
      <c r="P8" s="71">
        <f t="shared" ref="P8:P9" si="4">M8/I8</f>
        <v>0.14989126883077372</v>
      </c>
      <c r="Q8" s="3"/>
    </row>
    <row r="9" spans="1:17" ht="43.2" x14ac:dyDescent="0.3">
      <c r="A9" t="s">
        <v>21</v>
      </c>
      <c r="B9">
        <v>2</v>
      </c>
      <c r="C9" s="30">
        <v>31381</v>
      </c>
      <c r="D9" s="40">
        <f t="shared" si="0"/>
        <v>37.69315068493151</v>
      </c>
      <c r="E9" s="67">
        <v>1055.9100000000001</v>
      </c>
      <c r="F9" s="67">
        <v>263.97000000000003</v>
      </c>
      <c r="G9" s="67">
        <v>1319.88</v>
      </c>
      <c r="H9" s="48">
        <f>'[2]MEDICAL-Table Rates'!$S$54</f>
        <v>603.69000000000005</v>
      </c>
      <c r="I9" s="34">
        <v>1535.59</v>
      </c>
      <c r="J9" s="35">
        <f t="shared" si="1"/>
        <v>0.16343152407794631</v>
      </c>
      <c r="K9" s="68" t="s">
        <v>67</v>
      </c>
      <c r="L9" s="36">
        <f>IF($N$1*H9+$P$1*SUM(H10:H11)&gt;=I9,I9,$N$1*H9+$P$1*SUM(H10:H11))</f>
        <v>1228.472</v>
      </c>
      <c r="M9" s="37">
        <f>I9-L9</f>
        <v>307.11799999999994</v>
      </c>
      <c r="N9" s="63">
        <f t="shared" si="2"/>
        <v>0.16342491310812463</v>
      </c>
      <c r="O9" s="63">
        <f t="shared" si="3"/>
        <v>0.16345796870856502</v>
      </c>
      <c r="P9" s="71">
        <f t="shared" si="4"/>
        <v>0.19999999999999998</v>
      </c>
      <c r="Q9" s="3"/>
    </row>
    <row r="10" spans="1:17" x14ac:dyDescent="0.3">
      <c r="A10"/>
      <c r="B10"/>
      <c r="C10" s="30"/>
      <c r="D10" s="40">
        <v>29</v>
      </c>
      <c r="E10" s="67"/>
      <c r="F10" s="67"/>
      <c r="G10" s="67"/>
      <c r="H10" s="48">
        <f>'[2]MEDICAL-Table Rates'!$S$41</f>
        <v>500.88</v>
      </c>
      <c r="I10" s="34"/>
      <c r="J10" s="35"/>
      <c r="K10" s="68"/>
      <c r="L10" s="36"/>
      <c r="M10" s="37"/>
      <c r="N10" s="47"/>
      <c r="O10" s="47"/>
      <c r="P10" s="51"/>
      <c r="Q10" s="3"/>
    </row>
    <row r="11" spans="1:17" x14ac:dyDescent="0.3">
      <c r="A11"/>
      <c r="B11"/>
      <c r="C11" s="30"/>
      <c r="D11" s="40">
        <v>0</v>
      </c>
      <c r="E11" s="67"/>
      <c r="F11" s="67"/>
      <c r="G11" s="67"/>
      <c r="H11" s="48">
        <f>'[2]MEDICAL-Table Rates'!$S$16</f>
        <v>431.02</v>
      </c>
      <c r="I11" s="34"/>
      <c r="J11" s="35"/>
      <c r="K11" s="68"/>
      <c r="L11" s="36"/>
      <c r="M11" s="37"/>
      <c r="N11" s="47"/>
      <c r="O11" s="47"/>
      <c r="P11" s="51"/>
      <c r="Q11" s="3"/>
    </row>
    <row r="12" spans="1:17" ht="43.2" x14ac:dyDescent="0.3">
      <c r="A12" t="s">
        <v>22</v>
      </c>
      <c r="B12">
        <v>4</v>
      </c>
      <c r="C12" s="30">
        <v>30749</v>
      </c>
      <c r="D12" s="40">
        <f>($B$3-C12)/365</f>
        <v>39.424657534246577</v>
      </c>
      <c r="E12" s="67">
        <v>1733</v>
      </c>
      <c r="F12" s="67">
        <v>433.25</v>
      </c>
      <c r="G12" s="67">
        <v>2166.25</v>
      </c>
      <c r="H12" s="48">
        <f>'[2]MEDICAL-Table Rates'!$S$57</f>
        <v>618.19000000000005</v>
      </c>
      <c r="I12" s="34">
        <v>2501.7600000000002</v>
      </c>
      <c r="J12" s="35">
        <f>(I12-G12)/G12</f>
        <v>0.1548805539526833</v>
      </c>
      <c r="K12" s="68" t="s">
        <v>67</v>
      </c>
      <c r="L12" s="36">
        <f>IF($N$1*H12+$P$1*SUM(H13:H16)&gt;=I12,I12,$N$1*H12+$P$1*SUM(H13:H16))</f>
        <v>2001.4080000000001</v>
      </c>
      <c r="M12" s="37">
        <f>I12-L12</f>
        <v>500.35200000000009</v>
      </c>
      <c r="N12" s="63">
        <f>(L12-E12)/E12</f>
        <v>0.15488055395268327</v>
      </c>
      <c r="O12" s="63">
        <f>(M12-F12)/F12</f>
        <v>0.15488055395268341</v>
      </c>
      <c r="P12" s="71">
        <f>M12/I12</f>
        <v>0.2</v>
      </c>
      <c r="Q12" s="3"/>
    </row>
    <row r="13" spans="1:17" x14ac:dyDescent="0.3">
      <c r="A13"/>
      <c r="B13"/>
      <c r="C13" s="30"/>
      <c r="D13" s="40">
        <v>36</v>
      </c>
      <c r="E13" s="67"/>
      <c r="F13" s="67"/>
      <c r="G13" s="67"/>
      <c r="H13" s="48">
        <f>'[2]MEDICAL-Table Rates'!$S$52</f>
        <v>590.51</v>
      </c>
      <c r="I13" s="34"/>
      <c r="J13" s="35"/>
      <c r="K13" s="68"/>
      <c r="L13" s="36"/>
      <c r="M13" s="37"/>
      <c r="N13" s="47"/>
      <c r="O13" s="47"/>
      <c r="P13" s="51"/>
      <c r="Q13" s="3"/>
    </row>
    <row r="14" spans="1:17" x14ac:dyDescent="0.3">
      <c r="A14"/>
      <c r="B14"/>
      <c r="C14" s="30"/>
      <c r="D14" s="40">
        <v>6</v>
      </c>
      <c r="E14" s="67"/>
      <c r="F14" s="67"/>
      <c r="G14" s="67"/>
      <c r="H14" s="48">
        <f>'[2]MEDICAL-Table Rates'!$S$16</f>
        <v>431.02</v>
      </c>
      <c r="I14" s="34"/>
      <c r="J14" s="35"/>
      <c r="K14" s="68"/>
      <c r="L14" s="36"/>
      <c r="M14" s="37"/>
      <c r="N14" s="47"/>
      <c r="O14" s="47"/>
      <c r="P14" s="51"/>
      <c r="Q14" s="3"/>
    </row>
    <row r="15" spans="1:17" x14ac:dyDescent="0.3">
      <c r="A15"/>
      <c r="B15"/>
      <c r="C15" s="30"/>
      <c r="D15" s="40">
        <v>3</v>
      </c>
      <c r="E15" s="67"/>
      <c r="F15" s="67"/>
      <c r="G15" s="67"/>
      <c r="H15" s="48">
        <f>'[2]MEDICAL-Table Rates'!$S$16</f>
        <v>431.02</v>
      </c>
      <c r="I15" s="34"/>
      <c r="J15" s="35"/>
      <c r="K15" s="68"/>
      <c r="L15" s="36"/>
      <c r="M15" s="37"/>
      <c r="N15" s="47"/>
      <c r="O15" s="47"/>
      <c r="P15" s="51"/>
      <c r="Q15" s="3"/>
    </row>
    <row r="16" spans="1:17" x14ac:dyDescent="0.3">
      <c r="A16"/>
      <c r="B16"/>
      <c r="C16" s="30"/>
      <c r="D16" s="40">
        <v>0</v>
      </c>
      <c r="E16" s="67"/>
      <c r="F16" s="67"/>
      <c r="G16" s="67"/>
      <c r="H16" s="48">
        <f>'[2]MEDICAL-Table Rates'!$S$16</f>
        <v>431.02</v>
      </c>
      <c r="I16" s="34"/>
      <c r="J16" s="35"/>
      <c r="K16" s="68"/>
      <c r="L16" s="36"/>
      <c r="M16" s="37"/>
      <c r="N16" s="47"/>
      <c r="O16" s="47"/>
      <c r="P16" s="51"/>
      <c r="Q16" s="3"/>
    </row>
    <row r="17" spans="1:17" ht="43.2" x14ac:dyDescent="0.3">
      <c r="A17" t="s">
        <v>23</v>
      </c>
      <c r="B17">
        <v>1</v>
      </c>
      <c r="C17" s="30">
        <v>24458</v>
      </c>
      <c r="D17" s="40">
        <f>($B$3-C17)/365</f>
        <v>56.660273972602738</v>
      </c>
      <c r="E17" s="67">
        <v>1758.76</v>
      </c>
      <c r="F17" s="67">
        <v>439.69</v>
      </c>
      <c r="G17" s="67">
        <v>2198.4499999999998</v>
      </c>
      <c r="H17" s="48">
        <v>1186.95</v>
      </c>
      <c r="I17" s="34">
        <v>2518.23</v>
      </c>
      <c r="J17" s="35">
        <f>(I17-G17)/G17</f>
        <v>0.145457026541427</v>
      </c>
      <c r="K17" s="68" t="s">
        <v>67</v>
      </c>
      <c r="L17" s="36">
        <f>IF($N$1*H17+$P$1*H18&gt;=I17,I17,$N$1*H17+$P$1*H18)</f>
        <v>2014.5840000000003</v>
      </c>
      <c r="M17" s="37">
        <f>I17-L17</f>
        <v>503.64599999999973</v>
      </c>
      <c r="N17" s="63">
        <f>(L17-E17)/E17</f>
        <v>0.14545702654142709</v>
      </c>
      <c r="O17" s="63">
        <f>(M17-F17)/F17</f>
        <v>0.14545702654142631</v>
      </c>
      <c r="P17" s="71">
        <f>M17/I17</f>
        <v>0.1999999999999999</v>
      </c>
      <c r="Q17" s="3"/>
    </row>
    <row r="18" spans="1:17" x14ac:dyDescent="0.3">
      <c r="A18"/>
      <c r="B18"/>
      <c r="C18" s="30"/>
      <c r="D18" s="40">
        <v>59</v>
      </c>
      <c r="E18" s="67"/>
      <c r="F18" s="67"/>
      <c r="G18" s="67"/>
      <c r="H18" s="48">
        <f>'[2]MEDICAL-Table Rates'!$S$89</f>
        <v>1331.28</v>
      </c>
      <c r="I18" s="34"/>
      <c r="J18" s="35"/>
      <c r="K18" s="68"/>
      <c r="L18" s="36"/>
      <c r="M18" s="37"/>
      <c r="N18" s="47"/>
      <c r="O18" s="47"/>
      <c r="P18" s="52"/>
      <c r="Q18" s="3"/>
    </row>
    <row r="19" spans="1:17" ht="28.8" x14ac:dyDescent="0.3">
      <c r="A19" t="s">
        <v>24</v>
      </c>
      <c r="B19">
        <v>0</v>
      </c>
      <c r="C19" s="30">
        <v>31552</v>
      </c>
      <c r="D19" s="40">
        <f t="shared" ref="D19:D20" si="5">($B$3-C19)/365</f>
        <v>37.224657534246575</v>
      </c>
      <c r="E19" s="67">
        <v>412.42</v>
      </c>
      <c r="F19" s="67">
        <v>249.96</v>
      </c>
      <c r="G19" s="67">
        <v>662.38</v>
      </c>
      <c r="H19" s="48">
        <f>'[2]MEDICAL-Table Rates'!$S$54</f>
        <v>603.69000000000005</v>
      </c>
      <c r="I19" s="38">
        <v>765.65</v>
      </c>
      <c r="J19" s="35">
        <f t="shared" ref="J19:J20" si="6">(I19-G19)/G19</f>
        <v>0.15590748512938191</v>
      </c>
      <c r="K19" s="68" t="s">
        <v>68</v>
      </c>
      <c r="L19" s="36">
        <f>IF($N$1*H19&gt;=I19,I19,$N$1*H19)</f>
        <v>482.95200000000006</v>
      </c>
      <c r="M19" s="37">
        <f t="shared" ref="M19:M20" si="7">I19-L19</f>
        <v>282.69799999999992</v>
      </c>
      <c r="N19" s="63">
        <f t="shared" ref="N19:N20" si="8">(L19-E19)/E19</f>
        <v>0.17101983414965335</v>
      </c>
      <c r="O19" s="63">
        <f t="shared" ref="O19:O20" si="9">(M19-F19)/F19</f>
        <v>0.13097295567290732</v>
      </c>
      <c r="P19" s="71">
        <f t="shared" ref="P19:P20" si="10">M19/I19</f>
        <v>0.36922614771762546</v>
      </c>
      <c r="Q19" s="3"/>
    </row>
    <row r="20" spans="1:17" ht="28.8" x14ac:dyDescent="0.3">
      <c r="A20" t="s">
        <v>25</v>
      </c>
      <c r="B20">
        <v>2</v>
      </c>
      <c r="C20" s="30">
        <v>31899</v>
      </c>
      <c r="D20" s="40">
        <f t="shared" si="5"/>
        <v>36.273972602739725</v>
      </c>
      <c r="E20" s="67">
        <v>1116.67</v>
      </c>
      <c r="F20" s="67">
        <v>676.78</v>
      </c>
      <c r="G20" s="67">
        <v>1793.45</v>
      </c>
      <c r="H20" s="48">
        <f>'[2]MEDICAL-Table Rates'!$S$52</f>
        <v>590.51</v>
      </c>
      <c r="I20" s="34">
        <v>2061.23</v>
      </c>
      <c r="J20" s="35">
        <f t="shared" si="6"/>
        <v>0.14930998912710139</v>
      </c>
      <c r="K20" s="68" t="s">
        <v>68</v>
      </c>
      <c r="L20" s="36">
        <f>IF($N$1*H20+$P$1*SUM(H21:H22)&gt;=I20,I20,$N$1*H20+$P$1*SUM(H21:H22))</f>
        <v>1300.1759999999999</v>
      </c>
      <c r="M20" s="37">
        <f t="shared" si="7"/>
        <v>761.05400000000009</v>
      </c>
      <c r="N20" s="63">
        <f t="shared" si="8"/>
        <v>0.16433324079629599</v>
      </c>
      <c r="O20" s="63">
        <f t="shared" si="9"/>
        <v>0.1245220012411716</v>
      </c>
      <c r="P20" s="71">
        <f t="shared" si="10"/>
        <v>0.36922323078938307</v>
      </c>
      <c r="Q20" s="3"/>
    </row>
    <row r="21" spans="1:17" x14ac:dyDescent="0.3">
      <c r="A21"/>
      <c r="B21"/>
      <c r="C21" s="30"/>
      <c r="D21" s="40">
        <v>37</v>
      </c>
      <c r="E21" s="67"/>
      <c r="F21" s="67"/>
      <c r="G21" s="67"/>
      <c r="H21" s="48">
        <f>'[2]MEDICAL-Table Rates'!$S$54</f>
        <v>603.69000000000005</v>
      </c>
      <c r="I21" s="34"/>
      <c r="J21" s="35"/>
      <c r="K21" s="68"/>
      <c r="L21" s="36"/>
      <c r="M21" s="37"/>
      <c r="N21" s="47"/>
      <c r="O21" s="47"/>
      <c r="P21" s="52"/>
      <c r="Q21" s="3"/>
    </row>
    <row r="22" spans="1:17" x14ac:dyDescent="0.3">
      <c r="A22"/>
      <c r="B22"/>
      <c r="C22" s="30"/>
      <c r="D22" s="40">
        <v>5</v>
      </c>
      <c r="E22" s="67"/>
      <c r="F22" s="67"/>
      <c r="G22" s="67"/>
      <c r="H22" s="48">
        <f>'[2]MEDICAL-Table Rates'!$S$16</f>
        <v>431.02</v>
      </c>
      <c r="I22" s="34"/>
      <c r="J22" s="35"/>
      <c r="K22" s="68"/>
      <c r="L22" s="36"/>
      <c r="M22" s="37"/>
      <c r="N22" s="47"/>
      <c r="O22" s="47"/>
      <c r="P22" s="52"/>
      <c r="Q22" s="3"/>
    </row>
    <row r="23" spans="1:17" ht="43.2" x14ac:dyDescent="0.3">
      <c r="A23" t="s">
        <v>26</v>
      </c>
      <c r="B23">
        <v>0</v>
      </c>
      <c r="C23" s="30">
        <v>34588</v>
      </c>
      <c r="D23" s="40">
        <f t="shared" ref="D23:D29" si="11">($B$3-C23)/365</f>
        <v>28.906849315068492</v>
      </c>
      <c r="E23" s="67">
        <v>334.63</v>
      </c>
      <c r="F23" s="67">
        <v>117.07</v>
      </c>
      <c r="G23" s="67">
        <v>451.7</v>
      </c>
      <c r="H23" s="48">
        <f>'[2]MEDICAL-Table Rates'!$S$39</f>
        <v>490.33</v>
      </c>
      <c r="I23" s="38">
        <v>534.96</v>
      </c>
      <c r="J23" s="35">
        <f t="shared" ref="J23:J29" si="12">(I23-G23)/G23</f>
        <v>0.18432588000885555</v>
      </c>
      <c r="K23" s="68" t="s">
        <v>69</v>
      </c>
      <c r="L23" s="36">
        <f t="shared" ref="L23:L28" si="13">IF($N$1*H23&gt;=I23,I23,$N$1*H23)</f>
        <v>392.26400000000001</v>
      </c>
      <c r="M23" s="37">
        <f t="shared" ref="M23:M29" si="14">I23-L23</f>
        <v>142.69600000000003</v>
      </c>
      <c r="N23" s="63">
        <f t="shared" ref="N23:N29" si="15">(L23-E23)/E23</f>
        <v>0.17223201745211134</v>
      </c>
      <c r="O23" s="63">
        <f t="shared" ref="O23:O29" si="16">(M23-F23)/F23</f>
        <v>0.21889467839754023</v>
      </c>
      <c r="P23" s="71">
        <f t="shared" ref="P23:P29" si="17">M23/I23</f>
        <v>0.26674143861223271</v>
      </c>
      <c r="Q23" s="3"/>
    </row>
    <row r="24" spans="1:17" ht="43.2" x14ac:dyDescent="0.3">
      <c r="A24" t="s">
        <v>27</v>
      </c>
      <c r="B24">
        <v>0</v>
      </c>
      <c r="C24" s="30">
        <v>33900</v>
      </c>
      <c r="D24" s="40">
        <f t="shared" si="11"/>
        <v>30.791780821917808</v>
      </c>
      <c r="E24" s="67">
        <v>349.82</v>
      </c>
      <c r="F24" s="67">
        <v>122.38</v>
      </c>
      <c r="G24" s="67">
        <v>472.2</v>
      </c>
      <c r="H24" s="48">
        <f>'[2]MEDICAL-Table Rates'!$S$42</f>
        <v>513.4</v>
      </c>
      <c r="I24" s="38">
        <v>560.12</v>
      </c>
      <c r="J24" s="35">
        <f t="shared" si="12"/>
        <v>0.18619229140194837</v>
      </c>
      <c r="K24" s="68" t="s">
        <v>69</v>
      </c>
      <c r="L24" s="36">
        <f t="shared" si="13"/>
        <v>410.72</v>
      </c>
      <c r="M24" s="37">
        <f t="shared" si="14"/>
        <v>149.39999999999998</v>
      </c>
      <c r="N24" s="63">
        <f t="shared" si="15"/>
        <v>0.17408953175919054</v>
      </c>
      <c r="O24" s="63">
        <f t="shared" si="16"/>
        <v>0.2207877104101976</v>
      </c>
      <c r="P24" s="71">
        <f t="shared" si="17"/>
        <v>0.26672855816610724</v>
      </c>
      <c r="Q24" s="3"/>
    </row>
    <row r="25" spans="1:17" ht="43.2" x14ac:dyDescent="0.3">
      <c r="A25" t="s">
        <v>28</v>
      </c>
      <c r="B25">
        <v>0</v>
      </c>
      <c r="C25" s="30">
        <v>33765</v>
      </c>
      <c r="D25" s="40">
        <f t="shared" si="11"/>
        <v>31.161643835616438</v>
      </c>
      <c r="E25" s="67">
        <v>358.57</v>
      </c>
      <c r="F25" s="67">
        <v>125.44</v>
      </c>
      <c r="G25" s="67">
        <v>484.01</v>
      </c>
      <c r="H25" s="48">
        <f>'[2]MEDICAL-Table Rates'!$S$44</f>
        <v>526.58000000000004</v>
      </c>
      <c r="I25" s="38">
        <v>574.5</v>
      </c>
      <c r="J25" s="35">
        <f t="shared" si="12"/>
        <v>0.18695894712919156</v>
      </c>
      <c r="K25" s="68" t="s">
        <v>69</v>
      </c>
      <c r="L25" s="36">
        <f t="shared" si="13"/>
        <v>421.26400000000007</v>
      </c>
      <c r="M25" s="37">
        <f t="shared" si="14"/>
        <v>153.23599999999993</v>
      </c>
      <c r="N25" s="63">
        <f t="shared" si="15"/>
        <v>0.17484452129291372</v>
      </c>
      <c r="O25" s="63">
        <f t="shared" si="16"/>
        <v>0.22158801020408112</v>
      </c>
      <c r="P25" s="71">
        <f t="shared" si="17"/>
        <v>0.26672932985204512</v>
      </c>
      <c r="Q25" s="3"/>
    </row>
    <row r="26" spans="1:17" ht="43.2" x14ac:dyDescent="0.3">
      <c r="A26" t="s">
        <v>29</v>
      </c>
      <c r="B26">
        <v>0</v>
      </c>
      <c r="C26" s="30">
        <v>31116</v>
      </c>
      <c r="D26" s="40">
        <f t="shared" si="11"/>
        <v>38.419178082191777</v>
      </c>
      <c r="E26" s="67">
        <v>426.69</v>
      </c>
      <c r="F26" s="67">
        <v>149.27000000000001</v>
      </c>
      <c r="G26" s="67">
        <v>575.96</v>
      </c>
      <c r="H26" s="48">
        <f>'[2]MEDICAL-Table Rates'!$S$55</f>
        <v>610.94000000000005</v>
      </c>
      <c r="I26" s="38">
        <v>666.54</v>
      </c>
      <c r="J26" s="35">
        <f t="shared" si="12"/>
        <v>0.15726786582401542</v>
      </c>
      <c r="K26" s="68" t="s">
        <v>69</v>
      </c>
      <c r="L26" s="36">
        <f t="shared" si="13"/>
        <v>488.75200000000007</v>
      </c>
      <c r="M26" s="37">
        <f t="shared" si="14"/>
        <v>177.7879999999999</v>
      </c>
      <c r="N26" s="63">
        <f t="shared" si="15"/>
        <v>0.14544985821087925</v>
      </c>
      <c r="O26" s="63">
        <f t="shared" si="16"/>
        <v>0.19104977557446162</v>
      </c>
      <c r="P26" s="71">
        <f t="shared" si="17"/>
        <v>0.26673267920904958</v>
      </c>
      <c r="Q26" s="3"/>
    </row>
    <row r="27" spans="1:17" ht="43.2" x14ac:dyDescent="0.3">
      <c r="A27" t="s">
        <v>30</v>
      </c>
      <c r="B27">
        <v>0</v>
      </c>
      <c r="C27" s="30">
        <v>33886</v>
      </c>
      <c r="D27" s="40">
        <f t="shared" si="11"/>
        <v>30.830136986301369</v>
      </c>
      <c r="E27" s="67">
        <v>349.82</v>
      </c>
      <c r="F27" s="67">
        <v>75.87</v>
      </c>
      <c r="G27" s="67">
        <v>425.69</v>
      </c>
      <c r="H27" s="48">
        <f>'[2]MEDICAL-Table Rates'!$S$42</f>
        <v>513.4</v>
      </c>
      <c r="I27" s="38">
        <v>504.65</v>
      </c>
      <c r="J27" s="35">
        <f t="shared" si="12"/>
        <v>0.18548709154549081</v>
      </c>
      <c r="K27" s="68" t="s">
        <v>70</v>
      </c>
      <c r="L27" s="36">
        <f t="shared" si="13"/>
        <v>410.72</v>
      </c>
      <c r="M27" s="37">
        <f t="shared" si="14"/>
        <v>93.92999999999995</v>
      </c>
      <c r="N27" s="63">
        <f t="shared" si="15"/>
        <v>0.17408953175919054</v>
      </c>
      <c r="O27" s="63">
        <f t="shared" si="16"/>
        <v>0.23803875049426579</v>
      </c>
      <c r="P27" s="71">
        <f t="shared" si="17"/>
        <v>0.18612900029723561</v>
      </c>
      <c r="Q27" s="3"/>
    </row>
    <row r="28" spans="1:17" ht="43.2" x14ac:dyDescent="0.3">
      <c r="A28" t="s">
        <v>31</v>
      </c>
      <c r="B28">
        <v>0</v>
      </c>
      <c r="C28" s="30">
        <v>29996</v>
      </c>
      <c r="D28" s="40">
        <f t="shared" si="11"/>
        <v>41.487671232876714</v>
      </c>
      <c r="E28" s="67">
        <v>448.78</v>
      </c>
      <c r="F28" s="67">
        <v>97.34</v>
      </c>
      <c r="G28" s="67">
        <v>546.12</v>
      </c>
      <c r="H28" s="48">
        <f>'[2]MEDICAL-Table Rates'!$S$60</f>
        <v>667.62</v>
      </c>
      <c r="I28" s="38">
        <v>656.24</v>
      </c>
      <c r="J28" s="35">
        <f t="shared" si="12"/>
        <v>0.20164066505529921</v>
      </c>
      <c r="K28" s="68" t="s">
        <v>70</v>
      </c>
      <c r="L28" s="36">
        <f t="shared" si="13"/>
        <v>534.096</v>
      </c>
      <c r="M28" s="37">
        <f t="shared" si="14"/>
        <v>122.14400000000001</v>
      </c>
      <c r="N28" s="63">
        <f t="shared" si="15"/>
        <v>0.1901065109853381</v>
      </c>
      <c r="O28" s="63">
        <f t="shared" si="16"/>
        <v>0.254818163139511</v>
      </c>
      <c r="P28" s="71">
        <f t="shared" si="17"/>
        <v>0.18612702669754969</v>
      </c>
      <c r="Q28" s="3"/>
    </row>
    <row r="29" spans="1:17" ht="43.2" x14ac:dyDescent="0.3">
      <c r="A29" t="s">
        <v>32</v>
      </c>
      <c r="B29">
        <v>1</v>
      </c>
      <c r="C29" s="30">
        <v>31217</v>
      </c>
      <c r="D29" s="40">
        <f t="shared" si="11"/>
        <v>38.142465753424659</v>
      </c>
      <c r="E29" s="67">
        <v>887.89</v>
      </c>
      <c r="F29" s="67">
        <v>192.58</v>
      </c>
      <c r="G29" s="67">
        <v>1080.47</v>
      </c>
      <c r="H29" s="48">
        <f>'[2]MEDICAL-Table Rates'!$S$55</f>
        <v>610.94000000000005</v>
      </c>
      <c r="I29" s="38">
        <v>1282.68</v>
      </c>
      <c r="J29" s="35">
        <f t="shared" si="12"/>
        <v>0.18715003655816453</v>
      </c>
      <c r="K29" s="68" t="s">
        <v>70</v>
      </c>
      <c r="L29" s="36">
        <f>IF($N$1*H29+$P$1*H30&gt;=I29,I29,$N$1*H29+$P$1*H30)</f>
        <v>1043.9360000000001</v>
      </c>
      <c r="M29" s="37">
        <f t="shared" si="14"/>
        <v>238.74399999999991</v>
      </c>
      <c r="N29" s="63">
        <f t="shared" si="15"/>
        <v>0.17574924821768481</v>
      </c>
      <c r="O29" s="63">
        <f t="shared" si="16"/>
        <v>0.239713365873922</v>
      </c>
      <c r="P29" s="71">
        <f t="shared" si="17"/>
        <v>0.18612904231764735</v>
      </c>
      <c r="Q29" s="3"/>
    </row>
    <row r="30" spans="1:17" x14ac:dyDescent="0.3">
      <c r="A30"/>
      <c r="B30"/>
      <c r="C30" s="30"/>
      <c r="D30" s="40">
        <v>42</v>
      </c>
      <c r="E30" s="67"/>
      <c r="F30" s="67"/>
      <c r="G30" s="67"/>
      <c r="H30" s="48">
        <f>'[2]MEDICAL-Table Rates'!$S$62</f>
        <v>693.98</v>
      </c>
      <c r="I30" s="38"/>
      <c r="J30" s="35"/>
      <c r="K30" s="68"/>
      <c r="L30" s="39"/>
      <c r="M30" s="37"/>
      <c r="N30" s="37"/>
      <c r="O30" s="37"/>
      <c r="P30" s="51"/>
      <c r="Q30" s="3"/>
    </row>
    <row r="31" spans="1:17" ht="28.8" x14ac:dyDescent="0.3">
      <c r="A31" t="s">
        <v>33</v>
      </c>
      <c r="B31">
        <v>0</v>
      </c>
      <c r="C31" s="30">
        <v>35369</v>
      </c>
      <c r="D31" s="40">
        <f t="shared" ref="D31:D33" si="18">($B$3-C31)/365</f>
        <v>26.767123287671232</v>
      </c>
      <c r="E31" s="67">
        <v>324.42</v>
      </c>
      <c r="F31" s="67">
        <v>0</v>
      </c>
      <c r="G31" s="67">
        <v>324.42</v>
      </c>
      <c r="H31" s="48">
        <f>'[2]MEDICAL-Table Rates'!$S$28</f>
        <v>479.13</v>
      </c>
      <c r="I31" s="38">
        <v>374.63</v>
      </c>
      <c r="J31" s="35">
        <f t="shared" ref="J31:J34" si="19">(I31-G31)/G31</f>
        <v>0.15476850995622951</v>
      </c>
      <c r="K31" s="68" t="s">
        <v>71</v>
      </c>
      <c r="L31" s="36">
        <f t="shared" ref="L31:L33" si="20">IF($N$1*H31&gt;=I31,I31,$N$1*H31)</f>
        <v>374.63</v>
      </c>
      <c r="M31" s="37">
        <f t="shared" ref="M31:M34" si="21">I31-L31</f>
        <v>0</v>
      </c>
      <c r="N31" s="63">
        <f t="shared" ref="N31:N34" si="22">(L31-E31)/E31</f>
        <v>0.15476850995622951</v>
      </c>
      <c r="O31" s="63" t="e">
        <f t="shared" ref="O31:O34" si="23">(M31-F31)/F31</f>
        <v>#DIV/0!</v>
      </c>
      <c r="P31" s="71">
        <f t="shared" ref="P31:P34" si="24">M31/I31</f>
        <v>0</v>
      </c>
      <c r="Q31" s="3"/>
    </row>
    <row r="32" spans="1:17" ht="28.8" x14ac:dyDescent="0.3">
      <c r="A32" t="s">
        <v>34</v>
      </c>
      <c r="B32">
        <v>0</v>
      </c>
      <c r="C32" s="30">
        <v>34295</v>
      </c>
      <c r="D32" s="40">
        <f t="shared" si="18"/>
        <v>29.709589041095889</v>
      </c>
      <c r="E32" s="67">
        <v>332</v>
      </c>
      <c r="F32" s="67">
        <v>0</v>
      </c>
      <c r="G32" s="67">
        <v>332</v>
      </c>
      <c r="H32" s="48">
        <v>500.88</v>
      </c>
      <c r="I32" s="38">
        <v>391.63</v>
      </c>
      <c r="J32" s="35">
        <f t="shared" si="19"/>
        <v>0.17960843373493973</v>
      </c>
      <c r="K32" s="68" t="s">
        <v>71</v>
      </c>
      <c r="L32" s="36">
        <f t="shared" si="20"/>
        <v>391.63</v>
      </c>
      <c r="M32" s="37">
        <f t="shared" si="21"/>
        <v>0</v>
      </c>
      <c r="N32" s="63">
        <f t="shared" si="22"/>
        <v>0.17960843373493973</v>
      </c>
      <c r="O32" s="63" t="e">
        <f t="shared" si="23"/>
        <v>#DIV/0!</v>
      </c>
      <c r="P32" s="71">
        <f t="shared" si="24"/>
        <v>0</v>
      </c>
      <c r="Q32" s="3"/>
    </row>
    <row r="33" spans="1:17" ht="28.8" x14ac:dyDescent="0.3">
      <c r="A33" t="s">
        <v>35</v>
      </c>
      <c r="B33">
        <v>0</v>
      </c>
      <c r="C33" s="30">
        <v>33576</v>
      </c>
      <c r="D33" s="40">
        <f t="shared" si="18"/>
        <v>31.67945205479452</v>
      </c>
      <c r="E33" s="67">
        <v>347.62</v>
      </c>
      <c r="F33" s="67">
        <v>0</v>
      </c>
      <c r="G33" s="67">
        <v>347.62</v>
      </c>
      <c r="H33" s="48">
        <v>526.58000000000004</v>
      </c>
      <c r="I33" s="38">
        <v>411.73</v>
      </c>
      <c r="J33" s="35">
        <f t="shared" si="19"/>
        <v>0.18442552212185723</v>
      </c>
      <c r="K33" s="68" t="s">
        <v>71</v>
      </c>
      <c r="L33" s="36">
        <f t="shared" si="20"/>
        <v>411.73</v>
      </c>
      <c r="M33" s="37">
        <f t="shared" si="21"/>
        <v>0</v>
      </c>
      <c r="N33" s="63">
        <f t="shared" si="22"/>
        <v>0.18442552212185723</v>
      </c>
      <c r="O33" s="63" t="e">
        <f t="shared" si="23"/>
        <v>#DIV/0!</v>
      </c>
      <c r="P33" s="71">
        <f t="shared" si="24"/>
        <v>0</v>
      </c>
      <c r="Q33" s="3"/>
    </row>
    <row r="34" spans="1:17" ht="28.8" x14ac:dyDescent="0.3">
      <c r="A34" s="74" t="s">
        <v>36</v>
      </c>
      <c r="B34">
        <v>1</v>
      </c>
      <c r="C34" s="30">
        <v>33338</v>
      </c>
      <c r="D34" s="40">
        <f>($B$3-C34)/365</f>
        <v>32.331506849315069</v>
      </c>
      <c r="E34" s="67">
        <v>680.97</v>
      </c>
      <c r="F34" s="67">
        <v>0</v>
      </c>
      <c r="G34" s="67">
        <v>680.97</v>
      </c>
      <c r="H34" s="48">
        <f>'[2]MEDICAL-Table Rates'!$S$45</f>
        <v>538.44000000000005</v>
      </c>
      <c r="I34" s="38">
        <f>421.01+383.39</f>
        <v>804.4</v>
      </c>
      <c r="J34" s="35">
        <f t="shared" si="19"/>
        <v>0.1812561493164162</v>
      </c>
      <c r="K34" s="68" t="s">
        <v>71</v>
      </c>
      <c r="L34" s="36">
        <f>IF($N$1*H34+$P$1*H35&gt;=I34,I34,$N$1*H34+$P$1*H35)</f>
        <v>804.4</v>
      </c>
      <c r="M34" s="37">
        <f t="shared" si="21"/>
        <v>0</v>
      </c>
      <c r="N34" s="63">
        <f t="shared" si="22"/>
        <v>0.1812561493164162</v>
      </c>
      <c r="O34" s="63" t="e">
        <f t="shared" si="23"/>
        <v>#DIV/0!</v>
      </c>
      <c r="P34" s="71">
        <f t="shared" si="24"/>
        <v>0</v>
      </c>
      <c r="Q34" s="3"/>
    </row>
    <row r="35" spans="1:17" x14ac:dyDescent="0.3">
      <c r="A35"/>
      <c r="B35"/>
      <c r="C35" s="30"/>
      <c r="D35" s="40">
        <v>28</v>
      </c>
      <c r="E35" s="67"/>
      <c r="F35" s="67"/>
      <c r="G35" s="67"/>
      <c r="H35" s="48">
        <f>'[2]MEDICAL-Table Rates'!$S$39</f>
        <v>490.33</v>
      </c>
      <c r="I35" s="38"/>
      <c r="J35" s="35"/>
      <c r="K35" s="68"/>
      <c r="L35" s="36"/>
      <c r="M35" s="37"/>
      <c r="N35" s="47"/>
      <c r="O35" s="47"/>
      <c r="P35" s="52"/>
      <c r="Q35" s="3"/>
    </row>
    <row r="36" spans="1:17" ht="28.8" x14ac:dyDescent="0.3">
      <c r="A36" t="s">
        <v>37</v>
      </c>
      <c r="B36">
        <v>1</v>
      </c>
      <c r="C36" s="30">
        <v>31561</v>
      </c>
      <c r="D36" s="40">
        <f>($B$3-C36)/365</f>
        <v>37.200000000000003</v>
      </c>
      <c r="E36" s="67">
        <v>691.67</v>
      </c>
      <c r="F36" s="67">
        <v>0</v>
      </c>
      <c r="G36" s="67">
        <v>691.67</v>
      </c>
      <c r="H36" s="48">
        <v>603.69000000000005</v>
      </c>
      <c r="I36" s="38">
        <f>472.02+337.01</f>
        <v>809.03</v>
      </c>
      <c r="J36" s="35">
        <f>(I36-G36)/G36</f>
        <v>0.16967629071667129</v>
      </c>
      <c r="K36" s="68" t="s">
        <v>71</v>
      </c>
      <c r="L36" s="36">
        <f>IF($N$1*H36+$P$1*H37&gt;=I36,I36,$N$1*H36+$P$1*H37)</f>
        <v>809.03</v>
      </c>
      <c r="M36" s="37">
        <f>I36-L36</f>
        <v>0</v>
      </c>
      <c r="N36" s="63">
        <f>(L36-E36)/E36</f>
        <v>0.16967629071667129</v>
      </c>
      <c r="O36" s="63" t="e">
        <f>(M36-F36)/F36</f>
        <v>#DIV/0!</v>
      </c>
      <c r="P36" s="71">
        <f>M36/I36</f>
        <v>0</v>
      </c>
      <c r="Q36" s="3"/>
    </row>
    <row r="37" spans="1:17" x14ac:dyDescent="0.3">
      <c r="A37"/>
      <c r="B37"/>
      <c r="C37" s="30"/>
      <c r="D37" s="40">
        <v>0</v>
      </c>
      <c r="E37" s="67"/>
      <c r="F37" s="67"/>
      <c r="G37" s="67"/>
      <c r="H37" s="48">
        <f>'[2]MEDICAL-Table Rates'!$S$16</f>
        <v>431.02</v>
      </c>
      <c r="I37" s="38"/>
      <c r="J37" s="35"/>
      <c r="K37" s="68"/>
      <c r="L37" s="36"/>
      <c r="M37" s="37"/>
      <c r="N37" s="47"/>
      <c r="O37" s="47"/>
      <c r="P37" s="52"/>
      <c r="Q37" s="3"/>
    </row>
    <row r="38" spans="1:17" ht="28.8" x14ac:dyDescent="0.3">
      <c r="A38" t="s">
        <v>38</v>
      </c>
      <c r="B38">
        <v>1</v>
      </c>
      <c r="C38" s="30">
        <v>33497</v>
      </c>
      <c r="D38" s="40">
        <f>($B$3-C38)/365</f>
        <v>31.895890410958906</v>
      </c>
      <c r="E38" s="67">
        <v>695.24</v>
      </c>
      <c r="F38" s="67">
        <v>0</v>
      </c>
      <c r="G38" s="67">
        <v>695.24</v>
      </c>
      <c r="H38" s="48">
        <f>'[2]MEDICAL-Table Rates'!$S$44</f>
        <v>526.58000000000004</v>
      </c>
      <c r="I38" s="38">
        <f>395.9*2</f>
        <v>791.8</v>
      </c>
      <c r="J38" s="35">
        <f>(I38-G38)/G38</f>
        <v>0.13888729071975137</v>
      </c>
      <c r="K38" s="68" t="s">
        <v>71</v>
      </c>
      <c r="L38" s="36">
        <f>IF($N$1*H38+$P$1*H39&gt;=I38,I38,$N$1*H38+$P$1*H39)</f>
        <v>791.8</v>
      </c>
      <c r="M38" s="37">
        <f>I38-L38</f>
        <v>0</v>
      </c>
      <c r="N38" s="63">
        <f>(L38-E38)/E38</f>
        <v>0.13888729071975137</v>
      </c>
      <c r="O38" s="63" t="e">
        <f>(M38-F38)/F38</f>
        <v>#DIV/0!</v>
      </c>
      <c r="P38" s="71">
        <f>M38/I38</f>
        <v>0</v>
      </c>
      <c r="Q38" s="3"/>
    </row>
    <row r="39" spans="1:17" x14ac:dyDescent="0.3">
      <c r="A39"/>
      <c r="B39"/>
      <c r="C39" s="30"/>
      <c r="D39" s="40">
        <v>31</v>
      </c>
      <c r="E39" s="67"/>
      <c r="F39" s="67"/>
      <c r="G39" s="67"/>
      <c r="H39" s="48">
        <f>'[2]MEDICAL-Table Rates'!$S$44</f>
        <v>526.58000000000004</v>
      </c>
      <c r="I39" s="38"/>
      <c r="J39" s="35"/>
      <c r="K39" s="68"/>
      <c r="L39" s="36"/>
      <c r="M39" s="37"/>
      <c r="N39" s="47"/>
      <c r="O39" s="47"/>
      <c r="P39" s="52"/>
      <c r="Q39" s="3"/>
    </row>
    <row r="40" spans="1:17" ht="28.8" x14ac:dyDescent="0.3">
      <c r="A40" t="s">
        <v>39</v>
      </c>
      <c r="B40">
        <v>1</v>
      </c>
      <c r="C40" s="30">
        <v>34122</v>
      </c>
      <c r="D40" s="40">
        <f>($B$3-C40)/365</f>
        <v>30.183561643835617</v>
      </c>
      <c r="E40" s="67">
        <v>738.97</v>
      </c>
      <c r="F40" s="67">
        <v>0</v>
      </c>
      <c r="G40" s="67">
        <v>738.97</v>
      </c>
      <c r="H40" s="48">
        <f>'[2]MEDICAL-Table Rates'!$S$42</f>
        <v>513.4</v>
      </c>
      <c r="I40" s="38">
        <f>453.87+385.99</f>
        <v>839.86</v>
      </c>
      <c r="J40" s="35">
        <f>(I40-G40)/G40</f>
        <v>0.13652786987293122</v>
      </c>
      <c r="K40" s="68" t="s">
        <v>71</v>
      </c>
      <c r="L40" s="36">
        <f>IF($N$1*H40+$P$1*H41&gt;=I40,I40,$N$1*H40+$P$1*H41)</f>
        <v>839.86</v>
      </c>
      <c r="M40" s="37">
        <f>I40-L40</f>
        <v>0</v>
      </c>
      <c r="N40" s="63">
        <f>(L40-E40)/E40</f>
        <v>0.13652786987293122</v>
      </c>
      <c r="O40" s="63" t="e">
        <f>(M40-F40)/F40</f>
        <v>#DIV/0!</v>
      </c>
      <c r="P40" s="71">
        <f>M40/I40</f>
        <v>0</v>
      </c>
      <c r="Q40" s="3"/>
    </row>
    <row r="41" spans="1:17" x14ac:dyDescent="0.3">
      <c r="A41"/>
      <c r="B41"/>
      <c r="C41" s="30"/>
      <c r="D41" s="40">
        <v>37</v>
      </c>
      <c r="E41" s="67"/>
      <c r="F41" s="67"/>
      <c r="G41" s="67"/>
      <c r="H41" s="48">
        <f>'[2]MEDICAL-Table Rates'!$S$54</f>
        <v>603.69000000000005</v>
      </c>
      <c r="I41" s="38"/>
      <c r="J41" s="35"/>
      <c r="K41" s="68"/>
      <c r="L41" s="36"/>
      <c r="M41" s="37"/>
      <c r="N41" s="47"/>
      <c r="O41" s="47"/>
      <c r="P41" s="52"/>
      <c r="Q41" s="3"/>
    </row>
    <row r="42" spans="1:17" ht="28.8" x14ac:dyDescent="0.3">
      <c r="A42" s="74" t="s">
        <v>40</v>
      </c>
      <c r="B42">
        <v>0</v>
      </c>
      <c r="C42" s="30">
        <v>24504</v>
      </c>
      <c r="D42" s="40">
        <f t="shared" ref="D42:D43" si="25">($B$3-C42)/365</f>
        <v>56.534246575342465</v>
      </c>
      <c r="E42" s="67">
        <v>773.34</v>
      </c>
      <c r="F42" s="67">
        <v>0</v>
      </c>
      <c r="G42" s="67">
        <v>773.34</v>
      </c>
      <c r="H42" s="48">
        <f>'[2]MEDICAL-Table Rates'!$S$84</f>
        <v>1186.95</v>
      </c>
      <c r="I42" s="38">
        <v>892.38</v>
      </c>
      <c r="J42" s="35">
        <f t="shared" ref="J42:J43" si="26">(I42-G42)/G42</f>
        <v>0.15392970750252147</v>
      </c>
      <c r="K42" s="68" t="s">
        <v>71</v>
      </c>
      <c r="L42" s="36">
        <f>IF($N$1*H42&gt;=I42,I42,$N$1*H42)</f>
        <v>892.38</v>
      </c>
      <c r="M42" s="37">
        <f t="shared" ref="M42:M43" si="27">I42-L42</f>
        <v>0</v>
      </c>
      <c r="N42" s="63">
        <f t="shared" ref="N42:N43" si="28">(L42-E42)/E42</f>
        <v>0.15392970750252147</v>
      </c>
      <c r="O42" s="63" t="e">
        <f t="shared" ref="O42:O43" si="29">(M42-F42)/F42</f>
        <v>#DIV/0!</v>
      </c>
      <c r="P42" s="71">
        <f t="shared" ref="P42:P43" si="30">M42/I42</f>
        <v>0</v>
      </c>
      <c r="Q42" s="3"/>
    </row>
    <row r="43" spans="1:17" ht="28.8" x14ac:dyDescent="0.3">
      <c r="A43" s="74" t="s">
        <v>41</v>
      </c>
      <c r="B43">
        <v>1</v>
      </c>
      <c r="C43" s="30">
        <v>28690</v>
      </c>
      <c r="D43" s="40">
        <f t="shared" si="25"/>
        <v>45.065753424657537</v>
      </c>
      <c r="E43" s="67">
        <v>1054.92</v>
      </c>
      <c r="F43" s="67">
        <v>0</v>
      </c>
      <c r="G43" s="67">
        <v>1054.92</v>
      </c>
      <c r="H43" s="48">
        <v>778.34</v>
      </c>
      <c r="I43" s="34">
        <f>585.17+631.75</f>
        <v>1216.92</v>
      </c>
      <c r="J43" s="35">
        <f t="shared" si="26"/>
        <v>0.1535661471959959</v>
      </c>
      <c r="K43" s="68" t="s">
        <v>71</v>
      </c>
      <c r="L43" s="36">
        <f>IF($N$1*H43+$P$1*H44&gt;=I43,I43,$N$1*H43+$P$1*H44)</f>
        <v>1216.92</v>
      </c>
      <c r="M43" s="37">
        <f t="shared" si="27"/>
        <v>0</v>
      </c>
      <c r="N43" s="63">
        <f t="shared" si="28"/>
        <v>0.1535661471959959</v>
      </c>
      <c r="O43" s="63" t="e">
        <f t="shared" si="29"/>
        <v>#DIV/0!</v>
      </c>
      <c r="P43" s="71">
        <f t="shared" si="30"/>
        <v>0</v>
      </c>
      <c r="Q43" s="3"/>
    </row>
    <row r="44" spans="1:17" x14ac:dyDescent="0.3">
      <c r="A44"/>
      <c r="B44"/>
      <c r="C44" s="30"/>
      <c r="D44" s="40">
        <v>47</v>
      </c>
      <c r="E44" s="67"/>
      <c r="F44" s="67"/>
      <c r="G44" s="67"/>
      <c r="H44" s="48">
        <f>'[2]MEDICAL-Table Rates'!$S$70</f>
        <v>840.29</v>
      </c>
      <c r="I44" s="34"/>
      <c r="J44" s="35"/>
      <c r="K44" s="68"/>
      <c r="L44" s="36"/>
      <c r="M44" s="37"/>
      <c r="N44" s="47"/>
      <c r="O44" s="47"/>
      <c r="P44" s="52"/>
      <c r="Q44" s="3"/>
    </row>
    <row r="45" spans="1:17" ht="28.8" x14ac:dyDescent="0.3">
      <c r="A45" s="74" t="s">
        <v>42</v>
      </c>
      <c r="B45">
        <v>3</v>
      </c>
      <c r="C45" s="30">
        <v>27512</v>
      </c>
      <c r="D45" s="40">
        <f>($B$3-C45)/365</f>
        <v>48.293150684931504</v>
      </c>
      <c r="E45" s="67">
        <v>1700.18</v>
      </c>
      <c r="F45" s="67">
        <v>0</v>
      </c>
      <c r="G45" s="67">
        <v>1700.18</v>
      </c>
      <c r="H45" s="48">
        <f>'[2]MEDICAL-Table Rates'!$S$71</f>
        <v>873.24</v>
      </c>
      <c r="I45" s="34">
        <f>682.78+632.28+(337.01*2)</f>
        <v>1989.08</v>
      </c>
      <c r="J45" s="35">
        <f>(I45-G45)/G45</f>
        <v>0.16992318460398301</v>
      </c>
      <c r="K45" s="68" t="s">
        <v>71</v>
      </c>
      <c r="L45" s="36">
        <f>IF($N$1*H45+$P$1*SUM(H46:H48)&gt;=I45,I45,$N$1*H45+$P$1*SUM(H46:H48))</f>
        <v>1989.08</v>
      </c>
      <c r="M45" s="37">
        <f>I45-L45</f>
        <v>0</v>
      </c>
      <c r="N45" s="63">
        <f>(L45-E45)/E45</f>
        <v>0.16992318460398301</v>
      </c>
      <c r="O45" s="63" t="e">
        <f>(M45-F45)/F45</f>
        <v>#DIV/0!</v>
      </c>
      <c r="P45" s="71">
        <f>M45/I45</f>
        <v>0</v>
      </c>
      <c r="Q45" s="3"/>
    </row>
    <row r="46" spans="1:17" x14ac:dyDescent="0.3">
      <c r="A46"/>
      <c r="B46"/>
      <c r="C46" s="30"/>
      <c r="D46" s="40">
        <v>46</v>
      </c>
      <c r="E46" s="67"/>
      <c r="F46" s="67"/>
      <c r="G46" s="67"/>
      <c r="H46" s="48">
        <f>'[2]MEDICAL-Table Rates'!$S$68</f>
        <v>808.65</v>
      </c>
      <c r="I46" s="34"/>
      <c r="J46" s="35"/>
      <c r="K46" s="68"/>
      <c r="L46" s="36"/>
      <c r="M46" s="37"/>
      <c r="N46" s="47"/>
      <c r="O46" s="47"/>
      <c r="P46" s="52"/>
      <c r="Q46" s="3"/>
    </row>
    <row r="47" spans="1:17" x14ac:dyDescent="0.3">
      <c r="A47"/>
      <c r="B47"/>
      <c r="C47" s="30"/>
      <c r="D47" s="40">
        <v>10</v>
      </c>
      <c r="E47" s="67"/>
      <c r="F47" s="67"/>
      <c r="G47" s="67"/>
      <c r="H47" s="48">
        <f>'[2]MEDICAL-Table Rates'!$S$16</f>
        <v>431.02</v>
      </c>
      <c r="I47" s="34"/>
      <c r="J47" s="35"/>
      <c r="K47" s="68"/>
      <c r="L47" s="36"/>
      <c r="M47" s="37"/>
      <c r="N47" s="47"/>
      <c r="O47" s="47"/>
      <c r="P47" s="52"/>
      <c r="Q47" s="3"/>
    </row>
    <row r="48" spans="1:17" x14ac:dyDescent="0.3">
      <c r="A48"/>
      <c r="B48"/>
      <c r="C48" s="30"/>
      <c r="D48" s="40">
        <v>7</v>
      </c>
      <c r="E48" s="67"/>
      <c r="F48" s="67"/>
      <c r="G48" s="67"/>
      <c r="H48" s="48">
        <f>'[2]MEDICAL-Table Rates'!$S$16</f>
        <v>431.02</v>
      </c>
      <c r="I48" s="34"/>
      <c r="J48" s="35"/>
      <c r="K48" s="68"/>
      <c r="L48" s="36"/>
      <c r="M48" s="37"/>
      <c r="N48" s="47"/>
      <c r="O48" s="47"/>
      <c r="P48" s="52"/>
      <c r="Q48" s="3"/>
    </row>
    <row r="49" spans="1:17" ht="57.6" x14ac:dyDescent="0.3">
      <c r="A49" t="s">
        <v>43</v>
      </c>
      <c r="B49">
        <v>0</v>
      </c>
      <c r="C49" s="30">
        <v>36111</v>
      </c>
      <c r="D49" s="40">
        <f t="shared" ref="D49:D50" si="31">($B$3-C49)/365</f>
        <v>24.734246575342464</v>
      </c>
      <c r="E49" s="67">
        <v>334.63</v>
      </c>
      <c r="F49" s="67">
        <v>16.28</v>
      </c>
      <c r="G49" s="67">
        <v>350.91</v>
      </c>
      <c r="H49" s="48">
        <f>'[2]MEDICAL-Table Rates'!$S$28</f>
        <v>479.13</v>
      </c>
      <c r="I49" s="34">
        <v>391.62</v>
      </c>
      <c r="J49" s="35">
        <f t="shared" ref="J49:J50" si="32">(I49-G49)/G49</f>
        <v>0.11601265281696155</v>
      </c>
      <c r="K49" s="68" t="s">
        <v>72</v>
      </c>
      <c r="L49" s="36">
        <f>IF($N$1*H49&gt;=I49,I49,$N$1*H49)</f>
        <v>383.30400000000003</v>
      </c>
      <c r="M49" s="37">
        <f t="shared" ref="M49:M50" si="33">I49-L49</f>
        <v>8.3159999999999741</v>
      </c>
      <c r="N49" s="63">
        <f t="shared" ref="N49:N50" si="34">(L49-E49)/E49</f>
        <v>0.14545617547739303</v>
      </c>
      <c r="O49" s="63">
        <f t="shared" ref="O49:O50" si="35">(M49-F49)/F49</f>
        <v>-0.4891891891891908</v>
      </c>
      <c r="P49" s="71">
        <f t="shared" ref="P49:P50" si="36">M49/I49</f>
        <v>2.1234870537766137E-2</v>
      </c>
      <c r="Q49" s="3"/>
    </row>
    <row r="50" spans="1:17" ht="57.6" x14ac:dyDescent="0.3">
      <c r="A50" t="s">
        <v>44</v>
      </c>
      <c r="B50">
        <v>3</v>
      </c>
      <c r="C50" s="30">
        <v>31872</v>
      </c>
      <c r="D50" s="40">
        <f t="shared" si="31"/>
        <v>36.347945205479455</v>
      </c>
      <c r="E50" s="67">
        <v>1417.7</v>
      </c>
      <c r="F50" s="67">
        <v>68.98</v>
      </c>
      <c r="G50" s="67">
        <v>1486.68</v>
      </c>
      <c r="H50" s="48">
        <f>'[2]MEDICAL-Table Rates'!$S$52</f>
        <v>590.51</v>
      </c>
      <c r="I50" s="34">
        <f>482.65+493.43+352.29+352.29</f>
        <v>1680.6599999999999</v>
      </c>
      <c r="J50" s="35">
        <f t="shared" si="32"/>
        <v>0.13047865041569121</v>
      </c>
      <c r="K50" s="68" t="s">
        <v>72</v>
      </c>
      <c r="L50" s="36">
        <f>IF($N$1*H50+$P$1*SUM(H51:H53)&gt;=I50,I50,$N$1*H50+$P$1*SUM(H51:H53))</f>
        <v>1644.9920000000002</v>
      </c>
      <c r="M50" s="37">
        <f t="shared" si="33"/>
        <v>35.667999999999665</v>
      </c>
      <c r="N50" s="63">
        <f t="shared" si="34"/>
        <v>0.16032446921069346</v>
      </c>
      <c r="O50" s="63">
        <f t="shared" si="35"/>
        <v>-0.48292258625689094</v>
      </c>
      <c r="P50" s="71">
        <f t="shared" si="36"/>
        <v>2.1222614925088756E-2</v>
      </c>
      <c r="Q50" s="3"/>
    </row>
    <row r="51" spans="1:17" x14ac:dyDescent="0.3">
      <c r="A51"/>
      <c r="B51"/>
      <c r="C51" s="30"/>
      <c r="D51" s="40">
        <v>37</v>
      </c>
      <c r="E51" s="67"/>
      <c r="F51" s="67"/>
      <c r="G51" s="67"/>
      <c r="H51" s="48">
        <f>'[2]MEDICAL-Table Rates'!$S$54</f>
        <v>603.69000000000005</v>
      </c>
      <c r="I51" s="34"/>
      <c r="J51" s="35"/>
      <c r="K51" s="68"/>
      <c r="L51" s="36"/>
      <c r="M51" s="37"/>
      <c r="N51" s="47"/>
      <c r="O51" s="47"/>
      <c r="P51" s="52"/>
      <c r="Q51" s="3"/>
    </row>
    <row r="52" spans="1:17" x14ac:dyDescent="0.3">
      <c r="A52"/>
      <c r="B52"/>
      <c r="C52" s="30"/>
      <c r="D52" s="40">
        <v>17</v>
      </c>
      <c r="E52" s="67"/>
      <c r="F52" s="67"/>
      <c r="G52" s="67"/>
      <c r="H52" s="48">
        <f>'[2]MEDICAL-Table Rates'!$S$16</f>
        <v>431.02</v>
      </c>
      <c r="I52" s="34"/>
      <c r="J52" s="35"/>
      <c r="K52" s="68"/>
      <c r="L52" s="36"/>
      <c r="M52" s="37"/>
      <c r="N52" s="47"/>
      <c r="O52" s="47"/>
      <c r="P52" s="52"/>
      <c r="Q52" s="3"/>
    </row>
    <row r="53" spans="1:17" x14ac:dyDescent="0.3">
      <c r="A53"/>
      <c r="B53"/>
      <c r="C53" s="30"/>
      <c r="D53" s="40">
        <v>15</v>
      </c>
      <c r="E53" s="67"/>
      <c r="F53" s="67"/>
      <c r="G53" s="67"/>
      <c r="H53" s="48">
        <f>'[2]MEDICAL-Table Rates'!$S$16</f>
        <v>431.02</v>
      </c>
      <c r="I53" s="34"/>
      <c r="J53" s="35"/>
      <c r="K53" s="68"/>
      <c r="L53" s="36"/>
      <c r="M53" s="37"/>
      <c r="N53" s="47"/>
      <c r="O53" s="47"/>
      <c r="P53" s="52"/>
      <c r="Q53" s="3"/>
    </row>
    <row r="54" spans="1:17" ht="57.6" x14ac:dyDescent="0.3">
      <c r="A54" t="s">
        <v>45</v>
      </c>
      <c r="B54">
        <v>1</v>
      </c>
      <c r="C54" s="30">
        <v>24635</v>
      </c>
      <c r="D54" s="40">
        <f>($B$3-C54)/365</f>
        <v>56.175342465753424</v>
      </c>
      <c r="E54" s="67">
        <v>1727.46</v>
      </c>
      <c r="F54" s="67">
        <v>84.05</v>
      </c>
      <c r="G54" s="67">
        <v>1811.51</v>
      </c>
      <c r="H54" s="48">
        <f>'[2]MEDICAL-Table Rates'!$S$84</f>
        <v>1186.95</v>
      </c>
      <c r="I54" s="38">
        <f>970.15+1088.12</f>
        <v>2058.27</v>
      </c>
      <c r="J54" s="35">
        <f>(I54-G54)/G54</f>
        <v>0.13621785140573334</v>
      </c>
      <c r="K54" s="68" t="s">
        <v>72</v>
      </c>
      <c r="L54" s="36">
        <f>IF($N$1*H54+$P$1*H55&gt;=I54,I54,$N$1*H54+$P$1*H55)</f>
        <v>2014.5840000000003</v>
      </c>
      <c r="M54" s="37">
        <f>I54-L54</f>
        <v>43.685999999999694</v>
      </c>
      <c r="N54" s="63">
        <f>(L54-E54)/E54</f>
        <v>0.16621166336702456</v>
      </c>
      <c r="O54" s="63">
        <f>(M54-F54)/F54</f>
        <v>-0.4802379535990518</v>
      </c>
      <c r="P54" s="71">
        <f>M54/I54</f>
        <v>2.1224620676587473E-2</v>
      </c>
      <c r="Q54" s="3"/>
    </row>
    <row r="55" spans="1:17" x14ac:dyDescent="0.3">
      <c r="A55"/>
      <c r="B55"/>
      <c r="C55" s="30"/>
      <c r="D55" s="40">
        <v>59</v>
      </c>
      <c r="E55" s="67"/>
      <c r="F55" s="67"/>
      <c r="G55" s="67"/>
      <c r="H55" s="48">
        <f>'[2]MEDICAL-Table Rates'!$S$89</f>
        <v>1331.28</v>
      </c>
      <c r="I55" s="38"/>
      <c r="J55" s="35"/>
      <c r="K55" s="68"/>
      <c r="L55" s="36"/>
      <c r="M55" s="37"/>
      <c r="N55" s="47"/>
      <c r="O55" s="47"/>
      <c r="P55" s="52"/>
      <c r="Q55" s="3"/>
    </row>
    <row r="56" spans="1:17" ht="43.2" x14ac:dyDescent="0.3">
      <c r="A56" t="s">
        <v>46</v>
      </c>
      <c r="B56">
        <v>0</v>
      </c>
      <c r="C56" s="30">
        <v>34977</v>
      </c>
      <c r="D56" s="40">
        <f t="shared" ref="D56:D58" si="37">($B$3-C56)/365</f>
        <v>27.841095890410958</v>
      </c>
      <c r="E56" s="67">
        <v>334.63</v>
      </c>
      <c r="F56" s="67">
        <v>2.76</v>
      </c>
      <c r="G56" s="67">
        <v>337.39</v>
      </c>
      <c r="H56" s="48">
        <f>'[2]MEDICAL-Table Rates'!$S$28</f>
        <v>479.13</v>
      </c>
      <c r="I56" s="38">
        <v>374.63</v>
      </c>
      <c r="J56" s="35">
        <f t="shared" ref="J56:J58" si="38">(I56-G56)/G56</f>
        <v>0.11037671537389968</v>
      </c>
      <c r="K56" s="68" t="s">
        <v>73</v>
      </c>
      <c r="L56" s="36">
        <f t="shared" ref="L56:L57" si="39">IF($N$1*H56&gt;=I56,I56,$N$1*H56)</f>
        <v>374.63</v>
      </c>
      <c r="M56" s="37">
        <f t="shared" ref="M56:M58" si="40">I56-L56</f>
        <v>0</v>
      </c>
      <c r="N56" s="63">
        <f t="shared" ref="N56:N58" si="41">(L56-E56)/E56</f>
        <v>0.1195350088157069</v>
      </c>
      <c r="O56" s="63">
        <f t="shared" ref="O56:O58" si="42">(M56-F56)/F56</f>
        <v>-1</v>
      </c>
      <c r="P56" s="71">
        <f t="shared" ref="P56:P58" si="43">M56/I56</f>
        <v>0</v>
      </c>
      <c r="Q56" s="3"/>
    </row>
    <row r="57" spans="1:17" ht="43.2" x14ac:dyDescent="0.3">
      <c r="A57" t="s">
        <v>47</v>
      </c>
      <c r="B57">
        <v>0</v>
      </c>
      <c r="C57" s="30">
        <v>28471</v>
      </c>
      <c r="D57" s="40">
        <f t="shared" si="37"/>
        <v>45.665753424657531</v>
      </c>
      <c r="E57" s="67">
        <v>523.34</v>
      </c>
      <c r="F57" s="67">
        <v>4.33</v>
      </c>
      <c r="G57" s="67">
        <v>527.66999999999996</v>
      </c>
      <c r="H57" s="48">
        <f>'[2]MEDICAL-Table Rates'!$S$66</f>
        <v>778.34</v>
      </c>
      <c r="I57" s="38">
        <v>605.58000000000004</v>
      </c>
      <c r="J57" s="35">
        <f t="shared" si="38"/>
        <v>0.14764909886861122</v>
      </c>
      <c r="K57" s="68" t="s">
        <v>73</v>
      </c>
      <c r="L57" s="36">
        <f t="shared" si="39"/>
        <v>605.58000000000004</v>
      </c>
      <c r="M57" s="37">
        <f t="shared" si="40"/>
        <v>0</v>
      </c>
      <c r="N57" s="63">
        <f t="shared" si="41"/>
        <v>0.15714449497458632</v>
      </c>
      <c r="O57" s="63">
        <f t="shared" si="42"/>
        <v>-1</v>
      </c>
      <c r="P57" s="71">
        <f t="shared" si="43"/>
        <v>0</v>
      </c>
      <c r="Q57" s="3"/>
    </row>
    <row r="58" spans="1:17" ht="43.2" x14ac:dyDescent="0.3">
      <c r="A58" t="s">
        <v>48</v>
      </c>
      <c r="B58">
        <v>4</v>
      </c>
      <c r="C58" s="30">
        <v>25137</v>
      </c>
      <c r="D58" s="40">
        <f t="shared" si="37"/>
        <v>54.8</v>
      </c>
      <c r="E58" s="67">
        <v>2342.87</v>
      </c>
      <c r="F58" s="67">
        <v>19.350000000000001</v>
      </c>
      <c r="G58" s="67">
        <v>2362.2199999999998</v>
      </c>
      <c r="H58" s="48">
        <f>'[2]MEDICAL-Table Rates'!$S$81</f>
        <v>1099.3</v>
      </c>
      <c r="I58" s="38">
        <f>859.53+737.4+(374.63*2)+337.01</f>
        <v>2683.2</v>
      </c>
      <c r="J58" s="35">
        <f t="shared" si="38"/>
        <v>0.13588065463843335</v>
      </c>
      <c r="K58" s="68" t="s">
        <v>73</v>
      </c>
      <c r="L58" s="36">
        <f>IF($N$1*H58+$P$1*SUM(H59:H62)&gt;=I58,I58,$N$1*H58+$P$1*SUM(H59:H62))</f>
        <v>2683.2</v>
      </c>
      <c r="M58" s="37">
        <f t="shared" si="40"/>
        <v>0</v>
      </c>
      <c r="N58" s="63">
        <f t="shared" si="41"/>
        <v>0.14526200770849426</v>
      </c>
      <c r="O58" s="63">
        <f t="shared" si="42"/>
        <v>-1</v>
      </c>
      <c r="P58" s="71">
        <f t="shared" si="43"/>
        <v>0</v>
      </c>
      <c r="Q58" s="3"/>
    </row>
    <row r="59" spans="1:17" x14ac:dyDescent="0.3">
      <c r="A59"/>
      <c r="B59"/>
      <c r="C59" s="30"/>
      <c r="D59" s="40">
        <v>50</v>
      </c>
      <c r="E59" s="67"/>
      <c r="F59" s="67"/>
      <c r="G59" s="67"/>
      <c r="H59" s="48">
        <f>'[2]MEDICAL-Table Rates'!$S$75</f>
        <v>943.1</v>
      </c>
      <c r="I59" s="38"/>
      <c r="J59" s="35"/>
      <c r="K59" s="68"/>
      <c r="L59" s="36"/>
      <c r="M59" s="37"/>
      <c r="N59" s="47"/>
      <c r="O59" s="47"/>
      <c r="P59" s="52"/>
      <c r="Q59" s="3"/>
    </row>
    <row r="60" spans="1:17" x14ac:dyDescent="0.3">
      <c r="A60"/>
      <c r="B60"/>
      <c r="C60" s="30"/>
      <c r="D60" s="40">
        <v>25</v>
      </c>
      <c r="E60" s="67"/>
      <c r="F60" s="67"/>
      <c r="G60" s="67"/>
      <c r="H60" s="48">
        <f>'[2]MEDICAL-Table Rates'!$S$28</f>
        <v>479.13</v>
      </c>
      <c r="I60" s="38"/>
      <c r="J60" s="35"/>
      <c r="K60" s="68"/>
      <c r="L60" s="36"/>
      <c r="M60" s="37"/>
      <c r="N60" s="47"/>
      <c r="O60" s="47"/>
      <c r="P60" s="52"/>
      <c r="Q60" s="3"/>
    </row>
    <row r="61" spans="1:17" x14ac:dyDescent="0.3">
      <c r="A61"/>
      <c r="B61"/>
      <c r="C61" s="30"/>
      <c r="D61" s="40">
        <v>24</v>
      </c>
      <c r="E61" s="67"/>
      <c r="F61" s="67"/>
      <c r="G61" s="67"/>
      <c r="H61" s="48">
        <f>'[2]MEDICAL-Table Rates'!$S$28</f>
        <v>479.13</v>
      </c>
      <c r="I61" s="38"/>
      <c r="J61" s="35"/>
      <c r="K61" s="68"/>
      <c r="L61" s="36"/>
      <c r="M61" s="37"/>
      <c r="N61" s="47"/>
      <c r="O61" s="47"/>
      <c r="P61" s="52"/>
      <c r="Q61" s="3"/>
    </row>
    <row r="62" spans="1:17" x14ac:dyDescent="0.3">
      <c r="A62"/>
      <c r="B62"/>
      <c r="C62" s="30"/>
      <c r="D62" s="40">
        <v>19</v>
      </c>
      <c r="E62" s="67"/>
      <c r="F62" s="67"/>
      <c r="G62" s="67"/>
      <c r="H62" s="48">
        <f>'[2]MEDICAL-Table Rates'!$S$16</f>
        <v>431.02</v>
      </c>
      <c r="I62" s="38"/>
      <c r="J62" s="35"/>
      <c r="K62" s="68"/>
      <c r="L62" s="36"/>
      <c r="M62" s="37"/>
      <c r="N62" s="47"/>
      <c r="O62" s="47"/>
      <c r="P62" s="52"/>
      <c r="Q62" s="3"/>
    </row>
    <row r="63" spans="1:17" ht="28.8" x14ac:dyDescent="0.3">
      <c r="A63" t="s">
        <v>49</v>
      </c>
      <c r="B63">
        <v>0</v>
      </c>
      <c r="C63" s="30">
        <v>35017</v>
      </c>
      <c r="D63" s="40">
        <f t="shared" ref="D63:D68" si="44">($B$3-C63)/365</f>
        <v>27.731506849315068</v>
      </c>
      <c r="E63" s="67">
        <v>334.63</v>
      </c>
      <c r="F63" s="67">
        <v>159.88</v>
      </c>
      <c r="G63" s="67">
        <v>494.51</v>
      </c>
      <c r="H63" s="48">
        <f>'[2]MEDICAL-Table Rates'!$S$28</f>
        <v>479.13</v>
      </c>
      <c r="I63" s="38">
        <f>'[2]MEDICAL-Table Rates'!$Z$37</f>
        <v>519.12</v>
      </c>
      <c r="J63" s="35">
        <f t="shared" ref="J63:J68" si="45">(I63-G63)/G63</f>
        <v>4.9766435461365825E-2</v>
      </c>
      <c r="K63" s="68" t="s">
        <v>74</v>
      </c>
      <c r="L63" s="36">
        <f t="shared" ref="L63:L67" si="46">IF($N$1*H63&gt;=I63,I63,$N$1*H63)</f>
        <v>383.30400000000003</v>
      </c>
      <c r="M63" s="37">
        <f t="shared" ref="M63:M68" si="47">I63-L63</f>
        <v>135.81599999999997</v>
      </c>
      <c r="N63" s="63">
        <f t="shared" ref="N63:N68" si="48">(L63-E63)/E63</f>
        <v>0.14545617547739303</v>
      </c>
      <c r="O63" s="63">
        <f t="shared" ref="O63:O68" si="49">(M63-F63)/F63</f>
        <v>-0.15051288466349777</v>
      </c>
      <c r="P63" s="71">
        <f t="shared" ref="P63:P68" si="50">M63/I63</f>
        <v>0.26162736939435965</v>
      </c>
      <c r="Q63" s="3"/>
    </row>
    <row r="64" spans="1:17" s="22" customFormat="1" ht="28.8" x14ac:dyDescent="0.3">
      <c r="A64" t="s">
        <v>50</v>
      </c>
      <c r="B64">
        <v>0</v>
      </c>
      <c r="C64" s="30">
        <v>35099</v>
      </c>
      <c r="D64" s="40">
        <f t="shared" si="44"/>
        <v>27.506849315068493</v>
      </c>
      <c r="E64" s="67">
        <v>334.63</v>
      </c>
      <c r="F64" s="67">
        <v>76.22</v>
      </c>
      <c r="G64" s="67">
        <v>410.85</v>
      </c>
      <c r="H64" s="48">
        <f>'[2]MEDICAL-Table Rates'!$S$28</f>
        <v>479.13</v>
      </c>
      <c r="I64" s="34">
        <f>'[2]MEDICAL-Table Rates'!$V$37</f>
        <v>453.59</v>
      </c>
      <c r="J64" s="35">
        <f t="shared" si="45"/>
        <v>0.10402823414871595</v>
      </c>
      <c r="K64" s="68" t="s">
        <v>75</v>
      </c>
      <c r="L64" s="36">
        <f t="shared" si="46"/>
        <v>383.30400000000003</v>
      </c>
      <c r="M64" s="37">
        <f t="shared" si="47"/>
        <v>70.285999999999945</v>
      </c>
      <c r="N64" s="63">
        <f t="shared" si="48"/>
        <v>0.14545617547739303</v>
      </c>
      <c r="O64" s="63">
        <f t="shared" si="49"/>
        <v>-7.7853581737077598E-2</v>
      </c>
      <c r="P64" s="71">
        <f t="shared" si="50"/>
        <v>0.15495491523181718</v>
      </c>
    </row>
    <row r="65" spans="1:17" s="22" customFormat="1" ht="28.8" x14ac:dyDescent="0.3">
      <c r="A65" t="s">
        <v>51</v>
      </c>
      <c r="B65">
        <v>0</v>
      </c>
      <c r="C65" s="30">
        <v>35229</v>
      </c>
      <c r="D65" s="40">
        <f t="shared" si="44"/>
        <v>27.150684931506849</v>
      </c>
      <c r="E65" s="67">
        <v>334.63</v>
      </c>
      <c r="F65" s="67">
        <v>76.22</v>
      </c>
      <c r="G65" s="67">
        <v>410.85</v>
      </c>
      <c r="H65" s="48">
        <f>'[2]MEDICAL-Table Rates'!$S$28</f>
        <v>479.13</v>
      </c>
      <c r="I65" s="34">
        <f>'[2]MEDICAL-Table Rates'!$V$37</f>
        <v>453.59</v>
      </c>
      <c r="J65" s="35">
        <f t="shared" si="45"/>
        <v>0.10402823414871595</v>
      </c>
      <c r="K65" s="68" t="s">
        <v>75</v>
      </c>
      <c r="L65" s="36">
        <f t="shared" si="46"/>
        <v>383.30400000000003</v>
      </c>
      <c r="M65" s="37">
        <f t="shared" si="47"/>
        <v>70.285999999999945</v>
      </c>
      <c r="N65" s="63">
        <f t="shared" si="48"/>
        <v>0.14545617547739303</v>
      </c>
      <c r="O65" s="63">
        <f t="shared" si="49"/>
        <v>-7.7853581737077598E-2</v>
      </c>
      <c r="P65" s="71">
        <f t="shared" si="50"/>
        <v>0.15495491523181718</v>
      </c>
    </row>
    <row r="66" spans="1:17" s="22" customFormat="1" ht="28.8" x14ac:dyDescent="0.3">
      <c r="A66" t="s">
        <v>52</v>
      </c>
      <c r="B66">
        <v>0</v>
      </c>
      <c r="C66" s="30">
        <v>34375</v>
      </c>
      <c r="D66" s="40">
        <f t="shared" si="44"/>
        <v>29.490410958904111</v>
      </c>
      <c r="E66" s="67">
        <v>342.46</v>
      </c>
      <c r="F66" s="67">
        <v>78</v>
      </c>
      <c r="G66" s="67">
        <v>420.46</v>
      </c>
      <c r="H66" s="48">
        <f>'[2]MEDICAL-Table Rates'!$S$41</f>
        <v>500.88</v>
      </c>
      <c r="I66" s="56">
        <f>'[2]MEDICAL-Table Rates'!$V$41</f>
        <v>474.18</v>
      </c>
      <c r="J66" s="35">
        <f t="shared" si="45"/>
        <v>0.12776482899681307</v>
      </c>
      <c r="K66" s="68" t="s">
        <v>75</v>
      </c>
      <c r="L66" s="36">
        <f t="shared" si="46"/>
        <v>400.70400000000001</v>
      </c>
      <c r="M66" s="37">
        <f t="shared" si="47"/>
        <v>73.475999999999999</v>
      </c>
      <c r="N66" s="63">
        <f t="shared" si="48"/>
        <v>0.17007533726566615</v>
      </c>
      <c r="O66" s="63">
        <f t="shared" si="49"/>
        <v>-5.800000000000001E-2</v>
      </c>
      <c r="P66" s="71">
        <f t="shared" si="50"/>
        <v>0.15495381500695937</v>
      </c>
    </row>
    <row r="67" spans="1:17" s="22" customFormat="1" ht="28.8" x14ac:dyDescent="0.3">
      <c r="A67" t="s">
        <v>53</v>
      </c>
      <c r="B67">
        <v>0</v>
      </c>
      <c r="C67" s="30">
        <v>31779</v>
      </c>
      <c r="D67" s="40">
        <f t="shared" si="44"/>
        <v>36.602739726027394</v>
      </c>
      <c r="E67" s="67">
        <v>403.22</v>
      </c>
      <c r="F67" s="67">
        <v>91.83</v>
      </c>
      <c r="G67" s="67">
        <v>495.05</v>
      </c>
      <c r="H67" s="48">
        <f>'[2]MEDICAL-Table Rates'!$S$52</f>
        <v>590.51</v>
      </c>
      <c r="I67" s="56">
        <f>'[2]MEDICAL-Table Rates'!$V$52</f>
        <v>559.03</v>
      </c>
      <c r="J67" s="35">
        <f t="shared" si="45"/>
        <v>0.12923947076052916</v>
      </c>
      <c r="K67" s="68" t="s">
        <v>75</v>
      </c>
      <c r="L67" s="36">
        <f t="shared" si="46"/>
        <v>472.40800000000002</v>
      </c>
      <c r="M67" s="37">
        <f t="shared" si="47"/>
        <v>86.621999999999957</v>
      </c>
      <c r="N67" s="63">
        <f t="shared" si="48"/>
        <v>0.1715887108774366</v>
      </c>
      <c r="O67" s="63">
        <f t="shared" si="49"/>
        <v>-5.6713492322770787E-2</v>
      </c>
      <c r="P67" s="71">
        <f t="shared" si="50"/>
        <v>0.15495053932704858</v>
      </c>
    </row>
    <row r="68" spans="1:17" s="22" customFormat="1" ht="28.8" x14ac:dyDescent="0.3">
      <c r="A68" t="s">
        <v>54</v>
      </c>
      <c r="B68">
        <v>3</v>
      </c>
      <c r="C68" s="30">
        <v>31376</v>
      </c>
      <c r="D68" s="40">
        <f t="shared" si="44"/>
        <v>37.706849315068496</v>
      </c>
      <c r="E68" s="67">
        <v>1417.7</v>
      </c>
      <c r="F68" s="67">
        <v>322.91000000000003</v>
      </c>
      <c r="G68" s="67">
        <v>1740.61</v>
      </c>
      <c r="H68" s="48">
        <f>'[2]MEDICAL-Table Rates'!$S$54</f>
        <v>603.69000000000005</v>
      </c>
      <c r="I68" s="56">
        <f>'[2]MEDICAL-Table Rates'!$V$54+'[2]MEDICAL-Table Rates'!$V$52+(2*'[2]MEDICAL-Table Rates'!$V$16)</f>
        <v>1946.62</v>
      </c>
      <c r="J68" s="35">
        <f t="shared" si="45"/>
        <v>0.11835505943318722</v>
      </c>
      <c r="K68" s="68" t="s">
        <v>75</v>
      </c>
      <c r="L68" s="36">
        <f>IF($N$1*H68+$P$1*SUM(H69:H71)&gt;=I68,I68,$N$1*H68+$P$1*SUM(H69:H71))</f>
        <v>1644.992</v>
      </c>
      <c r="M68" s="37">
        <f t="shared" si="47"/>
        <v>301.62799999999993</v>
      </c>
      <c r="N68" s="63">
        <f t="shared" si="48"/>
        <v>0.16032446921069332</v>
      </c>
      <c r="O68" s="63">
        <f t="shared" si="49"/>
        <v>-6.5906909045864465E-2</v>
      </c>
      <c r="P68" s="71">
        <f t="shared" si="50"/>
        <v>0.15494960495628318</v>
      </c>
    </row>
    <row r="69" spans="1:17" s="22" customFormat="1" x14ac:dyDescent="0.3">
      <c r="A69"/>
      <c r="B69"/>
      <c r="C69" s="30"/>
      <c r="D69" s="54">
        <v>36</v>
      </c>
      <c r="E69" s="67"/>
      <c r="F69" s="67"/>
      <c r="G69" s="67"/>
      <c r="H69" s="48">
        <f>'[2]MEDICAL-Table Rates'!$S$52</f>
        <v>590.51</v>
      </c>
      <c r="I69" s="56"/>
      <c r="J69" s="35"/>
      <c r="K69" s="68"/>
      <c r="L69" s="36"/>
      <c r="M69" s="37"/>
      <c r="N69" s="37"/>
      <c r="O69" s="37"/>
      <c r="P69" s="57"/>
    </row>
    <row r="70" spans="1:17" s="22" customFormat="1" x14ac:dyDescent="0.3">
      <c r="A70"/>
      <c r="B70"/>
      <c r="C70" s="30"/>
      <c r="D70" s="54">
        <v>9</v>
      </c>
      <c r="E70" s="67"/>
      <c r="F70" s="67"/>
      <c r="G70" s="67"/>
      <c r="H70" s="48">
        <f>'[2]MEDICAL-Table Rates'!$S$16</f>
        <v>431.02</v>
      </c>
      <c r="I70" s="56"/>
      <c r="J70" s="35"/>
      <c r="K70" s="68"/>
      <c r="L70" s="36"/>
      <c r="M70" s="37"/>
      <c r="N70" s="37"/>
      <c r="O70" s="37"/>
      <c r="P70" s="57"/>
    </row>
    <row r="71" spans="1:17" s="22" customFormat="1" x14ac:dyDescent="0.3">
      <c r="A71"/>
      <c r="B71"/>
      <c r="C71" s="30"/>
      <c r="D71" s="54">
        <v>5</v>
      </c>
      <c r="E71" s="67"/>
      <c r="F71" s="67"/>
      <c r="G71" s="67"/>
      <c r="H71" s="48">
        <f>'[2]MEDICAL-Table Rates'!$S$16</f>
        <v>431.02</v>
      </c>
      <c r="I71" s="56"/>
      <c r="J71" s="35"/>
      <c r="K71" s="68"/>
      <c r="L71" s="36"/>
      <c r="M71" s="37"/>
      <c r="N71" s="37"/>
      <c r="O71" s="37"/>
      <c r="P71" s="57"/>
    </row>
    <row r="72" spans="1:17" s="22" customFormat="1" ht="43.2" x14ac:dyDescent="0.3">
      <c r="A72" t="s">
        <v>55</v>
      </c>
      <c r="B72">
        <v>0</v>
      </c>
      <c r="C72" s="30">
        <v>34315</v>
      </c>
      <c r="D72" s="40">
        <f t="shared" ref="D72:D76" si="51">($B$3-C72)/365</f>
        <v>29.654794520547945</v>
      </c>
      <c r="E72" s="67">
        <v>342.46</v>
      </c>
      <c r="F72" s="67">
        <v>101.28</v>
      </c>
      <c r="G72" s="67">
        <v>443.74</v>
      </c>
      <c r="H72" s="48">
        <f>'[2]MEDICAL-Table Rates'!$S$41</f>
        <v>500.88</v>
      </c>
      <c r="I72" s="56">
        <f>'[2]MEDICAL-Table Rates'!$U$41</f>
        <v>517.74</v>
      </c>
      <c r="J72" s="35">
        <f t="shared" ref="J72:J76" si="52">(I72-G72)/G72</f>
        <v>0.16676432144949746</v>
      </c>
      <c r="K72" s="68" t="s">
        <v>76</v>
      </c>
      <c r="L72" s="36">
        <f t="shared" ref="L72:L75" si="53">IF($N$1*H72&gt;=I72,I72,$N$1*H72)</f>
        <v>400.70400000000001</v>
      </c>
      <c r="M72" s="37">
        <f t="shared" ref="M72:M76" si="54">I72-L72</f>
        <v>117.036</v>
      </c>
      <c r="N72" s="63">
        <f t="shared" ref="N72:N76" si="55">(L72-E72)/E72</f>
        <v>0.17007533726566615</v>
      </c>
      <c r="O72" s="63">
        <f t="shared" ref="O72:O76" si="56">(M72-F72)/F72</f>
        <v>0.15556872037914693</v>
      </c>
      <c r="P72" s="71">
        <f t="shared" ref="P72:P75" si="57">M72/I72</f>
        <v>0.22605168617452776</v>
      </c>
    </row>
    <row r="73" spans="1:17" s="22" customFormat="1" ht="43.2" x14ac:dyDescent="0.3">
      <c r="A73" t="s">
        <v>56</v>
      </c>
      <c r="B73">
        <v>0</v>
      </c>
      <c r="C73" s="30">
        <v>30417</v>
      </c>
      <c r="D73" s="40">
        <f t="shared" si="51"/>
        <v>40.334246575342469</v>
      </c>
      <c r="E73" s="67">
        <v>431.75</v>
      </c>
      <c r="F73" s="67">
        <v>127.69</v>
      </c>
      <c r="G73" s="67">
        <v>559.44000000000005</v>
      </c>
      <c r="H73" s="55">
        <f>'[2]MEDICAL-Table Rates'!$S$58</f>
        <v>642.57000000000005</v>
      </c>
      <c r="I73" s="56">
        <f>'[2]MEDICAL-Table Rates'!$U$58</f>
        <v>664.21</v>
      </c>
      <c r="J73" s="35">
        <f t="shared" si="52"/>
        <v>0.18727656227656223</v>
      </c>
      <c r="K73" s="68" t="s">
        <v>76</v>
      </c>
      <c r="L73" s="36">
        <f t="shared" si="53"/>
        <v>514.05600000000004</v>
      </c>
      <c r="M73" s="37">
        <f t="shared" si="54"/>
        <v>150.154</v>
      </c>
      <c r="N73" s="63">
        <f t="shared" si="55"/>
        <v>0.19063346844238574</v>
      </c>
      <c r="O73" s="63">
        <f t="shared" si="56"/>
        <v>0.17592607095308951</v>
      </c>
      <c r="P73" s="71">
        <f t="shared" si="57"/>
        <v>0.22606404600954516</v>
      </c>
    </row>
    <row r="74" spans="1:17" s="22" customFormat="1" ht="43.2" x14ac:dyDescent="0.3">
      <c r="A74" t="s">
        <v>57</v>
      </c>
      <c r="B74">
        <v>0</v>
      </c>
      <c r="C74" s="30">
        <v>30382</v>
      </c>
      <c r="D74" s="40">
        <f t="shared" si="51"/>
        <v>40.43013698630137</v>
      </c>
      <c r="E74" s="67">
        <v>431.75</v>
      </c>
      <c r="F74" s="67">
        <v>127.69</v>
      </c>
      <c r="G74" s="67">
        <v>559.44000000000005</v>
      </c>
      <c r="H74" s="55">
        <f>'[2]MEDICAL-Table Rates'!$S$58</f>
        <v>642.57000000000005</v>
      </c>
      <c r="I74" s="56">
        <f>'[2]MEDICAL-Table Rates'!$U$58</f>
        <v>664.21</v>
      </c>
      <c r="J74" s="35">
        <f t="shared" si="52"/>
        <v>0.18727656227656223</v>
      </c>
      <c r="K74" s="68" t="s">
        <v>76</v>
      </c>
      <c r="L74" s="36">
        <f t="shared" si="53"/>
        <v>514.05600000000004</v>
      </c>
      <c r="M74" s="37">
        <f t="shared" si="54"/>
        <v>150.154</v>
      </c>
      <c r="N74" s="63">
        <f t="shared" si="55"/>
        <v>0.19063346844238574</v>
      </c>
      <c r="O74" s="63">
        <f t="shared" si="56"/>
        <v>0.17592607095308951</v>
      </c>
      <c r="P74" s="71">
        <f t="shared" si="57"/>
        <v>0.22606404600954516</v>
      </c>
    </row>
    <row r="75" spans="1:17" ht="43.2" x14ac:dyDescent="0.3">
      <c r="A75" t="s">
        <v>58</v>
      </c>
      <c r="B75">
        <v>0</v>
      </c>
      <c r="C75" s="30">
        <v>35557</v>
      </c>
      <c r="D75" s="40">
        <f t="shared" si="51"/>
        <v>26.252054794520546</v>
      </c>
      <c r="E75" s="67">
        <v>334.63</v>
      </c>
      <c r="F75" s="67">
        <v>151.06</v>
      </c>
      <c r="G75" s="67">
        <v>485.69</v>
      </c>
      <c r="H75" s="48">
        <f>'[2]MEDICAL-Table Rates'!$S$28</f>
        <v>479.13</v>
      </c>
      <c r="I75" s="56">
        <f>'[2]MEDICAL-Table Rates'!$Y$36</f>
        <v>511.69</v>
      </c>
      <c r="J75" s="35">
        <f t="shared" si="52"/>
        <v>5.3532088369124341E-2</v>
      </c>
      <c r="K75" s="68" t="s">
        <v>77</v>
      </c>
      <c r="L75" s="36">
        <f t="shared" si="53"/>
        <v>383.30400000000003</v>
      </c>
      <c r="M75" s="37">
        <f t="shared" si="54"/>
        <v>128.38599999999997</v>
      </c>
      <c r="N75" s="63">
        <f t="shared" si="55"/>
        <v>0.14545617547739303</v>
      </c>
      <c r="O75" s="63">
        <f t="shared" si="56"/>
        <v>-0.15009929829206961</v>
      </c>
      <c r="P75" s="71">
        <f t="shared" si="57"/>
        <v>0.25090582188434396</v>
      </c>
      <c r="Q75" s="3"/>
    </row>
    <row r="76" spans="1:17" ht="43.2" x14ac:dyDescent="0.3">
      <c r="A76" t="s">
        <v>80</v>
      </c>
      <c r="B76">
        <v>0</v>
      </c>
      <c r="C76" s="30">
        <v>34137</v>
      </c>
      <c r="D76" s="40">
        <f t="shared" si="51"/>
        <v>30.142465753424659</v>
      </c>
      <c r="E76" s="67">
        <v>0</v>
      </c>
      <c r="F76" s="67">
        <v>507.74</v>
      </c>
      <c r="G76" s="67">
        <v>507.74</v>
      </c>
      <c r="H76" s="48">
        <f>'[2]MEDICAL-Table Rates'!$S$42</f>
        <v>513.4</v>
      </c>
      <c r="I76" s="56">
        <f>'[2]MEDICAL-Table Rates'!$Y$42</f>
        <v>548.29</v>
      </c>
      <c r="J76" s="35">
        <f t="shared" si="52"/>
        <v>7.9863709772718228E-2</v>
      </c>
      <c r="K76" s="68" t="s">
        <v>77</v>
      </c>
      <c r="L76" s="36">
        <v>0</v>
      </c>
      <c r="M76" s="37">
        <f t="shared" si="54"/>
        <v>548.29</v>
      </c>
      <c r="N76" s="63" t="e">
        <f t="shared" si="55"/>
        <v>#DIV/0!</v>
      </c>
      <c r="O76" s="63">
        <f t="shared" si="56"/>
        <v>7.9863709772718228E-2</v>
      </c>
      <c r="P76" s="63" t="e">
        <f t="shared" ref="P76" si="58">(N76-G76)/G76</f>
        <v>#DIV/0!</v>
      </c>
      <c r="Q76" s="3"/>
    </row>
    <row r="77" spans="1:17" ht="15" thickBot="1" x14ac:dyDescent="0.35">
      <c r="B77" s="3"/>
      <c r="C77" s="3"/>
      <c r="D77" s="3"/>
      <c r="E77" s="3"/>
      <c r="F77" s="3"/>
      <c r="G77" s="3"/>
      <c r="H77" s="3"/>
      <c r="I77" s="3"/>
      <c r="J77" s="3"/>
      <c r="K77" s="3"/>
      <c r="L77" s="3"/>
      <c r="M77" s="3"/>
      <c r="N77" s="3"/>
      <c r="O77" s="3"/>
      <c r="P77" s="3"/>
      <c r="Q77" s="3"/>
    </row>
    <row r="78" spans="1:17" ht="58.2" thickBot="1" x14ac:dyDescent="0.35">
      <c r="A78"/>
      <c r="B78"/>
      <c r="C78"/>
      <c r="D78" s="30"/>
      <c r="E78" s="69"/>
      <c r="L78" s="31" t="s">
        <v>79</v>
      </c>
      <c r="M78" s="32">
        <f>SUM(E6:E75)</f>
        <v>29245.450000000004</v>
      </c>
      <c r="O78" s="44"/>
      <c r="P78" s="45"/>
      <c r="Q78" s="22"/>
    </row>
    <row r="79" spans="1:17" ht="43.8" thickBot="1" x14ac:dyDescent="0.35">
      <c r="A79"/>
      <c r="B79"/>
      <c r="C79"/>
      <c r="D79" s="30"/>
      <c r="E79" s="70"/>
      <c r="L79" s="31" t="s">
        <v>115</v>
      </c>
      <c r="M79" s="32">
        <f>SUM(L6:L76)-L76</f>
        <v>33947.245999999999</v>
      </c>
      <c r="O79" s="44"/>
      <c r="P79" s="45"/>
      <c r="Q79" s="22"/>
    </row>
    <row r="80" spans="1:17" ht="15" thickBot="1" x14ac:dyDescent="0.35">
      <c r="A80"/>
      <c r="B80"/>
      <c r="C80"/>
      <c r="D80" s="30"/>
      <c r="E80" s="69"/>
      <c r="L80" s="31" t="s">
        <v>8</v>
      </c>
      <c r="M80" s="32">
        <f>M79-M78</f>
        <v>4701.7959999999948</v>
      </c>
      <c r="O80" s="44"/>
      <c r="P80" s="45"/>
      <c r="Q80" s="22"/>
    </row>
    <row r="81" spans="1:17" ht="29.4" thickBot="1" x14ac:dyDescent="0.35">
      <c r="A81"/>
      <c r="B81"/>
      <c r="C81"/>
      <c r="D81" s="30"/>
      <c r="E81" s="69"/>
      <c r="F81" s="20"/>
      <c r="L81" s="31" t="s">
        <v>9</v>
      </c>
      <c r="M81" s="33">
        <f>M80/M78</f>
        <v>0.16077017108644232</v>
      </c>
      <c r="O81" s="45"/>
      <c r="P81" s="45"/>
      <c r="Q81" s="22"/>
    </row>
    <row r="82" spans="1:17" ht="29.4" thickBot="1" x14ac:dyDescent="0.35">
      <c r="A82"/>
      <c r="B82"/>
      <c r="C82"/>
      <c r="D82" s="30"/>
      <c r="E82" s="69"/>
      <c r="L82" s="31" t="s">
        <v>10</v>
      </c>
      <c r="M82" s="32">
        <f>M80*12</f>
        <v>56421.551999999938</v>
      </c>
      <c r="O82" s="45"/>
      <c r="P82" s="45"/>
      <c r="Q82" s="3"/>
    </row>
    <row r="83" spans="1:17" x14ac:dyDescent="0.3">
      <c r="A83"/>
      <c r="B83"/>
      <c r="C83"/>
      <c r="D83" s="30"/>
      <c r="E83" s="29"/>
      <c r="O83" s="13"/>
      <c r="P83" s="45"/>
      <c r="Q83" s="3"/>
    </row>
    <row r="84" spans="1:17" x14ac:dyDescent="0.3">
      <c r="A84"/>
      <c r="B84"/>
      <c r="C84"/>
      <c r="D84" s="30"/>
      <c r="E84" s="29"/>
    </row>
    <row r="85" spans="1:17" x14ac:dyDescent="0.3">
      <c r="A85"/>
      <c r="B85"/>
      <c r="C85"/>
      <c r="D85" s="30"/>
      <c r="E85" s="29"/>
      <c r="O85" s="45"/>
      <c r="P85" s="45"/>
    </row>
    <row r="86" spans="1:17" x14ac:dyDescent="0.3">
      <c r="A86"/>
      <c r="B86"/>
      <c r="C86"/>
      <c r="D86" s="30"/>
      <c r="E86" s="29"/>
      <c r="O86" s="45"/>
      <c r="P86" s="45"/>
    </row>
    <row r="87" spans="1:17" x14ac:dyDescent="0.3">
      <c r="A87"/>
      <c r="B87"/>
      <c r="C87"/>
      <c r="D87" s="30"/>
      <c r="E87" s="29"/>
    </row>
    <row r="88" spans="1:17" x14ac:dyDescent="0.3">
      <c r="A88"/>
      <c r="B88"/>
      <c r="C88"/>
      <c r="D88" s="30"/>
      <c r="E88" s="29"/>
    </row>
    <row r="89" spans="1:17" x14ac:dyDescent="0.3">
      <c r="A89"/>
      <c r="B89"/>
      <c r="C89"/>
      <c r="D89" s="30"/>
      <c r="E89" s="29"/>
    </row>
    <row r="90" spans="1:17" s="22" customFormat="1" x14ac:dyDescent="0.3">
      <c r="A90"/>
      <c r="B90"/>
      <c r="C90"/>
      <c r="D90" s="30"/>
      <c r="E90" s="29"/>
      <c r="F90" s="19"/>
      <c r="G90" s="19"/>
      <c r="H90" s="43"/>
      <c r="I90" s="19"/>
      <c r="J90" s="19"/>
      <c r="K90" s="20"/>
      <c r="L90" s="21"/>
      <c r="M90" s="19"/>
      <c r="N90" s="19"/>
      <c r="O90" s="19"/>
      <c r="P90" s="13"/>
      <c r="Q90" s="19"/>
    </row>
    <row r="91" spans="1:17" s="22" customFormat="1" x14ac:dyDescent="0.3">
      <c r="A91"/>
      <c r="B91"/>
      <c r="C91"/>
      <c r="D91" s="30"/>
      <c r="E91" s="29"/>
      <c r="F91" s="19"/>
      <c r="G91" s="19"/>
      <c r="H91" s="43"/>
      <c r="I91" s="19"/>
      <c r="J91" s="19"/>
      <c r="K91" s="20"/>
      <c r="L91" s="21"/>
      <c r="M91" s="19"/>
      <c r="N91" s="19"/>
      <c r="O91" s="45"/>
      <c r="P91" s="45"/>
      <c r="Q91" s="19"/>
    </row>
    <row r="92" spans="1:17" x14ac:dyDescent="0.3">
      <c r="A92"/>
      <c r="B92"/>
      <c r="C92"/>
      <c r="D92" s="30"/>
      <c r="E92" s="29"/>
      <c r="O92" s="45"/>
      <c r="P92" s="45"/>
    </row>
    <row r="93" spans="1:17" x14ac:dyDescent="0.3">
      <c r="A93"/>
      <c r="B93"/>
      <c r="C93"/>
      <c r="D93" s="30"/>
      <c r="E93" s="29"/>
    </row>
    <row r="94" spans="1:17" s="7" customFormat="1" x14ac:dyDescent="0.3">
      <c r="A94"/>
      <c r="B94"/>
      <c r="C94"/>
      <c r="D94" s="30"/>
      <c r="E94" s="29"/>
      <c r="F94" s="19"/>
      <c r="G94" s="19"/>
      <c r="H94" s="43"/>
      <c r="I94" s="19"/>
      <c r="J94" s="19"/>
      <c r="K94" s="20"/>
      <c r="L94" s="21"/>
      <c r="M94" s="19"/>
      <c r="N94" s="19"/>
      <c r="O94" s="19"/>
      <c r="P94" s="13"/>
      <c r="Q94" s="19"/>
    </row>
    <row r="95" spans="1:17" s="7" customFormat="1" x14ac:dyDescent="0.3">
      <c r="A95"/>
      <c r="B95"/>
      <c r="C95"/>
      <c r="D95" s="30"/>
      <c r="E95" s="29"/>
      <c r="F95" s="19"/>
      <c r="G95" s="19"/>
      <c r="H95" s="43"/>
      <c r="I95" s="19"/>
      <c r="J95" s="19"/>
      <c r="K95" s="20"/>
      <c r="L95" s="21"/>
      <c r="M95" s="19"/>
      <c r="N95" s="19"/>
      <c r="O95" s="19"/>
      <c r="P95" s="13"/>
      <c r="Q95" s="19"/>
    </row>
    <row r="96" spans="1:17" s="7" customFormat="1" x14ac:dyDescent="0.3">
      <c r="A96"/>
      <c r="B96"/>
      <c r="C96"/>
      <c r="D96" s="30"/>
      <c r="E96" s="29"/>
      <c r="F96" s="19"/>
      <c r="G96" s="19"/>
      <c r="H96" s="43"/>
      <c r="I96" s="19"/>
      <c r="J96" s="19"/>
      <c r="K96" s="20"/>
      <c r="L96" s="21"/>
      <c r="M96" s="19"/>
      <c r="N96" s="19"/>
      <c r="O96" s="45"/>
      <c r="P96" s="45"/>
      <c r="Q96" s="19"/>
    </row>
    <row r="97" spans="1:17" s="7" customFormat="1" x14ac:dyDescent="0.3">
      <c r="A97"/>
      <c r="B97"/>
      <c r="C97"/>
      <c r="D97" s="30"/>
      <c r="E97" s="29"/>
      <c r="F97" s="19"/>
      <c r="G97" s="19"/>
      <c r="H97" s="43"/>
      <c r="I97" s="19"/>
      <c r="J97" s="19"/>
      <c r="K97" s="20"/>
      <c r="L97" s="21"/>
      <c r="M97" s="19"/>
      <c r="N97" s="19"/>
      <c r="O97" s="45"/>
      <c r="P97" s="45"/>
      <c r="Q97" s="19"/>
    </row>
    <row r="98" spans="1:17" x14ac:dyDescent="0.3">
      <c r="A98"/>
      <c r="B98"/>
      <c r="C98"/>
      <c r="D98" s="30"/>
      <c r="E98" s="29"/>
      <c r="O98" s="45"/>
      <c r="P98" s="45"/>
    </row>
    <row r="99" spans="1:17" x14ac:dyDescent="0.3">
      <c r="A99"/>
      <c r="B99"/>
      <c r="C99"/>
      <c r="D99" s="30"/>
      <c r="E99" s="29"/>
      <c r="O99" s="45"/>
      <c r="P99" s="45"/>
    </row>
    <row r="100" spans="1:17" x14ac:dyDescent="0.3">
      <c r="A100"/>
      <c r="B100"/>
      <c r="C100"/>
      <c r="D100" s="30"/>
      <c r="E100" s="29"/>
    </row>
    <row r="101" spans="1:17" x14ac:dyDescent="0.3">
      <c r="A101"/>
      <c r="B101"/>
      <c r="C101"/>
      <c r="D101" s="30"/>
      <c r="E101" s="29"/>
    </row>
    <row r="102" spans="1:17" x14ac:dyDescent="0.3">
      <c r="A102"/>
      <c r="B102"/>
      <c r="C102"/>
      <c r="D102" s="30"/>
      <c r="E102" s="29"/>
    </row>
    <row r="103" spans="1:17" x14ac:dyDescent="0.3">
      <c r="A103"/>
      <c r="B103"/>
      <c r="C103"/>
      <c r="D103" s="30"/>
      <c r="E103" s="29"/>
      <c r="O103" s="45"/>
      <c r="P103" s="45"/>
    </row>
    <row r="104" spans="1:17" x14ac:dyDescent="0.3">
      <c r="A104"/>
      <c r="B104"/>
      <c r="C104"/>
      <c r="D104" s="30"/>
      <c r="E104" s="29"/>
      <c r="O104" s="45"/>
      <c r="P104" s="45"/>
    </row>
    <row r="105" spans="1:17" x14ac:dyDescent="0.3">
      <c r="A105"/>
      <c r="B105"/>
      <c r="C105"/>
      <c r="D105" s="30"/>
      <c r="E105" s="29"/>
      <c r="O105" s="45"/>
      <c r="P105" s="45"/>
    </row>
    <row r="106" spans="1:17" x14ac:dyDescent="0.3">
      <c r="A106"/>
      <c r="B106"/>
      <c r="C106"/>
      <c r="D106" s="30"/>
      <c r="E106" s="29"/>
      <c r="O106" s="45"/>
      <c r="P106" s="45"/>
    </row>
    <row r="107" spans="1:17" x14ac:dyDescent="0.3">
      <c r="A107"/>
      <c r="B107"/>
      <c r="C107"/>
      <c r="D107" s="30"/>
      <c r="E107" s="29"/>
      <c r="O107" s="45"/>
      <c r="P107" s="45"/>
    </row>
    <row r="108" spans="1:17" x14ac:dyDescent="0.3">
      <c r="A108"/>
      <c r="B108"/>
      <c r="C108"/>
      <c r="D108" s="30"/>
      <c r="E108" s="29"/>
      <c r="O108" s="45"/>
      <c r="P108" s="45"/>
    </row>
    <row r="109" spans="1:17" x14ac:dyDescent="0.3">
      <c r="A109"/>
      <c r="B109"/>
      <c r="C109"/>
      <c r="D109" s="30"/>
      <c r="E109" s="29"/>
    </row>
    <row r="110" spans="1:17" x14ac:dyDescent="0.3">
      <c r="A110"/>
      <c r="B110"/>
      <c r="C110"/>
      <c r="D110" s="30"/>
      <c r="E110" s="29"/>
    </row>
    <row r="111" spans="1:17" x14ac:dyDescent="0.3">
      <c r="A111"/>
      <c r="B111"/>
      <c r="C111"/>
      <c r="D111" s="30"/>
      <c r="E111" s="29"/>
    </row>
    <row r="112" spans="1:17" x14ac:dyDescent="0.3">
      <c r="A112"/>
      <c r="B112"/>
      <c r="C112"/>
      <c r="D112" s="30"/>
      <c r="E112" s="29"/>
    </row>
    <row r="113" spans="1:17" x14ac:dyDescent="0.3">
      <c r="A113"/>
      <c r="B113"/>
      <c r="C113"/>
      <c r="D113" s="30"/>
      <c r="E113" s="29"/>
    </row>
    <row r="114" spans="1:17" x14ac:dyDescent="0.3">
      <c r="A114"/>
      <c r="B114"/>
      <c r="C114"/>
      <c r="D114" s="30"/>
      <c r="E114" s="29"/>
    </row>
    <row r="115" spans="1:17" x14ac:dyDescent="0.3">
      <c r="A115"/>
      <c r="B115"/>
      <c r="C115"/>
      <c r="D115" s="30"/>
      <c r="E115" s="29"/>
    </row>
    <row r="116" spans="1:17" x14ac:dyDescent="0.3">
      <c r="A116"/>
      <c r="B116"/>
      <c r="C116"/>
      <c r="D116" s="30"/>
      <c r="E116" s="29"/>
    </row>
    <row r="123" spans="1:17" ht="13.95" customHeight="1" x14ac:dyDescent="0.3"/>
    <row r="126" spans="1:17" s="22" customFormat="1" x14ac:dyDescent="0.3">
      <c r="A126" s="3"/>
      <c r="B126" s="7"/>
      <c r="C126" s="7"/>
      <c r="D126" s="28"/>
      <c r="E126" s="7"/>
      <c r="F126" s="19"/>
      <c r="G126" s="19"/>
      <c r="H126" s="43"/>
      <c r="I126" s="19"/>
      <c r="J126" s="19"/>
      <c r="K126" s="20"/>
      <c r="L126" s="21"/>
      <c r="M126" s="19"/>
      <c r="N126" s="19"/>
      <c r="O126" s="19"/>
      <c r="P126" s="13"/>
      <c r="Q126" s="19"/>
    </row>
    <row r="127" spans="1:17" s="22" customFormat="1" ht="13.95" customHeight="1" x14ac:dyDescent="0.3">
      <c r="A127" s="3"/>
      <c r="B127" s="7"/>
      <c r="C127" s="7"/>
      <c r="D127" s="28"/>
      <c r="E127" s="7"/>
      <c r="F127" s="19"/>
      <c r="G127" s="19"/>
      <c r="H127" s="43"/>
      <c r="I127" s="19"/>
      <c r="J127" s="19"/>
      <c r="K127" s="20"/>
      <c r="L127" s="21"/>
      <c r="M127" s="19"/>
      <c r="N127" s="19"/>
      <c r="O127" s="19"/>
      <c r="P127" s="13"/>
      <c r="Q127" s="19"/>
    </row>
    <row r="128" spans="1:17" s="22" customFormat="1" x14ac:dyDescent="0.3">
      <c r="A128" s="3"/>
      <c r="B128" s="7"/>
      <c r="C128" s="7"/>
      <c r="D128" s="28"/>
      <c r="E128" s="7"/>
      <c r="F128" s="19"/>
      <c r="G128" s="19"/>
      <c r="H128" s="43"/>
      <c r="I128" s="19"/>
      <c r="J128" s="19"/>
      <c r="K128" s="20"/>
      <c r="L128" s="21"/>
      <c r="M128" s="19"/>
      <c r="N128" s="19"/>
      <c r="O128" s="19"/>
      <c r="P128" s="13"/>
      <c r="Q128" s="19"/>
    </row>
    <row r="129" spans="1:17" s="22" customFormat="1" x14ac:dyDescent="0.3">
      <c r="A129" s="3"/>
      <c r="B129" s="7"/>
      <c r="C129" s="7"/>
      <c r="D129" s="28"/>
      <c r="E129" s="7"/>
      <c r="F129" s="19"/>
      <c r="G129" s="19"/>
      <c r="H129" s="43"/>
      <c r="I129" s="19"/>
      <c r="J129" s="19"/>
      <c r="K129" s="20"/>
      <c r="L129" s="21"/>
      <c r="M129" s="19"/>
      <c r="N129" s="19"/>
      <c r="O129" s="19"/>
      <c r="P129" s="13"/>
      <c r="Q129" s="19"/>
    </row>
    <row r="130" spans="1:17" s="22" customFormat="1" x14ac:dyDescent="0.3">
      <c r="A130" s="3"/>
      <c r="B130" s="7"/>
      <c r="C130" s="7"/>
      <c r="D130" s="28"/>
      <c r="E130" s="7"/>
      <c r="F130" s="19"/>
      <c r="G130" s="19"/>
      <c r="H130" s="43"/>
      <c r="I130" s="19"/>
      <c r="J130" s="19"/>
      <c r="K130" s="20"/>
      <c r="L130" s="21"/>
      <c r="M130" s="19"/>
      <c r="N130" s="19"/>
      <c r="O130" s="19"/>
      <c r="P130" s="13"/>
      <c r="Q130" s="19"/>
    </row>
    <row r="131" spans="1:17" s="22" customFormat="1" x14ac:dyDescent="0.3">
      <c r="A131" s="3"/>
      <c r="B131" s="7"/>
      <c r="C131" s="7"/>
      <c r="D131" s="28"/>
      <c r="E131" s="7"/>
      <c r="F131" s="19"/>
      <c r="G131" s="19"/>
      <c r="H131" s="43"/>
      <c r="I131" s="19"/>
      <c r="J131" s="19"/>
      <c r="K131" s="20"/>
      <c r="L131" s="21"/>
      <c r="M131" s="19"/>
      <c r="N131" s="19"/>
      <c r="O131" s="19"/>
      <c r="P131" s="13"/>
      <c r="Q131" s="19"/>
    </row>
    <row r="160" ht="61.5" customHeight="1" x14ac:dyDescent="0.3"/>
  </sheetData>
  <autoFilter ref="A5:Q108" xr:uid="{00000000-0009-0000-0000-000000000000}"/>
  <mergeCells count="4">
    <mergeCell ref="N2:Q3"/>
    <mergeCell ref="A4:D4"/>
    <mergeCell ref="E4:G4"/>
    <mergeCell ref="H4:J4"/>
  </mergeCells>
  <dataValidations count="1">
    <dataValidation type="list" allowBlank="1" showInputMessage="1" showErrorMessage="1" sqref="B20:B33 B64:B74" xr:uid="{11FEB9F6-0B69-458A-9467-62309C8E9A22}">
      <formula1>"EE,ES,EC,EF,Waive,Decline"</formula1>
    </dataValidation>
  </dataValidations>
  <pageMargins left="0.25" right="0.25" top="0.75" bottom="0.75" header="0.3" footer="0.3"/>
  <pageSetup paperSize="5" scale="47"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CBE06-941C-4DB3-9DF6-0264847A68E6}">
  <dimension ref="A1:Q160"/>
  <sheetViews>
    <sheetView topLeftCell="A72" zoomScaleNormal="100" workbookViewId="0">
      <selection activeCell="L80" sqref="L80"/>
    </sheetView>
  </sheetViews>
  <sheetFormatPr defaultColWidth="9.109375" defaultRowHeight="14.4" x14ac:dyDescent="0.3"/>
  <cols>
    <col min="1" max="1" width="25.6640625" style="3" customWidth="1"/>
    <col min="2" max="2" width="12" style="7" customWidth="1"/>
    <col min="3" max="3" width="11" style="7" customWidth="1"/>
    <col min="4" max="4" width="11.5546875" style="28" bestFit="1" customWidth="1"/>
    <col min="5" max="5" width="17.44140625" style="7" customWidth="1"/>
    <col min="6" max="6" width="16.6640625" style="19" bestFit="1" customWidth="1"/>
    <col min="7" max="7" width="18" style="19" bestFit="1" customWidth="1"/>
    <col min="8" max="8" width="13.44140625" style="43" customWidth="1"/>
    <col min="9" max="10" width="13.44140625" style="19" customWidth="1"/>
    <col min="11" max="11" width="13.44140625" style="20" customWidth="1"/>
    <col min="12" max="12" width="13.6640625" style="21" customWidth="1"/>
    <col min="13" max="13" width="18.6640625" style="19" bestFit="1" customWidth="1"/>
    <col min="14" max="14" width="14.109375" style="19" customWidth="1"/>
    <col min="15" max="15" width="12.33203125" style="19" customWidth="1"/>
    <col min="16" max="16" width="12.33203125" style="13" customWidth="1"/>
    <col min="17" max="17" width="12.33203125" style="19" customWidth="1"/>
    <col min="18" max="16384" width="9.109375" style="3"/>
  </cols>
  <sheetData>
    <row r="1" spans="1:17" ht="15" thickBot="1" x14ac:dyDescent="0.35">
      <c r="A1" s="1" t="s">
        <v>13</v>
      </c>
      <c r="B1" s="2"/>
      <c r="C1" s="2"/>
      <c r="D1" s="26"/>
      <c r="E1" s="2"/>
      <c r="F1" s="23"/>
      <c r="G1" s="12"/>
      <c r="H1" s="41"/>
      <c r="I1" s="24"/>
      <c r="J1" s="24"/>
      <c r="K1" s="14"/>
      <c r="L1" s="10"/>
      <c r="M1" s="23" t="s">
        <v>81</v>
      </c>
      <c r="N1" s="12">
        <v>0.75</v>
      </c>
      <c r="O1" s="16" t="s">
        <v>0</v>
      </c>
      <c r="P1" s="12">
        <v>0.75</v>
      </c>
      <c r="Q1" s="16" t="s">
        <v>3</v>
      </c>
    </row>
    <row r="2" spans="1:17" x14ac:dyDescent="0.3">
      <c r="A2" s="2">
        <v>1</v>
      </c>
      <c r="B2" s="2"/>
      <c r="C2" s="2"/>
      <c r="D2" s="26"/>
      <c r="E2" s="2"/>
      <c r="F2" s="10"/>
      <c r="G2" s="46"/>
      <c r="H2" s="41"/>
      <c r="I2" s="24"/>
      <c r="J2" s="24"/>
      <c r="K2" s="14"/>
      <c r="L2" s="10"/>
      <c r="M2" s="10"/>
      <c r="N2" s="75" t="s">
        <v>12</v>
      </c>
      <c r="O2" s="75"/>
      <c r="P2" s="75"/>
      <c r="Q2" s="75"/>
    </row>
    <row r="3" spans="1:17" ht="15.75" customHeight="1" thickBot="1" x14ac:dyDescent="0.35">
      <c r="A3" s="4" t="s">
        <v>7</v>
      </c>
      <c r="B3" s="25">
        <v>45139</v>
      </c>
      <c r="C3" s="25"/>
      <c r="D3" s="25"/>
      <c r="E3" s="17"/>
      <c r="F3" s="11"/>
      <c r="G3" s="46"/>
      <c r="H3" s="42"/>
      <c r="I3" s="16"/>
      <c r="J3" s="16"/>
      <c r="K3" s="18"/>
      <c r="L3" s="11"/>
      <c r="M3" s="11"/>
      <c r="N3" s="76"/>
      <c r="O3" s="76"/>
      <c r="P3" s="76"/>
      <c r="Q3" s="76"/>
    </row>
    <row r="4" spans="1:17" ht="15.75" customHeight="1" thickBot="1" x14ac:dyDescent="0.35">
      <c r="A4" s="77" t="s">
        <v>11</v>
      </c>
      <c r="B4" s="78"/>
      <c r="C4" s="78"/>
      <c r="D4" s="79"/>
      <c r="E4" s="80" t="s">
        <v>16</v>
      </c>
      <c r="F4" s="81"/>
      <c r="G4" s="81"/>
      <c r="H4" s="82" t="s">
        <v>17</v>
      </c>
      <c r="I4" s="83"/>
      <c r="J4" s="84"/>
      <c r="K4" s="72" t="s">
        <v>62</v>
      </c>
      <c r="L4" s="58"/>
      <c r="M4" s="11"/>
      <c r="N4" s="24"/>
      <c r="O4" s="24"/>
      <c r="P4" s="24"/>
      <c r="Q4" s="24"/>
    </row>
    <row r="5" spans="1:17" ht="87" thickBot="1" x14ac:dyDescent="0.35">
      <c r="A5" s="5" t="s">
        <v>0</v>
      </c>
      <c r="B5" s="8" t="s">
        <v>64</v>
      </c>
      <c r="C5" s="27" t="s">
        <v>6</v>
      </c>
      <c r="D5" s="6" t="s">
        <v>1</v>
      </c>
      <c r="E5" s="49" t="s">
        <v>59</v>
      </c>
      <c r="F5" s="59" t="s">
        <v>60</v>
      </c>
      <c r="G5" s="60" t="s">
        <v>61</v>
      </c>
      <c r="H5" s="9" t="s">
        <v>78</v>
      </c>
      <c r="I5" s="9" t="s">
        <v>5</v>
      </c>
      <c r="J5" s="15" t="s">
        <v>4</v>
      </c>
      <c r="K5" s="8" t="s">
        <v>2</v>
      </c>
      <c r="L5" s="49" t="s">
        <v>63</v>
      </c>
      <c r="M5" s="50" t="s">
        <v>14</v>
      </c>
      <c r="N5" s="64" t="s">
        <v>82</v>
      </c>
      <c r="O5" s="65" t="s">
        <v>15</v>
      </c>
      <c r="P5" s="66" t="s">
        <v>18</v>
      </c>
      <c r="Q5" s="3"/>
    </row>
    <row r="6" spans="1:17" ht="43.2" x14ac:dyDescent="0.3">
      <c r="A6" t="s">
        <v>19</v>
      </c>
      <c r="B6">
        <v>1</v>
      </c>
      <c r="C6" s="30">
        <v>34087</v>
      </c>
      <c r="D6" s="40">
        <f>($B$3-C6)/365</f>
        <v>30.279452054794522</v>
      </c>
      <c r="E6" s="67">
        <v>650.85</v>
      </c>
      <c r="F6" s="67">
        <v>257.39</v>
      </c>
      <c r="G6" s="67">
        <v>908.24</v>
      </c>
      <c r="H6" s="48">
        <f>'[2]MEDICAL-Table Rates'!$S$42</f>
        <v>513.4</v>
      </c>
      <c r="I6" s="34">
        <v>1055.95</v>
      </c>
      <c r="J6" s="35">
        <f>(I6-G6)/G6</f>
        <v>0.16263322469831767</v>
      </c>
      <c r="K6" s="68" t="s">
        <v>65</v>
      </c>
      <c r="L6" s="36">
        <f>IF($N$1*H6+$P$1*H7&gt;=I6,I6,$N$1*H6+$P$1*H7)</f>
        <v>708.31499999999994</v>
      </c>
      <c r="M6" s="37">
        <f>I6-L6</f>
        <v>347.6350000000001</v>
      </c>
      <c r="N6" s="63">
        <f>(L6-E6)/E6</f>
        <v>8.8292233233463802E-2</v>
      </c>
      <c r="O6" s="63">
        <f>(M6-F6)/F6</f>
        <v>0.35061579703951251</v>
      </c>
      <c r="P6" s="71">
        <f>M6/I6</f>
        <v>0.32921539845636638</v>
      </c>
      <c r="Q6" s="3"/>
    </row>
    <row r="7" spans="1:17" x14ac:dyDescent="0.3">
      <c r="A7"/>
      <c r="B7"/>
      <c r="C7" s="30"/>
      <c r="D7" s="40">
        <v>1</v>
      </c>
      <c r="E7" s="67"/>
      <c r="F7" s="67"/>
      <c r="G7" s="67"/>
      <c r="H7" s="48">
        <f>'[2]MEDICAL-Table Rates'!$S$16</f>
        <v>431.02</v>
      </c>
      <c r="I7" s="34"/>
      <c r="J7" s="35"/>
      <c r="K7" s="68"/>
      <c r="L7" s="61"/>
      <c r="M7" s="62"/>
      <c r="N7" s="63"/>
      <c r="O7" s="63"/>
      <c r="P7" s="51"/>
      <c r="Q7" s="3"/>
    </row>
    <row r="8" spans="1:17" ht="43.2" x14ac:dyDescent="0.3">
      <c r="A8" t="s">
        <v>20</v>
      </c>
      <c r="B8">
        <v>0</v>
      </c>
      <c r="C8" s="30">
        <v>26679</v>
      </c>
      <c r="D8" s="40">
        <f t="shared" ref="D8:D9" si="0">($B$3-C8)/365</f>
        <v>50.575342465753423</v>
      </c>
      <c r="E8" s="67">
        <v>633.82000000000005</v>
      </c>
      <c r="F8" s="67">
        <v>112.9</v>
      </c>
      <c r="G8" s="67">
        <v>746.72</v>
      </c>
      <c r="H8" s="48">
        <f>'[2]MEDICAL-Table Rates'!$S$75</f>
        <v>943.1</v>
      </c>
      <c r="I8" s="34">
        <v>887.51</v>
      </c>
      <c r="J8" s="35">
        <f t="shared" ref="J8:J9" si="1">(I8-G8)/G8</f>
        <v>0.1885445682451253</v>
      </c>
      <c r="K8" s="68" t="s">
        <v>66</v>
      </c>
      <c r="L8" s="36">
        <f>IF($N$1*H8&gt;=I8,I8,$N$1*H8)</f>
        <v>707.32500000000005</v>
      </c>
      <c r="M8" s="37">
        <f>I8-L8</f>
        <v>180.18499999999995</v>
      </c>
      <c r="N8" s="63">
        <f t="shared" ref="N8:O9" si="2">(L8-E8)/E8</f>
        <v>0.11597141144173423</v>
      </c>
      <c r="O8" s="63">
        <f t="shared" si="2"/>
        <v>0.59596988485385238</v>
      </c>
      <c r="P8" s="71">
        <f t="shared" ref="P8:P9" si="3">M8/I8</f>
        <v>0.20302306452885033</v>
      </c>
      <c r="Q8" s="3"/>
    </row>
    <row r="9" spans="1:17" ht="43.2" x14ac:dyDescent="0.3">
      <c r="A9" t="s">
        <v>21</v>
      </c>
      <c r="B9">
        <v>2</v>
      </c>
      <c r="C9" s="30">
        <v>31381</v>
      </c>
      <c r="D9" s="40">
        <f t="shared" si="0"/>
        <v>37.69315068493151</v>
      </c>
      <c r="E9" s="67">
        <v>1055.9100000000001</v>
      </c>
      <c r="F9" s="67">
        <v>263.97000000000003</v>
      </c>
      <c r="G9" s="67">
        <v>1319.88</v>
      </c>
      <c r="H9" s="48">
        <f>'[2]MEDICAL-Table Rates'!$S$54</f>
        <v>603.69000000000005</v>
      </c>
      <c r="I9" s="34">
        <v>1535.59</v>
      </c>
      <c r="J9" s="35">
        <f t="shared" si="1"/>
        <v>0.16343152407794631</v>
      </c>
      <c r="K9" s="68" t="s">
        <v>67</v>
      </c>
      <c r="L9" s="36">
        <f>IF($N$1*H9+$P$1*SUM(H10:H11)&gt;=I9,I9,$N$1*H9+$P$1*SUM(H10:H11))</f>
        <v>1151.6925000000001</v>
      </c>
      <c r="M9" s="37">
        <f>I9-L9</f>
        <v>383.89749999999981</v>
      </c>
      <c r="N9" s="63">
        <f t="shared" si="2"/>
        <v>9.0710856038866972E-2</v>
      </c>
      <c r="O9" s="63">
        <f t="shared" si="2"/>
        <v>0.45432246088570583</v>
      </c>
      <c r="P9" s="71">
        <f t="shared" si="3"/>
        <v>0.24999999999999989</v>
      </c>
      <c r="Q9" s="3"/>
    </row>
    <row r="10" spans="1:17" x14ac:dyDescent="0.3">
      <c r="A10"/>
      <c r="B10"/>
      <c r="C10" s="30"/>
      <c r="D10" s="40">
        <v>29</v>
      </c>
      <c r="E10" s="67"/>
      <c r="F10" s="67"/>
      <c r="G10" s="67"/>
      <c r="H10" s="48">
        <f>'[2]MEDICAL-Table Rates'!$S$41</f>
        <v>500.88</v>
      </c>
      <c r="I10" s="34"/>
      <c r="J10" s="35"/>
      <c r="K10" s="68"/>
      <c r="L10" s="36"/>
      <c r="M10" s="37"/>
      <c r="N10" s="47"/>
      <c r="O10" s="47"/>
      <c r="P10" s="51"/>
      <c r="Q10" s="3"/>
    </row>
    <row r="11" spans="1:17" x14ac:dyDescent="0.3">
      <c r="A11"/>
      <c r="B11"/>
      <c r="C11" s="30"/>
      <c r="D11" s="40">
        <v>0</v>
      </c>
      <c r="E11" s="67"/>
      <c r="F11" s="67"/>
      <c r="G11" s="67"/>
      <c r="H11" s="48">
        <f>'[2]MEDICAL-Table Rates'!$S$16</f>
        <v>431.02</v>
      </c>
      <c r="I11" s="34"/>
      <c r="J11" s="35"/>
      <c r="K11" s="68"/>
      <c r="L11" s="36"/>
      <c r="M11" s="37"/>
      <c r="N11" s="47"/>
      <c r="O11" s="47"/>
      <c r="P11" s="51"/>
      <c r="Q11" s="3"/>
    </row>
    <row r="12" spans="1:17" ht="43.2" x14ac:dyDescent="0.3">
      <c r="A12" t="s">
        <v>22</v>
      </c>
      <c r="B12">
        <v>4</v>
      </c>
      <c r="C12" s="30">
        <v>30749</v>
      </c>
      <c r="D12" s="40">
        <f>($B$3-C12)/365</f>
        <v>39.424657534246577</v>
      </c>
      <c r="E12" s="67">
        <v>1733</v>
      </c>
      <c r="F12" s="67">
        <v>433.25</v>
      </c>
      <c r="G12" s="67">
        <v>2166.25</v>
      </c>
      <c r="H12" s="48">
        <f>'[2]MEDICAL-Table Rates'!$S$57</f>
        <v>618.19000000000005</v>
      </c>
      <c r="I12" s="34">
        <v>2501.7600000000002</v>
      </c>
      <c r="J12" s="35">
        <f>(I12-G12)/G12</f>
        <v>0.1548805539526833</v>
      </c>
      <c r="K12" s="68" t="s">
        <v>67</v>
      </c>
      <c r="L12" s="36">
        <f>IF($N$1*H12+$P$1*SUM(H13:H16)&gt;=I12,I12,$N$1*H12+$P$1*SUM(H13:H16))</f>
        <v>1876.3200000000002</v>
      </c>
      <c r="M12" s="37">
        <f>I12-L12</f>
        <v>625.44000000000005</v>
      </c>
      <c r="N12" s="63">
        <f>(L12-E12)/E12</f>
        <v>8.2700519330640598E-2</v>
      </c>
      <c r="O12" s="63">
        <f>(M12-F12)/F12</f>
        <v>0.44360069244085415</v>
      </c>
      <c r="P12" s="71">
        <f>M12/I12</f>
        <v>0.25</v>
      </c>
      <c r="Q12" s="3"/>
    </row>
    <row r="13" spans="1:17" x14ac:dyDescent="0.3">
      <c r="A13"/>
      <c r="B13"/>
      <c r="C13" s="30"/>
      <c r="D13" s="40">
        <v>36</v>
      </c>
      <c r="E13" s="67"/>
      <c r="F13" s="67"/>
      <c r="G13" s="67"/>
      <c r="H13" s="48">
        <f>'[2]MEDICAL-Table Rates'!$S$52</f>
        <v>590.51</v>
      </c>
      <c r="I13" s="34"/>
      <c r="J13" s="35"/>
      <c r="K13" s="68"/>
      <c r="L13" s="36"/>
      <c r="M13" s="37"/>
      <c r="N13" s="47"/>
      <c r="O13" s="47"/>
      <c r="P13" s="51"/>
      <c r="Q13" s="3"/>
    </row>
    <row r="14" spans="1:17" x14ac:dyDescent="0.3">
      <c r="A14"/>
      <c r="B14"/>
      <c r="C14" s="30"/>
      <c r="D14" s="40">
        <v>6</v>
      </c>
      <c r="E14" s="67"/>
      <c r="F14" s="67"/>
      <c r="G14" s="67"/>
      <c r="H14" s="48">
        <f>'[2]MEDICAL-Table Rates'!$S$16</f>
        <v>431.02</v>
      </c>
      <c r="I14" s="34"/>
      <c r="J14" s="35"/>
      <c r="K14" s="68"/>
      <c r="L14" s="36"/>
      <c r="M14" s="37"/>
      <c r="N14" s="47"/>
      <c r="O14" s="47"/>
      <c r="P14" s="51"/>
      <c r="Q14" s="3"/>
    </row>
    <row r="15" spans="1:17" x14ac:dyDescent="0.3">
      <c r="A15"/>
      <c r="B15"/>
      <c r="C15" s="30"/>
      <c r="D15" s="40">
        <v>3</v>
      </c>
      <c r="E15" s="67"/>
      <c r="F15" s="67"/>
      <c r="G15" s="67"/>
      <c r="H15" s="48">
        <f>'[2]MEDICAL-Table Rates'!$S$16</f>
        <v>431.02</v>
      </c>
      <c r="I15" s="34"/>
      <c r="J15" s="35"/>
      <c r="K15" s="68"/>
      <c r="L15" s="36"/>
      <c r="M15" s="37"/>
      <c r="N15" s="47"/>
      <c r="O15" s="47"/>
      <c r="P15" s="51"/>
      <c r="Q15" s="3"/>
    </row>
    <row r="16" spans="1:17" x14ac:dyDescent="0.3">
      <c r="A16"/>
      <c r="B16"/>
      <c r="C16" s="30"/>
      <c r="D16" s="40">
        <v>0</v>
      </c>
      <c r="E16" s="67"/>
      <c r="F16" s="67"/>
      <c r="G16" s="67"/>
      <c r="H16" s="48">
        <f>'[2]MEDICAL-Table Rates'!$S$16</f>
        <v>431.02</v>
      </c>
      <c r="I16" s="34"/>
      <c r="J16" s="35"/>
      <c r="K16" s="68"/>
      <c r="L16" s="36"/>
      <c r="M16" s="37"/>
      <c r="N16" s="47"/>
      <c r="O16" s="47"/>
      <c r="P16" s="51"/>
      <c r="Q16" s="3"/>
    </row>
    <row r="17" spans="1:17" ht="43.2" x14ac:dyDescent="0.3">
      <c r="A17" t="s">
        <v>23</v>
      </c>
      <c r="B17">
        <v>1</v>
      </c>
      <c r="C17" s="30">
        <v>24458</v>
      </c>
      <c r="D17" s="40">
        <f>($B$3-C17)/365</f>
        <v>56.660273972602738</v>
      </c>
      <c r="E17" s="67">
        <v>1758.76</v>
      </c>
      <c r="F17" s="67">
        <v>439.69</v>
      </c>
      <c r="G17" s="67">
        <v>2198.4499999999998</v>
      </c>
      <c r="H17" s="48">
        <v>1186.95</v>
      </c>
      <c r="I17" s="34">
        <v>2518.23</v>
      </c>
      <c r="J17" s="35">
        <f>(I17-G17)/G17</f>
        <v>0.145457026541427</v>
      </c>
      <c r="K17" s="68" t="s">
        <v>67</v>
      </c>
      <c r="L17" s="36">
        <f>IF($N$1*H17+$P$1*H18&gt;=I17,I17,$N$1*H17+$P$1*H18)</f>
        <v>1888.6725000000001</v>
      </c>
      <c r="M17" s="37">
        <f>I17-L17</f>
        <v>629.55749999999989</v>
      </c>
      <c r="N17" s="63">
        <f>(L17-E17)/E17</f>
        <v>7.3865962382587816E-2</v>
      </c>
      <c r="O17" s="63">
        <f>(M17-F17)/F17</f>
        <v>0.43182128317678342</v>
      </c>
      <c r="P17" s="71">
        <f>M17/I17</f>
        <v>0.24999999999999994</v>
      </c>
      <c r="Q17" s="3"/>
    </row>
    <row r="18" spans="1:17" x14ac:dyDescent="0.3">
      <c r="A18"/>
      <c r="B18"/>
      <c r="C18" s="30"/>
      <c r="D18" s="40">
        <v>59</v>
      </c>
      <c r="E18" s="67"/>
      <c r="F18" s="67"/>
      <c r="G18" s="67"/>
      <c r="H18" s="48">
        <f>'[2]MEDICAL-Table Rates'!$S$89</f>
        <v>1331.28</v>
      </c>
      <c r="I18" s="34"/>
      <c r="J18" s="35"/>
      <c r="K18" s="68"/>
      <c r="L18" s="36"/>
      <c r="M18" s="37"/>
      <c r="N18" s="47"/>
      <c r="O18" s="47"/>
      <c r="P18" s="52"/>
      <c r="Q18" s="3"/>
    </row>
    <row r="19" spans="1:17" ht="28.8" x14ac:dyDescent="0.3">
      <c r="A19" t="s">
        <v>24</v>
      </c>
      <c r="B19">
        <v>0</v>
      </c>
      <c r="C19" s="30">
        <v>31552</v>
      </c>
      <c r="D19" s="40">
        <f t="shared" ref="D19:D20" si="4">($B$3-C19)/365</f>
        <v>37.224657534246575</v>
      </c>
      <c r="E19" s="67">
        <v>412.42</v>
      </c>
      <c r="F19" s="67">
        <v>249.96</v>
      </c>
      <c r="G19" s="67">
        <v>662.38</v>
      </c>
      <c r="H19" s="48">
        <f>'[2]MEDICAL-Table Rates'!$S$54</f>
        <v>603.69000000000005</v>
      </c>
      <c r="I19" s="38">
        <v>765.65</v>
      </c>
      <c r="J19" s="35">
        <f t="shared" ref="J19:J20" si="5">(I19-G19)/G19</f>
        <v>0.15590748512938191</v>
      </c>
      <c r="K19" s="68" t="s">
        <v>68</v>
      </c>
      <c r="L19" s="36">
        <f>IF($N$1*H19&gt;=I19,I19,$N$1*H19)</f>
        <v>452.76750000000004</v>
      </c>
      <c r="M19" s="37">
        <f t="shared" ref="M19:M20" si="6">I19-L19</f>
        <v>312.88249999999994</v>
      </c>
      <c r="N19" s="63">
        <f t="shared" ref="N19:O20" si="7">(L19-E19)/E19</f>
        <v>9.7831094515299991E-2</v>
      </c>
      <c r="O19" s="63">
        <f t="shared" si="7"/>
        <v>0.25173027684429478</v>
      </c>
      <c r="P19" s="71">
        <f t="shared" ref="P19:P20" si="8">M19/I19</f>
        <v>0.4086495134852739</v>
      </c>
      <c r="Q19" s="3"/>
    </row>
    <row r="20" spans="1:17" ht="28.8" x14ac:dyDescent="0.3">
      <c r="A20" t="s">
        <v>25</v>
      </c>
      <c r="B20">
        <v>2</v>
      </c>
      <c r="C20" s="30">
        <v>31899</v>
      </c>
      <c r="D20" s="40">
        <f t="shared" si="4"/>
        <v>36.273972602739725</v>
      </c>
      <c r="E20" s="67">
        <v>1116.67</v>
      </c>
      <c r="F20" s="67">
        <v>676.78</v>
      </c>
      <c r="G20" s="67">
        <v>1793.45</v>
      </c>
      <c r="H20" s="48">
        <f>'[2]MEDICAL-Table Rates'!$S$52</f>
        <v>590.51</v>
      </c>
      <c r="I20" s="34">
        <v>2061.23</v>
      </c>
      <c r="J20" s="35">
        <f t="shared" si="5"/>
        <v>0.14930998912710139</v>
      </c>
      <c r="K20" s="68" t="s">
        <v>68</v>
      </c>
      <c r="L20" s="36">
        <f>IF($N$1*H20+$P$1*SUM(H21:H22)&gt;=I20,I20,$N$1*H20+$P$1*SUM(H21:H22))</f>
        <v>1218.915</v>
      </c>
      <c r="M20" s="37">
        <f t="shared" si="6"/>
        <v>842.31500000000005</v>
      </c>
      <c r="N20" s="63">
        <f t="shared" si="7"/>
        <v>9.1562413246527516E-2</v>
      </c>
      <c r="O20" s="63">
        <f t="shared" si="7"/>
        <v>0.24459203877183144</v>
      </c>
      <c r="P20" s="71">
        <f t="shared" si="8"/>
        <v>0.40864677886504663</v>
      </c>
      <c r="Q20" s="3"/>
    </row>
    <row r="21" spans="1:17" x14ac:dyDescent="0.3">
      <c r="A21"/>
      <c r="B21"/>
      <c r="C21" s="30"/>
      <c r="D21" s="40">
        <v>37</v>
      </c>
      <c r="E21" s="67"/>
      <c r="F21" s="67"/>
      <c r="G21" s="67"/>
      <c r="H21" s="48">
        <f>'[2]MEDICAL-Table Rates'!$S$54</f>
        <v>603.69000000000005</v>
      </c>
      <c r="I21" s="34"/>
      <c r="J21" s="35"/>
      <c r="K21" s="68"/>
      <c r="L21" s="36"/>
      <c r="M21" s="37"/>
      <c r="N21" s="47"/>
      <c r="O21" s="47"/>
      <c r="P21" s="52"/>
      <c r="Q21" s="3"/>
    </row>
    <row r="22" spans="1:17" x14ac:dyDescent="0.3">
      <c r="A22"/>
      <c r="B22"/>
      <c r="C22" s="30"/>
      <c r="D22" s="40">
        <v>5</v>
      </c>
      <c r="E22" s="67"/>
      <c r="F22" s="67"/>
      <c r="G22" s="67"/>
      <c r="H22" s="48">
        <f>'[2]MEDICAL-Table Rates'!$S$16</f>
        <v>431.02</v>
      </c>
      <c r="I22" s="34"/>
      <c r="J22" s="35"/>
      <c r="K22" s="68"/>
      <c r="L22" s="36"/>
      <c r="M22" s="37"/>
      <c r="N22" s="47"/>
      <c r="O22" s="47"/>
      <c r="P22" s="52"/>
      <c r="Q22" s="3"/>
    </row>
    <row r="23" spans="1:17" ht="43.2" x14ac:dyDescent="0.3">
      <c r="A23" t="s">
        <v>26</v>
      </c>
      <c r="B23">
        <v>0</v>
      </c>
      <c r="C23" s="30">
        <v>34588</v>
      </c>
      <c r="D23" s="40">
        <f t="shared" ref="D23:D29" si="9">($B$3-C23)/365</f>
        <v>28.906849315068492</v>
      </c>
      <c r="E23" s="67">
        <v>334.63</v>
      </c>
      <c r="F23" s="67">
        <v>117.07</v>
      </c>
      <c r="G23" s="67">
        <v>451.7</v>
      </c>
      <c r="H23" s="48">
        <f>'[2]MEDICAL-Table Rates'!$S$39</f>
        <v>490.33</v>
      </c>
      <c r="I23" s="38">
        <v>534.96</v>
      </c>
      <c r="J23" s="35">
        <f t="shared" ref="J23:J29" si="10">(I23-G23)/G23</f>
        <v>0.18432588000885555</v>
      </c>
      <c r="K23" s="68" t="s">
        <v>69</v>
      </c>
      <c r="L23" s="36">
        <f t="shared" ref="L23:L28" si="11">IF($N$1*H23&gt;=I23,I23,$N$1*H23)</f>
        <v>367.7475</v>
      </c>
      <c r="M23" s="37">
        <f t="shared" ref="M23:M29" si="12">I23-L23</f>
        <v>167.21250000000003</v>
      </c>
      <c r="N23" s="63">
        <f t="shared" ref="N23:O29" si="13">(L23-E23)/E23</f>
        <v>9.8967516361354355E-2</v>
      </c>
      <c r="O23" s="63">
        <f t="shared" si="13"/>
        <v>0.4283121209532762</v>
      </c>
      <c r="P23" s="71">
        <f t="shared" ref="P23:P29" si="14">M23/I23</f>
        <v>0.31257009869896818</v>
      </c>
      <c r="Q23" s="3"/>
    </row>
    <row r="24" spans="1:17" ht="43.2" x14ac:dyDescent="0.3">
      <c r="A24" t="s">
        <v>27</v>
      </c>
      <c r="B24">
        <v>0</v>
      </c>
      <c r="C24" s="30">
        <v>33900</v>
      </c>
      <c r="D24" s="40">
        <f t="shared" si="9"/>
        <v>30.791780821917808</v>
      </c>
      <c r="E24" s="67">
        <v>349.82</v>
      </c>
      <c r="F24" s="67">
        <v>122.38</v>
      </c>
      <c r="G24" s="67">
        <v>472.2</v>
      </c>
      <c r="H24" s="48">
        <f>'[2]MEDICAL-Table Rates'!$S$42</f>
        <v>513.4</v>
      </c>
      <c r="I24" s="38">
        <v>560.12</v>
      </c>
      <c r="J24" s="35">
        <f t="shared" si="10"/>
        <v>0.18619229140194837</v>
      </c>
      <c r="K24" s="68" t="s">
        <v>69</v>
      </c>
      <c r="L24" s="36">
        <f t="shared" si="11"/>
        <v>385.04999999999995</v>
      </c>
      <c r="M24" s="37">
        <f t="shared" si="12"/>
        <v>175.07000000000005</v>
      </c>
      <c r="N24" s="63">
        <f t="shared" si="13"/>
        <v>0.10070893602424093</v>
      </c>
      <c r="O24" s="63">
        <f t="shared" si="13"/>
        <v>0.43054420656970138</v>
      </c>
      <c r="P24" s="71">
        <f t="shared" si="14"/>
        <v>0.31255802328072563</v>
      </c>
      <c r="Q24" s="3"/>
    </row>
    <row r="25" spans="1:17" ht="43.2" x14ac:dyDescent="0.3">
      <c r="A25" t="s">
        <v>28</v>
      </c>
      <c r="B25">
        <v>0</v>
      </c>
      <c r="C25" s="30">
        <v>33765</v>
      </c>
      <c r="D25" s="40">
        <f t="shared" si="9"/>
        <v>31.161643835616438</v>
      </c>
      <c r="E25" s="67">
        <v>358.57</v>
      </c>
      <c r="F25" s="67">
        <v>125.44</v>
      </c>
      <c r="G25" s="67">
        <v>484.01</v>
      </c>
      <c r="H25" s="48">
        <f>'[2]MEDICAL-Table Rates'!$S$44</f>
        <v>526.58000000000004</v>
      </c>
      <c r="I25" s="38">
        <v>574.5</v>
      </c>
      <c r="J25" s="35">
        <f t="shared" si="10"/>
        <v>0.18695894712919156</v>
      </c>
      <c r="K25" s="68" t="s">
        <v>69</v>
      </c>
      <c r="L25" s="36">
        <f t="shared" si="11"/>
        <v>394.93500000000006</v>
      </c>
      <c r="M25" s="37">
        <f t="shared" si="12"/>
        <v>179.56499999999994</v>
      </c>
      <c r="N25" s="63">
        <f t="shared" si="13"/>
        <v>0.1014167387121066</v>
      </c>
      <c r="O25" s="63">
        <f t="shared" si="13"/>
        <v>0.43148118622448933</v>
      </c>
      <c r="P25" s="71">
        <f t="shared" si="14"/>
        <v>0.3125587467362923</v>
      </c>
      <c r="Q25" s="3"/>
    </row>
    <row r="26" spans="1:17" ht="43.2" x14ac:dyDescent="0.3">
      <c r="A26" t="s">
        <v>29</v>
      </c>
      <c r="B26">
        <v>0</v>
      </c>
      <c r="C26" s="30">
        <v>31116</v>
      </c>
      <c r="D26" s="40">
        <f t="shared" si="9"/>
        <v>38.419178082191777</v>
      </c>
      <c r="E26" s="67">
        <v>426.69</v>
      </c>
      <c r="F26" s="67">
        <v>149.27000000000001</v>
      </c>
      <c r="G26" s="67">
        <v>575.96</v>
      </c>
      <c r="H26" s="48">
        <f>'[2]MEDICAL-Table Rates'!$S$55</f>
        <v>610.94000000000005</v>
      </c>
      <c r="I26" s="38">
        <v>666.54</v>
      </c>
      <c r="J26" s="35">
        <f t="shared" si="10"/>
        <v>0.15726786582401542</v>
      </c>
      <c r="K26" s="68" t="s">
        <v>69</v>
      </c>
      <c r="L26" s="36">
        <f t="shared" si="11"/>
        <v>458.20500000000004</v>
      </c>
      <c r="M26" s="37">
        <f t="shared" si="12"/>
        <v>208.33499999999992</v>
      </c>
      <c r="N26" s="63">
        <f t="shared" si="13"/>
        <v>7.3859242072699255E-2</v>
      </c>
      <c r="O26" s="63">
        <f t="shared" si="13"/>
        <v>0.39569236953172043</v>
      </c>
      <c r="P26" s="71">
        <f t="shared" si="14"/>
        <v>0.31256188675848401</v>
      </c>
      <c r="Q26" s="3"/>
    </row>
    <row r="27" spans="1:17" ht="43.2" x14ac:dyDescent="0.3">
      <c r="A27" t="s">
        <v>30</v>
      </c>
      <c r="B27">
        <v>0</v>
      </c>
      <c r="C27" s="30">
        <v>33886</v>
      </c>
      <c r="D27" s="40">
        <f t="shared" si="9"/>
        <v>30.830136986301369</v>
      </c>
      <c r="E27" s="67">
        <v>349.82</v>
      </c>
      <c r="F27" s="67">
        <v>75.87</v>
      </c>
      <c r="G27" s="67">
        <v>425.69</v>
      </c>
      <c r="H27" s="48">
        <f>'[2]MEDICAL-Table Rates'!$S$42</f>
        <v>513.4</v>
      </c>
      <c r="I27" s="38">
        <v>504.65</v>
      </c>
      <c r="J27" s="35">
        <f t="shared" si="10"/>
        <v>0.18548709154549081</v>
      </c>
      <c r="K27" s="68" t="s">
        <v>70</v>
      </c>
      <c r="L27" s="36">
        <f t="shared" si="11"/>
        <v>385.04999999999995</v>
      </c>
      <c r="M27" s="37">
        <f t="shared" si="12"/>
        <v>119.60000000000002</v>
      </c>
      <c r="N27" s="63">
        <f t="shared" si="13"/>
        <v>0.10070893602424093</v>
      </c>
      <c r="O27" s="63">
        <f t="shared" si="13"/>
        <v>0.57638065111374737</v>
      </c>
      <c r="P27" s="71">
        <f t="shared" si="14"/>
        <v>0.23699593777865854</v>
      </c>
      <c r="Q27" s="3"/>
    </row>
    <row r="28" spans="1:17" ht="43.2" x14ac:dyDescent="0.3">
      <c r="A28" t="s">
        <v>31</v>
      </c>
      <c r="B28">
        <v>0</v>
      </c>
      <c r="C28" s="30">
        <v>29996</v>
      </c>
      <c r="D28" s="40">
        <f t="shared" si="9"/>
        <v>41.487671232876714</v>
      </c>
      <c r="E28" s="67">
        <v>448.78</v>
      </c>
      <c r="F28" s="67">
        <v>97.34</v>
      </c>
      <c r="G28" s="67">
        <v>546.12</v>
      </c>
      <c r="H28" s="48">
        <f>'[2]MEDICAL-Table Rates'!$S$60</f>
        <v>667.62</v>
      </c>
      <c r="I28" s="38">
        <v>656.24</v>
      </c>
      <c r="J28" s="35">
        <f t="shared" si="10"/>
        <v>0.20164066505529921</v>
      </c>
      <c r="K28" s="68" t="s">
        <v>70</v>
      </c>
      <c r="L28" s="36">
        <f t="shared" si="11"/>
        <v>500.71500000000003</v>
      </c>
      <c r="M28" s="37">
        <f t="shared" si="12"/>
        <v>155.52499999999998</v>
      </c>
      <c r="N28" s="63">
        <f t="shared" si="13"/>
        <v>0.11572485404875454</v>
      </c>
      <c r="O28" s="63">
        <f t="shared" si="13"/>
        <v>0.59775015409903398</v>
      </c>
      <c r="P28" s="71">
        <f t="shared" si="14"/>
        <v>0.23699408752895279</v>
      </c>
      <c r="Q28" s="3"/>
    </row>
    <row r="29" spans="1:17" ht="43.2" x14ac:dyDescent="0.3">
      <c r="A29" t="s">
        <v>32</v>
      </c>
      <c r="B29">
        <v>1</v>
      </c>
      <c r="C29" s="30">
        <v>31217</v>
      </c>
      <c r="D29" s="40">
        <f t="shared" si="9"/>
        <v>38.142465753424659</v>
      </c>
      <c r="E29" s="67">
        <v>887.89</v>
      </c>
      <c r="F29" s="67">
        <v>192.58</v>
      </c>
      <c r="G29" s="67">
        <v>1080.47</v>
      </c>
      <c r="H29" s="48">
        <f>'[2]MEDICAL-Table Rates'!$S$55</f>
        <v>610.94000000000005</v>
      </c>
      <c r="I29" s="38">
        <v>1282.68</v>
      </c>
      <c r="J29" s="35">
        <f t="shared" si="10"/>
        <v>0.18715003655816453</v>
      </c>
      <c r="K29" s="68" t="s">
        <v>70</v>
      </c>
      <c r="L29" s="36">
        <f>IF($N$1*H29+$P$1*H30&gt;=I29,I29,$N$1*H29+$P$1*H30)</f>
        <v>978.69</v>
      </c>
      <c r="M29" s="37">
        <f t="shared" si="12"/>
        <v>303.99</v>
      </c>
      <c r="N29" s="63">
        <f t="shared" si="13"/>
        <v>0.10226492020407942</v>
      </c>
      <c r="O29" s="63">
        <f t="shared" si="13"/>
        <v>0.57851282583861252</v>
      </c>
      <c r="P29" s="71">
        <f t="shared" si="14"/>
        <v>0.23699597717279447</v>
      </c>
      <c r="Q29" s="3"/>
    </row>
    <row r="30" spans="1:17" x14ac:dyDescent="0.3">
      <c r="A30"/>
      <c r="B30"/>
      <c r="C30" s="30"/>
      <c r="D30" s="40">
        <v>42</v>
      </c>
      <c r="E30" s="67"/>
      <c r="F30" s="67"/>
      <c r="G30" s="67"/>
      <c r="H30" s="48">
        <f>'[2]MEDICAL-Table Rates'!$S$62</f>
        <v>693.98</v>
      </c>
      <c r="I30" s="38"/>
      <c r="J30" s="35"/>
      <c r="K30" s="68"/>
      <c r="L30" s="39"/>
      <c r="M30" s="37"/>
      <c r="N30" s="37"/>
      <c r="O30" s="37"/>
      <c r="P30" s="51"/>
      <c r="Q30" s="3"/>
    </row>
    <row r="31" spans="1:17" ht="28.8" x14ac:dyDescent="0.3">
      <c r="A31" t="s">
        <v>33</v>
      </c>
      <c r="B31">
        <v>0</v>
      </c>
      <c r="C31" s="30">
        <v>35369</v>
      </c>
      <c r="D31" s="40">
        <f t="shared" ref="D31:D33" si="15">($B$3-C31)/365</f>
        <v>26.767123287671232</v>
      </c>
      <c r="E31" s="67">
        <v>324.42</v>
      </c>
      <c r="F31" s="67">
        <v>0</v>
      </c>
      <c r="G31" s="67">
        <v>324.42</v>
      </c>
      <c r="H31" s="48">
        <f>'[2]MEDICAL-Table Rates'!$S$28</f>
        <v>479.13</v>
      </c>
      <c r="I31" s="38">
        <v>374.63</v>
      </c>
      <c r="J31" s="35">
        <f t="shared" ref="J31:J34" si="16">(I31-G31)/G31</f>
        <v>0.15476850995622951</v>
      </c>
      <c r="K31" s="68" t="s">
        <v>71</v>
      </c>
      <c r="L31" s="36">
        <f t="shared" ref="L31:L33" si="17">IF($N$1*H31&gt;=I31,I31,$N$1*H31)</f>
        <v>359.34749999999997</v>
      </c>
      <c r="M31" s="37">
        <f t="shared" ref="M31:M34" si="18">I31-L31</f>
        <v>15.282500000000027</v>
      </c>
      <c r="N31" s="63">
        <f t="shared" ref="N31:O34" si="19">(L31-E31)/E31</f>
        <v>0.10766136489735513</v>
      </c>
      <c r="O31" s="63" t="e">
        <f t="shared" si="19"/>
        <v>#DIV/0!</v>
      </c>
      <c r="P31" s="71">
        <f t="shared" ref="P31:P34" si="20">M31/I31</f>
        <v>4.0793583001895277E-2</v>
      </c>
      <c r="Q31" s="3"/>
    </row>
    <row r="32" spans="1:17" ht="28.8" x14ac:dyDescent="0.3">
      <c r="A32" t="s">
        <v>34</v>
      </c>
      <c r="B32">
        <v>0</v>
      </c>
      <c r="C32" s="30">
        <v>34295</v>
      </c>
      <c r="D32" s="40">
        <f t="shared" si="15"/>
        <v>29.709589041095889</v>
      </c>
      <c r="E32" s="67">
        <v>332</v>
      </c>
      <c r="F32" s="67">
        <v>0</v>
      </c>
      <c r="G32" s="67">
        <v>332</v>
      </c>
      <c r="H32" s="48">
        <v>500.88</v>
      </c>
      <c r="I32" s="38">
        <v>391.63</v>
      </c>
      <c r="J32" s="35">
        <f t="shared" si="16"/>
        <v>0.17960843373493973</v>
      </c>
      <c r="K32" s="68" t="s">
        <v>71</v>
      </c>
      <c r="L32" s="36">
        <f t="shared" si="17"/>
        <v>375.65999999999997</v>
      </c>
      <c r="M32" s="37">
        <f t="shared" si="18"/>
        <v>15.970000000000027</v>
      </c>
      <c r="N32" s="63">
        <f t="shared" si="19"/>
        <v>0.13150602409638545</v>
      </c>
      <c r="O32" s="63" t="e">
        <f t="shared" si="19"/>
        <v>#DIV/0!</v>
      </c>
      <c r="P32" s="71">
        <f t="shared" si="20"/>
        <v>4.0778285626739595E-2</v>
      </c>
      <c r="Q32" s="3"/>
    </row>
    <row r="33" spans="1:17" ht="28.8" x14ac:dyDescent="0.3">
      <c r="A33" t="s">
        <v>35</v>
      </c>
      <c r="B33">
        <v>0</v>
      </c>
      <c r="C33" s="30">
        <v>33576</v>
      </c>
      <c r="D33" s="40">
        <f t="shared" si="15"/>
        <v>31.67945205479452</v>
      </c>
      <c r="E33" s="67">
        <v>347.62</v>
      </c>
      <c r="F33" s="67">
        <v>0</v>
      </c>
      <c r="G33" s="67">
        <v>347.62</v>
      </c>
      <c r="H33" s="48">
        <v>526.58000000000004</v>
      </c>
      <c r="I33" s="38">
        <v>411.73</v>
      </c>
      <c r="J33" s="35">
        <f t="shared" si="16"/>
        <v>0.18442552212185723</v>
      </c>
      <c r="K33" s="68" t="s">
        <v>71</v>
      </c>
      <c r="L33" s="36">
        <f t="shared" si="17"/>
        <v>394.93500000000006</v>
      </c>
      <c r="M33" s="37">
        <f t="shared" si="18"/>
        <v>16.794999999999959</v>
      </c>
      <c r="N33" s="63">
        <f t="shared" si="19"/>
        <v>0.136111270928025</v>
      </c>
      <c r="O33" s="63" t="e">
        <f t="shared" si="19"/>
        <v>#DIV/0!</v>
      </c>
      <c r="P33" s="71">
        <f t="shared" si="20"/>
        <v>4.0791295266315204E-2</v>
      </c>
      <c r="Q33" s="3"/>
    </row>
    <row r="34" spans="1:17" ht="28.8" x14ac:dyDescent="0.3">
      <c r="A34" s="74" t="s">
        <v>36</v>
      </c>
      <c r="B34">
        <v>1</v>
      </c>
      <c r="C34" s="30">
        <v>33338</v>
      </c>
      <c r="D34" s="40">
        <f>($B$3-C34)/365</f>
        <v>32.331506849315069</v>
      </c>
      <c r="E34" s="67">
        <v>680.97</v>
      </c>
      <c r="F34" s="67">
        <v>0</v>
      </c>
      <c r="G34" s="67">
        <v>680.97</v>
      </c>
      <c r="H34" s="48">
        <f>'[2]MEDICAL-Table Rates'!$S$45</f>
        <v>538.44000000000005</v>
      </c>
      <c r="I34" s="38">
        <f>421.01+383.39</f>
        <v>804.4</v>
      </c>
      <c r="J34" s="35">
        <f t="shared" si="16"/>
        <v>0.1812561493164162</v>
      </c>
      <c r="K34" s="68" t="s">
        <v>71</v>
      </c>
      <c r="L34" s="36">
        <f>IF($N$1*H34+$P$1*H35&gt;=I34,I34,$N$1*H34+$P$1*H35)</f>
        <v>771.5775000000001</v>
      </c>
      <c r="M34" s="37">
        <f t="shared" si="18"/>
        <v>32.822499999999877</v>
      </c>
      <c r="N34" s="63">
        <f t="shared" si="19"/>
        <v>0.13305652231375842</v>
      </c>
      <c r="O34" s="63" t="e">
        <f t="shared" si="19"/>
        <v>#DIV/0!</v>
      </c>
      <c r="P34" s="71">
        <f t="shared" si="20"/>
        <v>4.0803704624564743E-2</v>
      </c>
      <c r="Q34" s="3"/>
    </row>
    <row r="35" spans="1:17" x14ac:dyDescent="0.3">
      <c r="A35"/>
      <c r="B35"/>
      <c r="C35" s="30"/>
      <c r="D35" s="40">
        <v>28</v>
      </c>
      <c r="E35" s="67"/>
      <c r="F35" s="67"/>
      <c r="G35" s="67"/>
      <c r="H35" s="48">
        <f>'[2]MEDICAL-Table Rates'!$S$39</f>
        <v>490.33</v>
      </c>
      <c r="I35" s="38"/>
      <c r="J35" s="35"/>
      <c r="K35" s="68"/>
      <c r="L35" s="36"/>
      <c r="M35" s="37"/>
      <c r="N35" s="47"/>
      <c r="O35" s="47"/>
      <c r="P35" s="52"/>
      <c r="Q35" s="3"/>
    </row>
    <row r="36" spans="1:17" ht="28.8" x14ac:dyDescent="0.3">
      <c r="A36" t="s">
        <v>37</v>
      </c>
      <c r="B36">
        <v>1</v>
      </c>
      <c r="C36" s="30">
        <v>31561</v>
      </c>
      <c r="D36" s="40">
        <f>($B$3-C36)/365</f>
        <v>37.200000000000003</v>
      </c>
      <c r="E36" s="67">
        <v>691.67</v>
      </c>
      <c r="F36" s="67">
        <v>0</v>
      </c>
      <c r="G36" s="67">
        <v>691.67</v>
      </c>
      <c r="H36" s="48">
        <v>603.69000000000005</v>
      </c>
      <c r="I36" s="38">
        <f>472.02+337.01</f>
        <v>809.03</v>
      </c>
      <c r="J36" s="35">
        <f>(I36-G36)/G36</f>
        <v>0.16967629071667129</v>
      </c>
      <c r="K36" s="68" t="s">
        <v>71</v>
      </c>
      <c r="L36" s="36">
        <f>IF($N$1*H36+$P$1*H37&gt;=I36,I36,$N$1*H36+$P$1*H37)</f>
        <v>776.03250000000003</v>
      </c>
      <c r="M36" s="37">
        <f>I36-L36</f>
        <v>32.997499999999945</v>
      </c>
      <c r="N36" s="63">
        <f>(L36-E36)/E36</f>
        <v>0.12196929171425691</v>
      </c>
      <c r="O36" s="63" t="e">
        <f>(M36-F36)/F36</f>
        <v>#DIV/0!</v>
      </c>
      <c r="P36" s="71">
        <f>M36/I36</f>
        <v>4.0786497410479149E-2</v>
      </c>
      <c r="Q36" s="3"/>
    </row>
    <row r="37" spans="1:17" x14ac:dyDescent="0.3">
      <c r="A37"/>
      <c r="B37"/>
      <c r="C37" s="30"/>
      <c r="D37" s="40">
        <v>0</v>
      </c>
      <c r="E37" s="67"/>
      <c r="F37" s="67"/>
      <c r="G37" s="67"/>
      <c r="H37" s="48">
        <f>'[2]MEDICAL-Table Rates'!$S$16</f>
        <v>431.02</v>
      </c>
      <c r="I37" s="38"/>
      <c r="J37" s="35"/>
      <c r="K37" s="68"/>
      <c r="L37" s="36"/>
      <c r="M37" s="37"/>
      <c r="N37" s="47"/>
      <c r="O37" s="47"/>
      <c r="P37" s="52"/>
      <c r="Q37" s="3"/>
    </row>
    <row r="38" spans="1:17" ht="28.8" x14ac:dyDescent="0.3">
      <c r="A38" t="s">
        <v>38</v>
      </c>
      <c r="B38">
        <v>1</v>
      </c>
      <c r="C38" s="30">
        <v>33497</v>
      </c>
      <c r="D38" s="40">
        <f>($B$3-C38)/365</f>
        <v>31.895890410958906</v>
      </c>
      <c r="E38" s="67">
        <v>695.24</v>
      </c>
      <c r="F38" s="67">
        <v>0</v>
      </c>
      <c r="G38" s="67">
        <v>695.24</v>
      </c>
      <c r="H38" s="48">
        <f>'[2]MEDICAL-Table Rates'!$S$44</f>
        <v>526.58000000000004</v>
      </c>
      <c r="I38" s="38">
        <f>395.9*2</f>
        <v>791.8</v>
      </c>
      <c r="J38" s="35">
        <f>(I38-G38)/G38</f>
        <v>0.13888729071975137</v>
      </c>
      <c r="K38" s="68" t="s">
        <v>71</v>
      </c>
      <c r="L38" s="36">
        <f>IF($N$1*H38+$P$1*H39&gt;=I38,I38,$N$1*H38+$P$1*H39)</f>
        <v>789.87000000000012</v>
      </c>
      <c r="M38" s="37">
        <f>I38-L38</f>
        <v>1.9299999999998363</v>
      </c>
      <c r="N38" s="63">
        <f>(L38-E38)/E38</f>
        <v>0.136111270928025</v>
      </c>
      <c r="O38" s="63" t="e">
        <f>(M38-F38)/F38</f>
        <v>#DIV/0!</v>
      </c>
      <c r="P38" s="71">
        <f>M38/I38</f>
        <v>2.4374842131849412E-3</v>
      </c>
      <c r="Q38" s="3"/>
    </row>
    <row r="39" spans="1:17" x14ac:dyDescent="0.3">
      <c r="A39"/>
      <c r="B39"/>
      <c r="C39" s="30"/>
      <c r="D39" s="40">
        <v>31</v>
      </c>
      <c r="E39" s="67"/>
      <c r="F39" s="67"/>
      <c r="G39" s="67"/>
      <c r="H39" s="48">
        <f>'[2]MEDICAL-Table Rates'!$S$44</f>
        <v>526.58000000000004</v>
      </c>
      <c r="I39" s="38"/>
      <c r="J39" s="35"/>
      <c r="K39" s="68"/>
      <c r="L39" s="36"/>
      <c r="M39" s="37"/>
      <c r="N39" s="47"/>
      <c r="O39" s="47"/>
      <c r="P39" s="52"/>
      <c r="Q39" s="3"/>
    </row>
    <row r="40" spans="1:17" ht="28.8" x14ac:dyDescent="0.3">
      <c r="A40" t="s">
        <v>39</v>
      </c>
      <c r="B40">
        <v>1</v>
      </c>
      <c r="C40" s="30">
        <v>34122</v>
      </c>
      <c r="D40" s="40">
        <f>($B$3-C40)/365</f>
        <v>30.183561643835617</v>
      </c>
      <c r="E40" s="67">
        <v>738.97</v>
      </c>
      <c r="F40" s="67">
        <v>0</v>
      </c>
      <c r="G40" s="67">
        <v>738.97</v>
      </c>
      <c r="H40" s="48">
        <f>'[2]MEDICAL-Table Rates'!$S$42</f>
        <v>513.4</v>
      </c>
      <c r="I40" s="38">
        <f>453.87+385.99</f>
        <v>839.86</v>
      </c>
      <c r="J40" s="35">
        <f>(I40-G40)/G40</f>
        <v>0.13652786987293122</v>
      </c>
      <c r="K40" s="68" t="s">
        <v>71</v>
      </c>
      <c r="L40" s="36">
        <f>IF($N$1*H40+$P$1*H41&gt;=I40,I40,$N$1*H40+$P$1*H41)</f>
        <v>837.8175</v>
      </c>
      <c r="M40" s="37">
        <f>I40-L40</f>
        <v>2.0425000000000182</v>
      </c>
      <c r="N40" s="63">
        <f>(L40-E40)/E40</f>
        <v>0.13376388757324378</v>
      </c>
      <c r="O40" s="63" t="e">
        <f>(M40-F40)/F40</f>
        <v>#DIV/0!</v>
      </c>
      <c r="P40" s="71">
        <f>M40/I40</f>
        <v>2.431952944538397E-3</v>
      </c>
      <c r="Q40" s="3"/>
    </row>
    <row r="41" spans="1:17" x14ac:dyDescent="0.3">
      <c r="A41"/>
      <c r="B41"/>
      <c r="C41" s="30"/>
      <c r="D41" s="40">
        <v>37</v>
      </c>
      <c r="E41" s="67"/>
      <c r="F41" s="67"/>
      <c r="G41" s="67"/>
      <c r="H41" s="48">
        <f>'[2]MEDICAL-Table Rates'!$S$54</f>
        <v>603.69000000000005</v>
      </c>
      <c r="I41" s="38"/>
      <c r="J41" s="35"/>
      <c r="K41" s="68"/>
      <c r="L41" s="36"/>
      <c r="M41" s="37"/>
      <c r="N41" s="47"/>
      <c r="O41" s="47"/>
      <c r="P41" s="52"/>
      <c r="Q41" s="3"/>
    </row>
    <row r="42" spans="1:17" ht="28.8" x14ac:dyDescent="0.3">
      <c r="A42" s="74" t="s">
        <v>40</v>
      </c>
      <c r="B42">
        <v>0</v>
      </c>
      <c r="C42" s="30">
        <v>24504</v>
      </c>
      <c r="D42" s="40">
        <f t="shared" ref="D42:D43" si="21">($B$3-C42)/365</f>
        <v>56.534246575342465</v>
      </c>
      <c r="E42" s="67">
        <v>773.34</v>
      </c>
      <c r="F42" s="67">
        <v>0</v>
      </c>
      <c r="G42" s="67">
        <v>773.34</v>
      </c>
      <c r="H42" s="48">
        <f>'[2]MEDICAL-Table Rates'!$S$84</f>
        <v>1186.95</v>
      </c>
      <c r="I42" s="38">
        <v>892.38</v>
      </c>
      <c r="J42" s="35">
        <f t="shared" ref="J42:J43" si="22">(I42-G42)/G42</f>
        <v>0.15392970750252147</v>
      </c>
      <c r="K42" s="68" t="s">
        <v>71</v>
      </c>
      <c r="L42" s="36">
        <f>IF($N$1*H42&gt;=I42,I42,$N$1*H42)</f>
        <v>890.21250000000009</v>
      </c>
      <c r="M42" s="37">
        <f t="shared" ref="M42:M43" si="23">I42-L42</f>
        <v>2.1674999999999045</v>
      </c>
      <c r="N42" s="63">
        <f t="shared" ref="N42:O43" si="24">(L42-E42)/E42</f>
        <v>0.1511269299402592</v>
      </c>
      <c r="O42" s="63" t="e">
        <f t="shared" si="24"/>
        <v>#DIV/0!</v>
      </c>
      <c r="P42" s="71">
        <f t="shared" ref="P42:P43" si="25">M42/I42</f>
        <v>2.4288980030927458E-3</v>
      </c>
      <c r="Q42" s="3"/>
    </row>
    <row r="43" spans="1:17" ht="28.8" x14ac:dyDescent="0.3">
      <c r="A43" s="74" t="s">
        <v>41</v>
      </c>
      <c r="B43">
        <v>1</v>
      </c>
      <c r="C43" s="30">
        <v>28690</v>
      </c>
      <c r="D43" s="40">
        <f t="shared" si="21"/>
        <v>45.065753424657537</v>
      </c>
      <c r="E43" s="67">
        <v>1054.92</v>
      </c>
      <c r="F43" s="67">
        <v>0</v>
      </c>
      <c r="G43" s="67">
        <v>1054.92</v>
      </c>
      <c r="H43" s="48">
        <v>778.34</v>
      </c>
      <c r="I43" s="34">
        <f>585.17+631.75</f>
        <v>1216.92</v>
      </c>
      <c r="J43" s="35">
        <f t="shared" si="22"/>
        <v>0.1535661471959959</v>
      </c>
      <c r="K43" s="68" t="s">
        <v>71</v>
      </c>
      <c r="L43" s="36">
        <f>IF($N$1*H43+$P$1*H44&gt;=I43,I43,$N$1*H43+$P$1*H44)</f>
        <v>1213.9724999999999</v>
      </c>
      <c r="M43" s="37">
        <f t="shared" si="23"/>
        <v>2.9475000000002183</v>
      </c>
      <c r="N43" s="63">
        <f t="shared" si="24"/>
        <v>0.15077209646229076</v>
      </c>
      <c r="O43" s="63" t="e">
        <f t="shared" si="24"/>
        <v>#DIV/0!</v>
      </c>
      <c r="P43" s="71">
        <f t="shared" si="25"/>
        <v>2.4220984123855455E-3</v>
      </c>
      <c r="Q43" s="3"/>
    </row>
    <row r="44" spans="1:17" x14ac:dyDescent="0.3">
      <c r="A44"/>
      <c r="B44"/>
      <c r="C44" s="30"/>
      <c r="D44" s="40">
        <v>47</v>
      </c>
      <c r="E44" s="67"/>
      <c r="F44" s="67"/>
      <c r="G44" s="67"/>
      <c r="H44" s="48">
        <f>'[2]MEDICAL-Table Rates'!$S$70</f>
        <v>840.29</v>
      </c>
      <c r="I44" s="34"/>
      <c r="J44" s="35"/>
      <c r="K44" s="68"/>
      <c r="L44" s="36"/>
      <c r="M44" s="37"/>
      <c r="N44" s="47"/>
      <c r="O44" s="47"/>
      <c r="P44" s="52"/>
      <c r="Q44" s="3"/>
    </row>
    <row r="45" spans="1:17" ht="28.8" x14ac:dyDescent="0.3">
      <c r="A45" s="74" t="s">
        <v>42</v>
      </c>
      <c r="B45">
        <v>3</v>
      </c>
      <c r="C45" s="30">
        <v>27512</v>
      </c>
      <c r="D45" s="40">
        <f>($B$3-C45)/365</f>
        <v>48.293150684931504</v>
      </c>
      <c r="E45" s="67">
        <v>1700.18</v>
      </c>
      <c r="F45" s="67">
        <v>0</v>
      </c>
      <c r="G45" s="67">
        <v>1700.18</v>
      </c>
      <c r="H45" s="48">
        <f>'[2]MEDICAL-Table Rates'!$S$71</f>
        <v>873.24</v>
      </c>
      <c r="I45" s="34">
        <f>682.78+632.28+(337.01*2)</f>
        <v>1989.08</v>
      </c>
      <c r="J45" s="35">
        <f>(I45-G45)/G45</f>
        <v>0.16992318460398301</v>
      </c>
      <c r="K45" s="68" t="s">
        <v>71</v>
      </c>
      <c r="L45" s="36">
        <f>IF($N$1*H45+$P$1*SUM(H46:H48)&gt;=I45,I45,$N$1*H45+$P$1*SUM(H46:H48))</f>
        <v>1907.9475</v>
      </c>
      <c r="M45" s="37">
        <f>I45-L45</f>
        <v>81.132499999999936</v>
      </c>
      <c r="N45" s="63">
        <f>(L45-E45)/E45</f>
        <v>0.12220323730428538</v>
      </c>
      <c r="O45" s="63" t="e">
        <f>(M45-F45)/F45</f>
        <v>#DIV/0!</v>
      </c>
      <c r="P45" s="71">
        <f>M45/I45</f>
        <v>4.0788957709091613E-2</v>
      </c>
      <c r="Q45" s="3"/>
    </row>
    <row r="46" spans="1:17" x14ac:dyDescent="0.3">
      <c r="A46"/>
      <c r="B46"/>
      <c r="C46" s="30"/>
      <c r="D46" s="40">
        <v>46</v>
      </c>
      <c r="E46" s="67"/>
      <c r="F46" s="67"/>
      <c r="G46" s="67"/>
      <c r="H46" s="48">
        <f>'[2]MEDICAL-Table Rates'!$S$68</f>
        <v>808.65</v>
      </c>
      <c r="I46" s="34"/>
      <c r="J46" s="35"/>
      <c r="K46" s="68"/>
      <c r="L46" s="36"/>
      <c r="M46" s="37"/>
      <c r="N46" s="47"/>
      <c r="O46" s="47"/>
      <c r="P46" s="52"/>
      <c r="Q46" s="3"/>
    </row>
    <row r="47" spans="1:17" x14ac:dyDescent="0.3">
      <c r="A47"/>
      <c r="B47"/>
      <c r="C47" s="30"/>
      <c r="D47" s="40">
        <v>10</v>
      </c>
      <c r="E47" s="67"/>
      <c r="F47" s="67"/>
      <c r="G47" s="67"/>
      <c r="H47" s="48">
        <f>'[2]MEDICAL-Table Rates'!$S$16</f>
        <v>431.02</v>
      </c>
      <c r="I47" s="34"/>
      <c r="J47" s="35"/>
      <c r="K47" s="68"/>
      <c r="L47" s="36"/>
      <c r="M47" s="37"/>
      <c r="N47" s="47"/>
      <c r="O47" s="47"/>
      <c r="P47" s="52"/>
      <c r="Q47" s="3"/>
    </row>
    <row r="48" spans="1:17" x14ac:dyDescent="0.3">
      <c r="A48"/>
      <c r="B48"/>
      <c r="C48" s="30"/>
      <c r="D48" s="40">
        <v>7</v>
      </c>
      <c r="E48" s="67"/>
      <c r="F48" s="67"/>
      <c r="G48" s="67"/>
      <c r="H48" s="48">
        <f>'[2]MEDICAL-Table Rates'!$S$16</f>
        <v>431.02</v>
      </c>
      <c r="I48" s="34"/>
      <c r="J48" s="35"/>
      <c r="K48" s="68"/>
      <c r="L48" s="36"/>
      <c r="M48" s="37"/>
      <c r="N48" s="47"/>
      <c r="O48" s="47"/>
      <c r="P48" s="52"/>
      <c r="Q48" s="3"/>
    </row>
    <row r="49" spans="1:17" ht="57.6" x14ac:dyDescent="0.3">
      <c r="A49" t="s">
        <v>43</v>
      </c>
      <c r="B49">
        <v>0</v>
      </c>
      <c r="C49" s="30">
        <v>36111</v>
      </c>
      <c r="D49" s="40">
        <f t="shared" ref="D49:D50" si="26">($B$3-C49)/365</f>
        <v>24.734246575342464</v>
      </c>
      <c r="E49" s="67">
        <v>334.63</v>
      </c>
      <c r="F49" s="67">
        <v>16.28</v>
      </c>
      <c r="G49" s="67">
        <v>350.91</v>
      </c>
      <c r="H49" s="48">
        <f>'[2]MEDICAL-Table Rates'!$S$28</f>
        <v>479.13</v>
      </c>
      <c r="I49" s="34">
        <v>391.62</v>
      </c>
      <c r="J49" s="35">
        <f t="shared" ref="J49:J50" si="27">(I49-G49)/G49</f>
        <v>0.11601265281696155</v>
      </c>
      <c r="K49" s="68" t="s">
        <v>72</v>
      </c>
      <c r="L49" s="36">
        <f>IF($N$1*H49&gt;=I49,I49,$N$1*H49)</f>
        <v>359.34749999999997</v>
      </c>
      <c r="M49" s="37">
        <f t="shared" ref="M49:M50" si="28">I49-L49</f>
        <v>32.272500000000036</v>
      </c>
      <c r="N49" s="63">
        <f t="shared" ref="N49:O50" si="29">(L49-E49)/E49</f>
        <v>7.38651645100558E-2</v>
      </c>
      <c r="O49" s="63">
        <f t="shared" si="29"/>
        <v>0.98234029484029695</v>
      </c>
      <c r="P49" s="71">
        <f t="shared" ref="P49:P50" si="30">M49/I49</f>
        <v>8.2407691129155899E-2</v>
      </c>
      <c r="Q49" s="3"/>
    </row>
    <row r="50" spans="1:17" ht="57.6" x14ac:dyDescent="0.3">
      <c r="A50" t="s">
        <v>44</v>
      </c>
      <c r="B50">
        <v>3</v>
      </c>
      <c r="C50" s="30">
        <v>31872</v>
      </c>
      <c r="D50" s="40">
        <f t="shared" si="26"/>
        <v>36.347945205479455</v>
      </c>
      <c r="E50" s="67">
        <v>1417.7</v>
      </c>
      <c r="F50" s="67">
        <v>68.98</v>
      </c>
      <c r="G50" s="67">
        <v>1486.68</v>
      </c>
      <c r="H50" s="48">
        <f>'[2]MEDICAL-Table Rates'!$S$52</f>
        <v>590.51</v>
      </c>
      <c r="I50" s="34">
        <f>482.65+493.43+352.29+352.29</f>
        <v>1680.6599999999999</v>
      </c>
      <c r="J50" s="35">
        <f t="shared" si="27"/>
        <v>0.13047865041569121</v>
      </c>
      <c r="K50" s="68" t="s">
        <v>72</v>
      </c>
      <c r="L50" s="36">
        <f>IF($N$1*H50+$P$1*SUM(H51:H53)&gt;=I50,I50,$N$1*H50+$P$1*SUM(H51:H53))</f>
        <v>1542.18</v>
      </c>
      <c r="M50" s="37">
        <f t="shared" si="28"/>
        <v>138.47999999999979</v>
      </c>
      <c r="N50" s="63">
        <f t="shared" si="29"/>
        <v>8.7804189885025044E-2</v>
      </c>
      <c r="O50" s="63">
        <f t="shared" si="29"/>
        <v>1.0075384169324411</v>
      </c>
      <c r="P50" s="71">
        <f t="shared" si="30"/>
        <v>8.2396201492270782E-2</v>
      </c>
      <c r="Q50" s="3"/>
    </row>
    <row r="51" spans="1:17" x14ac:dyDescent="0.3">
      <c r="A51"/>
      <c r="B51"/>
      <c r="C51" s="30"/>
      <c r="D51" s="40">
        <v>37</v>
      </c>
      <c r="E51" s="67"/>
      <c r="F51" s="67"/>
      <c r="G51" s="67"/>
      <c r="H51" s="48">
        <f>'[2]MEDICAL-Table Rates'!$S$54</f>
        <v>603.69000000000005</v>
      </c>
      <c r="I51" s="34"/>
      <c r="J51" s="35"/>
      <c r="K51" s="68"/>
      <c r="L51" s="36"/>
      <c r="M51" s="37"/>
      <c r="N51" s="47"/>
      <c r="O51" s="47"/>
      <c r="P51" s="52"/>
      <c r="Q51" s="3"/>
    </row>
    <row r="52" spans="1:17" x14ac:dyDescent="0.3">
      <c r="A52"/>
      <c r="B52"/>
      <c r="C52" s="30"/>
      <c r="D52" s="40">
        <v>17</v>
      </c>
      <c r="E52" s="67"/>
      <c r="F52" s="67"/>
      <c r="G52" s="67"/>
      <c r="H52" s="48">
        <f>'[2]MEDICAL-Table Rates'!$S$16</f>
        <v>431.02</v>
      </c>
      <c r="I52" s="34"/>
      <c r="J52" s="35"/>
      <c r="K52" s="68"/>
      <c r="L52" s="36"/>
      <c r="M52" s="37"/>
      <c r="N52" s="47"/>
      <c r="O52" s="47"/>
      <c r="P52" s="52"/>
      <c r="Q52" s="3"/>
    </row>
    <row r="53" spans="1:17" x14ac:dyDescent="0.3">
      <c r="A53"/>
      <c r="B53"/>
      <c r="C53" s="30"/>
      <c r="D53" s="40">
        <v>15</v>
      </c>
      <c r="E53" s="67"/>
      <c r="F53" s="67"/>
      <c r="G53" s="67"/>
      <c r="H53" s="48">
        <f>'[2]MEDICAL-Table Rates'!$S$16</f>
        <v>431.02</v>
      </c>
      <c r="I53" s="34"/>
      <c r="J53" s="35"/>
      <c r="K53" s="68"/>
      <c r="L53" s="36"/>
      <c r="M53" s="37"/>
      <c r="N53" s="47"/>
      <c r="O53" s="47"/>
      <c r="P53" s="52"/>
      <c r="Q53" s="3"/>
    </row>
    <row r="54" spans="1:17" ht="57.6" x14ac:dyDescent="0.3">
      <c r="A54" t="s">
        <v>45</v>
      </c>
      <c r="B54">
        <v>1</v>
      </c>
      <c r="C54" s="30">
        <v>24635</v>
      </c>
      <c r="D54" s="40">
        <f>($B$3-C54)/365</f>
        <v>56.175342465753424</v>
      </c>
      <c r="E54" s="67">
        <v>1727.46</v>
      </c>
      <c r="F54" s="67">
        <v>84.05</v>
      </c>
      <c r="G54" s="67">
        <v>1811.51</v>
      </c>
      <c r="H54" s="48">
        <f>'[2]MEDICAL-Table Rates'!$S$84</f>
        <v>1186.95</v>
      </c>
      <c r="I54" s="38">
        <f>970.15+1088.12</f>
        <v>2058.27</v>
      </c>
      <c r="J54" s="35">
        <f>(I54-G54)/G54</f>
        <v>0.13621785140573334</v>
      </c>
      <c r="K54" s="68" t="s">
        <v>72</v>
      </c>
      <c r="L54" s="36">
        <f>IF($N$1*H54+$P$1*H55&gt;=I54,I54,$N$1*H54+$P$1*H55)</f>
        <v>1888.6725000000001</v>
      </c>
      <c r="M54" s="37">
        <f>I54-L54</f>
        <v>169.59749999999985</v>
      </c>
      <c r="N54" s="63">
        <f>(L54-E54)/E54</f>
        <v>9.3323434406585443E-2</v>
      </c>
      <c r="O54" s="63">
        <f>(M54-F54)/F54</f>
        <v>1.0178167757287313</v>
      </c>
      <c r="P54" s="71">
        <f>M54/I54</f>
        <v>8.2398081884300825E-2</v>
      </c>
      <c r="Q54" s="3"/>
    </row>
    <row r="55" spans="1:17" x14ac:dyDescent="0.3">
      <c r="A55"/>
      <c r="B55"/>
      <c r="C55" s="30"/>
      <c r="D55" s="40">
        <v>59</v>
      </c>
      <c r="E55" s="67"/>
      <c r="F55" s="67"/>
      <c r="G55" s="67"/>
      <c r="H55" s="48">
        <f>'[2]MEDICAL-Table Rates'!$S$89</f>
        <v>1331.28</v>
      </c>
      <c r="I55" s="38"/>
      <c r="J55" s="35"/>
      <c r="K55" s="68"/>
      <c r="L55" s="36"/>
      <c r="M55" s="37"/>
      <c r="N55" s="47"/>
      <c r="O55" s="47"/>
      <c r="P55" s="52"/>
      <c r="Q55" s="3"/>
    </row>
    <row r="56" spans="1:17" ht="43.2" x14ac:dyDescent="0.3">
      <c r="A56" t="s">
        <v>46</v>
      </c>
      <c r="B56">
        <v>0</v>
      </c>
      <c r="C56" s="30">
        <v>34977</v>
      </c>
      <c r="D56" s="40">
        <f t="shared" ref="D56:D58" si="31">($B$3-C56)/365</f>
        <v>27.841095890410958</v>
      </c>
      <c r="E56" s="67">
        <v>334.63</v>
      </c>
      <c r="F56" s="67">
        <v>2.76</v>
      </c>
      <c r="G56" s="67">
        <v>337.39</v>
      </c>
      <c r="H56" s="48">
        <f>'[2]MEDICAL-Table Rates'!$S$28</f>
        <v>479.13</v>
      </c>
      <c r="I56" s="38">
        <v>374.63</v>
      </c>
      <c r="J56" s="35">
        <f t="shared" ref="J56:J58" si="32">(I56-G56)/G56</f>
        <v>0.11037671537389968</v>
      </c>
      <c r="K56" s="68" t="s">
        <v>73</v>
      </c>
      <c r="L56" s="36">
        <f t="shared" ref="L56:L57" si="33">IF($N$1*H56&gt;=I56,I56,$N$1*H56)</f>
        <v>359.34749999999997</v>
      </c>
      <c r="M56" s="37">
        <f t="shared" ref="M56:M58" si="34">I56-L56</f>
        <v>15.282500000000027</v>
      </c>
      <c r="N56" s="63">
        <f t="shared" ref="N56:O58" si="35">(L56-E56)/E56</f>
        <v>7.38651645100558E-2</v>
      </c>
      <c r="O56" s="63">
        <f t="shared" si="35"/>
        <v>4.5371376811594306</v>
      </c>
      <c r="P56" s="71">
        <f t="shared" ref="P56:P58" si="36">M56/I56</f>
        <v>4.0793583001895277E-2</v>
      </c>
      <c r="Q56" s="3"/>
    </row>
    <row r="57" spans="1:17" ht="43.2" x14ac:dyDescent="0.3">
      <c r="A57" t="s">
        <v>47</v>
      </c>
      <c r="B57">
        <v>0</v>
      </c>
      <c r="C57" s="30">
        <v>28471</v>
      </c>
      <c r="D57" s="40">
        <f t="shared" si="31"/>
        <v>45.665753424657531</v>
      </c>
      <c r="E57" s="67">
        <v>523.34</v>
      </c>
      <c r="F57" s="67">
        <v>4.33</v>
      </c>
      <c r="G57" s="67">
        <v>527.66999999999996</v>
      </c>
      <c r="H57" s="48">
        <f>'[2]MEDICAL-Table Rates'!$S$66</f>
        <v>778.34</v>
      </c>
      <c r="I57" s="38">
        <v>605.58000000000004</v>
      </c>
      <c r="J57" s="35">
        <f t="shared" si="32"/>
        <v>0.14764909886861122</v>
      </c>
      <c r="K57" s="68" t="s">
        <v>73</v>
      </c>
      <c r="L57" s="36">
        <f t="shared" si="33"/>
        <v>583.755</v>
      </c>
      <c r="M57" s="37">
        <f t="shared" si="34"/>
        <v>21.825000000000045</v>
      </c>
      <c r="N57" s="63">
        <f t="shared" si="35"/>
        <v>0.11544120457064233</v>
      </c>
      <c r="O57" s="63">
        <f t="shared" si="35"/>
        <v>4.0404157043880016</v>
      </c>
      <c r="P57" s="71">
        <f t="shared" si="36"/>
        <v>3.603982958486087E-2</v>
      </c>
      <c r="Q57" s="3"/>
    </row>
    <row r="58" spans="1:17" ht="43.2" x14ac:dyDescent="0.3">
      <c r="A58" t="s">
        <v>48</v>
      </c>
      <c r="B58">
        <v>4</v>
      </c>
      <c r="C58" s="30">
        <v>25137</v>
      </c>
      <c r="D58" s="40">
        <f t="shared" si="31"/>
        <v>54.8</v>
      </c>
      <c r="E58" s="67">
        <v>2342.87</v>
      </c>
      <c r="F58" s="67">
        <v>19.350000000000001</v>
      </c>
      <c r="G58" s="67">
        <v>2362.2199999999998</v>
      </c>
      <c r="H58" s="48">
        <f>'[2]MEDICAL-Table Rates'!$S$81</f>
        <v>1099.3</v>
      </c>
      <c r="I58" s="38">
        <f>859.53+737.4+(374.63*2)+337.01</f>
        <v>2683.2</v>
      </c>
      <c r="J58" s="35">
        <f t="shared" si="32"/>
        <v>0.13588065463843335</v>
      </c>
      <c r="K58" s="68" t="s">
        <v>73</v>
      </c>
      <c r="L58" s="36">
        <f>IF($N$1*H58+$P$1*SUM(H59:H62)&gt;=I58,I58,$N$1*H58+$P$1*SUM(H59:H62))</f>
        <v>2573.7600000000002</v>
      </c>
      <c r="M58" s="37">
        <f t="shared" si="34"/>
        <v>109.4399999999996</v>
      </c>
      <c r="N58" s="63">
        <f t="shared" si="35"/>
        <v>9.8550068932548682E-2</v>
      </c>
      <c r="O58" s="63">
        <f t="shared" si="35"/>
        <v>4.6558139534883516</v>
      </c>
      <c r="P58" s="71">
        <f t="shared" si="36"/>
        <v>4.0787119856887155E-2</v>
      </c>
      <c r="Q58" s="3"/>
    </row>
    <row r="59" spans="1:17" x14ac:dyDescent="0.3">
      <c r="A59"/>
      <c r="B59"/>
      <c r="C59" s="30"/>
      <c r="D59" s="40">
        <v>50</v>
      </c>
      <c r="E59" s="67"/>
      <c r="F59" s="67"/>
      <c r="G59" s="67"/>
      <c r="H59" s="48">
        <f>'[2]MEDICAL-Table Rates'!$S$75</f>
        <v>943.1</v>
      </c>
      <c r="I59" s="38"/>
      <c r="J59" s="35"/>
      <c r="K59" s="68"/>
      <c r="L59" s="36"/>
      <c r="M59" s="37"/>
      <c r="N59" s="47"/>
      <c r="O59" s="47"/>
      <c r="P59" s="52"/>
      <c r="Q59" s="3"/>
    </row>
    <row r="60" spans="1:17" x14ac:dyDescent="0.3">
      <c r="A60"/>
      <c r="B60"/>
      <c r="C60" s="30"/>
      <c r="D60" s="40">
        <v>25</v>
      </c>
      <c r="E60" s="67"/>
      <c r="F60" s="67"/>
      <c r="G60" s="67"/>
      <c r="H60" s="48">
        <f>'[2]MEDICAL-Table Rates'!$S$28</f>
        <v>479.13</v>
      </c>
      <c r="I60" s="38"/>
      <c r="J60" s="35"/>
      <c r="K60" s="68"/>
      <c r="L60" s="36"/>
      <c r="M60" s="37"/>
      <c r="N60" s="47"/>
      <c r="O60" s="47"/>
      <c r="P60" s="52"/>
      <c r="Q60" s="3"/>
    </row>
    <row r="61" spans="1:17" x14ac:dyDescent="0.3">
      <c r="A61"/>
      <c r="B61"/>
      <c r="C61" s="30"/>
      <c r="D61" s="40">
        <v>24</v>
      </c>
      <c r="E61" s="67"/>
      <c r="F61" s="67"/>
      <c r="G61" s="67"/>
      <c r="H61" s="48">
        <f>'[2]MEDICAL-Table Rates'!$S$28</f>
        <v>479.13</v>
      </c>
      <c r="I61" s="38"/>
      <c r="J61" s="35"/>
      <c r="K61" s="68"/>
      <c r="L61" s="36"/>
      <c r="M61" s="37"/>
      <c r="N61" s="47"/>
      <c r="O61" s="47"/>
      <c r="P61" s="52"/>
      <c r="Q61" s="3"/>
    </row>
    <row r="62" spans="1:17" x14ac:dyDescent="0.3">
      <c r="A62"/>
      <c r="B62"/>
      <c r="C62" s="30"/>
      <c r="D62" s="40">
        <v>19</v>
      </c>
      <c r="E62" s="67"/>
      <c r="F62" s="67"/>
      <c r="G62" s="67"/>
      <c r="H62" s="48">
        <f>'[2]MEDICAL-Table Rates'!$S$16</f>
        <v>431.02</v>
      </c>
      <c r="I62" s="38"/>
      <c r="J62" s="35"/>
      <c r="K62" s="68"/>
      <c r="L62" s="36"/>
      <c r="M62" s="37"/>
      <c r="N62" s="47"/>
      <c r="O62" s="47"/>
      <c r="P62" s="52"/>
      <c r="Q62" s="3"/>
    </row>
    <row r="63" spans="1:17" ht="28.8" x14ac:dyDescent="0.3">
      <c r="A63" t="s">
        <v>49</v>
      </c>
      <c r="B63">
        <v>0</v>
      </c>
      <c r="C63" s="30">
        <v>35017</v>
      </c>
      <c r="D63" s="40">
        <f t="shared" ref="D63:D68" si="37">($B$3-C63)/365</f>
        <v>27.731506849315068</v>
      </c>
      <c r="E63" s="67">
        <v>334.63</v>
      </c>
      <c r="F63" s="67">
        <v>159.88</v>
      </c>
      <c r="G63" s="67">
        <v>494.51</v>
      </c>
      <c r="H63" s="48">
        <f>'[2]MEDICAL-Table Rates'!$S$28</f>
        <v>479.13</v>
      </c>
      <c r="I63" s="38">
        <f>'[2]MEDICAL-Table Rates'!$Z$37</f>
        <v>519.12</v>
      </c>
      <c r="J63" s="35">
        <f t="shared" ref="J63:J68" si="38">(I63-G63)/G63</f>
        <v>4.9766435461365825E-2</v>
      </c>
      <c r="K63" s="68" t="s">
        <v>74</v>
      </c>
      <c r="L63" s="36">
        <f t="shared" ref="L63:L67" si="39">IF($N$1*H63&gt;=I63,I63,$N$1*H63)</f>
        <v>359.34749999999997</v>
      </c>
      <c r="M63" s="37">
        <f t="shared" ref="M63:M68" si="40">I63-L63</f>
        <v>159.77250000000004</v>
      </c>
      <c r="N63" s="63">
        <f t="shared" ref="N63:O68" si="41">(L63-E63)/E63</f>
        <v>7.38651645100558E-2</v>
      </c>
      <c r="O63" s="63">
        <f t="shared" si="41"/>
        <v>-6.723792844630915E-4</v>
      </c>
      <c r="P63" s="71">
        <f t="shared" ref="P63:P68" si="42">M63/I63</f>
        <v>0.30777565880721225</v>
      </c>
      <c r="Q63" s="3"/>
    </row>
    <row r="64" spans="1:17" s="22" customFormat="1" ht="28.8" x14ac:dyDescent="0.3">
      <c r="A64" t="s">
        <v>50</v>
      </c>
      <c r="B64">
        <v>0</v>
      </c>
      <c r="C64" s="30">
        <v>35099</v>
      </c>
      <c r="D64" s="40">
        <f t="shared" si="37"/>
        <v>27.506849315068493</v>
      </c>
      <c r="E64" s="67">
        <v>334.63</v>
      </c>
      <c r="F64" s="67">
        <v>76.22</v>
      </c>
      <c r="G64" s="67">
        <v>410.85</v>
      </c>
      <c r="H64" s="48">
        <f>'[2]MEDICAL-Table Rates'!$S$28</f>
        <v>479.13</v>
      </c>
      <c r="I64" s="34">
        <f>'[2]MEDICAL-Table Rates'!$V$37</f>
        <v>453.59</v>
      </c>
      <c r="J64" s="35">
        <f t="shared" si="38"/>
        <v>0.10402823414871595</v>
      </c>
      <c r="K64" s="68" t="s">
        <v>75</v>
      </c>
      <c r="L64" s="36">
        <f t="shared" si="39"/>
        <v>359.34749999999997</v>
      </c>
      <c r="M64" s="37">
        <f t="shared" si="40"/>
        <v>94.242500000000007</v>
      </c>
      <c r="N64" s="63">
        <f t="shared" si="41"/>
        <v>7.38651645100558E-2</v>
      </c>
      <c r="O64" s="63">
        <f t="shared" si="41"/>
        <v>0.23645368669640526</v>
      </c>
      <c r="P64" s="71">
        <f t="shared" si="42"/>
        <v>0.20777023302982872</v>
      </c>
    </row>
    <row r="65" spans="1:17" s="22" customFormat="1" ht="28.8" x14ac:dyDescent="0.3">
      <c r="A65" t="s">
        <v>51</v>
      </c>
      <c r="B65">
        <v>0</v>
      </c>
      <c r="C65" s="30">
        <v>35229</v>
      </c>
      <c r="D65" s="40">
        <f t="shared" si="37"/>
        <v>27.150684931506849</v>
      </c>
      <c r="E65" s="67">
        <v>334.63</v>
      </c>
      <c r="F65" s="67">
        <v>76.22</v>
      </c>
      <c r="G65" s="67">
        <v>410.85</v>
      </c>
      <c r="H65" s="48">
        <f>'[2]MEDICAL-Table Rates'!$S$28</f>
        <v>479.13</v>
      </c>
      <c r="I65" s="34">
        <f>'[2]MEDICAL-Table Rates'!$V$37</f>
        <v>453.59</v>
      </c>
      <c r="J65" s="35">
        <f t="shared" si="38"/>
        <v>0.10402823414871595</v>
      </c>
      <c r="K65" s="68" t="s">
        <v>75</v>
      </c>
      <c r="L65" s="36">
        <f t="shared" si="39"/>
        <v>359.34749999999997</v>
      </c>
      <c r="M65" s="37">
        <f t="shared" si="40"/>
        <v>94.242500000000007</v>
      </c>
      <c r="N65" s="63">
        <f t="shared" si="41"/>
        <v>7.38651645100558E-2</v>
      </c>
      <c r="O65" s="63">
        <f t="shared" si="41"/>
        <v>0.23645368669640526</v>
      </c>
      <c r="P65" s="71">
        <f t="shared" si="42"/>
        <v>0.20777023302982872</v>
      </c>
    </row>
    <row r="66" spans="1:17" s="22" customFormat="1" ht="28.8" x14ac:dyDescent="0.3">
      <c r="A66" t="s">
        <v>52</v>
      </c>
      <c r="B66">
        <v>0</v>
      </c>
      <c r="C66" s="30">
        <v>34375</v>
      </c>
      <c r="D66" s="40">
        <f t="shared" si="37"/>
        <v>29.490410958904111</v>
      </c>
      <c r="E66" s="67">
        <v>342.46</v>
      </c>
      <c r="F66" s="67">
        <v>78</v>
      </c>
      <c r="G66" s="67">
        <v>420.46</v>
      </c>
      <c r="H66" s="48">
        <f>'[2]MEDICAL-Table Rates'!$S$41</f>
        <v>500.88</v>
      </c>
      <c r="I66" s="56">
        <f>'[2]MEDICAL-Table Rates'!$V$41</f>
        <v>474.18</v>
      </c>
      <c r="J66" s="35">
        <f t="shared" si="38"/>
        <v>0.12776482899681307</v>
      </c>
      <c r="K66" s="68" t="s">
        <v>75</v>
      </c>
      <c r="L66" s="36">
        <f t="shared" si="39"/>
        <v>375.65999999999997</v>
      </c>
      <c r="M66" s="37">
        <f t="shared" si="40"/>
        <v>98.520000000000039</v>
      </c>
      <c r="N66" s="63">
        <f t="shared" si="41"/>
        <v>9.694562868656191E-2</v>
      </c>
      <c r="O66" s="63">
        <f t="shared" si="41"/>
        <v>0.2630769230769236</v>
      </c>
      <c r="P66" s="71">
        <f t="shared" si="42"/>
        <v>0.20776920156902451</v>
      </c>
    </row>
    <row r="67" spans="1:17" s="22" customFormat="1" ht="28.8" x14ac:dyDescent="0.3">
      <c r="A67" t="s">
        <v>53</v>
      </c>
      <c r="B67">
        <v>0</v>
      </c>
      <c r="C67" s="30">
        <v>31779</v>
      </c>
      <c r="D67" s="40">
        <f t="shared" si="37"/>
        <v>36.602739726027394</v>
      </c>
      <c r="E67" s="67">
        <v>403.22</v>
      </c>
      <c r="F67" s="67">
        <v>91.83</v>
      </c>
      <c r="G67" s="67">
        <v>495.05</v>
      </c>
      <c r="H67" s="48">
        <f>'[2]MEDICAL-Table Rates'!$S$52</f>
        <v>590.51</v>
      </c>
      <c r="I67" s="56">
        <f>'[2]MEDICAL-Table Rates'!$V$52</f>
        <v>559.03</v>
      </c>
      <c r="J67" s="35">
        <f t="shared" si="38"/>
        <v>0.12923947076052916</v>
      </c>
      <c r="K67" s="68" t="s">
        <v>75</v>
      </c>
      <c r="L67" s="36">
        <f t="shared" si="39"/>
        <v>442.88249999999999</v>
      </c>
      <c r="M67" s="37">
        <f t="shared" si="40"/>
        <v>116.14749999999998</v>
      </c>
      <c r="N67" s="63">
        <f t="shared" si="41"/>
        <v>9.8364416447596748E-2</v>
      </c>
      <c r="O67" s="63">
        <f t="shared" si="41"/>
        <v>0.26480997495371861</v>
      </c>
      <c r="P67" s="71">
        <f t="shared" si="42"/>
        <v>0.20776613061910806</v>
      </c>
    </row>
    <row r="68" spans="1:17" s="22" customFormat="1" ht="28.8" x14ac:dyDescent="0.3">
      <c r="A68" t="s">
        <v>54</v>
      </c>
      <c r="B68">
        <v>3</v>
      </c>
      <c r="C68" s="30">
        <v>31376</v>
      </c>
      <c r="D68" s="40">
        <f t="shared" si="37"/>
        <v>37.706849315068496</v>
      </c>
      <c r="E68" s="67">
        <v>1417.7</v>
      </c>
      <c r="F68" s="67">
        <v>322.91000000000003</v>
      </c>
      <c r="G68" s="67">
        <v>1740.61</v>
      </c>
      <c r="H68" s="48">
        <f>'[2]MEDICAL-Table Rates'!$S$54</f>
        <v>603.69000000000005</v>
      </c>
      <c r="I68" s="56">
        <f>'[2]MEDICAL-Table Rates'!$V$54+'[2]MEDICAL-Table Rates'!$V$52+(2*'[2]MEDICAL-Table Rates'!$V$16)</f>
        <v>1946.62</v>
      </c>
      <c r="J68" s="35">
        <f t="shared" si="38"/>
        <v>0.11835505943318722</v>
      </c>
      <c r="K68" s="68" t="s">
        <v>75</v>
      </c>
      <c r="L68" s="36">
        <f>IF($N$1*H68+$P$1*SUM(H69:H71)&gt;=I68,I68,$N$1*H68+$P$1*SUM(H69:H71))</f>
        <v>1542.1799999999998</v>
      </c>
      <c r="M68" s="37">
        <f t="shared" si="40"/>
        <v>404.44000000000005</v>
      </c>
      <c r="N68" s="63">
        <f t="shared" si="41"/>
        <v>8.7804189885024891E-2</v>
      </c>
      <c r="O68" s="63">
        <f t="shared" si="41"/>
        <v>0.2524852125979376</v>
      </c>
      <c r="P68" s="71">
        <f t="shared" si="42"/>
        <v>0.20776525464651555</v>
      </c>
    </row>
    <row r="69" spans="1:17" s="22" customFormat="1" x14ac:dyDescent="0.3">
      <c r="A69"/>
      <c r="B69"/>
      <c r="C69" s="30"/>
      <c r="D69" s="54">
        <v>36</v>
      </c>
      <c r="E69" s="67"/>
      <c r="F69" s="67"/>
      <c r="G69" s="67"/>
      <c r="H69" s="48">
        <f>'[2]MEDICAL-Table Rates'!$S$52</f>
        <v>590.51</v>
      </c>
      <c r="I69" s="56"/>
      <c r="J69" s="35"/>
      <c r="K69" s="68"/>
      <c r="L69" s="36"/>
      <c r="M69" s="37"/>
      <c r="N69" s="37"/>
      <c r="O69" s="37"/>
      <c r="P69" s="57"/>
    </row>
    <row r="70" spans="1:17" s="22" customFormat="1" x14ac:dyDescent="0.3">
      <c r="A70"/>
      <c r="B70"/>
      <c r="C70" s="30"/>
      <c r="D70" s="54">
        <v>9</v>
      </c>
      <c r="E70" s="67"/>
      <c r="F70" s="67"/>
      <c r="G70" s="67"/>
      <c r="H70" s="48">
        <f>'[2]MEDICAL-Table Rates'!$S$16</f>
        <v>431.02</v>
      </c>
      <c r="I70" s="56"/>
      <c r="J70" s="35"/>
      <c r="K70" s="68"/>
      <c r="L70" s="36"/>
      <c r="M70" s="37"/>
      <c r="N70" s="37"/>
      <c r="O70" s="37"/>
      <c r="P70" s="57"/>
    </row>
    <row r="71" spans="1:17" s="22" customFormat="1" x14ac:dyDescent="0.3">
      <c r="A71"/>
      <c r="B71"/>
      <c r="C71" s="30"/>
      <c r="D71" s="54">
        <v>5</v>
      </c>
      <c r="E71" s="67"/>
      <c r="F71" s="67"/>
      <c r="G71" s="67"/>
      <c r="H71" s="48">
        <f>'[2]MEDICAL-Table Rates'!$S$16</f>
        <v>431.02</v>
      </c>
      <c r="I71" s="56"/>
      <c r="J71" s="35"/>
      <c r="K71" s="68"/>
      <c r="L71" s="36"/>
      <c r="M71" s="37"/>
      <c r="N71" s="37"/>
      <c r="O71" s="37"/>
      <c r="P71" s="57"/>
    </row>
    <row r="72" spans="1:17" s="22" customFormat="1" ht="43.2" x14ac:dyDescent="0.3">
      <c r="A72" t="s">
        <v>55</v>
      </c>
      <c r="B72">
        <v>0</v>
      </c>
      <c r="C72" s="30">
        <v>34315</v>
      </c>
      <c r="D72" s="40">
        <f t="shared" ref="D72:D76" si="43">($B$3-C72)/365</f>
        <v>29.654794520547945</v>
      </c>
      <c r="E72" s="67">
        <v>342.46</v>
      </c>
      <c r="F72" s="67">
        <v>101.28</v>
      </c>
      <c r="G72" s="67">
        <v>443.74</v>
      </c>
      <c r="H72" s="48">
        <f>'[2]MEDICAL-Table Rates'!$S$41</f>
        <v>500.88</v>
      </c>
      <c r="I72" s="56">
        <f>'[2]MEDICAL-Table Rates'!$U$41</f>
        <v>517.74</v>
      </c>
      <c r="J72" s="35">
        <f t="shared" ref="J72:J76" si="44">(I72-G72)/G72</f>
        <v>0.16676432144949746</v>
      </c>
      <c r="K72" s="68" t="s">
        <v>76</v>
      </c>
      <c r="L72" s="36">
        <f t="shared" ref="L72:L75" si="45">IF($N$1*H72&gt;=I72,I72,$N$1*H72)</f>
        <v>375.65999999999997</v>
      </c>
      <c r="M72" s="37">
        <f t="shared" ref="M72:M76" si="46">I72-L72</f>
        <v>142.08000000000004</v>
      </c>
      <c r="N72" s="63">
        <f t="shared" ref="N72:P76" si="47">(L72-E72)/E72</f>
        <v>9.694562868656191E-2</v>
      </c>
      <c r="O72" s="63">
        <f t="shared" si="47"/>
        <v>0.40284360189573498</v>
      </c>
      <c r="P72" s="71">
        <f t="shared" ref="P72:P75" si="48">M72/I72</f>
        <v>0.27442345578861982</v>
      </c>
    </row>
    <row r="73" spans="1:17" s="22" customFormat="1" ht="43.2" x14ac:dyDescent="0.3">
      <c r="A73" t="s">
        <v>56</v>
      </c>
      <c r="B73">
        <v>0</v>
      </c>
      <c r="C73" s="30">
        <v>30417</v>
      </c>
      <c r="D73" s="40">
        <f t="shared" si="43"/>
        <v>40.334246575342469</v>
      </c>
      <c r="E73" s="67">
        <v>431.75</v>
      </c>
      <c r="F73" s="67">
        <v>127.69</v>
      </c>
      <c r="G73" s="67">
        <v>559.44000000000005</v>
      </c>
      <c r="H73" s="55">
        <f>'[2]MEDICAL-Table Rates'!$S$58</f>
        <v>642.57000000000005</v>
      </c>
      <c r="I73" s="56">
        <f>'[2]MEDICAL-Table Rates'!$U$58</f>
        <v>664.21</v>
      </c>
      <c r="J73" s="35">
        <f t="shared" si="44"/>
        <v>0.18727656227656223</v>
      </c>
      <c r="K73" s="68" t="s">
        <v>76</v>
      </c>
      <c r="L73" s="36">
        <f t="shared" si="45"/>
        <v>481.92750000000001</v>
      </c>
      <c r="M73" s="37">
        <f t="shared" si="46"/>
        <v>182.28250000000003</v>
      </c>
      <c r="N73" s="63">
        <f t="shared" si="47"/>
        <v>0.11621887666473656</v>
      </c>
      <c r="O73" s="63">
        <f t="shared" si="47"/>
        <v>0.42753935312083979</v>
      </c>
      <c r="P73" s="71">
        <f t="shared" si="48"/>
        <v>0.27443504313394862</v>
      </c>
    </row>
    <row r="74" spans="1:17" s="22" customFormat="1" ht="43.2" x14ac:dyDescent="0.3">
      <c r="A74" t="s">
        <v>57</v>
      </c>
      <c r="B74">
        <v>0</v>
      </c>
      <c r="C74" s="30">
        <v>30382</v>
      </c>
      <c r="D74" s="40">
        <f t="shared" si="43"/>
        <v>40.43013698630137</v>
      </c>
      <c r="E74" s="67">
        <v>431.75</v>
      </c>
      <c r="F74" s="67">
        <v>127.69</v>
      </c>
      <c r="G74" s="67">
        <v>559.44000000000005</v>
      </c>
      <c r="H74" s="55">
        <f>'[2]MEDICAL-Table Rates'!$S$58</f>
        <v>642.57000000000005</v>
      </c>
      <c r="I74" s="56">
        <f>'[2]MEDICAL-Table Rates'!$U$58</f>
        <v>664.21</v>
      </c>
      <c r="J74" s="35">
        <f t="shared" si="44"/>
        <v>0.18727656227656223</v>
      </c>
      <c r="K74" s="68" t="s">
        <v>76</v>
      </c>
      <c r="L74" s="36">
        <f t="shared" si="45"/>
        <v>481.92750000000001</v>
      </c>
      <c r="M74" s="37">
        <f t="shared" si="46"/>
        <v>182.28250000000003</v>
      </c>
      <c r="N74" s="63">
        <f t="shared" si="47"/>
        <v>0.11621887666473656</v>
      </c>
      <c r="O74" s="63">
        <f t="shared" si="47"/>
        <v>0.42753935312083979</v>
      </c>
      <c r="P74" s="71">
        <f t="shared" si="48"/>
        <v>0.27443504313394862</v>
      </c>
    </row>
    <row r="75" spans="1:17" ht="43.2" x14ac:dyDescent="0.3">
      <c r="A75" t="s">
        <v>58</v>
      </c>
      <c r="B75">
        <v>0</v>
      </c>
      <c r="C75" s="30">
        <v>35557</v>
      </c>
      <c r="D75" s="40">
        <f t="shared" si="43"/>
        <v>26.252054794520546</v>
      </c>
      <c r="E75" s="67">
        <v>334.63</v>
      </c>
      <c r="F75" s="67">
        <v>151.06</v>
      </c>
      <c r="G75" s="67">
        <v>485.69</v>
      </c>
      <c r="H75" s="48">
        <f>'[2]MEDICAL-Table Rates'!$S$28</f>
        <v>479.13</v>
      </c>
      <c r="I75" s="56">
        <f>'[2]MEDICAL-Table Rates'!$Y$36</f>
        <v>511.69</v>
      </c>
      <c r="J75" s="35">
        <f t="shared" si="44"/>
        <v>5.3532088369124341E-2</v>
      </c>
      <c r="K75" s="68" t="s">
        <v>77</v>
      </c>
      <c r="L75" s="36">
        <f t="shared" si="45"/>
        <v>359.34749999999997</v>
      </c>
      <c r="M75" s="37">
        <f t="shared" si="46"/>
        <v>152.34250000000003</v>
      </c>
      <c r="N75" s="63">
        <f t="shared" si="47"/>
        <v>7.38651645100558E-2</v>
      </c>
      <c r="O75" s="63">
        <f t="shared" si="47"/>
        <v>8.4900039719318626E-3</v>
      </c>
      <c r="P75" s="71">
        <f t="shared" si="48"/>
        <v>0.29772420801657257</v>
      </c>
      <c r="Q75" s="3"/>
    </row>
    <row r="76" spans="1:17" ht="43.2" x14ac:dyDescent="0.3">
      <c r="A76" t="s">
        <v>80</v>
      </c>
      <c r="B76">
        <v>0</v>
      </c>
      <c r="C76" s="30">
        <v>34137</v>
      </c>
      <c r="D76" s="40">
        <f t="shared" si="43"/>
        <v>30.142465753424659</v>
      </c>
      <c r="E76" s="67">
        <v>0</v>
      </c>
      <c r="F76" s="67">
        <v>507.74</v>
      </c>
      <c r="G76" s="67">
        <v>507.74</v>
      </c>
      <c r="H76" s="48">
        <f>'[2]MEDICAL-Table Rates'!$S$42</f>
        <v>513.4</v>
      </c>
      <c r="I76" s="56">
        <f>'[2]MEDICAL-Table Rates'!$Y$42</f>
        <v>548.29</v>
      </c>
      <c r="J76" s="35">
        <f t="shared" si="44"/>
        <v>7.9863709772718228E-2</v>
      </c>
      <c r="K76" s="68" t="s">
        <v>77</v>
      </c>
      <c r="L76" s="36">
        <v>0</v>
      </c>
      <c r="M76" s="37">
        <f t="shared" si="46"/>
        <v>548.29</v>
      </c>
      <c r="N76" s="63" t="e">
        <f t="shared" si="47"/>
        <v>#DIV/0!</v>
      </c>
      <c r="O76" s="63">
        <f t="shared" si="47"/>
        <v>7.9863709772718228E-2</v>
      </c>
      <c r="P76" s="63" t="e">
        <f t="shared" si="47"/>
        <v>#DIV/0!</v>
      </c>
      <c r="Q76" s="3"/>
    </row>
    <row r="77" spans="1:17" ht="15" thickBot="1" x14ac:dyDescent="0.35">
      <c r="B77" s="3"/>
      <c r="C77" s="3"/>
      <c r="D77" s="3"/>
      <c r="E77" s="3"/>
      <c r="F77" s="3"/>
      <c r="G77" s="3"/>
      <c r="H77" s="3"/>
      <c r="I77" s="3"/>
      <c r="J77" s="3"/>
      <c r="K77" s="3"/>
      <c r="L77" s="3"/>
      <c r="M77" s="3"/>
      <c r="N77" s="3"/>
      <c r="O77" s="3"/>
      <c r="P77" s="3"/>
      <c r="Q77" s="3"/>
    </row>
    <row r="78" spans="1:17" ht="58.2" thickBot="1" x14ac:dyDescent="0.35">
      <c r="A78"/>
      <c r="B78"/>
      <c r="C78"/>
      <c r="D78" s="30"/>
      <c r="E78" s="69"/>
      <c r="L78" s="31" t="s">
        <v>79</v>
      </c>
      <c r="M78" s="32">
        <f>SUM(E6:E75)</f>
        <v>29245.450000000004</v>
      </c>
      <c r="O78" s="44"/>
      <c r="P78" s="45"/>
      <c r="Q78" s="22"/>
    </row>
    <row r="79" spans="1:17" ht="43.8" thickBot="1" x14ac:dyDescent="0.35">
      <c r="A79"/>
      <c r="B79"/>
      <c r="C79"/>
      <c r="D79" s="30"/>
      <c r="E79" s="70"/>
      <c r="L79" s="31" t="s">
        <v>115</v>
      </c>
      <c r="M79" s="32">
        <f>SUM(L6:L76)-L76</f>
        <v>32236.462500000001</v>
      </c>
      <c r="O79" s="44"/>
      <c r="P79" s="45"/>
      <c r="Q79" s="22"/>
    </row>
    <row r="80" spans="1:17" ht="15" thickBot="1" x14ac:dyDescent="0.35">
      <c r="A80"/>
      <c r="B80"/>
      <c r="C80"/>
      <c r="D80" s="30"/>
      <c r="E80" s="69"/>
      <c r="L80" s="31" t="s">
        <v>8</v>
      </c>
      <c r="M80" s="32">
        <f>M79-M78</f>
        <v>2991.0124999999971</v>
      </c>
      <c r="O80" s="44"/>
      <c r="P80" s="45"/>
      <c r="Q80" s="22"/>
    </row>
    <row r="81" spans="1:17" ht="29.4" thickBot="1" x14ac:dyDescent="0.35">
      <c r="A81"/>
      <c r="B81"/>
      <c r="C81"/>
      <c r="D81" s="30"/>
      <c r="E81" s="69"/>
      <c r="F81" s="20"/>
      <c r="L81" s="31" t="s">
        <v>9</v>
      </c>
      <c r="M81" s="33">
        <f>M80/M78</f>
        <v>0.10227274670076872</v>
      </c>
      <c r="O81" s="45"/>
      <c r="P81" s="45"/>
      <c r="Q81" s="22"/>
    </row>
    <row r="82" spans="1:17" ht="29.4" thickBot="1" x14ac:dyDescent="0.35">
      <c r="A82"/>
      <c r="B82"/>
      <c r="C82"/>
      <c r="D82" s="30"/>
      <c r="E82" s="69"/>
      <c r="L82" s="31" t="s">
        <v>10</v>
      </c>
      <c r="M82" s="32">
        <f>M80*12</f>
        <v>35892.149999999965</v>
      </c>
      <c r="O82" s="45"/>
      <c r="P82" s="45"/>
      <c r="Q82" s="3"/>
    </row>
    <row r="83" spans="1:17" x14ac:dyDescent="0.3">
      <c r="A83"/>
      <c r="B83"/>
      <c r="C83"/>
      <c r="D83" s="30"/>
      <c r="E83" s="29"/>
      <c r="O83" s="13"/>
      <c r="P83" s="45"/>
      <c r="Q83" s="3"/>
    </row>
    <row r="84" spans="1:17" x14ac:dyDescent="0.3">
      <c r="A84"/>
      <c r="B84"/>
      <c r="C84"/>
      <c r="D84" s="30"/>
      <c r="E84" s="29"/>
    </row>
    <row r="85" spans="1:17" x14ac:dyDescent="0.3">
      <c r="A85"/>
      <c r="B85"/>
      <c r="C85"/>
      <c r="D85" s="30"/>
      <c r="E85" s="29"/>
      <c r="O85" s="45"/>
      <c r="P85" s="45"/>
    </row>
    <row r="86" spans="1:17" x14ac:dyDescent="0.3">
      <c r="A86"/>
      <c r="B86"/>
      <c r="C86"/>
      <c r="D86" s="30"/>
      <c r="E86" s="29"/>
      <c r="O86" s="45"/>
      <c r="P86" s="45"/>
    </row>
    <row r="87" spans="1:17" x14ac:dyDescent="0.3">
      <c r="A87"/>
      <c r="B87"/>
      <c r="C87"/>
      <c r="D87" s="30"/>
      <c r="E87" s="29"/>
    </row>
    <row r="88" spans="1:17" x14ac:dyDescent="0.3">
      <c r="A88"/>
      <c r="B88"/>
      <c r="C88"/>
      <c r="D88" s="30"/>
      <c r="E88" s="29"/>
    </row>
    <row r="89" spans="1:17" x14ac:dyDescent="0.3">
      <c r="A89"/>
      <c r="B89"/>
      <c r="C89"/>
      <c r="D89" s="30"/>
      <c r="E89" s="29"/>
    </row>
    <row r="90" spans="1:17" s="22" customFormat="1" x14ac:dyDescent="0.3">
      <c r="A90"/>
      <c r="B90"/>
      <c r="C90"/>
      <c r="D90" s="30"/>
      <c r="E90" s="29"/>
      <c r="F90" s="19"/>
      <c r="G90" s="19"/>
      <c r="H90" s="43"/>
      <c r="I90" s="19"/>
      <c r="J90" s="19"/>
      <c r="K90" s="20"/>
      <c r="L90" s="21"/>
      <c r="M90" s="19"/>
      <c r="N90" s="19"/>
      <c r="O90" s="19"/>
      <c r="P90" s="13"/>
      <c r="Q90" s="19"/>
    </row>
    <row r="91" spans="1:17" s="22" customFormat="1" x14ac:dyDescent="0.3">
      <c r="A91"/>
      <c r="B91"/>
      <c r="C91"/>
      <c r="D91" s="30"/>
      <c r="E91" s="29"/>
      <c r="F91" s="19"/>
      <c r="G91" s="19"/>
      <c r="H91" s="43"/>
      <c r="I91" s="19"/>
      <c r="J91" s="19"/>
      <c r="K91" s="20"/>
      <c r="L91" s="21"/>
      <c r="M91" s="19"/>
      <c r="N91" s="19"/>
      <c r="O91" s="45"/>
      <c r="P91" s="45"/>
      <c r="Q91" s="19"/>
    </row>
    <row r="92" spans="1:17" x14ac:dyDescent="0.3">
      <c r="A92"/>
      <c r="B92"/>
      <c r="C92"/>
      <c r="D92" s="30"/>
      <c r="E92" s="29"/>
      <c r="O92" s="45"/>
      <c r="P92" s="45"/>
    </row>
    <row r="93" spans="1:17" x14ac:dyDescent="0.3">
      <c r="A93"/>
      <c r="B93"/>
      <c r="C93"/>
      <c r="D93" s="30"/>
      <c r="E93" s="29"/>
    </row>
    <row r="94" spans="1:17" s="7" customFormat="1" x14ac:dyDescent="0.3">
      <c r="A94"/>
      <c r="B94"/>
      <c r="C94"/>
      <c r="D94" s="30"/>
      <c r="E94" s="29"/>
      <c r="F94" s="19"/>
      <c r="G94" s="19"/>
      <c r="H94" s="43"/>
      <c r="I94" s="19"/>
      <c r="J94" s="19"/>
      <c r="K94" s="20"/>
      <c r="L94" s="21"/>
      <c r="M94" s="19"/>
      <c r="N94" s="19"/>
      <c r="O94" s="19"/>
      <c r="P94" s="13"/>
      <c r="Q94" s="19"/>
    </row>
    <row r="95" spans="1:17" s="7" customFormat="1" x14ac:dyDescent="0.3">
      <c r="A95"/>
      <c r="B95"/>
      <c r="C95"/>
      <c r="D95" s="30"/>
      <c r="E95" s="29"/>
      <c r="F95" s="19"/>
      <c r="G95" s="19"/>
      <c r="H95" s="43"/>
      <c r="I95" s="19"/>
      <c r="J95" s="19"/>
      <c r="K95" s="20"/>
      <c r="L95" s="21"/>
      <c r="M95" s="19"/>
      <c r="N95" s="19"/>
      <c r="O95" s="19"/>
      <c r="P95" s="13"/>
      <c r="Q95" s="19"/>
    </row>
    <row r="96" spans="1:17" s="7" customFormat="1" x14ac:dyDescent="0.3">
      <c r="A96"/>
      <c r="B96"/>
      <c r="C96"/>
      <c r="D96" s="30"/>
      <c r="E96" s="29"/>
      <c r="F96" s="19"/>
      <c r="G96" s="19"/>
      <c r="H96" s="43"/>
      <c r="I96" s="19"/>
      <c r="J96" s="19"/>
      <c r="K96" s="20"/>
      <c r="L96" s="21"/>
      <c r="M96" s="19"/>
      <c r="N96" s="19"/>
      <c r="O96" s="45"/>
      <c r="P96" s="45"/>
      <c r="Q96" s="19"/>
    </row>
    <row r="97" spans="1:17" s="7" customFormat="1" x14ac:dyDescent="0.3">
      <c r="A97"/>
      <c r="B97"/>
      <c r="C97"/>
      <c r="D97" s="30"/>
      <c r="E97" s="29"/>
      <c r="F97" s="19"/>
      <c r="G97" s="19"/>
      <c r="H97" s="43"/>
      <c r="I97" s="19"/>
      <c r="J97" s="19"/>
      <c r="K97" s="20"/>
      <c r="L97" s="21"/>
      <c r="M97" s="19"/>
      <c r="N97" s="19"/>
      <c r="O97" s="45"/>
      <c r="P97" s="45"/>
      <c r="Q97" s="19"/>
    </row>
    <row r="98" spans="1:17" x14ac:dyDescent="0.3">
      <c r="A98"/>
      <c r="B98"/>
      <c r="C98"/>
      <c r="D98" s="30"/>
      <c r="E98" s="29"/>
      <c r="O98" s="45"/>
      <c r="P98" s="45"/>
    </row>
    <row r="99" spans="1:17" x14ac:dyDescent="0.3">
      <c r="A99"/>
      <c r="B99"/>
      <c r="C99"/>
      <c r="D99" s="30"/>
      <c r="E99" s="29"/>
      <c r="O99" s="45"/>
      <c r="P99" s="45"/>
    </row>
    <row r="100" spans="1:17" x14ac:dyDescent="0.3">
      <c r="A100"/>
      <c r="B100"/>
      <c r="C100"/>
      <c r="D100" s="30"/>
      <c r="E100" s="29"/>
    </row>
    <row r="101" spans="1:17" x14ac:dyDescent="0.3">
      <c r="A101"/>
      <c r="B101"/>
      <c r="C101"/>
      <c r="D101" s="30"/>
      <c r="E101" s="29"/>
    </row>
    <row r="102" spans="1:17" x14ac:dyDescent="0.3">
      <c r="A102"/>
      <c r="B102"/>
      <c r="C102"/>
      <c r="D102" s="30"/>
      <c r="E102" s="29"/>
    </row>
    <row r="103" spans="1:17" x14ac:dyDescent="0.3">
      <c r="A103"/>
      <c r="B103"/>
      <c r="C103"/>
      <c r="D103" s="30"/>
      <c r="E103" s="29"/>
      <c r="O103" s="45"/>
      <c r="P103" s="45"/>
    </row>
    <row r="104" spans="1:17" x14ac:dyDescent="0.3">
      <c r="A104"/>
      <c r="B104"/>
      <c r="C104"/>
      <c r="D104" s="30"/>
      <c r="E104" s="29"/>
      <c r="O104" s="45"/>
      <c r="P104" s="45"/>
    </row>
    <row r="105" spans="1:17" x14ac:dyDescent="0.3">
      <c r="A105"/>
      <c r="B105"/>
      <c r="C105"/>
      <c r="D105" s="30"/>
      <c r="E105" s="29"/>
      <c r="O105" s="45"/>
      <c r="P105" s="45"/>
    </row>
    <row r="106" spans="1:17" x14ac:dyDescent="0.3">
      <c r="A106"/>
      <c r="B106"/>
      <c r="C106"/>
      <c r="D106" s="30"/>
      <c r="E106" s="29"/>
      <c r="O106" s="45"/>
      <c r="P106" s="45"/>
    </row>
    <row r="107" spans="1:17" x14ac:dyDescent="0.3">
      <c r="A107"/>
      <c r="B107"/>
      <c r="C107"/>
      <c r="D107" s="30"/>
      <c r="E107" s="29"/>
      <c r="O107" s="45"/>
      <c r="P107" s="45"/>
    </row>
    <row r="108" spans="1:17" x14ac:dyDescent="0.3">
      <c r="A108"/>
      <c r="B108"/>
      <c r="C108"/>
      <c r="D108" s="30"/>
      <c r="E108" s="29"/>
      <c r="O108" s="45"/>
      <c r="P108" s="45"/>
    </row>
    <row r="109" spans="1:17" x14ac:dyDescent="0.3">
      <c r="A109"/>
      <c r="B109"/>
      <c r="C109"/>
      <c r="D109" s="30"/>
      <c r="E109" s="29"/>
    </row>
    <row r="110" spans="1:17" x14ac:dyDescent="0.3">
      <c r="A110"/>
      <c r="B110"/>
      <c r="C110"/>
      <c r="D110" s="30"/>
      <c r="E110" s="29"/>
    </row>
    <row r="111" spans="1:17" x14ac:dyDescent="0.3">
      <c r="A111"/>
      <c r="B111"/>
      <c r="C111"/>
      <c r="D111" s="30"/>
      <c r="E111" s="29"/>
    </row>
    <row r="112" spans="1:17" x14ac:dyDescent="0.3">
      <c r="A112"/>
      <c r="B112"/>
      <c r="C112"/>
      <c r="D112" s="30"/>
      <c r="E112" s="29"/>
    </row>
    <row r="113" spans="1:17" x14ac:dyDescent="0.3">
      <c r="A113"/>
      <c r="B113"/>
      <c r="C113"/>
      <c r="D113" s="30"/>
      <c r="E113" s="29"/>
    </row>
    <row r="114" spans="1:17" x14ac:dyDescent="0.3">
      <c r="A114"/>
      <c r="B114"/>
      <c r="C114"/>
      <c r="D114" s="30"/>
      <c r="E114" s="29"/>
    </row>
    <row r="115" spans="1:17" x14ac:dyDescent="0.3">
      <c r="A115"/>
      <c r="B115"/>
      <c r="C115"/>
      <c r="D115" s="30"/>
      <c r="E115" s="29"/>
    </row>
    <row r="116" spans="1:17" x14ac:dyDescent="0.3">
      <c r="A116"/>
      <c r="B116"/>
      <c r="C116"/>
      <c r="D116" s="30"/>
      <c r="E116" s="29"/>
    </row>
    <row r="123" spans="1:17" ht="13.95" customHeight="1" x14ac:dyDescent="0.3"/>
    <row r="126" spans="1:17" s="22" customFormat="1" x14ac:dyDescent="0.3">
      <c r="A126" s="3"/>
      <c r="B126" s="7"/>
      <c r="C126" s="7"/>
      <c r="D126" s="28"/>
      <c r="E126" s="7"/>
      <c r="F126" s="19"/>
      <c r="G126" s="19"/>
      <c r="H126" s="43"/>
      <c r="I126" s="19"/>
      <c r="J126" s="19"/>
      <c r="K126" s="20"/>
      <c r="L126" s="21"/>
      <c r="M126" s="19"/>
      <c r="N126" s="19"/>
      <c r="O126" s="19"/>
      <c r="P126" s="13"/>
      <c r="Q126" s="19"/>
    </row>
    <row r="127" spans="1:17" s="22" customFormat="1" ht="13.95" customHeight="1" x14ac:dyDescent="0.3">
      <c r="A127" s="3"/>
      <c r="B127" s="7"/>
      <c r="C127" s="7"/>
      <c r="D127" s="28"/>
      <c r="E127" s="7"/>
      <c r="F127" s="19"/>
      <c r="G127" s="19"/>
      <c r="H127" s="43"/>
      <c r="I127" s="19"/>
      <c r="J127" s="19"/>
      <c r="K127" s="20"/>
      <c r="L127" s="21"/>
      <c r="M127" s="19"/>
      <c r="N127" s="19"/>
      <c r="O127" s="19"/>
      <c r="P127" s="13"/>
      <c r="Q127" s="19"/>
    </row>
    <row r="128" spans="1:17" s="22" customFormat="1" x14ac:dyDescent="0.3">
      <c r="A128" s="3"/>
      <c r="B128" s="7"/>
      <c r="C128" s="7"/>
      <c r="D128" s="28"/>
      <c r="E128" s="7"/>
      <c r="F128" s="19"/>
      <c r="G128" s="19"/>
      <c r="H128" s="43"/>
      <c r="I128" s="19"/>
      <c r="J128" s="19"/>
      <c r="K128" s="20"/>
      <c r="L128" s="21"/>
      <c r="M128" s="19"/>
      <c r="N128" s="19"/>
      <c r="O128" s="19"/>
      <c r="P128" s="13"/>
      <c r="Q128" s="19"/>
    </row>
    <row r="129" spans="1:17" s="22" customFormat="1" x14ac:dyDescent="0.3">
      <c r="A129" s="3"/>
      <c r="B129" s="7"/>
      <c r="C129" s="7"/>
      <c r="D129" s="28"/>
      <c r="E129" s="7"/>
      <c r="F129" s="19"/>
      <c r="G129" s="19"/>
      <c r="H129" s="43"/>
      <c r="I129" s="19"/>
      <c r="J129" s="19"/>
      <c r="K129" s="20"/>
      <c r="L129" s="21"/>
      <c r="M129" s="19"/>
      <c r="N129" s="19"/>
      <c r="O129" s="19"/>
      <c r="P129" s="13"/>
      <c r="Q129" s="19"/>
    </row>
    <row r="130" spans="1:17" s="22" customFormat="1" x14ac:dyDescent="0.3">
      <c r="A130" s="3"/>
      <c r="B130" s="7"/>
      <c r="C130" s="7"/>
      <c r="D130" s="28"/>
      <c r="E130" s="7"/>
      <c r="F130" s="19"/>
      <c r="G130" s="19"/>
      <c r="H130" s="43"/>
      <c r="I130" s="19"/>
      <c r="J130" s="19"/>
      <c r="K130" s="20"/>
      <c r="L130" s="21"/>
      <c r="M130" s="19"/>
      <c r="N130" s="19"/>
      <c r="O130" s="19"/>
      <c r="P130" s="13"/>
      <c r="Q130" s="19"/>
    </row>
    <row r="131" spans="1:17" s="22" customFormat="1" x14ac:dyDescent="0.3">
      <c r="A131" s="3"/>
      <c r="B131" s="7"/>
      <c r="C131" s="7"/>
      <c r="D131" s="28"/>
      <c r="E131" s="7"/>
      <c r="F131" s="19"/>
      <c r="G131" s="19"/>
      <c r="H131" s="43"/>
      <c r="I131" s="19"/>
      <c r="J131" s="19"/>
      <c r="K131" s="20"/>
      <c r="L131" s="21"/>
      <c r="M131" s="19"/>
      <c r="N131" s="19"/>
      <c r="O131" s="19"/>
      <c r="P131" s="13"/>
      <c r="Q131" s="19"/>
    </row>
    <row r="160" ht="61.5" customHeight="1" x14ac:dyDescent="0.3"/>
  </sheetData>
  <autoFilter ref="A5:Q108" xr:uid="{00000000-0009-0000-0000-000000000000}"/>
  <mergeCells count="4">
    <mergeCell ref="N2:Q3"/>
    <mergeCell ref="A4:D4"/>
    <mergeCell ref="E4:G4"/>
    <mergeCell ref="H4:J4"/>
  </mergeCells>
  <dataValidations count="1">
    <dataValidation type="list" allowBlank="1" showInputMessage="1" showErrorMessage="1" sqref="B20:B33 B64:B74" xr:uid="{C794D9CF-223E-40BC-BDF7-EA22EC1D2B18}">
      <formula1>"EE,ES,EC,EF,Waive,Decline"</formula1>
    </dataValidation>
  </dataValidations>
  <pageMargins left="0.25" right="0.25" top="0.75" bottom="0.75" header="0.3" footer="0.3"/>
  <pageSetup paperSize="5" scale="47"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4811F-587F-405B-A9B3-CA72FA0B9338}">
  <dimension ref="A1:Q160"/>
  <sheetViews>
    <sheetView topLeftCell="B69" zoomScaleNormal="100" workbookViewId="0">
      <selection activeCell="L80" sqref="L80"/>
    </sheetView>
  </sheetViews>
  <sheetFormatPr defaultColWidth="9.109375" defaultRowHeight="14.4" x14ac:dyDescent="0.3"/>
  <cols>
    <col min="1" max="1" width="25.6640625" style="3" customWidth="1"/>
    <col min="2" max="2" width="12" style="7" customWidth="1"/>
    <col min="3" max="3" width="11" style="7" customWidth="1"/>
    <col min="4" max="4" width="11.5546875" style="28" bestFit="1" customWidth="1"/>
    <col min="5" max="5" width="17.44140625" style="7" customWidth="1"/>
    <col min="6" max="6" width="16.6640625" style="19" bestFit="1" customWidth="1"/>
    <col min="7" max="7" width="18" style="19" bestFit="1" customWidth="1"/>
    <col min="8" max="8" width="13.44140625" style="43" customWidth="1"/>
    <col min="9" max="10" width="13.44140625" style="19" customWidth="1"/>
    <col min="11" max="11" width="13.44140625" style="20" customWidth="1"/>
    <col min="12" max="12" width="13.6640625" style="21" customWidth="1"/>
    <col min="13" max="13" width="18.6640625" style="19" bestFit="1" customWidth="1"/>
    <col min="14" max="14" width="14.109375" style="19" customWidth="1"/>
    <col min="15" max="15" width="12.33203125" style="19" customWidth="1"/>
    <col min="16" max="16" width="12.33203125" style="13" customWidth="1"/>
    <col min="17" max="17" width="12.33203125" style="19" customWidth="1"/>
    <col min="18" max="16384" width="9.109375" style="3"/>
  </cols>
  <sheetData>
    <row r="1" spans="1:17" ht="15" thickBot="1" x14ac:dyDescent="0.35">
      <c r="A1" s="1" t="s">
        <v>13</v>
      </c>
      <c r="B1" s="2"/>
      <c r="C1" s="2"/>
      <c r="D1" s="26"/>
      <c r="E1" s="2"/>
      <c r="F1" s="23"/>
      <c r="G1" s="12"/>
      <c r="H1" s="41"/>
      <c r="I1" s="24"/>
      <c r="J1" s="24"/>
      <c r="K1" s="14"/>
      <c r="L1" s="10"/>
      <c r="M1" s="23" t="s">
        <v>81</v>
      </c>
      <c r="N1" s="12">
        <v>0.8</v>
      </c>
      <c r="O1" s="16" t="s">
        <v>0</v>
      </c>
      <c r="P1" s="12">
        <v>0.8</v>
      </c>
      <c r="Q1" s="16" t="s">
        <v>3</v>
      </c>
    </row>
    <row r="2" spans="1:17" x14ac:dyDescent="0.3">
      <c r="A2" s="2">
        <v>1</v>
      </c>
      <c r="B2" s="2"/>
      <c r="C2" s="2"/>
      <c r="D2" s="26"/>
      <c r="E2" s="2"/>
      <c r="F2" s="10"/>
      <c r="G2" s="46"/>
      <c r="H2" s="41"/>
      <c r="I2" s="24"/>
      <c r="J2" s="24"/>
      <c r="K2" s="14"/>
      <c r="L2" s="10"/>
      <c r="M2" s="10"/>
      <c r="N2" s="75" t="s">
        <v>12</v>
      </c>
      <c r="O2" s="75"/>
      <c r="P2" s="75"/>
      <c r="Q2" s="75"/>
    </row>
    <row r="3" spans="1:17" ht="15.75" customHeight="1" thickBot="1" x14ac:dyDescent="0.35">
      <c r="A3" s="4" t="s">
        <v>7</v>
      </c>
      <c r="B3" s="25">
        <v>45139</v>
      </c>
      <c r="C3" s="25"/>
      <c r="D3" s="25"/>
      <c r="E3" s="17"/>
      <c r="F3" s="11"/>
      <c r="G3" s="46"/>
      <c r="H3" s="42"/>
      <c r="I3" s="16"/>
      <c r="J3" s="16"/>
      <c r="K3" s="18"/>
      <c r="L3" s="11"/>
      <c r="M3" s="11"/>
      <c r="N3" s="76"/>
      <c r="O3" s="76"/>
      <c r="P3" s="76"/>
      <c r="Q3" s="76"/>
    </row>
    <row r="4" spans="1:17" ht="15.75" customHeight="1" thickBot="1" x14ac:dyDescent="0.35">
      <c r="A4" s="77" t="s">
        <v>11</v>
      </c>
      <c r="B4" s="78"/>
      <c r="C4" s="78"/>
      <c r="D4" s="79"/>
      <c r="E4" s="80" t="s">
        <v>16</v>
      </c>
      <c r="F4" s="81"/>
      <c r="G4" s="81"/>
      <c r="H4" s="82" t="s">
        <v>17</v>
      </c>
      <c r="I4" s="83"/>
      <c r="J4" s="84"/>
      <c r="K4" s="72" t="s">
        <v>62</v>
      </c>
      <c r="L4" s="58"/>
      <c r="M4" s="11"/>
      <c r="N4" s="24"/>
      <c r="O4" s="24"/>
      <c r="P4" s="24"/>
      <c r="Q4" s="24"/>
    </row>
    <row r="5" spans="1:17" ht="115.8" thickBot="1" x14ac:dyDescent="0.35">
      <c r="A5" s="5" t="s">
        <v>0</v>
      </c>
      <c r="B5" s="8" t="s">
        <v>64</v>
      </c>
      <c r="C5" s="27" t="s">
        <v>6</v>
      </c>
      <c r="D5" s="6" t="s">
        <v>1</v>
      </c>
      <c r="E5" s="49" t="s">
        <v>59</v>
      </c>
      <c r="F5" s="59" t="s">
        <v>60</v>
      </c>
      <c r="G5" s="60" t="s">
        <v>61</v>
      </c>
      <c r="H5" s="9" t="s">
        <v>102</v>
      </c>
      <c r="I5" s="9" t="s">
        <v>5</v>
      </c>
      <c r="J5" s="15" t="s">
        <v>4</v>
      </c>
      <c r="K5" s="8" t="s">
        <v>2</v>
      </c>
      <c r="L5" s="49" t="s">
        <v>103</v>
      </c>
      <c r="M5" s="50" t="s">
        <v>14</v>
      </c>
      <c r="N5" s="64" t="s">
        <v>82</v>
      </c>
      <c r="O5" s="65" t="s">
        <v>15</v>
      </c>
      <c r="P5" s="66" t="s">
        <v>18</v>
      </c>
      <c r="Q5" s="3"/>
    </row>
    <row r="6" spans="1:17" ht="72" x14ac:dyDescent="0.3">
      <c r="A6" t="s">
        <v>19</v>
      </c>
      <c r="B6">
        <v>1</v>
      </c>
      <c r="C6" s="30">
        <v>34087</v>
      </c>
      <c r="D6" s="40">
        <f>($B$3-C6)/365</f>
        <v>30.279452054794522</v>
      </c>
      <c r="E6" s="67">
        <v>650.85</v>
      </c>
      <c r="F6" s="67">
        <v>257.39</v>
      </c>
      <c r="G6" s="67">
        <v>908.24</v>
      </c>
      <c r="H6" s="48">
        <v>461.62</v>
      </c>
      <c r="I6" s="34">
        <f>SUM(H6:H7)</f>
        <v>849.17000000000007</v>
      </c>
      <c r="J6" s="35">
        <f>(I6-G6)/G6</f>
        <v>-6.5037875451422464E-2</v>
      </c>
      <c r="K6" s="68" t="s">
        <v>101</v>
      </c>
      <c r="L6" s="36">
        <f>IF($N$1*H6+$P$1*H7&gt;=I6,I6,$N$1*H6+$P$1*H7)</f>
        <v>679.33600000000001</v>
      </c>
      <c r="M6" s="37">
        <f>I6-L6</f>
        <v>169.83400000000006</v>
      </c>
      <c r="N6" s="63">
        <f>(L6-E6)/E6</f>
        <v>4.3767381117000827E-2</v>
      </c>
      <c r="O6" s="63">
        <f>(M6-F6)/F6</f>
        <v>-0.34016861571933615</v>
      </c>
      <c r="P6" s="71">
        <f>M6/I6</f>
        <v>0.20000000000000007</v>
      </c>
      <c r="Q6" s="3"/>
    </row>
    <row r="7" spans="1:17" x14ac:dyDescent="0.3">
      <c r="A7"/>
      <c r="B7"/>
      <c r="C7" s="30"/>
      <c r="D7" s="40">
        <v>1</v>
      </c>
      <c r="E7" s="67"/>
      <c r="F7" s="67"/>
      <c r="G7" s="67"/>
      <c r="H7" s="48">
        <v>387.55</v>
      </c>
      <c r="I7" s="34"/>
      <c r="J7" s="35"/>
      <c r="K7" s="68"/>
      <c r="L7" s="61"/>
      <c r="M7" s="62"/>
      <c r="N7" s="63"/>
      <c r="O7" s="63"/>
      <c r="P7" s="51"/>
      <c r="Q7" s="3"/>
    </row>
    <row r="8" spans="1:17" ht="72" x14ac:dyDescent="0.3">
      <c r="A8" t="s">
        <v>20</v>
      </c>
      <c r="B8">
        <v>0</v>
      </c>
      <c r="C8" s="30">
        <v>26679</v>
      </c>
      <c r="D8" s="40">
        <f t="shared" ref="D8:D9" si="0">($B$3-C8)/365</f>
        <v>50.575342465753423</v>
      </c>
      <c r="E8" s="67">
        <v>633.82000000000005</v>
      </c>
      <c r="F8" s="67">
        <v>112.9</v>
      </c>
      <c r="G8" s="67">
        <v>746.72</v>
      </c>
      <c r="H8" s="48">
        <v>847.98</v>
      </c>
      <c r="I8" s="34">
        <f>H8</f>
        <v>847.98</v>
      </c>
      <c r="J8" s="35">
        <f t="shared" ref="J8:J9" si="1">(I8-G8)/G8</f>
        <v>0.13560638525819582</v>
      </c>
      <c r="K8" s="68" t="s">
        <v>101</v>
      </c>
      <c r="L8" s="36">
        <f>IF($N$1*H8&gt;=I8,I8,$N$1*H8)</f>
        <v>678.38400000000001</v>
      </c>
      <c r="M8" s="37">
        <f>I8-L8</f>
        <v>169.596</v>
      </c>
      <c r="N8" s="63">
        <f t="shared" ref="N8:O9" si="2">(L8-E8)/E8</f>
        <v>7.0310182701713353E-2</v>
      </c>
      <c r="O8" s="63">
        <f t="shared" si="2"/>
        <v>0.50217891939769699</v>
      </c>
      <c r="P8" s="71">
        <f t="shared" ref="P8:P9" si="3">M8/I8</f>
        <v>0.2</v>
      </c>
      <c r="Q8" s="3"/>
    </row>
    <row r="9" spans="1:17" ht="72" x14ac:dyDescent="0.3">
      <c r="A9" t="s">
        <v>21</v>
      </c>
      <c r="B9">
        <v>2</v>
      </c>
      <c r="C9" s="30">
        <v>31381</v>
      </c>
      <c r="D9" s="40">
        <f t="shared" si="0"/>
        <v>37.69315068493151</v>
      </c>
      <c r="E9" s="67">
        <v>1055.9100000000001</v>
      </c>
      <c r="F9" s="67">
        <v>263.97000000000003</v>
      </c>
      <c r="G9" s="67">
        <v>1319.88</v>
      </c>
      <c r="H9" s="48">
        <v>542.79999999999995</v>
      </c>
      <c r="I9" s="34">
        <f>SUM(H9:H11)</f>
        <v>1380.71</v>
      </c>
      <c r="J9" s="35">
        <f t="shared" si="1"/>
        <v>4.6087523108161291E-2</v>
      </c>
      <c r="K9" s="68" t="s">
        <v>101</v>
      </c>
      <c r="L9" s="36">
        <f>IF($N$1*H9+$P$1*SUM(H10:H11)&gt;=I9,I9,$N$1*H9+$P$1*SUM(H10:H11))</f>
        <v>1104.5680000000002</v>
      </c>
      <c r="M9" s="37">
        <f>I9-L9</f>
        <v>276.14199999999983</v>
      </c>
      <c r="N9" s="63">
        <f t="shared" si="2"/>
        <v>4.6081578922446159E-2</v>
      </c>
      <c r="O9" s="63">
        <f t="shared" si="2"/>
        <v>4.6111300526574223E-2</v>
      </c>
      <c r="P9" s="71">
        <f t="shared" si="3"/>
        <v>0.19999999999999987</v>
      </c>
      <c r="Q9" s="3"/>
    </row>
    <row r="10" spans="1:17" x14ac:dyDescent="0.3">
      <c r="A10"/>
      <c r="B10"/>
      <c r="C10" s="30"/>
      <c r="D10" s="40">
        <v>29</v>
      </c>
      <c r="E10" s="67"/>
      <c r="F10" s="67"/>
      <c r="G10" s="67"/>
      <c r="H10" s="48">
        <v>450.36</v>
      </c>
      <c r="I10" s="34"/>
      <c r="J10" s="35"/>
      <c r="K10" s="68"/>
      <c r="L10" s="36"/>
      <c r="M10" s="37"/>
      <c r="N10" s="47"/>
      <c r="O10" s="47"/>
      <c r="P10" s="51"/>
      <c r="Q10" s="3"/>
    </row>
    <row r="11" spans="1:17" x14ac:dyDescent="0.3">
      <c r="A11"/>
      <c r="B11"/>
      <c r="C11" s="30"/>
      <c r="D11" s="40">
        <v>0</v>
      </c>
      <c r="E11" s="67"/>
      <c r="F11" s="67"/>
      <c r="G11" s="67"/>
      <c r="H11" s="48">
        <v>387.55</v>
      </c>
      <c r="I11" s="34"/>
      <c r="J11" s="35"/>
      <c r="K11" s="68"/>
      <c r="L11" s="36"/>
      <c r="M11" s="37"/>
      <c r="N11" s="47"/>
      <c r="O11" s="47"/>
      <c r="P11" s="51"/>
      <c r="Q11" s="3"/>
    </row>
    <row r="12" spans="1:17" ht="72" x14ac:dyDescent="0.3">
      <c r="A12" t="s">
        <v>22</v>
      </c>
      <c r="B12">
        <v>4</v>
      </c>
      <c r="C12" s="30">
        <v>30749</v>
      </c>
      <c r="D12" s="40">
        <f>($B$3-C12)/365</f>
        <v>39.424657534246577</v>
      </c>
      <c r="E12" s="67">
        <v>1733</v>
      </c>
      <c r="F12" s="67">
        <v>433.25</v>
      </c>
      <c r="G12" s="67">
        <v>2166.25</v>
      </c>
      <c r="H12" s="48">
        <v>555.84</v>
      </c>
      <c r="I12" s="34">
        <f>SUM(H12:H16)</f>
        <v>2249.44</v>
      </c>
      <c r="J12" s="35">
        <f>(I12-G12)/G12</f>
        <v>3.840276976341607E-2</v>
      </c>
      <c r="K12" s="68" t="s">
        <v>101</v>
      </c>
      <c r="L12" s="36">
        <f>IF($N$1*H12+$P$1*SUM(H13:H16)&gt;=I12,I12,$N$1*H12+$P$1*SUM(H13:H16))</f>
        <v>1799.5520000000001</v>
      </c>
      <c r="M12" s="37">
        <f>I12-L12</f>
        <v>449.88799999999992</v>
      </c>
      <c r="N12" s="63">
        <f>(L12-E12)/E12</f>
        <v>3.8402769763416118E-2</v>
      </c>
      <c r="O12" s="63">
        <f>(M12-F12)/F12</f>
        <v>3.8402769763415855E-2</v>
      </c>
      <c r="P12" s="71">
        <f>M12/I12</f>
        <v>0.19999999999999996</v>
      </c>
      <c r="Q12" s="3"/>
    </row>
    <row r="13" spans="1:17" x14ac:dyDescent="0.3">
      <c r="A13"/>
      <c r="B13"/>
      <c r="C13" s="30"/>
      <c r="D13" s="40">
        <v>36</v>
      </c>
      <c r="E13" s="67"/>
      <c r="F13" s="67"/>
      <c r="G13" s="67"/>
      <c r="H13" s="48">
        <v>530.95000000000005</v>
      </c>
      <c r="I13" s="34"/>
      <c r="J13" s="35"/>
      <c r="K13" s="68"/>
      <c r="L13" s="36"/>
      <c r="M13" s="37"/>
      <c r="N13" s="47"/>
      <c r="O13" s="47"/>
      <c r="P13" s="51"/>
      <c r="Q13" s="3"/>
    </row>
    <row r="14" spans="1:17" x14ac:dyDescent="0.3">
      <c r="A14"/>
      <c r="B14"/>
      <c r="C14" s="30"/>
      <c r="D14" s="40">
        <v>6</v>
      </c>
      <c r="E14" s="67"/>
      <c r="F14" s="67"/>
      <c r="G14" s="67"/>
      <c r="H14" s="48">
        <v>387.55</v>
      </c>
      <c r="I14" s="34"/>
      <c r="J14" s="35"/>
      <c r="K14" s="68"/>
      <c r="L14" s="36"/>
      <c r="M14" s="37"/>
      <c r="N14" s="47"/>
      <c r="O14" s="47"/>
      <c r="P14" s="51"/>
      <c r="Q14" s="3"/>
    </row>
    <row r="15" spans="1:17" x14ac:dyDescent="0.3">
      <c r="A15"/>
      <c r="B15"/>
      <c r="C15" s="30"/>
      <c r="D15" s="40">
        <v>3</v>
      </c>
      <c r="E15" s="67"/>
      <c r="F15" s="67"/>
      <c r="G15" s="67"/>
      <c r="H15" s="48">
        <v>387.55</v>
      </c>
      <c r="I15" s="34"/>
      <c r="J15" s="35"/>
      <c r="K15" s="68"/>
      <c r="L15" s="36"/>
      <c r="M15" s="37"/>
      <c r="N15" s="47"/>
      <c r="O15" s="47"/>
      <c r="P15" s="51"/>
      <c r="Q15" s="3"/>
    </row>
    <row r="16" spans="1:17" x14ac:dyDescent="0.3">
      <c r="A16"/>
      <c r="B16"/>
      <c r="C16" s="30"/>
      <c r="D16" s="40">
        <v>0</v>
      </c>
      <c r="E16" s="67"/>
      <c r="F16" s="67"/>
      <c r="G16" s="67"/>
      <c r="H16" s="48">
        <v>387.55</v>
      </c>
      <c r="I16" s="34"/>
      <c r="J16" s="35"/>
      <c r="K16" s="68"/>
      <c r="L16" s="36"/>
      <c r="M16" s="37"/>
      <c r="N16" s="47"/>
      <c r="O16" s="47"/>
      <c r="P16" s="51"/>
      <c r="Q16" s="3"/>
    </row>
    <row r="17" spans="1:17" ht="72" x14ac:dyDescent="0.3">
      <c r="A17" t="s">
        <v>23</v>
      </c>
      <c r="B17">
        <v>1</v>
      </c>
      <c r="C17" s="30">
        <v>24458</v>
      </c>
      <c r="D17" s="40">
        <f>($B$3-C17)/365</f>
        <v>56.660273972602738</v>
      </c>
      <c r="E17" s="67">
        <v>1758.76</v>
      </c>
      <c r="F17" s="67">
        <v>439.69</v>
      </c>
      <c r="G17" s="67">
        <v>2198.4499999999998</v>
      </c>
      <c r="H17" s="48">
        <v>1067.24</v>
      </c>
      <c r="I17" s="34">
        <f>SUM(H17:H18)</f>
        <v>2264.25</v>
      </c>
      <c r="J17" s="35">
        <f>(I17-G17)/G17</f>
        <v>2.9930178080011003E-2</v>
      </c>
      <c r="K17" s="68" t="s">
        <v>101</v>
      </c>
      <c r="L17" s="36">
        <f>IF($N$1*H17+$P$1*H18&gt;=I17,I17,$N$1*H17+$P$1*H18)</f>
        <v>1811.4</v>
      </c>
      <c r="M17" s="37">
        <f>I17-L17</f>
        <v>452.84999999999991</v>
      </c>
      <c r="N17" s="63">
        <f>(L17-E17)/E17</f>
        <v>2.9930178080010975E-2</v>
      </c>
      <c r="O17" s="63">
        <f>(M17-F17)/F17</f>
        <v>2.9930178080010715E-2</v>
      </c>
      <c r="P17" s="71">
        <f>M17/I17</f>
        <v>0.19999999999999996</v>
      </c>
      <c r="Q17" s="3"/>
    </row>
    <row r="18" spans="1:17" x14ac:dyDescent="0.3">
      <c r="A18"/>
      <c r="B18"/>
      <c r="C18" s="30"/>
      <c r="D18" s="40">
        <v>59</v>
      </c>
      <c r="E18" s="67"/>
      <c r="F18" s="67"/>
      <c r="G18" s="67"/>
      <c r="H18" s="48">
        <v>1197.01</v>
      </c>
      <c r="I18" s="34"/>
      <c r="J18" s="35"/>
      <c r="K18" s="68"/>
      <c r="L18" s="36"/>
      <c r="M18" s="37"/>
      <c r="N18" s="47"/>
      <c r="O18" s="47"/>
      <c r="P18" s="52"/>
      <c r="Q18" s="3"/>
    </row>
    <row r="19" spans="1:17" ht="72" x14ac:dyDescent="0.3">
      <c r="A19" t="s">
        <v>24</v>
      </c>
      <c r="B19">
        <v>0</v>
      </c>
      <c r="C19" s="30">
        <v>31552</v>
      </c>
      <c r="D19" s="40">
        <f t="shared" ref="D19:D20" si="4">($B$3-C19)/365</f>
        <v>37.224657534246575</v>
      </c>
      <c r="E19" s="67">
        <v>412.42</v>
      </c>
      <c r="F19" s="67">
        <v>249.96</v>
      </c>
      <c r="G19" s="67">
        <v>662.38</v>
      </c>
      <c r="H19" s="48">
        <v>542.79999999999995</v>
      </c>
      <c r="I19" s="34">
        <f>H19</f>
        <v>542.79999999999995</v>
      </c>
      <c r="J19" s="35">
        <f t="shared" ref="J19:J20" si="5">(I19-G19)/G19</f>
        <v>-0.18053081312841576</v>
      </c>
      <c r="K19" s="68" t="s">
        <v>101</v>
      </c>
      <c r="L19" s="36">
        <f>IF($N$1*H19&gt;=I19,I19,$N$1*H19)</f>
        <v>434.24</v>
      </c>
      <c r="M19" s="37">
        <f t="shared" ref="M19:M20" si="6">I19-L19</f>
        <v>108.55999999999995</v>
      </c>
      <c r="N19" s="63">
        <f t="shared" ref="N19:O20" si="7">(L19-E19)/E19</f>
        <v>5.290723049318654E-2</v>
      </c>
      <c r="O19" s="63">
        <f t="shared" si="7"/>
        <v>-0.56569051048167729</v>
      </c>
      <c r="P19" s="71">
        <f t="shared" ref="P19:P20" si="8">M19/I19</f>
        <v>0.19999999999999993</v>
      </c>
      <c r="Q19" s="3"/>
    </row>
    <row r="20" spans="1:17" ht="72" x14ac:dyDescent="0.3">
      <c r="A20" t="s">
        <v>25</v>
      </c>
      <c r="B20">
        <v>2</v>
      </c>
      <c r="C20" s="30">
        <v>31899</v>
      </c>
      <c r="D20" s="40">
        <f t="shared" si="4"/>
        <v>36.273972602739725</v>
      </c>
      <c r="E20" s="67">
        <v>1116.67</v>
      </c>
      <c r="F20" s="67">
        <v>676.78</v>
      </c>
      <c r="G20" s="67">
        <v>1793.45</v>
      </c>
      <c r="H20" s="48">
        <v>530.95000000000005</v>
      </c>
      <c r="I20" s="34">
        <f>SUM(H20:H22)</f>
        <v>1461.3</v>
      </c>
      <c r="J20" s="35">
        <f t="shared" si="5"/>
        <v>-0.18520170620870394</v>
      </c>
      <c r="K20" s="68" t="s">
        <v>101</v>
      </c>
      <c r="L20" s="36">
        <f>IF($N$1*H20+$P$1*SUM(H21:H22)&gt;=I20,I20,$N$1*H20+$P$1*SUM(H21:H22))</f>
        <v>1169.04</v>
      </c>
      <c r="M20" s="37">
        <f t="shared" si="6"/>
        <v>292.26</v>
      </c>
      <c r="N20" s="63">
        <f t="shared" si="7"/>
        <v>4.6898367467559696E-2</v>
      </c>
      <c r="O20" s="63">
        <f t="shared" si="7"/>
        <v>-0.56816099766541561</v>
      </c>
      <c r="P20" s="71">
        <f t="shared" si="8"/>
        <v>0.2</v>
      </c>
      <c r="Q20" s="3"/>
    </row>
    <row r="21" spans="1:17" x14ac:dyDescent="0.3">
      <c r="A21"/>
      <c r="B21"/>
      <c r="C21" s="30"/>
      <c r="D21" s="40">
        <v>37</v>
      </c>
      <c r="E21" s="67"/>
      <c r="F21" s="67"/>
      <c r="G21" s="67"/>
      <c r="H21" s="48">
        <v>542.79999999999995</v>
      </c>
      <c r="I21" s="34"/>
      <c r="J21" s="35"/>
      <c r="K21" s="68"/>
      <c r="L21" s="36"/>
      <c r="M21" s="37"/>
      <c r="N21" s="47"/>
      <c r="O21" s="47"/>
      <c r="P21" s="52"/>
      <c r="Q21" s="3"/>
    </row>
    <row r="22" spans="1:17" x14ac:dyDescent="0.3">
      <c r="A22"/>
      <c r="B22"/>
      <c r="C22" s="30"/>
      <c r="D22" s="40">
        <v>5</v>
      </c>
      <c r="E22" s="67"/>
      <c r="F22" s="67"/>
      <c r="G22" s="67"/>
      <c r="H22" s="48">
        <v>387.55</v>
      </c>
      <c r="I22" s="34"/>
      <c r="J22" s="35"/>
      <c r="K22" s="68"/>
      <c r="L22" s="36"/>
      <c r="M22" s="37"/>
      <c r="N22" s="47"/>
      <c r="O22" s="47"/>
      <c r="P22" s="52"/>
      <c r="Q22" s="3"/>
    </row>
    <row r="23" spans="1:17" ht="72" x14ac:dyDescent="0.3">
      <c r="A23" t="s">
        <v>26</v>
      </c>
      <c r="B23">
        <v>0</v>
      </c>
      <c r="C23" s="30">
        <v>34588</v>
      </c>
      <c r="D23" s="40">
        <f t="shared" ref="D23:D29" si="9">($B$3-C23)/365</f>
        <v>28.906849315068492</v>
      </c>
      <c r="E23" s="67">
        <v>334.63</v>
      </c>
      <c r="F23" s="67">
        <v>117.07</v>
      </c>
      <c r="G23" s="67">
        <v>451.7</v>
      </c>
      <c r="H23" s="48">
        <v>440.88</v>
      </c>
      <c r="I23" s="34">
        <f t="shared" ref="I23:I28" si="10">H23</f>
        <v>440.88</v>
      </c>
      <c r="J23" s="35">
        <f t="shared" ref="J23:J29" si="11">(I23-G23)/G23</f>
        <v>-2.395395173787911E-2</v>
      </c>
      <c r="K23" s="68" t="s">
        <v>101</v>
      </c>
      <c r="L23" s="36">
        <f t="shared" ref="L23:L28" si="12">IF($N$1*H23&gt;=I23,I23,$N$1*H23)</f>
        <v>352.70400000000001</v>
      </c>
      <c r="M23" s="37">
        <f t="shared" ref="M23:M29" si="13">I23-L23</f>
        <v>88.175999999999988</v>
      </c>
      <c r="N23" s="63">
        <f t="shared" ref="N23:O29" si="14">(L23-E23)/E23</f>
        <v>5.4011893733377198E-2</v>
      </c>
      <c r="O23" s="63">
        <f t="shared" si="14"/>
        <v>-0.246809601093363</v>
      </c>
      <c r="P23" s="71">
        <f t="shared" ref="P23:P29" si="15">M23/I23</f>
        <v>0.19999999999999998</v>
      </c>
      <c r="Q23" s="3"/>
    </row>
    <row r="24" spans="1:17" ht="72" x14ac:dyDescent="0.3">
      <c r="A24" t="s">
        <v>27</v>
      </c>
      <c r="B24">
        <v>0</v>
      </c>
      <c r="C24" s="30">
        <v>33900</v>
      </c>
      <c r="D24" s="40">
        <f t="shared" si="9"/>
        <v>30.791780821917808</v>
      </c>
      <c r="E24" s="67">
        <v>349.82</v>
      </c>
      <c r="F24" s="67">
        <v>122.38</v>
      </c>
      <c r="G24" s="67">
        <v>472.2</v>
      </c>
      <c r="H24" s="48">
        <v>461.62</v>
      </c>
      <c r="I24" s="34">
        <f t="shared" si="10"/>
        <v>461.62</v>
      </c>
      <c r="J24" s="35">
        <f t="shared" si="11"/>
        <v>-2.2405760271071547E-2</v>
      </c>
      <c r="K24" s="68" t="s">
        <v>101</v>
      </c>
      <c r="L24" s="36">
        <f t="shared" si="12"/>
        <v>369.29600000000005</v>
      </c>
      <c r="M24" s="37">
        <f t="shared" si="13"/>
        <v>92.323999999999955</v>
      </c>
      <c r="N24" s="63">
        <f t="shared" si="14"/>
        <v>5.5674346806929439E-2</v>
      </c>
      <c r="O24" s="63">
        <f t="shared" si="14"/>
        <v>-0.24559568556953784</v>
      </c>
      <c r="P24" s="71">
        <f t="shared" si="15"/>
        <v>0.1999999999999999</v>
      </c>
      <c r="Q24" s="3"/>
    </row>
    <row r="25" spans="1:17" ht="72" x14ac:dyDescent="0.3">
      <c r="A25" t="s">
        <v>28</v>
      </c>
      <c r="B25">
        <v>0</v>
      </c>
      <c r="C25" s="30">
        <v>33765</v>
      </c>
      <c r="D25" s="40">
        <f t="shared" si="9"/>
        <v>31.161643835616438</v>
      </c>
      <c r="E25" s="67">
        <v>358.57</v>
      </c>
      <c r="F25" s="67">
        <v>125.44</v>
      </c>
      <c r="G25" s="67">
        <v>484.01</v>
      </c>
      <c r="H25" s="48">
        <v>473.47</v>
      </c>
      <c r="I25" s="34">
        <f t="shared" si="10"/>
        <v>473.47</v>
      </c>
      <c r="J25" s="35">
        <f t="shared" si="11"/>
        <v>-2.1776409578314424E-2</v>
      </c>
      <c r="K25" s="68" t="s">
        <v>101</v>
      </c>
      <c r="L25" s="36">
        <f t="shared" si="12"/>
        <v>378.77600000000007</v>
      </c>
      <c r="M25" s="37">
        <f t="shared" si="13"/>
        <v>94.69399999999996</v>
      </c>
      <c r="N25" s="63">
        <f t="shared" si="14"/>
        <v>5.6351618930752918E-2</v>
      </c>
      <c r="O25" s="63">
        <f t="shared" si="14"/>
        <v>-0.24510522959183703</v>
      </c>
      <c r="P25" s="71">
        <f t="shared" si="15"/>
        <v>0.1999999999999999</v>
      </c>
      <c r="Q25" s="3"/>
    </row>
    <row r="26" spans="1:17" ht="72" x14ac:dyDescent="0.3">
      <c r="A26" t="s">
        <v>29</v>
      </c>
      <c r="B26">
        <v>0</v>
      </c>
      <c r="C26" s="30">
        <v>31116</v>
      </c>
      <c r="D26" s="40">
        <f t="shared" si="9"/>
        <v>38.419178082191777</v>
      </c>
      <c r="E26" s="67">
        <v>426.69</v>
      </c>
      <c r="F26" s="67">
        <v>149.27000000000001</v>
      </c>
      <c r="G26" s="67">
        <v>575.96</v>
      </c>
      <c r="H26" s="48">
        <v>549.32000000000005</v>
      </c>
      <c r="I26" s="34">
        <f t="shared" si="10"/>
        <v>549.32000000000005</v>
      </c>
      <c r="J26" s="35">
        <f t="shared" si="11"/>
        <v>-4.6253212028613072E-2</v>
      </c>
      <c r="K26" s="68" t="s">
        <v>101</v>
      </c>
      <c r="L26" s="36">
        <f t="shared" si="12"/>
        <v>439.45600000000007</v>
      </c>
      <c r="M26" s="37">
        <f t="shared" si="13"/>
        <v>109.86399999999998</v>
      </c>
      <c r="N26" s="63">
        <f t="shared" si="14"/>
        <v>2.9918676322388798E-2</v>
      </c>
      <c r="O26" s="63">
        <f t="shared" si="14"/>
        <v>-0.26399142493468231</v>
      </c>
      <c r="P26" s="71">
        <f t="shared" si="15"/>
        <v>0.19999999999999993</v>
      </c>
      <c r="Q26" s="3"/>
    </row>
    <row r="27" spans="1:17" ht="72" x14ac:dyDescent="0.3">
      <c r="A27" t="s">
        <v>30</v>
      </c>
      <c r="B27">
        <v>0</v>
      </c>
      <c r="C27" s="30">
        <v>33886</v>
      </c>
      <c r="D27" s="40">
        <f t="shared" si="9"/>
        <v>30.830136986301369</v>
      </c>
      <c r="E27" s="67">
        <v>349.82</v>
      </c>
      <c r="F27" s="67">
        <v>75.87</v>
      </c>
      <c r="G27" s="67">
        <v>425.69</v>
      </c>
      <c r="H27" s="48">
        <v>461.62</v>
      </c>
      <c r="I27" s="34">
        <f t="shared" si="10"/>
        <v>461.62</v>
      </c>
      <c r="J27" s="35">
        <f t="shared" si="11"/>
        <v>8.4404143860555822E-2</v>
      </c>
      <c r="K27" s="68" t="s">
        <v>101</v>
      </c>
      <c r="L27" s="36">
        <f t="shared" si="12"/>
        <v>369.29600000000005</v>
      </c>
      <c r="M27" s="37">
        <f t="shared" si="13"/>
        <v>92.323999999999955</v>
      </c>
      <c r="N27" s="63">
        <f t="shared" si="14"/>
        <v>5.5674346806929439E-2</v>
      </c>
      <c r="O27" s="63">
        <f t="shared" si="14"/>
        <v>0.21687096349017992</v>
      </c>
      <c r="P27" s="71">
        <f t="shared" si="15"/>
        <v>0.1999999999999999</v>
      </c>
      <c r="Q27" s="3"/>
    </row>
    <row r="28" spans="1:17" ht="72" x14ac:dyDescent="0.3">
      <c r="A28" t="s">
        <v>31</v>
      </c>
      <c r="B28">
        <v>0</v>
      </c>
      <c r="C28" s="30">
        <v>29996</v>
      </c>
      <c r="D28" s="40">
        <f t="shared" si="9"/>
        <v>41.487671232876714</v>
      </c>
      <c r="E28" s="67">
        <v>448.78</v>
      </c>
      <c r="F28" s="67">
        <v>97.34</v>
      </c>
      <c r="G28" s="67">
        <v>546.12</v>
      </c>
      <c r="H28" s="48">
        <v>600.28</v>
      </c>
      <c r="I28" s="34">
        <f t="shared" si="10"/>
        <v>600.28</v>
      </c>
      <c r="J28" s="35">
        <f t="shared" si="11"/>
        <v>9.9172343074782038E-2</v>
      </c>
      <c r="K28" s="68" t="s">
        <v>101</v>
      </c>
      <c r="L28" s="36">
        <f t="shared" si="12"/>
        <v>480.22399999999999</v>
      </c>
      <c r="M28" s="37">
        <f t="shared" si="13"/>
        <v>120.05599999999998</v>
      </c>
      <c r="N28" s="63">
        <f t="shared" si="14"/>
        <v>7.0065510940772804E-2</v>
      </c>
      <c r="O28" s="63">
        <f t="shared" si="14"/>
        <v>0.23336757756318038</v>
      </c>
      <c r="P28" s="71">
        <f t="shared" si="15"/>
        <v>0.19999999999999998</v>
      </c>
      <c r="Q28" s="3"/>
    </row>
    <row r="29" spans="1:17" ht="72" x14ac:dyDescent="0.3">
      <c r="A29" t="s">
        <v>32</v>
      </c>
      <c r="B29">
        <v>1</v>
      </c>
      <c r="C29" s="30">
        <v>31217</v>
      </c>
      <c r="D29" s="40">
        <f t="shared" si="9"/>
        <v>38.142465753424659</v>
      </c>
      <c r="E29" s="67">
        <v>887.89</v>
      </c>
      <c r="F29" s="67">
        <v>192.58</v>
      </c>
      <c r="G29" s="67">
        <v>1080.47</v>
      </c>
      <c r="H29" s="48">
        <v>549.32000000000005</v>
      </c>
      <c r="I29" s="38">
        <f>SUM(H29:H30)</f>
        <v>1173.31</v>
      </c>
      <c r="J29" s="35">
        <f t="shared" si="11"/>
        <v>8.5925569428119172E-2</v>
      </c>
      <c r="K29" s="68" t="s">
        <v>101</v>
      </c>
      <c r="L29" s="36">
        <f>IF($N$1*H29+$P$1*H30&gt;=I29,I29,$N$1*H29+$P$1*H30)</f>
        <v>938.64800000000014</v>
      </c>
      <c r="M29" s="37">
        <f t="shared" si="13"/>
        <v>234.66199999999981</v>
      </c>
      <c r="N29" s="63">
        <f t="shared" si="14"/>
        <v>5.7166991406593329E-2</v>
      </c>
      <c r="O29" s="63">
        <f t="shared" si="14"/>
        <v>0.2185169799563807</v>
      </c>
      <c r="P29" s="71">
        <f t="shared" si="15"/>
        <v>0.19999999999999984</v>
      </c>
      <c r="Q29" s="3"/>
    </row>
    <row r="30" spans="1:17" x14ac:dyDescent="0.3">
      <c r="A30"/>
      <c r="B30"/>
      <c r="C30" s="30"/>
      <c r="D30" s="40">
        <v>42</v>
      </c>
      <c r="E30" s="67"/>
      <c r="F30" s="67"/>
      <c r="G30" s="67"/>
      <c r="H30" s="48">
        <v>623.99</v>
      </c>
      <c r="I30" s="38"/>
      <c r="J30" s="35"/>
      <c r="K30" s="68"/>
      <c r="L30" s="39"/>
      <c r="M30" s="37"/>
      <c r="N30" s="37"/>
      <c r="O30" s="37"/>
      <c r="P30" s="51"/>
      <c r="Q30" s="3"/>
    </row>
    <row r="31" spans="1:17" ht="72" x14ac:dyDescent="0.3">
      <c r="A31" t="s">
        <v>33</v>
      </c>
      <c r="B31">
        <v>0</v>
      </c>
      <c r="C31" s="30">
        <v>35369</v>
      </c>
      <c r="D31" s="40">
        <f t="shared" ref="D31:D33" si="16">($B$3-C31)/365</f>
        <v>26.767123287671232</v>
      </c>
      <c r="E31" s="67">
        <v>324.42</v>
      </c>
      <c r="F31" s="67">
        <v>0</v>
      </c>
      <c r="G31" s="67">
        <v>324.42</v>
      </c>
      <c r="H31" s="48">
        <v>430.81</v>
      </c>
      <c r="I31" s="34">
        <f t="shared" ref="I31:I33" si="17">H31</f>
        <v>430.81</v>
      </c>
      <c r="J31" s="35">
        <f t="shared" ref="J31:J34" si="18">(I31-G31)/G31</f>
        <v>0.32793909130139937</v>
      </c>
      <c r="K31" s="68" t="s">
        <v>101</v>
      </c>
      <c r="L31" s="36">
        <f t="shared" ref="L31:L33" si="19">IF($N$1*H31&gt;=I31,I31,$N$1*H31)</f>
        <v>344.64800000000002</v>
      </c>
      <c r="M31" s="37">
        <f t="shared" ref="M31:M34" si="20">I31-L31</f>
        <v>86.161999999999978</v>
      </c>
      <c r="N31" s="63">
        <f t="shared" ref="N31:O34" si="21">(L31-E31)/E31</f>
        <v>6.2351273041119558E-2</v>
      </c>
      <c r="O31" s="63" t="e">
        <f t="shared" si="21"/>
        <v>#DIV/0!</v>
      </c>
      <c r="P31" s="71">
        <f t="shared" ref="P31:P34" si="22">M31/I31</f>
        <v>0.19999999999999996</v>
      </c>
      <c r="Q31" s="3"/>
    </row>
    <row r="32" spans="1:17" ht="72" x14ac:dyDescent="0.3">
      <c r="A32" t="s">
        <v>34</v>
      </c>
      <c r="B32">
        <v>0</v>
      </c>
      <c r="C32" s="30">
        <v>34295</v>
      </c>
      <c r="D32" s="40">
        <f t="shared" si="16"/>
        <v>29.709589041095889</v>
      </c>
      <c r="E32" s="67">
        <v>332</v>
      </c>
      <c r="F32" s="67">
        <v>0</v>
      </c>
      <c r="G32" s="67">
        <v>332</v>
      </c>
      <c r="H32" s="48">
        <v>450.36</v>
      </c>
      <c r="I32" s="34">
        <f t="shared" si="17"/>
        <v>450.36</v>
      </c>
      <c r="J32" s="35">
        <f t="shared" si="18"/>
        <v>0.3565060240963856</v>
      </c>
      <c r="K32" s="68" t="s">
        <v>101</v>
      </c>
      <c r="L32" s="36">
        <f t="shared" si="19"/>
        <v>360.28800000000001</v>
      </c>
      <c r="M32" s="37">
        <f t="shared" si="20"/>
        <v>90.072000000000003</v>
      </c>
      <c r="N32" s="63">
        <f t="shared" si="21"/>
        <v>8.5204819277108462E-2</v>
      </c>
      <c r="O32" s="63" t="e">
        <f t="shared" si="21"/>
        <v>#DIV/0!</v>
      </c>
      <c r="P32" s="71">
        <f t="shared" si="22"/>
        <v>0.2</v>
      </c>
      <c r="Q32" s="3"/>
    </row>
    <row r="33" spans="1:17" ht="72" x14ac:dyDescent="0.3">
      <c r="A33" t="s">
        <v>35</v>
      </c>
      <c r="B33">
        <v>0</v>
      </c>
      <c r="C33" s="30">
        <v>33576</v>
      </c>
      <c r="D33" s="40">
        <f t="shared" si="16"/>
        <v>31.67945205479452</v>
      </c>
      <c r="E33" s="67">
        <v>347.62</v>
      </c>
      <c r="F33" s="67">
        <v>0</v>
      </c>
      <c r="G33" s="67">
        <v>347.62</v>
      </c>
      <c r="H33" s="48">
        <v>473.47</v>
      </c>
      <c r="I33" s="34">
        <f t="shared" si="17"/>
        <v>473.47</v>
      </c>
      <c r="J33" s="35">
        <f t="shared" si="18"/>
        <v>0.36203325470341186</v>
      </c>
      <c r="K33" s="68" t="s">
        <v>101</v>
      </c>
      <c r="L33" s="36">
        <f t="shared" si="19"/>
        <v>378.77600000000007</v>
      </c>
      <c r="M33" s="37">
        <f t="shared" si="20"/>
        <v>94.69399999999996</v>
      </c>
      <c r="N33" s="63">
        <f t="shared" si="21"/>
        <v>8.9626603762729601E-2</v>
      </c>
      <c r="O33" s="63" t="e">
        <f t="shared" si="21"/>
        <v>#DIV/0!</v>
      </c>
      <c r="P33" s="71">
        <f t="shared" si="22"/>
        <v>0.1999999999999999</v>
      </c>
      <c r="Q33" s="3"/>
    </row>
    <row r="34" spans="1:17" ht="72" x14ac:dyDescent="0.3">
      <c r="A34" s="74" t="s">
        <v>36</v>
      </c>
      <c r="B34">
        <v>1</v>
      </c>
      <c r="C34" s="30">
        <v>33338</v>
      </c>
      <c r="D34" s="40">
        <f>($B$3-C34)/365</f>
        <v>32.331506849315069</v>
      </c>
      <c r="E34" s="67">
        <v>680.97</v>
      </c>
      <c r="F34" s="67">
        <v>0</v>
      </c>
      <c r="G34" s="67">
        <v>680.97</v>
      </c>
      <c r="H34" s="48">
        <v>484.14</v>
      </c>
      <c r="I34" s="38">
        <f>SUM(H34:H35)</f>
        <v>925.02</v>
      </c>
      <c r="J34" s="35">
        <f t="shared" si="18"/>
        <v>0.35838583197497681</v>
      </c>
      <c r="K34" s="68" t="s">
        <v>101</v>
      </c>
      <c r="L34" s="36">
        <f>IF($N$1*H34+$P$1*H35&gt;=I34,I34,$N$1*H34+$P$1*H35)</f>
        <v>740.01600000000008</v>
      </c>
      <c r="M34" s="37">
        <f t="shared" si="20"/>
        <v>185.00399999999991</v>
      </c>
      <c r="N34" s="63">
        <f t="shared" si="21"/>
        <v>8.6708665579981567E-2</v>
      </c>
      <c r="O34" s="63" t="e">
        <f t="shared" si="21"/>
        <v>#DIV/0!</v>
      </c>
      <c r="P34" s="71">
        <f t="shared" si="22"/>
        <v>0.1999999999999999</v>
      </c>
      <c r="Q34" s="3"/>
    </row>
    <row r="35" spans="1:17" x14ac:dyDescent="0.3">
      <c r="A35"/>
      <c r="B35"/>
      <c r="C35" s="30"/>
      <c r="D35" s="40">
        <v>28</v>
      </c>
      <c r="E35" s="67"/>
      <c r="F35" s="67"/>
      <c r="G35" s="67"/>
      <c r="H35" s="48">
        <v>440.88</v>
      </c>
      <c r="I35" s="38"/>
      <c r="J35" s="35"/>
      <c r="K35" s="68"/>
      <c r="L35" s="36"/>
      <c r="M35" s="37"/>
      <c r="N35" s="47"/>
      <c r="O35" s="47"/>
      <c r="P35" s="52"/>
      <c r="Q35" s="3"/>
    </row>
    <row r="36" spans="1:17" ht="72" x14ac:dyDescent="0.3">
      <c r="A36" t="s">
        <v>37</v>
      </c>
      <c r="B36">
        <v>1</v>
      </c>
      <c r="C36" s="30">
        <v>31561</v>
      </c>
      <c r="D36" s="40">
        <f>($B$3-C36)/365</f>
        <v>37.200000000000003</v>
      </c>
      <c r="E36" s="67">
        <v>691.67</v>
      </c>
      <c r="F36" s="67">
        <v>0</v>
      </c>
      <c r="G36" s="67">
        <v>691.67</v>
      </c>
      <c r="H36" s="48">
        <v>542.79999999999995</v>
      </c>
      <c r="I36" s="38">
        <f>SUM(H36:H37)</f>
        <v>930.34999999999991</v>
      </c>
      <c r="J36" s="35">
        <f>(I36-G36)/G36</f>
        <v>0.34507785504648164</v>
      </c>
      <c r="K36" s="68" t="s">
        <v>101</v>
      </c>
      <c r="L36" s="36">
        <f>IF($N$1*H36+$P$1*H37&gt;=I36,I36,$N$1*H36+$P$1*H37)</f>
        <v>744.28</v>
      </c>
      <c r="M36" s="37">
        <f>I36-L36</f>
        <v>186.06999999999994</v>
      </c>
      <c r="N36" s="63">
        <f>(L36-E36)/E36</f>
        <v>7.6062284037185388E-2</v>
      </c>
      <c r="O36" s="63" t="e">
        <f>(M36-F36)/F36</f>
        <v>#DIV/0!</v>
      </c>
      <c r="P36" s="71">
        <f>M36/I36</f>
        <v>0.19999999999999996</v>
      </c>
      <c r="Q36" s="3"/>
    </row>
    <row r="37" spans="1:17" x14ac:dyDescent="0.3">
      <c r="A37"/>
      <c r="B37"/>
      <c r="C37" s="30"/>
      <c r="D37" s="40">
        <v>0</v>
      </c>
      <c r="E37" s="67"/>
      <c r="F37" s="67"/>
      <c r="G37" s="67"/>
      <c r="H37" s="48">
        <v>387.55</v>
      </c>
      <c r="I37" s="38"/>
      <c r="J37" s="35"/>
      <c r="K37" s="68"/>
      <c r="L37" s="36"/>
      <c r="M37" s="37"/>
      <c r="N37" s="47"/>
      <c r="O37" s="47"/>
      <c r="P37" s="52"/>
      <c r="Q37" s="3"/>
    </row>
    <row r="38" spans="1:17" ht="72" x14ac:dyDescent="0.3">
      <c r="A38" t="s">
        <v>38</v>
      </c>
      <c r="B38">
        <v>1</v>
      </c>
      <c r="C38" s="30">
        <v>33497</v>
      </c>
      <c r="D38" s="40">
        <f>($B$3-C38)/365</f>
        <v>31.895890410958906</v>
      </c>
      <c r="E38" s="67">
        <v>695.24</v>
      </c>
      <c r="F38" s="67">
        <v>0</v>
      </c>
      <c r="G38" s="67">
        <v>695.24</v>
      </c>
      <c r="H38" s="48">
        <v>473.47</v>
      </c>
      <c r="I38" s="38">
        <f>SUM(H38:H39)</f>
        <v>946.94</v>
      </c>
      <c r="J38" s="35">
        <f>(I38-G38)/G38</f>
        <v>0.36203325470341186</v>
      </c>
      <c r="K38" s="68" t="s">
        <v>101</v>
      </c>
      <c r="L38" s="36">
        <f>IF($N$1*H38+$P$1*H39&gt;=I38,I38,$N$1*H38+$P$1*H39)</f>
        <v>757.55200000000013</v>
      </c>
      <c r="M38" s="37">
        <f>I38-L38</f>
        <v>189.38799999999992</v>
      </c>
      <c r="N38" s="63">
        <f>(L38-E38)/E38</f>
        <v>8.9626603762729601E-2</v>
      </c>
      <c r="O38" s="63" t="e">
        <f>(M38-F38)/F38</f>
        <v>#DIV/0!</v>
      </c>
      <c r="P38" s="71">
        <f>M38/I38</f>
        <v>0.1999999999999999</v>
      </c>
      <c r="Q38" s="3"/>
    </row>
    <row r="39" spans="1:17" x14ac:dyDescent="0.3">
      <c r="A39"/>
      <c r="B39"/>
      <c r="C39" s="30"/>
      <c r="D39" s="40">
        <v>31</v>
      </c>
      <c r="E39" s="67"/>
      <c r="F39" s="67"/>
      <c r="G39" s="67"/>
      <c r="H39" s="48">
        <v>473.47</v>
      </c>
      <c r="I39" s="38"/>
      <c r="J39" s="35"/>
      <c r="K39" s="68"/>
      <c r="L39" s="36"/>
      <c r="M39" s="37"/>
      <c r="N39" s="47"/>
      <c r="O39" s="47"/>
      <c r="P39" s="52"/>
      <c r="Q39" s="3"/>
    </row>
    <row r="40" spans="1:17" ht="72" x14ac:dyDescent="0.3">
      <c r="A40" t="s">
        <v>39</v>
      </c>
      <c r="B40">
        <v>1</v>
      </c>
      <c r="C40" s="30">
        <v>34122</v>
      </c>
      <c r="D40" s="40">
        <f>($B$3-C40)/365</f>
        <v>30.183561643835617</v>
      </c>
      <c r="E40" s="67">
        <v>738.97</v>
      </c>
      <c r="F40" s="67">
        <v>0</v>
      </c>
      <c r="G40" s="67">
        <v>738.97</v>
      </c>
      <c r="H40" s="48">
        <v>461.62</v>
      </c>
      <c r="I40" s="38">
        <f>SUM(H40:H41)</f>
        <v>1004.42</v>
      </c>
      <c r="J40" s="35">
        <f>(I40-G40)/G40</f>
        <v>0.35921620634125867</v>
      </c>
      <c r="K40" s="68" t="s">
        <v>101</v>
      </c>
      <c r="L40" s="36">
        <f>IF($N$1*H40+$P$1*H41&gt;=I40,I40,$N$1*H40+$P$1*H41)</f>
        <v>803.53600000000006</v>
      </c>
      <c r="M40" s="37">
        <f>I40-L40</f>
        <v>200.8839999999999</v>
      </c>
      <c r="N40" s="63">
        <f>(L40-E40)/E40</f>
        <v>8.7372965073007056E-2</v>
      </c>
      <c r="O40" s="63" t="e">
        <f>(M40-F40)/F40</f>
        <v>#DIV/0!</v>
      </c>
      <c r="P40" s="71">
        <f>M40/I40</f>
        <v>0.1999999999999999</v>
      </c>
      <c r="Q40" s="3"/>
    </row>
    <row r="41" spans="1:17" x14ac:dyDescent="0.3">
      <c r="A41"/>
      <c r="B41"/>
      <c r="C41" s="30"/>
      <c r="D41" s="40">
        <v>37</v>
      </c>
      <c r="E41" s="67"/>
      <c r="F41" s="67"/>
      <c r="G41" s="67"/>
      <c r="H41" s="48">
        <v>542.79999999999995</v>
      </c>
      <c r="I41" s="38"/>
      <c r="J41" s="35"/>
      <c r="K41" s="68"/>
      <c r="L41" s="36"/>
      <c r="M41" s="37"/>
      <c r="N41" s="47"/>
      <c r="O41" s="47"/>
      <c r="P41" s="52"/>
      <c r="Q41" s="3"/>
    </row>
    <row r="42" spans="1:17" ht="72" x14ac:dyDescent="0.3">
      <c r="A42" s="74" t="s">
        <v>40</v>
      </c>
      <c r="B42">
        <v>0</v>
      </c>
      <c r="C42" s="30">
        <v>24504</v>
      </c>
      <c r="D42" s="40">
        <f t="shared" ref="D42:D43" si="23">($B$3-C42)/365</f>
        <v>56.534246575342465</v>
      </c>
      <c r="E42" s="67">
        <v>773.34</v>
      </c>
      <c r="F42" s="67">
        <v>0</v>
      </c>
      <c r="G42" s="67">
        <v>773.34</v>
      </c>
      <c r="H42" s="48">
        <v>1067.24</v>
      </c>
      <c r="I42" s="34">
        <f>H42</f>
        <v>1067.24</v>
      </c>
      <c r="J42" s="35">
        <f t="shared" ref="J42:J43" si="24">(I42-G42)/G42</f>
        <v>0.38003982724286856</v>
      </c>
      <c r="K42" s="68" t="s">
        <v>101</v>
      </c>
      <c r="L42" s="36">
        <f>IF($N$1*H42&gt;=I42,I42,$N$1*H42)</f>
        <v>853.79200000000003</v>
      </c>
      <c r="M42" s="37">
        <f t="shared" ref="M42:M43" si="25">I42-L42</f>
        <v>213.44799999999998</v>
      </c>
      <c r="N42" s="63">
        <f t="shared" ref="N42:O43" si="26">(L42-E42)/E42</f>
        <v>0.10403186179429487</v>
      </c>
      <c r="O42" s="63" t="e">
        <f t="shared" si="26"/>
        <v>#DIV/0!</v>
      </c>
      <c r="P42" s="71">
        <f t="shared" ref="P42:P43" si="27">M42/I42</f>
        <v>0.19999999999999998</v>
      </c>
      <c r="Q42" s="3"/>
    </row>
    <row r="43" spans="1:17" ht="72" x14ac:dyDescent="0.3">
      <c r="A43" s="74" t="s">
        <v>41</v>
      </c>
      <c r="B43">
        <v>1</v>
      </c>
      <c r="C43" s="30">
        <v>28690</v>
      </c>
      <c r="D43" s="40">
        <f t="shared" si="23"/>
        <v>45.065753424657537</v>
      </c>
      <c r="E43" s="67">
        <v>1054.92</v>
      </c>
      <c r="F43" s="67">
        <v>0</v>
      </c>
      <c r="G43" s="67">
        <v>1054.92</v>
      </c>
      <c r="H43" s="48">
        <v>699.84</v>
      </c>
      <c r="I43" s="38">
        <f>SUM(H43:H44)</f>
        <v>1455.38</v>
      </c>
      <c r="J43" s="35">
        <f t="shared" si="24"/>
        <v>0.37961172411178101</v>
      </c>
      <c r="K43" s="68" t="s">
        <v>101</v>
      </c>
      <c r="L43" s="36">
        <f>IF($N$1*H43+$P$1*H44&gt;=I43,I43,$N$1*H43+$P$1*H44)</f>
        <v>1164.3040000000001</v>
      </c>
      <c r="M43" s="37">
        <f t="shared" si="25"/>
        <v>291.07600000000002</v>
      </c>
      <c r="N43" s="63">
        <f t="shared" si="26"/>
        <v>0.1036893792894248</v>
      </c>
      <c r="O43" s="63" t="e">
        <f t="shared" si="26"/>
        <v>#DIV/0!</v>
      </c>
      <c r="P43" s="71">
        <f t="shared" si="27"/>
        <v>0.2</v>
      </c>
      <c r="Q43" s="3"/>
    </row>
    <row r="44" spans="1:17" x14ac:dyDescent="0.3">
      <c r="A44"/>
      <c r="B44"/>
      <c r="C44" s="30"/>
      <c r="D44" s="40">
        <v>47</v>
      </c>
      <c r="E44" s="67"/>
      <c r="F44" s="67"/>
      <c r="G44" s="67"/>
      <c r="H44" s="48">
        <v>755.54</v>
      </c>
      <c r="I44" s="34"/>
      <c r="J44" s="35"/>
      <c r="K44" s="68"/>
      <c r="L44" s="36"/>
      <c r="M44" s="37"/>
      <c r="N44" s="47"/>
      <c r="O44" s="47"/>
      <c r="P44" s="52"/>
      <c r="Q44" s="3"/>
    </row>
    <row r="45" spans="1:17" ht="72" x14ac:dyDescent="0.3">
      <c r="A45" s="74" t="s">
        <v>42</v>
      </c>
      <c r="B45">
        <v>3</v>
      </c>
      <c r="C45" s="30">
        <v>27512</v>
      </c>
      <c r="D45" s="40">
        <f>($B$3-C45)/365</f>
        <v>48.293150684931504</v>
      </c>
      <c r="E45" s="67">
        <v>1700.18</v>
      </c>
      <c r="F45" s="67">
        <v>0</v>
      </c>
      <c r="G45" s="67">
        <v>1700.18</v>
      </c>
      <c r="H45" s="48">
        <v>785.17</v>
      </c>
      <c r="I45" s="38">
        <f>SUM(H45:H48)</f>
        <v>2287.37</v>
      </c>
      <c r="J45" s="35">
        <f>(I45-G45)/G45</f>
        <v>0.3453693138373583</v>
      </c>
      <c r="K45" s="68" t="s">
        <v>101</v>
      </c>
      <c r="L45" s="36">
        <f>IF($N$1*H45+$P$1*SUM(H46:H48)&gt;=I45,I45,$N$1*H45+$P$1*SUM(H46:H48))</f>
        <v>1829.896</v>
      </c>
      <c r="M45" s="37">
        <f>I45-L45</f>
        <v>457.47399999999993</v>
      </c>
      <c r="N45" s="63">
        <f>(L45-E45)/E45</f>
        <v>7.6295451069886652E-2</v>
      </c>
      <c r="O45" s="63" t="e">
        <f>(M45-F45)/F45</f>
        <v>#DIV/0!</v>
      </c>
      <c r="P45" s="71">
        <f>M45/I45</f>
        <v>0.19999999999999998</v>
      </c>
      <c r="Q45" s="3"/>
    </row>
    <row r="46" spans="1:17" x14ac:dyDescent="0.3">
      <c r="A46"/>
      <c r="B46"/>
      <c r="C46" s="30"/>
      <c r="D46" s="40">
        <v>46</v>
      </c>
      <c r="E46" s="67"/>
      <c r="F46" s="67"/>
      <c r="G46" s="67"/>
      <c r="H46" s="48">
        <v>727.1</v>
      </c>
      <c r="I46" s="34"/>
      <c r="J46" s="35"/>
      <c r="K46" s="68"/>
      <c r="L46" s="36"/>
      <c r="M46" s="37"/>
      <c r="N46" s="47"/>
      <c r="O46" s="47"/>
      <c r="P46" s="52"/>
      <c r="Q46" s="3"/>
    </row>
    <row r="47" spans="1:17" x14ac:dyDescent="0.3">
      <c r="A47"/>
      <c r="B47"/>
      <c r="C47" s="30"/>
      <c r="D47" s="40">
        <v>10</v>
      </c>
      <c r="E47" s="67"/>
      <c r="F47" s="67"/>
      <c r="G47" s="67"/>
      <c r="H47" s="48">
        <v>387.55</v>
      </c>
      <c r="I47" s="34"/>
      <c r="J47" s="35"/>
      <c r="K47" s="68"/>
      <c r="L47" s="36"/>
      <c r="M47" s="37"/>
      <c r="N47" s="47"/>
      <c r="O47" s="47"/>
      <c r="P47" s="52"/>
      <c r="Q47" s="3"/>
    </row>
    <row r="48" spans="1:17" x14ac:dyDescent="0.3">
      <c r="A48"/>
      <c r="B48"/>
      <c r="C48" s="30"/>
      <c r="D48" s="40">
        <v>7</v>
      </c>
      <c r="E48" s="67"/>
      <c r="F48" s="67"/>
      <c r="G48" s="67"/>
      <c r="H48" s="48">
        <v>387.55</v>
      </c>
      <c r="I48" s="34"/>
      <c r="J48" s="35"/>
      <c r="K48" s="68"/>
      <c r="L48" s="36"/>
      <c r="M48" s="37"/>
      <c r="N48" s="47"/>
      <c r="O48" s="47"/>
      <c r="P48" s="52"/>
      <c r="Q48" s="3"/>
    </row>
    <row r="49" spans="1:17" ht="72" x14ac:dyDescent="0.3">
      <c r="A49" t="s">
        <v>43</v>
      </c>
      <c r="B49">
        <v>0</v>
      </c>
      <c r="C49" s="30">
        <v>36111</v>
      </c>
      <c r="D49" s="40">
        <f t="shared" ref="D49:D50" si="28">($B$3-C49)/365</f>
        <v>24.734246575342464</v>
      </c>
      <c r="E49" s="67">
        <v>334.63</v>
      </c>
      <c r="F49" s="67">
        <v>16.28</v>
      </c>
      <c r="G49" s="67">
        <v>350.91</v>
      </c>
      <c r="H49" s="48">
        <v>430.81</v>
      </c>
      <c r="I49" s="34">
        <f>H49</f>
        <v>430.81</v>
      </c>
      <c r="J49" s="35">
        <f t="shared" ref="J49:J50" si="29">(I49-G49)/G49</f>
        <v>0.22769371063805527</v>
      </c>
      <c r="K49" s="68" t="s">
        <v>101</v>
      </c>
      <c r="L49" s="36">
        <f>IF($N$1*H49&gt;=I49,I49,$N$1*H49)</f>
        <v>344.64800000000002</v>
      </c>
      <c r="M49" s="37">
        <f t="shared" ref="M49:M50" si="30">I49-L49</f>
        <v>86.161999999999978</v>
      </c>
      <c r="N49" s="63">
        <f t="shared" ref="N49:O50" si="31">(L49-E49)/E49</f>
        <v>2.993754295789388E-2</v>
      </c>
      <c r="O49" s="63">
        <f t="shared" si="31"/>
        <v>4.2925061425061406</v>
      </c>
      <c r="P49" s="71">
        <f t="shared" ref="P49:P50" si="32">M49/I49</f>
        <v>0.19999999999999996</v>
      </c>
      <c r="Q49" s="3"/>
    </row>
    <row r="50" spans="1:17" ht="72" x14ac:dyDescent="0.3">
      <c r="A50" t="s">
        <v>44</v>
      </c>
      <c r="B50">
        <v>3</v>
      </c>
      <c r="C50" s="30">
        <v>31872</v>
      </c>
      <c r="D50" s="40">
        <f t="shared" si="28"/>
        <v>36.347945205479455</v>
      </c>
      <c r="E50" s="67">
        <v>1417.7</v>
      </c>
      <c r="F50" s="67">
        <v>68.98</v>
      </c>
      <c r="G50" s="67">
        <v>1486.68</v>
      </c>
      <c r="H50" s="48">
        <v>530.95000000000005</v>
      </c>
      <c r="I50" s="34">
        <f>SUM(H50:H53)</f>
        <v>1848.85</v>
      </c>
      <c r="J50" s="35">
        <f t="shared" si="29"/>
        <v>0.2436099227809615</v>
      </c>
      <c r="K50" s="68" t="s">
        <v>101</v>
      </c>
      <c r="L50" s="36">
        <f>IF($N$1*H50+$P$1*SUM(H51:H53)&gt;=I50,I50,$N$1*H50+$P$1*SUM(H51:H53))</f>
        <v>1479.08</v>
      </c>
      <c r="M50" s="37">
        <f t="shared" si="30"/>
        <v>369.77</v>
      </c>
      <c r="N50" s="63">
        <f t="shared" si="31"/>
        <v>4.3295478592085691E-2</v>
      </c>
      <c r="O50" s="63">
        <f t="shared" si="31"/>
        <v>4.3605392867497814</v>
      </c>
      <c r="P50" s="71">
        <f t="shared" si="32"/>
        <v>0.2</v>
      </c>
      <c r="Q50" s="3"/>
    </row>
    <row r="51" spans="1:17" x14ac:dyDescent="0.3">
      <c r="A51"/>
      <c r="B51"/>
      <c r="C51" s="30"/>
      <c r="D51" s="40">
        <v>37</v>
      </c>
      <c r="E51" s="67"/>
      <c r="F51" s="67"/>
      <c r="G51" s="67"/>
      <c r="H51" s="48">
        <v>542.79999999999995</v>
      </c>
      <c r="I51" s="34"/>
      <c r="J51" s="35"/>
      <c r="K51" s="68"/>
      <c r="L51" s="36"/>
      <c r="M51" s="37"/>
      <c r="N51" s="47"/>
      <c r="O51" s="47"/>
      <c r="P51" s="52"/>
      <c r="Q51" s="3"/>
    </row>
    <row r="52" spans="1:17" x14ac:dyDescent="0.3">
      <c r="A52"/>
      <c r="B52"/>
      <c r="C52" s="30"/>
      <c r="D52" s="40">
        <v>17</v>
      </c>
      <c r="E52" s="67"/>
      <c r="F52" s="67"/>
      <c r="G52" s="67"/>
      <c r="H52" s="48">
        <v>387.55</v>
      </c>
      <c r="I52" s="34"/>
      <c r="J52" s="35"/>
      <c r="K52" s="68"/>
      <c r="L52" s="36"/>
      <c r="M52" s="37"/>
      <c r="N52" s="47"/>
      <c r="O52" s="47"/>
      <c r="P52" s="52"/>
      <c r="Q52" s="3"/>
    </row>
    <row r="53" spans="1:17" x14ac:dyDescent="0.3">
      <c r="A53"/>
      <c r="B53"/>
      <c r="C53" s="30"/>
      <c r="D53" s="40">
        <v>15</v>
      </c>
      <c r="E53" s="67"/>
      <c r="F53" s="67"/>
      <c r="G53" s="67"/>
      <c r="H53" s="48">
        <v>387.55</v>
      </c>
      <c r="I53" s="34"/>
      <c r="J53" s="35"/>
      <c r="K53" s="68"/>
      <c r="L53" s="36"/>
      <c r="M53" s="37"/>
      <c r="N53" s="47"/>
      <c r="O53" s="47"/>
      <c r="P53" s="52"/>
      <c r="Q53" s="3"/>
    </row>
    <row r="54" spans="1:17" ht="72" x14ac:dyDescent="0.3">
      <c r="A54" t="s">
        <v>45</v>
      </c>
      <c r="B54">
        <v>1</v>
      </c>
      <c r="C54" s="30">
        <v>24635</v>
      </c>
      <c r="D54" s="40">
        <f>($B$3-C54)/365</f>
        <v>56.175342465753424</v>
      </c>
      <c r="E54" s="67">
        <v>1727.46</v>
      </c>
      <c r="F54" s="67">
        <v>84.05</v>
      </c>
      <c r="G54" s="67">
        <v>1811.51</v>
      </c>
      <c r="H54" s="48">
        <v>1067.24</v>
      </c>
      <c r="I54" s="38">
        <f>SUM(H54:H55)</f>
        <v>2264.25</v>
      </c>
      <c r="J54" s="35">
        <f>(I54-G54)/G54</f>
        <v>0.24992409647200403</v>
      </c>
      <c r="K54" s="68" t="s">
        <v>101</v>
      </c>
      <c r="L54" s="36">
        <f>IF($N$1*H54+$P$1*H55&gt;=I54,I54,$N$1*H54+$P$1*H55)</f>
        <v>1811.4</v>
      </c>
      <c r="M54" s="37">
        <f>I54-L54</f>
        <v>452.84999999999991</v>
      </c>
      <c r="N54" s="63">
        <f>(L54-E54)/E54</f>
        <v>4.8591573755687574E-2</v>
      </c>
      <c r="O54" s="63">
        <f>(M54-F54)/F54</f>
        <v>4.3878643664485413</v>
      </c>
      <c r="P54" s="71">
        <f>M54/I54</f>
        <v>0.19999999999999996</v>
      </c>
      <c r="Q54" s="3"/>
    </row>
    <row r="55" spans="1:17" x14ac:dyDescent="0.3">
      <c r="A55"/>
      <c r="B55"/>
      <c r="C55" s="30"/>
      <c r="D55" s="40">
        <v>59</v>
      </c>
      <c r="E55" s="67"/>
      <c r="F55" s="67"/>
      <c r="G55" s="67"/>
      <c r="H55" s="48">
        <v>1197.01</v>
      </c>
      <c r="I55" s="38"/>
      <c r="J55" s="35"/>
      <c r="K55" s="68"/>
      <c r="L55" s="36"/>
      <c r="M55" s="37"/>
      <c r="N55" s="47"/>
      <c r="O55" s="47"/>
      <c r="P55" s="52"/>
      <c r="Q55" s="3"/>
    </row>
    <row r="56" spans="1:17" ht="72" x14ac:dyDescent="0.3">
      <c r="A56" t="s">
        <v>46</v>
      </c>
      <c r="B56">
        <v>0</v>
      </c>
      <c r="C56" s="30">
        <v>34977</v>
      </c>
      <c r="D56" s="40">
        <f t="shared" ref="D56:D58" si="33">($B$3-C56)/365</f>
        <v>27.841095890410958</v>
      </c>
      <c r="E56" s="67">
        <v>334.63</v>
      </c>
      <c r="F56" s="67">
        <v>2.76</v>
      </c>
      <c r="G56" s="67">
        <v>337.39</v>
      </c>
      <c r="H56" s="48">
        <v>430.81</v>
      </c>
      <c r="I56" s="34">
        <f t="shared" ref="I56:I57" si="34">H56</f>
        <v>430.81</v>
      </c>
      <c r="J56" s="35">
        <f t="shared" ref="J56:J58" si="35">(I56-G56)/G56</f>
        <v>0.27689024570971288</v>
      </c>
      <c r="K56" s="68" t="s">
        <v>101</v>
      </c>
      <c r="L56" s="36">
        <f t="shared" ref="L56:L57" si="36">IF($N$1*H56&gt;=I56,I56,$N$1*H56)</f>
        <v>344.64800000000002</v>
      </c>
      <c r="M56" s="37">
        <f t="shared" ref="M56:M58" si="37">I56-L56</f>
        <v>86.161999999999978</v>
      </c>
      <c r="N56" s="63">
        <f t="shared" ref="N56:O58" si="38">(L56-E56)/E56</f>
        <v>2.993754295789388E-2</v>
      </c>
      <c r="O56" s="63">
        <f t="shared" si="38"/>
        <v>30.218115942028977</v>
      </c>
      <c r="P56" s="71">
        <f t="shared" ref="P56:P58" si="39">M56/I56</f>
        <v>0.19999999999999996</v>
      </c>
      <c r="Q56" s="3"/>
    </row>
    <row r="57" spans="1:17" ht="72" x14ac:dyDescent="0.3">
      <c r="A57" t="s">
        <v>47</v>
      </c>
      <c r="B57">
        <v>0</v>
      </c>
      <c r="C57" s="30">
        <v>28471</v>
      </c>
      <c r="D57" s="40">
        <f t="shared" si="33"/>
        <v>45.665753424657531</v>
      </c>
      <c r="E57" s="67">
        <v>523.34</v>
      </c>
      <c r="F57" s="67">
        <v>4.33</v>
      </c>
      <c r="G57" s="67">
        <v>527.66999999999996</v>
      </c>
      <c r="H57" s="48">
        <v>699.84</v>
      </c>
      <c r="I57" s="34">
        <f t="shared" si="34"/>
        <v>699.84</v>
      </c>
      <c r="J57" s="35">
        <f t="shared" si="35"/>
        <v>0.32628347262493618</v>
      </c>
      <c r="K57" s="68" t="s">
        <v>101</v>
      </c>
      <c r="L57" s="36">
        <f t="shared" si="36"/>
        <v>559.87200000000007</v>
      </c>
      <c r="M57" s="37">
        <f t="shared" si="37"/>
        <v>139.96799999999996</v>
      </c>
      <c r="N57" s="63">
        <f t="shared" si="38"/>
        <v>6.9805480184965865E-2</v>
      </c>
      <c r="O57" s="63">
        <f t="shared" si="38"/>
        <v>31.325173210161651</v>
      </c>
      <c r="P57" s="71">
        <f t="shared" si="39"/>
        <v>0.19999999999999993</v>
      </c>
      <c r="Q57" s="3"/>
    </row>
    <row r="58" spans="1:17" ht="72" x14ac:dyDescent="0.3">
      <c r="A58" t="s">
        <v>48</v>
      </c>
      <c r="B58">
        <v>4</v>
      </c>
      <c r="C58" s="30">
        <v>25137</v>
      </c>
      <c r="D58" s="40">
        <f t="shared" si="33"/>
        <v>54.8</v>
      </c>
      <c r="E58" s="67">
        <v>2342.87</v>
      </c>
      <c r="F58" s="67">
        <v>19.350000000000001</v>
      </c>
      <c r="G58" s="67">
        <v>2362.2199999999998</v>
      </c>
      <c r="H58" s="48">
        <v>988.42</v>
      </c>
      <c r="I58" s="34">
        <f>SUM(H58:H62)</f>
        <v>3125.7300000000005</v>
      </c>
      <c r="J58" s="35">
        <f t="shared" si="35"/>
        <v>0.32321714319580763</v>
      </c>
      <c r="K58" s="68" t="s">
        <v>101</v>
      </c>
      <c r="L58" s="36">
        <f>IF($N$1*H58+$P$1*SUM(H59:H62)&gt;=I58,I58,$N$1*H58+$P$1*SUM(H59:H62))</f>
        <v>2500.5839999999998</v>
      </c>
      <c r="M58" s="37">
        <f t="shared" si="37"/>
        <v>625.14600000000064</v>
      </c>
      <c r="N58" s="63">
        <f t="shared" si="38"/>
        <v>6.7316581799246197E-2</v>
      </c>
      <c r="O58" s="63">
        <f t="shared" si="38"/>
        <v>31.307286821705457</v>
      </c>
      <c r="P58" s="71">
        <f t="shared" si="39"/>
        <v>0.20000000000000018</v>
      </c>
      <c r="Q58" s="3"/>
    </row>
    <row r="59" spans="1:17" x14ac:dyDescent="0.3">
      <c r="A59"/>
      <c r="B59"/>
      <c r="C59" s="30"/>
      <c r="D59" s="40">
        <v>50</v>
      </c>
      <c r="E59" s="67"/>
      <c r="F59" s="67"/>
      <c r="G59" s="67"/>
      <c r="H59" s="48">
        <v>847.98</v>
      </c>
      <c r="I59" s="38"/>
      <c r="J59" s="35"/>
      <c r="K59" s="68"/>
      <c r="L59" s="36"/>
      <c r="M59" s="37"/>
      <c r="N59" s="47"/>
      <c r="O59" s="47"/>
      <c r="P59" s="52"/>
      <c r="Q59" s="3"/>
    </row>
    <row r="60" spans="1:17" x14ac:dyDescent="0.3">
      <c r="A60"/>
      <c r="B60"/>
      <c r="C60" s="30"/>
      <c r="D60" s="40">
        <v>25</v>
      </c>
      <c r="E60" s="67"/>
      <c r="F60" s="67"/>
      <c r="G60" s="67"/>
      <c r="H60" s="48">
        <v>430.81</v>
      </c>
      <c r="I60" s="38"/>
      <c r="J60" s="35"/>
      <c r="K60" s="68"/>
      <c r="L60" s="36"/>
      <c r="M60" s="37"/>
      <c r="N60" s="47"/>
      <c r="O60" s="47"/>
      <c r="P60" s="52"/>
      <c r="Q60" s="3"/>
    </row>
    <row r="61" spans="1:17" x14ac:dyDescent="0.3">
      <c r="A61"/>
      <c r="B61"/>
      <c r="C61" s="30"/>
      <c r="D61" s="40">
        <v>24</v>
      </c>
      <c r="E61" s="67"/>
      <c r="F61" s="67"/>
      <c r="G61" s="67"/>
      <c r="H61" s="48">
        <v>470.97</v>
      </c>
      <c r="I61" s="38"/>
      <c r="J61" s="35"/>
      <c r="K61" s="68"/>
      <c r="L61" s="36"/>
      <c r="M61" s="37"/>
      <c r="N61" s="47"/>
      <c r="O61" s="47"/>
      <c r="P61" s="52"/>
      <c r="Q61" s="3"/>
    </row>
    <row r="62" spans="1:17" x14ac:dyDescent="0.3">
      <c r="A62"/>
      <c r="B62"/>
      <c r="C62" s="30"/>
      <c r="D62" s="40">
        <v>19</v>
      </c>
      <c r="E62" s="67"/>
      <c r="F62" s="67"/>
      <c r="G62" s="67"/>
      <c r="H62" s="48">
        <v>387.55</v>
      </c>
      <c r="I62" s="38"/>
      <c r="J62" s="35"/>
      <c r="K62" s="68"/>
      <c r="L62" s="36"/>
      <c r="M62" s="37"/>
      <c r="N62" s="47"/>
      <c r="O62" s="47"/>
      <c r="P62" s="52"/>
      <c r="Q62" s="3"/>
    </row>
    <row r="63" spans="1:17" ht="72" x14ac:dyDescent="0.3">
      <c r="A63" t="s">
        <v>49</v>
      </c>
      <c r="B63">
        <v>0</v>
      </c>
      <c r="C63" s="30">
        <v>35017</v>
      </c>
      <c r="D63" s="40">
        <f t="shared" ref="D63:D68" si="40">($B$3-C63)/365</f>
        <v>27.731506849315068</v>
      </c>
      <c r="E63" s="67">
        <v>334.63</v>
      </c>
      <c r="F63" s="67">
        <v>159.88</v>
      </c>
      <c r="G63" s="67">
        <v>494.51</v>
      </c>
      <c r="H63" s="48">
        <v>430.81</v>
      </c>
      <c r="I63" s="34">
        <f t="shared" ref="I63:I67" si="41">H63</f>
        <v>430.81</v>
      </c>
      <c r="J63" s="35">
        <f t="shared" ref="J63:J68" si="42">(I63-G63)/G63</f>
        <v>-0.12881438191340921</v>
      </c>
      <c r="K63" s="68" t="s">
        <v>101</v>
      </c>
      <c r="L63" s="36">
        <f t="shared" ref="L63:L67" si="43">IF($N$1*H63&gt;=I63,I63,$N$1*H63)</f>
        <v>344.64800000000002</v>
      </c>
      <c r="M63" s="37">
        <f t="shared" ref="M63:M68" si="44">I63-L63</f>
        <v>86.161999999999978</v>
      </c>
      <c r="N63" s="63">
        <f t="shared" ref="N63:O68" si="45">(L63-E63)/E63</f>
        <v>2.993754295789388E-2</v>
      </c>
      <c r="O63" s="63">
        <f t="shared" si="45"/>
        <v>-0.46108331248436341</v>
      </c>
      <c r="P63" s="71">
        <f t="shared" ref="P63:P68" si="46">M63/I63</f>
        <v>0.19999999999999996</v>
      </c>
      <c r="Q63" s="3"/>
    </row>
    <row r="64" spans="1:17" s="22" customFormat="1" ht="72" x14ac:dyDescent="0.3">
      <c r="A64" t="s">
        <v>50</v>
      </c>
      <c r="B64">
        <v>0</v>
      </c>
      <c r="C64" s="30">
        <v>35099</v>
      </c>
      <c r="D64" s="40">
        <f t="shared" si="40"/>
        <v>27.506849315068493</v>
      </c>
      <c r="E64" s="67">
        <v>334.63</v>
      </c>
      <c r="F64" s="67">
        <v>76.22</v>
      </c>
      <c r="G64" s="67">
        <v>410.85</v>
      </c>
      <c r="H64" s="48">
        <v>430.81</v>
      </c>
      <c r="I64" s="34">
        <f t="shared" si="41"/>
        <v>430.81</v>
      </c>
      <c r="J64" s="35">
        <f t="shared" si="42"/>
        <v>4.8582207618352143E-2</v>
      </c>
      <c r="K64" s="68" t="s">
        <v>101</v>
      </c>
      <c r="L64" s="36">
        <f t="shared" si="43"/>
        <v>344.64800000000002</v>
      </c>
      <c r="M64" s="37">
        <f t="shared" si="44"/>
        <v>86.161999999999978</v>
      </c>
      <c r="N64" s="63">
        <f t="shared" si="45"/>
        <v>2.993754295789388E-2</v>
      </c>
      <c r="O64" s="63">
        <f t="shared" si="45"/>
        <v>0.13043820519548646</v>
      </c>
      <c r="P64" s="71">
        <f t="shared" si="46"/>
        <v>0.19999999999999996</v>
      </c>
    </row>
    <row r="65" spans="1:17" s="22" customFormat="1" ht="72" x14ac:dyDescent="0.3">
      <c r="A65" t="s">
        <v>51</v>
      </c>
      <c r="B65">
        <v>0</v>
      </c>
      <c r="C65" s="30">
        <v>35229</v>
      </c>
      <c r="D65" s="40">
        <f t="shared" si="40"/>
        <v>27.150684931506849</v>
      </c>
      <c r="E65" s="67">
        <v>334.63</v>
      </c>
      <c r="F65" s="67">
        <v>76.22</v>
      </c>
      <c r="G65" s="67">
        <v>410.85</v>
      </c>
      <c r="H65" s="48">
        <v>430.81</v>
      </c>
      <c r="I65" s="34">
        <f t="shared" si="41"/>
        <v>430.81</v>
      </c>
      <c r="J65" s="35">
        <f t="shared" si="42"/>
        <v>4.8582207618352143E-2</v>
      </c>
      <c r="K65" s="68" t="s">
        <v>101</v>
      </c>
      <c r="L65" s="36">
        <f t="shared" si="43"/>
        <v>344.64800000000002</v>
      </c>
      <c r="M65" s="37">
        <f t="shared" si="44"/>
        <v>86.161999999999978</v>
      </c>
      <c r="N65" s="63">
        <f t="shared" si="45"/>
        <v>2.993754295789388E-2</v>
      </c>
      <c r="O65" s="63">
        <f t="shared" si="45"/>
        <v>0.13043820519548646</v>
      </c>
      <c r="P65" s="71">
        <f t="shared" si="46"/>
        <v>0.19999999999999996</v>
      </c>
    </row>
    <row r="66" spans="1:17" s="22" customFormat="1" ht="72" x14ac:dyDescent="0.3">
      <c r="A66" t="s">
        <v>52</v>
      </c>
      <c r="B66">
        <v>0</v>
      </c>
      <c r="C66" s="30">
        <v>34375</v>
      </c>
      <c r="D66" s="40">
        <f t="shared" si="40"/>
        <v>29.490410958904111</v>
      </c>
      <c r="E66" s="67">
        <v>342.46</v>
      </c>
      <c r="F66" s="67">
        <v>78</v>
      </c>
      <c r="G66" s="67">
        <v>420.46</v>
      </c>
      <c r="H66" s="48">
        <v>450.36</v>
      </c>
      <c r="I66" s="34">
        <f t="shared" si="41"/>
        <v>450.36</v>
      </c>
      <c r="J66" s="35">
        <f t="shared" si="42"/>
        <v>7.1112590971792886E-2</v>
      </c>
      <c r="K66" s="68" t="s">
        <v>101</v>
      </c>
      <c r="L66" s="36">
        <f t="shared" si="43"/>
        <v>360.28800000000001</v>
      </c>
      <c r="M66" s="37">
        <f t="shared" si="44"/>
        <v>90.072000000000003</v>
      </c>
      <c r="N66" s="63">
        <f t="shared" si="45"/>
        <v>5.2058634585061124E-2</v>
      </c>
      <c r="O66" s="63">
        <f t="shared" si="45"/>
        <v>0.1547692307692308</v>
      </c>
      <c r="P66" s="71">
        <f t="shared" si="46"/>
        <v>0.2</v>
      </c>
    </row>
    <row r="67" spans="1:17" s="22" customFormat="1" ht="72" x14ac:dyDescent="0.3">
      <c r="A67" t="s">
        <v>53</v>
      </c>
      <c r="B67">
        <v>0</v>
      </c>
      <c r="C67" s="30">
        <v>31779</v>
      </c>
      <c r="D67" s="40">
        <f t="shared" si="40"/>
        <v>36.602739726027394</v>
      </c>
      <c r="E67" s="67">
        <v>403.22</v>
      </c>
      <c r="F67" s="67">
        <v>91.83</v>
      </c>
      <c r="G67" s="67">
        <v>495.05</v>
      </c>
      <c r="H67" s="48">
        <v>530.95000000000005</v>
      </c>
      <c r="I67" s="34">
        <f t="shared" si="41"/>
        <v>530.95000000000005</v>
      </c>
      <c r="J67" s="35">
        <f t="shared" si="42"/>
        <v>7.2517927482072586E-2</v>
      </c>
      <c r="K67" s="68" t="s">
        <v>101</v>
      </c>
      <c r="L67" s="36">
        <f t="shared" si="43"/>
        <v>424.76000000000005</v>
      </c>
      <c r="M67" s="37">
        <f t="shared" si="44"/>
        <v>106.19</v>
      </c>
      <c r="N67" s="63">
        <f t="shared" si="45"/>
        <v>5.3419969247557209E-2</v>
      </c>
      <c r="O67" s="63">
        <f t="shared" si="45"/>
        <v>0.15637591201132528</v>
      </c>
      <c r="P67" s="71">
        <f t="shared" si="46"/>
        <v>0.19999999999999998</v>
      </c>
    </row>
    <row r="68" spans="1:17" s="22" customFormat="1" ht="72" x14ac:dyDescent="0.3">
      <c r="A68" t="s">
        <v>54</v>
      </c>
      <c r="B68">
        <v>3</v>
      </c>
      <c r="C68" s="30">
        <v>31376</v>
      </c>
      <c r="D68" s="40">
        <f t="shared" si="40"/>
        <v>37.706849315068496</v>
      </c>
      <c r="E68" s="67">
        <v>1417.7</v>
      </c>
      <c r="F68" s="67">
        <v>322.91000000000003</v>
      </c>
      <c r="G68" s="67">
        <v>1740.61</v>
      </c>
      <c r="H68" s="48">
        <v>542.79999999999995</v>
      </c>
      <c r="I68" s="56">
        <f>SUM(H68:H71)</f>
        <v>1848.85</v>
      </c>
      <c r="J68" s="35">
        <f t="shared" si="42"/>
        <v>6.2185096029552869E-2</v>
      </c>
      <c r="K68" s="68" t="s">
        <v>101</v>
      </c>
      <c r="L68" s="36">
        <f>IF($N$1*H68+$P$1*SUM(H69:H71)&gt;=I68,I68,$N$1*H68+$P$1*SUM(H69:H71))</f>
        <v>1479.08</v>
      </c>
      <c r="M68" s="37">
        <f t="shared" si="44"/>
        <v>369.77</v>
      </c>
      <c r="N68" s="63">
        <f t="shared" si="45"/>
        <v>4.3295478592085691E-2</v>
      </c>
      <c r="O68" s="63">
        <f t="shared" si="45"/>
        <v>0.14511783469078057</v>
      </c>
      <c r="P68" s="71">
        <f t="shared" si="46"/>
        <v>0.2</v>
      </c>
    </row>
    <row r="69" spans="1:17" s="22" customFormat="1" x14ac:dyDescent="0.3">
      <c r="A69"/>
      <c r="B69"/>
      <c r="C69" s="30"/>
      <c r="D69" s="54">
        <v>36</v>
      </c>
      <c r="E69" s="67"/>
      <c r="F69" s="67"/>
      <c r="G69" s="67"/>
      <c r="H69" s="48">
        <v>530.95000000000005</v>
      </c>
      <c r="I69" s="56"/>
      <c r="J69" s="35"/>
      <c r="K69" s="68"/>
      <c r="L69" s="36"/>
      <c r="M69" s="37"/>
      <c r="N69" s="37"/>
      <c r="O69" s="37"/>
      <c r="P69" s="57"/>
    </row>
    <row r="70" spans="1:17" s="22" customFormat="1" x14ac:dyDescent="0.3">
      <c r="A70"/>
      <c r="B70"/>
      <c r="C70" s="30"/>
      <c r="D70" s="54">
        <v>9</v>
      </c>
      <c r="E70" s="67"/>
      <c r="F70" s="67"/>
      <c r="G70" s="67"/>
      <c r="H70" s="48">
        <v>387.55</v>
      </c>
      <c r="I70" s="56"/>
      <c r="J70" s="35"/>
      <c r="K70" s="68"/>
      <c r="L70" s="36"/>
      <c r="M70" s="37"/>
      <c r="N70" s="37"/>
      <c r="O70" s="37"/>
      <c r="P70" s="57"/>
    </row>
    <row r="71" spans="1:17" s="22" customFormat="1" x14ac:dyDescent="0.3">
      <c r="A71"/>
      <c r="B71"/>
      <c r="C71" s="30"/>
      <c r="D71" s="54">
        <v>5</v>
      </c>
      <c r="E71" s="67"/>
      <c r="F71" s="67"/>
      <c r="G71" s="67"/>
      <c r="H71" s="48">
        <v>387.55</v>
      </c>
      <c r="I71" s="56"/>
      <c r="J71" s="35"/>
      <c r="K71" s="68"/>
      <c r="L71" s="36"/>
      <c r="M71" s="37"/>
      <c r="N71" s="37"/>
      <c r="O71" s="37"/>
      <c r="P71" s="57"/>
    </row>
    <row r="72" spans="1:17" s="22" customFormat="1" ht="72" x14ac:dyDescent="0.3">
      <c r="A72" t="s">
        <v>55</v>
      </c>
      <c r="B72">
        <v>0</v>
      </c>
      <c r="C72" s="30">
        <v>34315</v>
      </c>
      <c r="D72" s="40">
        <f t="shared" ref="D72:D76" si="47">($B$3-C72)/365</f>
        <v>29.654794520547945</v>
      </c>
      <c r="E72" s="67">
        <v>342.46</v>
      </c>
      <c r="F72" s="67">
        <v>101.28</v>
      </c>
      <c r="G72" s="67">
        <v>443.74</v>
      </c>
      <c r="H72" s="48">
        <v>450.36</v>
      </c>
      <c r="I72" s="34">
        <f t="shared" ref="I72:I76" si="48">H72</f>
        <v>450.36</v>
      </c>
      <c r="J72" s="35">
        <f t="shared" ref="J72:J76" si="49">(I72-G72)/G72</f>
        <v>1.4918646053995593E-2</v>
      </c>
      <c r="K72" s="68" t="s">
        <v>101</v>
      </c>
      <c r="L72" s="36">
        <f t="shared" ref="L72:L75" si="50">IF($N$1*H72&gt;=I72,I72,$N$1*H72)</f>
        <v>360.28800000000001</v>
      </c>
      <c r="M72" s="37">
        <f t="shared" ref="M72:M76" si="51">I72-L72</f>
        <v>90.072000000000003</v>
      </c>
      <c r="N72" s="63">
        <f t="shared" ref="N72:P76" si="52">(L72-E72)/E72</f>
        <v>5.2058634585061124E-2</v>
      </c>
      <c r="O72" s="63">
        <f t="shared" si="52"/>
        <v>-0.11066350710900472</v>
      </c>
      <c r="P72" s="71">
        <f t="shared" ref="P72:P75" si="53">M72/I72</f>
        <v>0.2</v>
      </c>
    </row>
    <row r="73" spans="1:17" s="22" customFormat="1" ht="72" x14ac:dyDescent="0.3">
      <c r="A73" t="s">
        <v>56</v>
      </c>
      <c r="B73">
        <v>0</v>
      </c>
      <c r="C73" s="30">
        <v>30417</v>
      </c>
      <c r="D73" s="40">
        <f t="shared" si="47"/>
        <v>40.334246575342469</v>
      </c>
      <c r="E73" s="67">
        <v>431.75</v>
      </c>
      <c r="F73" s="67">
        <v>127.69</v>
      </c>
      <c r="G73" s="67">
        <v>559.44000000000005</v>
      </c>
      <c r="H73" s="55">
        <v>577.77</v>
      </c>
      <c r="I73" s="34">
        <f t="shared" si="48"/>
        <v>577.77</v>
      </c>
      <c r="J73" s="35">
        <f t="shared" si="49"/>
        <v>3.2764907764907633E-2</v>
      </c>
      <c r="K73" s="68" t="s">
        <v>101</v>
      </c>
      <c r="L73" s="36">
        <f t="shared" si="50"/>
        <v>462.21600000000001</v>
      </c>
      <c r="M73" s="37">
        <f t="shared" si="51"/>
        <v>115.55399999999997</v>
      </c>
      <c r="N73" s="63">
        <f t="shared" si="52"/>
        <v>7.0563983786913739E-2</v>
      </c>
      <c r="O73" s="63">
        <f t="shared" si="52"/>
        <v>-9.5042681494244066E-2</v>
      </c>
      <c r="P73" s="71">
        <f t="shared" si="53"/>
        <v>0.19999999999999996</v>
      </c>
    </row>
    <row r="74" spans="1:17" s="22" customFormat="1" ht="72" x14ac:dyDescent="0.3">
      <c r="A74" t="s">
        <v>57</v>
      </c>
      <c r="B74">
        <v>0</v>
      </c>
      <c r="C74" s="30">
        <v>30382</v>
      </c>
      <c r="D74" s="40">
        <f t="shared" si="47"/>
        <v>40.43013698630137</v>
      </c>
      <c r="E74" s="67">
        <v>431.75</v>
      </c>
      <c r="F74" s="67">
        <v>127.69</v>
      </c>
      <c r="G74" s="67">
        <v>559.44000000000005</v>
      </c>
      <c r="H74" s="55">
        <v>577.77</v>
      </c>
      <c r="I74" s="34">
        <f t="shared" si="48"/>
        <v>577.77</v>
      </c>
      <c r="J74" s="35">
        <f t="shared" si="49"/>
        <v>3.2764907764907633E-2</v>
      </c>
      <c r="K74" s="68" t="s">
        <v>101</v>
      </c>
      <c r="L74" s="36">
        <f t="shared" si="50"/>
        <v>462.21600000000001</v>
      </c>
      <c r="M74" s="37">
        <f t="shared" si="51"/>
        <v>115.55399999999997</v>
      </c>
      <c r="N74" s="63">
        <f t="shared" si="52"/>
        <v>7.0563983786913739E-2</v>
      </c>
      <c r="O74" s="63">
        <f t="shared" si="52"/>
        <v>-9.5042681494244066E-2</v>
      </c>
      <c r="P74" s="71">
        <f t="shared" si="53"/>
        <v>0.19999999999999996</v>
      </c>
    </row>
    <row r="75" spans="1:17" ht="72" x14ac:dyDescent="0.3">
      <c r="A75" t="s">
        <v>58</v>
      </c>
      <c r="B75">
        <v>0</v>
      </c>
      <c r="C75" s="30">
        <v>35557</v>
      </c>
      <c r="D75" s="40">
        <f t="shared" si="47"/>
        <v>26.252054794520546</v>
      </c>
      <c r="E75" s="67">
        <v>334.63</v>
      </c>
      <c r="F75" s="67">
        <v>151.06</v>
      </c>
      <c r="G75" s="67">
        <v>485.69</v>
      </c>
      <c r="H75" s="48">
        <v>430.81</v>
      </c>
      <c r="I75" s="34">
        <f t="shared" si="48"/>
        <v>430.81</v>
      </c>
      <c r="J75" s="35">
        <f t="shared" si="49"/>
        <v>-0.11299388498836706</v>
      </c>
      <c r="K75" s="68" t="s">
        <v>101</v>
      </c>
      <c r="L75" s="36">
        <f t="shared" si="50"/>
        <v>344.64800000000002</v>
      </c>
      <c r="M75" s="37">
        <f t="shared" si="51"/>
        <v>86.161999999999978</v>
      </c>
      <c r="N75" s="63">
        <f t="shared" si="52"/>
        <v>2.993754295789388E-2</v>
      </c>
      <c r="O75" s="63">
        <f t="shared" si="52"/>
        <v>-0.42961737058122618</v>
      </c>
      <c r="P75" s="71">
        <f t="shared" si="53"/>
        <v>0.19999999999999996</v>
      </c>
      <c r="Q75" s="3"/>
    </row>
    <row r="76" spans="1:17" ht="72" x14ac:dyDescent="0.3">
      <c r="A76" t="s">
        <v>80</v>
      </c>
      <c r="B76">
        <v>0</v>
      </c>
      <c r="C76" s="30">
        <v>34137</v>
      </c>
      <c r="D76" s="40">
        <f t="shared" si="47"/>
        <v>30.142465753424659</v>
      </c>
      <c r="E76" s="67">
        <v>0</v>
      </c>
      <c r="F76" s="67">
        <v>507.74</v>
      </c>
      <c r="G76" s="67">
        <v>507.74</v>
      </c>
      <c r="H76" s="48">
        <v>461.62</v>
      </c>
      <c r="I76" s="34">
        <f t="shared" si="48"/>
        <v>461.62</v>
      </c>
      <c r="J76" s="35">
        <f t="shared" si="49"/>
        <v>-9.083389136172057E-2</v>
      </c>
      <c r="K76" s="68" t="s">
        <v>101</v>
      </c>
      <c r="L76" s="36">
        <v>0</v>
      </c>
      <c r="M76" s="37">
        <f t="shared" si="51"/>
        <v>461.62</v>
      </c>
      <c r="N76" s="63" t="e">
        <f t="shared" si="52"/>
        <v>#DIV/0!</v>
      </c>
      <c r="O76" s="63">
        <f t="shared" si="52"/>
        <v>-9.083389136172057E-2</v>
      </c>
      <c r="P76" s="63" t="e">
        <f t="shared" si="52"/>
        <v>#DIV/0!</v>
      </c>
      <c r="Q76" s="3"/>
    </row>
    <row r="77" spans="1:17" ht="15" thickBot="1" x14ac:dyDescent="0.35">
      <c r="B77" s="3"/>
      <c r="C77" s="3"/>
      <c r="D77" s="3"/>
      <c r="E77" s="3"/>
      <c r="F77" s="3"/>
      <c r="G77" s="3"/>
      <c r="H77" s="3"/>
      <c r="I77" s="3"/>
      <c r="J77" s="3"/>
      <c r="K77" s="3"/>
      <c r="L77" s="3"/>
      <c r="M77" s="3"/>
      <c r="N77" s="3"/>
      <c r="O77" s="3"/>
      <c r="P77" s="3"/>
      <c r="Q77" s="3"/>
    </row>
    <row r="78" spans="1:17" ht="58.2" thickBot="1" x14ac:dyDescent="0.35">
      <c r="A78"/>
      <c r="B78"/>
      <c r="C78"/>
      <c r="D78" s="30"/>
      <c r="E78" s="69"/>
      <c r="L78" s="31" t="s">
        <v>79</v>
      </c>
      <c r="M78" s="32">
        <f>SUM(E6:E75)</f>
        <v>29245.450000000004</v>
      </c>
      <c r="O78" s="44"/>
      <c r="P78" s="45"/>
      <c r="Q78" s="22"/>
    </row>
    <row r="79" spans="1:17" ht="43.8" thickBot="1" x14ac:dyDescent="0.35">
      <c r="A79"/>
      <c r="B79"/>
      <c r="C79"/>
      <c r="D79" s="30"/>
      <c r="E79" s="70"/>
      <c r="L79" s="31" t="s">
        <v>115</v>
      </c>
      <c r="M79" s="32">
        <f>SUM(L6:L76)-L76</f>
        <v>30949.68</v>
      </c>
      <c r="O79" s="44"/>
      <c r="P79" s="45"/>
      <c r="Q79" s="22"/>
    </row>
    <row r="80" spans="1:17" ht="15" thickBot="1" x14ac:dyDescent="0.35">
      <c r="A80"/>
      <c r="B80"/>
      <c r="C80"/>
      <c r="D80" s="30"/>
      <c r="E80" s="69"/>
      <c r="L80" s="31" t="s">
        <v>8</v>
      </c>
      <c r="M80" s="32">
        <f>M79-M78</f>
        <v>1704.2299999999959</v>
      </c>
      <c r="O80" s="44"/>
      <c r="P80" s="45"/>
      <c r="Q80" s="22"/>
    </row>
    <row r="81" spans="1:17" ht="29.4" thickBot="1" x14ac:dyDescent="0.35">
      <c r="A81"/>
      <c r="B81"/>
      <c r="C81"/>
      <c r="D81" s="30"/>
      <c r="E81" s="69"/>
      <c r="F81" s="20"/>
      <c r="L81" s="31" t="s">
        <v>9</v>
      </c>
      <c r="M81" s="33">
        <f>M80/M78</f>
        <v>5.8273338245778253E-2</v>
      </c>
      <c r="O81" s="45"/>
      <c r="P81" s="45"/>
      <c r="Q81" s="22"/>
    </row>
    <row r="82" spans="1:17" ht="29.4" thickBot="1" x14ac:dyDescent="0.35">
      <c r="A82"/>
      <c r="B82"/>
      <c r="C82"/>
      <c r="D82" s="30"/>
      <c r="E82" s="69"/>
      <c r="L82" s="31" t="s">
        <v>10</v>
      </c>
      <c r="M82" s="32">
        <f>M80*12</f>
        <v>20450.759999999951</v>
      </c>
      <c r="O82" s="45"/>
      <c r="P82" s="45"/>
      <c r="Q82" s="3"/>
    </row>
    <row r="83" spans="1:17" ht="43.8" thickBot="1" x14ac:dyDescent="0.35">
      <c r="A83"/>
      <c r="B83"/>
      <c r="C83"/>
      <c r="D83" s="30"/>
      <c r="E83" s="29"/>
      <c r="L83" s="31" t="s">
        <v>107</v>
      </c>
      <c r="M83" s="32">
        <f>25*1500+16*3000</f>
        <v>85500</v>
      </c>
      <c r="O83" s="13"/>
      <c r="P83" s="45"/>
      <c r="Q83" s="3"/>
    </row>
    <row r="84" spans="1:17" x14ac:dyDescent="0.3">
      <c r="A84"/>
      <c r="B84"/>
      <c r="C84"/>
      <c r="D84" s="30"/>
      <c r="E84" s="29"/>
      <c r="L84" s="21" t="s">
        <v>108</v>
      </c>
      <c r="M84" s="19">
        <f>SUM(M82:M83)</f>
        <v>105950.75999999995</v>
      </c>
    </row>
    <row r="85" spans="1:17" x14ac:dyDescent="0.3">
      <c r="A85"/>
      <c r="B85"/>
      <c r="C85"/>
      <c r="D85" s="30"/>
      <c r="E85" s="29"/>
      <c r="L85" s="21" t="s">
        <v>109</v>
      </c>
      <c r="M85" s="130">
        <f>M84/(M78*12)</f>
        <v>0.30190097946860095</v>
      </c>
      <c r="O85" s="45"/>
      <c r="P85" s="45"/>
    </row>
    <row r="86" spans="1:17" x14ac:dyDescent="0.3">
      <c r="A86"/>
      <c r="B86"/>
      <c r="C86"/>
      <c r="D86" s="30"/>
      <c r="E86" s="29"/>
      <c r="O86" s="45"/>
      <c r="P86" s="45"/>
    </row>
    <row r="87" spans="1:17" x14ac:dyDescent="0.3">
      <c r="A87"/>
      <c r="B87"/>
      <c r="C87"/>
      <c r="D87" s="30"/>
      <c r="E87" s="29"/>
    </row>
    <row r="88" spans="1:17" x14ac:dyDescent="0.3">
      <c r="A88"/>
      <c r="B88"/>
      <c r="C88"/>
      <c r="D88" s="30"/>
      <c r="E88" s="29"/>
    </row>
    <row r="89" spans="1:17" x14ac:dyDescent="0.3">
      <c r="A89"/>
      <c r="B89"/>
      <c r="C89"/>
      <c r="D89" s="30"/>
      <c r="E89" s="29"/>
    </row>
    <row r="90" spans="1:17" s="22" customFormat="1" x14ac:dyDescent="0.3">
      <c r="A90"/>
      <c r="B90"/>
      <c r="C90"/>
      <c r="D90" s="30"/>
      <c r="E90" s="29"/>
      <c r="F90" s="19"/>
      <c r="G90" s="19"/>
      <c r="H90" s="43"/>
      <c r="I90" s="19"/>
      <c r="J90" s="19"/>
      <c r="K90" s="20"/>
      <c r="L90" s="21"/>
      <c r="M90" s="19"/>
      <c r="N90" s="19"/>
      <c r="O90" s="19"/>
      <c r="P90" s="13"/>
      <c r="Q90" s="19"/>
    </row>
    <row r="91" spans="1:17" s="22" customFormat="1" x14ac:dyDescent="0.3">
      <c r="A91"/>
      <c r="B91"/>
      <c r="C91"/>
      <c r="D91" s="30"/>
      <c r="E91" s="29"/>
      <c r="F91" s="19"/>
      <c r="G91" s="19"/>
      <c r="H91" s="43"/>
      <c r="I91" s="19"/>
      <c r="J91" s="19"/>
      <c r="K91" s="20"/>
      <c r="L91" s="21"/>
      <c r="M91" s="19"/>
      <c r="N91" s="19"/>
      <c r="O91" s="45"/>
      <c r="P91" s="45"/>
      <c r="Q91" s="19"/>
    </row>
    <row r="92" spans="1:17" x14ac:dyDescent="0.3">
      <c r="A92"/>
      <c r="B92"/>
      <c r="C92"/>
      <c r="D92" s="30"/>
      <c r="E92" s="29"/>
      <c r="O92" s="45"/>
      <c r="P92" s="45"/>
    </row>
    <row r="93" spans="1:17" x14ac:dyDescent="0.3">
      <c r="A93"/>
      <c r="B93"/>
      <c r="C93"/>
      <c r="D93" s="30"/>
      <c r="E93" s="29"/>
    </row>
    <row r="94" spans="1:17" s="7" customFormat="1" x14ac:dyDescent="0.3">
      <c r="A94"/>
      <c r="B94"/>
      <c r="C94"/>
      <c r="D94" s="30"/>
      <c r="E94" s="29"/>
      <c r="F94" s="19"/>
      <c r="G94" s="19"/>
      <c r="H94" s="43"/>
      <c r="I94" s="19"/>
      <c r="J94" s="19"/>
      <c r="K94" s="20"/>
      <c r="L94" s="21"/>
      <c r="M94" s="19"/>
      <c r="N94" s="19"/>
      <c r="O94" s="19"/>
      <c r="P94" s="13"/>
      <c r="Q94" s="19"/>
    </row>
    <row r="95" spans="1:17" s="7" customFormat="1" x14ac:dyDescent="0.3">
      <c r="A95"/>
      <c r="B95"/>
      <c r="C95"/>
      <c r="D95" s="30"/>
      <c r="E95" s="29"/>
      <c r="F95" s="19"/>
      <c r="G95" s="19"/>
      <c r="H95" s="43"/>
      <c r="I95" s="19"/>
      <c r="J95" s="19"/>
      <c r="K95" s="20"/>
      <c r="L95" s="21"/>
      <c r="M95" s="19"/>
      <c r="N95" s="19"/>
      <c r="O95" s="19"/>
      <c r="P95" s="13"/>
      <c r="Q95" s="19"/>
    </row>
    <row r="96" spans="1:17" s="7" customFormat="1" x14ac:dyDescent="0.3">
      <c r="A96"/>
      <c r="B96"/>
      <c r="C96"/>
      <c r="D96" s="30"/>
      <c r="E96" s="29"/>
      <c r="F96" s="19"/>
      <c r="G96" s="19"/>
      <c r="H96" s="43"/>
      <c r="I96" s="19"/>
      <c r="J96" s="19"/>
      <c r="K96" s="20"/>
      <c r="L96" s="21"/>
      <c r="M96" s="19"/>
      <c r="N96" s="19"/>
      <c r="O96" s="45"/>
      <c r="P96" s="45"/>
      <c r="Q96" s="19"/>
    </row>
    <row r="97" spans="1:17" s="7" customFormat="1" x14ac:dyDescent="0.3">
      <c r="A97"/>
      <c r="B97"/>
      <c r="C97"/>
      <c r="D97" s="30"/>
      <c r="E97" s="29"/>
      <c r="F97" s="19"/>
      <c r="G97" s="19"/>
      <c r="H97" s="43"/>
      <c r="I97" s="19"/>
      <c r="J97" s="19"/>
      <c r="K97" s="20"/>
      <c r="L97" s="21"/>
      <c r="M97" s="19"/>
      <c r="N97" s="19"/>
      <c r="O97" s="45"/>
      <c r="P97" s="45"/>
      <c r="Q97" s="19"/>
    </row>
    <row r="98" spans="1:17" x14ac:dyDescent="0.3">
      <c r="A98"/>
      <c r="B98"/>
      <c r="C98"/>
      <c r="D98" s="30"/>
      <c r="E98" s="29"/>
      <c r="O98" s="45"/>
      <c r="P98" s="45"/>
    </row>
    <row r="99" spans="1:17" x14ac:dyDescent="0.3">
      <c r="A99"/>
      <c r="B99"/>
      <c r="C99"/>
      <c r="D99" s="30"/>
      <c r="E99" s="29"/>
      <c r="O99" s="45"/>
      <c r="P99" s="45"/>
    </row>
    <row r="100" spans="1:17" x14ac:dyDescent="0.3">
      <c r="A100"/>
      <c r="B100"/>
      <c r="C100"/>
      <c r="D100" s="30"/>
      <c r="E100" s="29"/>
    </row>
    <row r="101" spans="1:17" x14ac:dyDescent="0.3">
      <c r="A101"/>
      <c r="B101"/>
      <c r="C101"/>
      <c r="D101" s="30"/>
      <c r="E101" s="29"/>
    </row>
    <row r="102" spans="1:17" x14ac:dyDescent="0.3">
      <c r="A102"/>
      <c r="B102"/>
      <c r="C102"/>
      <c r="D102" s="30"/>
      <c r="E102" s="29"/>
    </row>
    <row r="103" spans="1:17" x14ac:dyDescent="0.3">
      <c r="A103"/>
      <c r="B103"/>
      <c r="C103"/>
      <c r="D103" s="30"/>
      <c r="E103" s="29"/>
      <c r="O103" s="45"/>
      <c r="P103" s="45"/>
    </row>
    <row r="104" spans="1:17" x14ac:dyDescent="0.3">
      <c r="A104"/>
      <c r="B104"/>
      <c r="C104"/>
      <c r="D104" s="30"/>
      <c r="E104" s="29"/>
      <c r="O104" s="45"/>
      <c r="P104" s="45"/>
    </row>
    <row r="105" spans="1:17" x14ac:dyDescent="0.3">
      <c r="A105"/>
      <c r="B105"/>
      <c r="C105"/>
      <c r="D105" s="30"/>
      <c r="E105" s="29"/>
      <c r="O105" s="45"/>
      <c r="P105" s="45"/>
    </row>
    <row r="106" spans="1:17" x14ac:dyDescent="0.3">
      <c r="A106"/>
      <c r="B106"/>
      <c r="C106"/>
      <c r="D106" s="30"/>
      <c r="E106" s="29"/>
      <c r="O106" s="45"/>
      <c r="P106" s="45"/>
    </row>
    <row r="107" spans="1:17" x14ac:dyDescent="0.3">
      <c r="A107"/>
      <c r="B107"/>
      <c r="C107"/>
      <c r="D107" s="30"/>
      <c r="E107" s="29"/>
      <c r="O107" s="45"/>
      <c r="P107" s="45"/>
    </row>
    <row r="108" spans="1:17" x14ac:dyDescent="0.3">
      <c r="A108"/>
      <c r="B108"/>
      <c r="C108"/>
      <c r="D108" s="30"/>
      <c r="E108" s="29"/>
      <c r="O108" s="45"/>
      <c r="P108" s="45"/>
    </row>
    <row r="109" spans="1:17" x14ac:dyDescent="0.3">
      <c r="A109"/>
      <c r="B109"/>
      <c r="C109"/>
      <c r="D109" s="30"/>
      <c r="E109" s="29"/>
    </row>
    <row r="110" spans="1:17" x14ac:dyDescent="0.3">
      <c r="A110"/>
      <c r="B110"/>
      <c r="C110"/>
      <c r="D110" s="30"/>
      <c r="E110" s="29"/>
    </row>
    <row r="111" spans="1:17" x14ac:dyDescent="0.3">
      <c r="A111"/>
      <c r="B111"/>
      <c r="C111"/>
      <c r="D111" s="30"/>
      <c r="E111" s="29"/>
    </row>
    <row r="112" spans="1:17" x14ac:dyDescent="0.3">
      <c r="A112"/>
      <c r="B112"/>
      <c r="C112"/>
      <c r="D112" s="30"/>
      <c r="E112" s="29"/>
    </row>
    <row r="113" spans="1:17" x14ac:dyDescent="0.3">
      <c r="A113"/>
      <c r="B113"/>
      <c r="C113"/>
      <c r="D113" s="30"/>
      <c r="E113" s="29"/>
    </row>
    <row r="114" spans="1:17" x14ac:dyDescent="0.3">
      <c r="A114"/>
      <c r="B114"/>
      <c r="C114"/>
      <c r="D114" s="30"/>
      <c r="E114" s="29"/>
    </row>
    <row r="115" spans="1:17" x14ac:dyDescent="0.3">
      <c r="A115"/>
      <c r="B115"/>
      <c r="C115"/>
      <c r="D115" s="30"/>
      <c r="E115" s="29"/>
    </row>
    <row r="116" spans="1:17" x14ac:dyDescent="0.3">
      <c r="A116"/>
      <c r="B116"/>
      <c r="C116"/>
      <c r="D116" s="30"/>
      <c r="E116" s="29"/>
    </row>
    <row r="123" spans="1:17" ht="13.95" customHeight="1" x14ac:dyDescent="0.3"/>
    <row r="126" spans="1:17" s="22" customFormat="1" x14ac:dyDescent="0.3">
      <c r="A126" s="3"/>
      <c r="B126" s="7"/>
      <c r="C126" s="7"/>
      <c r="D126" s="28"/>
      <c r="E126" s="7"/>
      <c r="F126" s="19"/>
      <c r="G126" s="19"/>
      <c r="H126" s="43"/>
      <c r="I126" s="19"/>
      <c r="J126" s="19"/>
      <c r="K126" s="20"/>
      <c r="L126" s="21"/>
      <c r="M126" s="19"/>
      <c r="N126" s="19"/>
      <c r="O126" s="19"/>
      <c r="P126" s="13"/>
      <c r="Q126" s="19"/>
    </row>
    <row r="127" spans="1:17" s="22" customFormat="1" ht="13.95" customHeight="1" x14ac:dyDescent="0.3">
      <c r="A127" s="3"/>
      <c r="B127" s="7"/>
      <c r="C127" s="7"/>
      <c r="D127" s="28"/>
      <c r="E127" s="7"/>
      <c r="F127" s="19"/>
      <c r="G127" s="19"/>
      <c r="H127" s="43"/>
      <c r="I127" s="19"/>
      <c r="J127" s="19"/>
      <c r="K127" s="20"/>
      <c r="L127" s="21"/>
      <c r="M127" s="19"/>
      <c r="N127" s="19"/>
      <c r="O127" s="19"/>
      <c r="P127" s="13"/>
      <c r="Q127" s="19"/>
    </row>
    <row r="128" spans="1:17" s="22" customFormat="1" x14ac:dyDescent="0.3">
      <c r="A128" s="3"/>
      <c r="B128" s="7"/>
      <c r="C128" s="7"/>
      <c r="D128" s="28"/>
      <c r="E128" s="7"/>
      <c r="F128" s="19"/>
      <c r="G128" s="19"/>
      <c r="H128" s="43"/>
      <c r="I128" s="19"/>
      <c r="J128" s="19"/>
      <c r="K128" s="20"/>
      <c r="L128" s="21"/>
      <c r="M128" s="19"/>
      <c r="N128" s="19"/>
      <c r="O128" s="19"/>
      <c r="P128" s="13"/>
      <c r="Q128" s="19"/>
    </row>
    <row r="129" spans="1:17" s="22" customFormat="1" x14ac:dyDescent="0.3">
      <c r="A129" s="3"/>
      <c r="B129" s="7"/>
      <c r="C129" s="7"/>
      <c r="D129" s="28"/>
      <c r="E129" s="7"/>
      <c r="F129" s="19"/>
      <c r="G129" s="19"/>
      <c r="H129" s="43"/>
      <c r="I129" s="19"/>
      <c r="J129" s="19"/>
      <c r="K129" s="20"/>
      <c r="L129" s="21"/>
      <c r="M129" s="19"/>
      <c r="N129" s="19"/>
      <c r="O129" s="19"/>
      <c r="P129" s="13"/>
      <c r="Q129" s="19"/>
    </row>
    <row r="130" spans="1:17" s="22" customFormat="1" x14ac:dyDescent="0.3">
      <c r="A130" s="3"/>
      <c r="B130" s="7"/>
      <c r="C130" s="7"/>
      <c r="D130" s="28"/>
      <c r="E130" s="7"/>
      <c r="F130" s="19"/>
      <c r="G130" s="19"/>
      <c r="H130" s="43"/>
      <c r="I130" s="19"/>
      <c r="J130" s="19"/>
      <c r="K130" s="20"/>
      <c r="L130" s="21"/>
      <c r="M130" s="19"/>
      <c r="N130" s="19"/>
      <c r="O130" s="19"/>
      <c r="P130" s="13"/>
      <c r="Q130" s="19"/>
    </row>
    <row r="131" spans="1:17" s="22" customFormat="1" x14ac:dyDescent="0.3">
      <c r="A131" s="3"/>
      <c r="B131" s="7"/>
      <c r="C131" s="7"/>
      <c r="D131" s="28"/>
      <c r="E131" s="7"/>
      <c r="F131" s="19"/>
      <c r="G131" s="19"/>
      <c r="H131" s="43"/>
      <c r="I131" s="19"/>
      <c r="J131" s="19"/>
      <c r="K131" s="20"/>
      <c r="L131" s="21"/>
      <c r="M131" s="19"/>
      <c r="N131" s="19"/>
      <c r="O131" s="19"/>
      <c r="P131" s="13"/>
      <c r="Q131" s="19"/>
    </row>
    <row r="160" ht="61.5" customHeight="1" x14ac:dyDescent="0.3"/>
  </sheetData>
  <autoFilter ref="A5:Q108" xr:uid="{00000000-0009-0000-0000-000000000000}"/>
  <mergeCells count="4">
    <mergeCell ref="N2:Q3"/>
    <mergeCell ref="A4:D4"/>
    <mergeCell ref="E4:G4"/>
    <mergeCell ref="H4:J4"/>
  </mergeCells>
  <dataValidations count="1">
    <dataValidation type="list" allowBlank="1" showInputMessage="1" showErrorMessage="1" sqref="B20:B33 B64:B74" xr:uid="{74120A7B-BD97-47B9-9D65-33F74B5D2A2F}">
      <formula1>"EE,ES,EC,EF,Waive,Decline"</formula1>
    </dataValidation>
  </dataValidations>
  <pageMargins left="0.25" right="0.25" top="0.75" bottom="0.75" header="0.3" footer="0.3"/>
  <pageSetup paperSize="5" scale="47" fitToWidth="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E2720-A5BE-4043-A612-4B297C3C4E36}">
  <dimension ref="A1:Q160"/>
  <sheetViews>
    <sheetView zoomScaleNormal="100" workbookViewId="0">
      <selection activeCell="L80" sqref="L80"/>
    </sheetView>
  </sheetViews>
  <sheetFormatPr defaultColWidth="9.109375" defaultRowHeight="14.4" x14ac:dyDescent="0.3"/>
  <cols>
    <col min="1" max="1" width="25.6640625" style="3" customWidth="1"/>
    <col min="2" max="2" width="12" style="7" customWidth="1"/>
    <col min="3" max="3" width="11" style="7" customWidth="1"/>
    <col min="4" max="4" width="11.5546875" style="28" bestFit="1" customWidth="1"/>
    <col min="5" max="5" width="17.44140625" style="7" customWidth="1"/>
    <col min="6" max="6" width="16.6640625" style="19" bestFit="1" customWidth="1"/>
    <col min="7" max="7" width="18" style="19" bestFit="1" customWidth="1"/>
    <col min="8" max="8" width="13.44140625" style="43" customWidth="1"/>
    <col min="9" max="10" width="13.44140625" style="19" customWidth="1"/>
    <col min="11" max="11" width="13.44140625" style="20" customWidth="1"/>
    <col min="12" max="12" width="13.6640625" style="21" customWidth="1"/>
    <col min="13" max="13" width="18.6640625" style="19" bestFit="1" customWidth="1"/>
    <col min="14" max="14" width="14.109375" style="19" customWidth="1"/>
    <col min="15" max="15" width="12.33203125" style="19" customWidth="1"/>
    <col min="16" max="16" width="12.33203125" style="13" customWidth="1"/>
    <col min="17" max="17" width="12.33203125" style="19" customWidth="1"/>
    <col min="18" max="16384" width="9.109375" style="3"/>
  </cols>
  <sheetData>
    <row r="1" spans="1:17" ht="15" thickBot="1" x14ac:dyDescent="0.35">
      <c r="A1" s="1" t="s">
        <v>13</v>
      </c>
      <c r="B1" s="2"/>
      <c r="C1" s="2"/>
      <c r="D1" s="26"/>
      <c r="E1" s="2"/>
      <c r="F1" s="23"/>
      <c r="G1" s="12"/>
      <c r="H1" s="41"/>
      <c r="I1" s="24"/>
      <c r="J1" s="24"/>
      <c r="K1" s="14"/>
      <c r="L1" s="10"/>
      <c r="M1" s="23" t="s">
        <v>81</v>
      </c>
      <c r="N1" s="12">
        <v>0.8</v>
      </c>
      <c r="O1" s="16" t="s">
        <v>0</v>
      </c>
      <c r="P1" s="12">
        <v>0.8</v>
      </c>
      <c r="Q1" s="16" t="s">
        <v>3</v>
      </c>
    </row>
    <row r="2" spans="1:17" x14ac:dyDescent="0.3">
      <c r="A2" s="2">
        <v>1</v>
      </c>
      <c r="B2" s="2"/>
      <c r="C2" s="2"/>
      <c r="D2" s="26"/>
      <c r="E2" s="2"/>
      <c r="F2" s="10"/>
      <c r="G2" s="46"/>
      <c r="H2" s="41"/>
      <c r="I2" s="24"/>
      <c r="J2" s="24"/>
      <c r="K2" s="14"/>
      <c r="L2" s="10"/>
      <c r="M2" s="10"/>
      <c r="N2" s="75" t="s">
        <v>12</v>
      </c>
      <c r="O2" s="75"/>
      <c r="P2" s="75"/>
      <c r="Q2" s="75"/>
    </row>
    <row r="3" spans="1:17" ht="15.75" customHeight="1" thickBot="1" x14ac:dyDescent="0.35">
      <c r="A3" s="4" t="s">
        <v>7</v>
      </c>
      <c r="B3" s="25">
        <v>45139</v>
      </c>
      <c r="C3" s="25"/>
      <c r="D3" s="25"/>
      <c r="E3" s="17"/>
      <c r="F3" s="11"/>
      <c r="G3" s="46"/>
      <c r="H3" s="42"/>
      <c r="I3" s="16"/>
      <c r="J3" s="16"/>
      <c r="K3" s="18"/>
      <c r="L3" s="11"/>
      <c r="M3" s="11"/>
      <c r="N3" s="76"/>
      <c r="O3" s="76"/>
      <c r="P3" s="76"/>
      <c r="Q3" s="76"/>
    </row>
    <row r="4" spans="1:17" ht="15.75" customHeight="1" thickBot="1" x14ac:dyDescent="0.35">
      <c r="A4" s="77" t="s">
        <v>11</v>
      </c>
      <c r="B4" s="78"/>
      <c r="C4" s="78"/>
      <c r="D4" s="79"/>
      <c r="E4" s="80" t="s">
        <v>16</v>
      </c>
      <c r="F4" s="81"/>
      <c r="G4" s="81"/>
      <c r="H4" s="82" t="s">
        <v>17</v>
      </c>
      <c r="I4" s="83"/>
      <c r="J4" s="84"/>
      <c r="K4" s="73" t="s">
        <v>62</v>
      </c>
      <c r="L4" s="58"/>
      <c r="M4" s="11"/>
      <c r="N4" s="24"/>
      <c r="O4" s="24"/>
      <c r="P4" s="24"/>
      <c r="Q4" s="24"/>
    </row>
    <row r="5" spans="1:17" ht="115.8" thickBot="1" x14ac:dyDescent="0.35">
      <c r="A5" s="5" t="s">
        <v>0</v>
      </c>
      <c r="B5" s="8" t="s">
        <v>64</v>
      </c>
      <c r="C5" s="27" t="s">
        <v>6</v>
      </c>
      <c r="D5" s="6" t="s">
        <v>1</v>
      </c>
      <c r="E5" s="49" t="s">
        <v>59</v>
      </c>
      <c r="F5" s="59" t="s">
        <v>60</v>
      </c>
      <c r="G5" s="60" t="s">
        <v>61</v>
      </c>
      <c r="H5" s="9" t="s">
        <v>104</v>
      </c>
      <c r="I5" s="9" t="s">
        <v>5</v>
      </c>
      <c r="J5" s="15" t="s">
        <v>4</v>
      </c>
      <c r="K5" s="8" t="s">
        <v>2</v>
      </c>
      <c r="L5" s="49" t="s">
        <v>106</v>
      </c>
      <c r="M5" s="50" t="s">
        <v>14</v>
      </c>
      <c r="N5" s="64" t="s">
        <v>82</v>
      </c>
      <c r="O5" s="65" t="s">
        <v>15</v>
      </c>
      <c r="P5" s="66" t="s">
        <v>18</v>
      </c>
      <c r="Q5" s="3"/>
    </row>
    <row r="6" spans="1:17" ht="57.6" x14ac:dyDescent="0.3">
      <c r="A6" t="s">
        <v>19</v>
      </c>
      <c r="B6">
        <v>1</v>
      </c>
      <c r="C6" s="30">
        <v>34087</v>
      </c>
      <c r="D6" s="40">
        <f>($B$3-C6)/365</f>
        <v>30.279452054794522</v>
      </c>
      <c r="E6" s="67">
        <v>650.85</v>
      </c>
      <c r="F6" s="67">
        <v>257.39</v>
      </c>
      <c r="G6" s="67">
        <v>908.24</v>
      </c>
      <c r="H6" s="48">
        <v>407.85</v>
      </c>
      <c r="I6" s="34">
        <f>SUM(H6:H7)</f>
        <v>750.25</v>
      </c>
      <c r="J6" s="35">
        <f>(I6-G6)/G6</f>
        <v>-0.17395181890249276</v>
      </c>
      <c r="K6" s="68" t="s">
        <v>105</v>
      </c>
      <c r="L6" s="36">
        <f>IF($N$1*H6+$P$1*H7&gt;=I6,I6,$N$1*H6+$P$1*H7)</f>
        <v>600.20000000000005</v>
      </c>
      <c r="M6" s="37">
        <f>I6-L6</f>
        <v>150.04999999999995</v>
      </c>
      <c r="N6" s="63">
        <f>(L6-E6)/E6</f>
        <v>-7.7821310593838788E-2</v>
      </c>
      <c r="O6" s="63">
        <f>(M6-F6)/F6</f>
        <v>-0.41703251874587216</v>
      </c>
      <c r="P6" s="71">
        <f>M6/I6</f>
        <v>0.19999999999999993</v>
      </c>
      <c r="Q6" s="3"/>
    </row>
    <row r="7" spans="1:17" x14ac:dyDescent="0.3">
      <c r="A7"/>
      <c r="B7"/>
      <c r="C7" s="30"/>
      <c r="D7" s="40">
        <v>1</v>
      </c>
      <c r="E7" s="67"/>
      <c r="F7" s="67"/>
      <c r="G7" s="67"/>
      <c r="H7" s="48">
        <v>342.4</v>
      </c>
      <c r="I7" s="34"/>
      <c r="J7" s="35"/>
      <c r="K7" s="68"/>
      <c r="L7" s="61"/>
      <c r="M7" s="62"/>
      <c r="N7" s="63"/>
      <c r="O7" s="63"/>
      <c r="P7" s="51"/>
      <c r="Q7" s="3"/>
    </row>
    <row r="8" spans="1:17" ht="57.6" x14ac:dyDescent="0.3">
      <c r="A8" t="s">
        <v>20</v>
      </c>
      <c r="B8">
        <v>0</v>
      </c>
      <c r="C8" s="30">
        <v>26679</v>
      </c>
      <c r="D8" s="40">
        <f t="shared" ref="D8:D9" si="0">($B$3-C8)/365</f>
        <v>50.575342465753423</v>
      </c>
      <c r="E8" s="67">
        <v>633.82000000000005</v>
      </c>
      <c r="F8" s="67">
        <v>112.9</v>
      </c>
      <c r="G8" s="67">
        <v>746.72</v>
      </c>
      <c r="H8" s="48">
        <v>749.2</v>
      </c>
      <c r="I8" s="34">
        <f>H8</f>
        <v>749.2</v>
      </c>
      <c r="J8" s="35">
        <f t="shared" ref="J8:J9" si="1">(I8-G8)/G8</f>
        <v>3.3211913434754905E-3</v>
      </c>
      <c r="K8" s="68" t="s">
        <v>105</v>
      </c>
      <c r="L8" s="36">
        <f>IF($N$1*H8&gt;=I8,I8,$N$1*H8)</f>
        <v>599.36</v>
      </c>
      <c r="M8" s="37">
        <f>I8-L8</f>
        <v>149.84000000000003</v>
      </c>
      <c r="N8" s="63">
        <f t="shared" ref="N8:O9" si="2">(L8-E8)/E8</f>
        <v>-5.4368748225048176E-2</v>
      </c>
      <c r="O8" s="63">
        <f t="shared" si="2"/>
        <v>0.32719220549158567</v>
      </c>
      <c r="P8" s="71">
        <f t="shared" ref="P8:P9" si="3">M8/I8</f>
        <v>0.20000000000000004</v>
      </c>
      <c r="Q8" s="3"/>
    </row>
    <row r="9" spans="1:17" ht="57.6" x14ac:dyDescent="0.3">
      <c r="A9" t="s">
        <v>21</v>
      </c>
      <c r="B9">
        <v>2</v>
      </c>
      <c r="C9" s="30">
        <v>31381</v>
      </c>
      <c r="D9" s="40">
        <f t="shared" si="0"/>
        <v>37.69315068493151</v>
      </c>
      <c r="E9" s="67">
        <v>1055.9100000000001</v>
      </c>
      <c r="F9" s="67">
        <v>263.97000000000003</v>
      </c>
      <c r="G9" s="67">
        <v>1319.88</v>
      </c>
      <c r="H9" s="48">
        <v>479.57</v>
      </c>
      <c r="I9" s="34">
        <f>SUM(H9:H11)</f>
        <v>1219.8699999999999</v>
      </c>
      <c r="J9" s="35">
        <f t="shared" si="1"/>
        <v>-7.5772039882413711E-2</v>
      </c>
      <c r="K9" s="68" t="s">
        <v>105</v>
      </c>
      <c r="L9" s="36">
        <f>IF($N$1*H9+$P$1*SUM(H10:H11)&gt;=I9,I9,$N$1*H9+$P$1*SUM(H10:H11))</f>
        <v>975.89599999999996</v>
      </c>
      <c r="M9" s="37">
        <f>I9-L9</f>
        <v>243.97399999999993</v>
      </c>
      <c r="N9" s="63">
        <f t="shared" si="2"/>
        <v>-7.577729162523332E-2</v>
      </c>
      <c r="O9" s="63">
        <f t="shared" si="2"/>
        <v>-7.5751032314278488E-2</v>
      </c>
      <c r="P9" s="71">
        <f t="shared" si="3"/>
        <v>0.19999999999999996</v>
      </c>
      <c r="Q9" s="3"/>
    </row>
    <row r="10" spans="1:17" x14ac:dyDescent="0.3">
      <c r="A10"/>
      <c r="B10"/>
      <c r="C10" s="30"/>
      <c r="D10" s="40">
        <v>29</v>
      </c>
      <c r="E10" s="67"/>
      <c r="F10" s="67"/>
      <c r="G10" s="67"/>
      <c r="H10" s="48">
        <v>397.9</v>
      </c>
      <c r="I10" s="34"/>
      <c r="J10" s="35"/>
      <c r="K10" s="68"/>
      <c r="L10" s="36"/>
      <c r="M10" s="37"/>
      <c r="N10" s="47"/>
      <c r="O10" s="47"/>
      <c r="P10" s="51"/>
      <c r="Q10" s="3"/>
    </row>
    <row r="11" spans="1:17" x14ac:dyDescent="0.3">
      <c r="A11"/>
      <c r="B11"/>
      <c r="C11" s="30"/>
      <c r="D11" s="40">
        <v>0</v>
      </c>
      <c r="E11" s="67"/>
      <c r="F11" s="67"/>
      <c r="G11" s="67"/>
      <c r="H11" s="48">
        <v>342.4</v>
      </c>
      <c r="I11" s="34"/>
      <c r="J11" s="35"/>
      <c r="K11" s="68"/>
      <c r="L11" s="36"/>
      <c r="M11" s="37"/>
      <c r="N11" s="47"/>
      <c r="O11" s="47"/>
      <c r="P11" s="51"/>
      <c r="Q11" s="3"/>
    </row>
    <row r="12" spans="1:17" ht="57.6" x14ac:dyDescent="0.3">
      <c r="A12" t="s">
        <v>22</v>
      </c>
      <c r="B12">
        <v>4</v>
      </c>
      <c r="C12" s="30">
        <v>30749</v>
      </c>
      <c r="D12" s="40">
        <f>($B$3-C12)/365</f>
        <v>39.424657534246577</v>
      </c>
      <c r="E12" s="67">
        <v>1733</v>
      </c>
      <c r="F12" s="67">
        <v>433.25</v>
      </c>
      <c r="G12" s="67">
        <v>2166.25</v>
      </c>
      <c r="H12" s="48">
        <v>491.09</v>
      </c>
      <c r="I12" s="34">
        <f>SUM(H12:H16)</f>
        <v>1987.3900000000003</v>
      </c>
      <c r="J12" s="35">
        <f>(I12-G12)/G12</f>
        <v>-8.2566647432198353E-2</v>
      </c>
      <c r="K12" s="68" t="s">
        <v>105</v>
      </c>
      <c r="L12" s="36">
        <f>IF($N$1*H12+$P$1*SUM(H13:H16)&gt;=I12,I12,$N$1*H12+$P$1*SUM(H13:H16))</f>
        <v>1589.9120000000003</v>
      </c>
      <c r="M12" s="37">
        <f>I12-L12</f>
        <v>397.47800000000007</v>
      </c>
      <c r="N12" s="63">
        <f>(L12-E12)/E12</f>
        <v>-8.2566647432198353E-2</v>
      </c>
      <c r="O12" s="63">
        <f>(M12-F12)/F12</f>
        <v>-8.2566647432198353E-2</v>
      </c>
      <c r="P12" s="71">
        <f>M12/I12</f>
        <v>0.2</v>
      </c>
      <c r="Q12" s="3"/>
    </row>
    <row r="13" spans="1:17" x14ac:dyDescent="0.3">
      <c r="A13"/>
      <c r="B13"/>
      <c r="C13" s="30"/>
      <c r="D13" s="40">
        <v>36</v>
      </c>
      <c r="E13" s="67"/>
      <c r="F13" s="67"/>
      <c r="G13" s="67"/>
      <c r="H13" s="48">
        <v>469.1</v>
      </c>
      <c r="I13" s="34"/>
      <c r="J13" s="35"/>
      <c r="K13" s="68"/>
      <c r="L13" s="36"/>
      <c r="M13" s="37"/>
      <c r="N13" s="47"/>
      <c r="O13" s="47"/>
      <c r="P13" s="51"/>
      <c r="Q13" s="3"/>
    </row>
    <row r="14" spans="1:17" x14ac:dyDescent="0.3">
      <c r="A14"/>
      <c r="B14"/>
      <c r="C14" s="30"/>
      <c r="D14" s="40">
        <v>6</v>
      </c>
      <c r="E14" s="67"/>
      <c r="F14" s="67"/>
      <c r="G14" s="67"/>
      <c r="H14" s="48">
        <v>342.4</v>
      </c>
      <c r="I14" s="34"/>
      <c r="J14" s="35"/>
      <c r="K14" s="68"/>
      <c r="L14" s="36"/>
      <c r="M14" s="37"/>
      <c r="N14" s="47"/>
      <c r="O14" s="47"/>
      <c r="P14" s="51"/>
      <c r="Q14" s="3"/>
    </row>
    <row r="15" spans="1:17" x14ac:dyDescent="0.3">
      <c r="A15"/>
      <c r="B15"/>
      <c r="C15" s="30"/>
      <c r="D15" s="40">
        <v>3</v>
      </c>
      <c r="E15" s="67"/>
      <c r="F15" s="67"/>
      <c r="G15" s="67"/>
      <c r="H15" s="48">
        <v>342.4</v>
      </c>
      <c r="I15" s="34"/>
      <c r="J15" s="35"/>
      <c r="K15" s="68"/>
      <c r="L15" s="36"/>
      <c r="M15" s="37"/>
      <c r="N15" s="47"/>
      <c r="O15" s="47"/>
      <c r="P15" s="51"/>
      <c r="Q15" s="3"/>
    </row>
    <row r="16" spans="1:17" x14ac:dyDescent="0.3">
      <c r="A16"/>
      <c r="B16"/>
      <c r="C16" s="30"/>
      <c r="D16" s="40">
        <v>0</v>
      </c>
      <c r="E16" s="67"/>
      <c r="F16" s="67"/>
      <c r="G16" s="67"/>
      <c r="H16" s="48">
        <v>342.4</v>
      </c>
      <c r="I16" s="34"/>
      <c r="J16" s="35"/>
      <c r="K16" s="68"/>
      <c r="L16" s="36"/>
      <c r="M16" s="37"/>
      <c r="N16" s="47"/>
      <c r="O16" s="47"/>
      <c r="P16" s="51"/>
      <c r="Q16" s="3"/>
    </row>
    <row r="17" spans="1:17" ht="57.6" x14ac:dyDescent="0.3">
      <c r="A17" t="s">
        <v>23</v>
      </c>
      <c r="B17">
        <v>1</v>
      </c>
      <c r="C17" s="30">
        <v>24458</v>
      </c>
      <c r="D17" s="40">
        <f>($B$3-C17)/365</f>
        <v>56.660273972602738</v>
      </c>
      <c r="E17" s="67">
        <v>1758.76</v>
      </c>
      <c r="F17" s="67">
        <v>439.69</v>
      </c>
      <c r="G17" s="67">
        <v>2198.4499999999998</v>
      </c>
      <c r="H17" s="48">
        <v>942.91</v>
      </c>
      <c r="I17" s="34">
        <f>SUM(H17:H18)</f>
        <v>2000.48</v>
      </c>
      <c r="J17" s="35">
        <f>(I17-G17)/G17</f>
        <v>-9.0049807819145219E-2</v>
      </c>
      <c r="K17" s="68" t="s">
        <v>105</v>
      </c>
      <c r="L17" s="36">
        <f>IF($N$1*H17+$P$1*H18&gt;=I17,I17,$N$1*H17+$P$1*H18)</f>
        <v>1600.384</v>
      </c>
      <c r="M17" s="37">
        <f>I17-L17</f>
        <v>400.096</v>
      </c>
      <c r="N17" s="63">
        <f>(L17-E17)/E17</f>
        <v>-9.0049807819145289E-2</v>
      </c>
      <c r="O17" s="63">
        <f>(M17-F17)/F17</f>
        <v>-9.0049807819145289E-2</v>
      </c>
      <c r="P17" s="71">
        <f>M17/I17</f>
        <v>0.2</v>
      </c>
      <c r="Q17" s="3"/>
    </row>
    <row r="18" spans="1:17" x14ac:dyDescent="0.3">
      <c r="A18"/>
      <c r="B18"/>
      <c r="C18" s="30"/>
      <c r="D18" s="40">
        <v>59</v>
      </c>
      <c r="E18" s="67"/>
      <c r="F18" s="67"/>
      <c r="G18" s="67"/>
      <c r="H18" s="48">
        <v>1057.57</v>
      </c>
      <c r="I18" s="34"/>
      <c r="J18" s="35"/>
      <c r="K18" s="68"/>
      <c r="L18" s="36"/>
      <c r="M18" s="37"/>
      <c r="N18" s="47"/>
      <c r="O18" s="47"/>
      <c r="P18" s="52"/>
      <c r="Q18" s="3"/>
    </row>
    <row r="19" spans="1:17" ht="57.6" x14ac:dyDescent="0.3">
      <c r="A19" t="s">
        <v>24</v>
      </c>
      <c r="B19">
        <v>0</v>
      </c>
      <c r="C19" s="30">
        <v>31552</v>
      </c>
      <c r="D19" s="40">
        <f t="shared" ref="D19:D20" si="4">($B$3-C19)/365</f>
        <v>37.224657534246575</v>
      </c>
      <c r="E19" s="67">
        <v>412.42</v>
      </c>
      <c r="F19" s="67">
        <v>249.96</v>
      </c>
      <c r="G19" s="67">
        <v>662.38</v>
      </c>
      <c r="H19" s="48">
        <v>479.57</v>
      </c>
      <c r="I19" s="34">
        <f>H19</f>
        <v>479.57</v>
      </c>
      <c r="J19" s="35">
        <f t="shared" ref="J19:J20" si="5">(I19-G19)/G19</f>
        <v>-0.27598961321295934</v>
      </c>
      <c r="K19" s="68" t="s">
        <v>105</v>
      </c>
      <c r="L19" s="36">
        <f>IF($N$1*H19&gt;=I19,I19,$N$1*H19)</f>
        <v>383.65600000000001</v>
      </c>
      <c r="M19" s="37">
        <f t="shared" ref="M19:M20" si="6">I19-L19</f>
        <v>95.913999999999987</v>
      </c>
      <c r="N19" s="63">
        <f t="shared" ref="N19:O20" si="7">(L19-E19)/E19</f>
        <v>-6.9744435284418815E-2</v>
      </c>
      <c r="O19" s="63">
        <f t="shared" si="7"/>
        <v>-0.61628260521683476</v>
      </c>
      <c r="P19" s="71">
        <f t="shared" ref="P19:P20" si="8">M19/I19</f>
        <v>0.19999999999999998</v>
      </c>
      <c r="Q19" s="3"/>
    </row>
    <row r="20" spans="1:17" ht="57.6" x14ac:dyDescent="0.3">
      <c r="A20" t="s">
        <v>25</v>
      </c>
      <c r="B20">
        <v>2</v>
      </c>
      <c r="C20" s="30">
        <v>31899</v>
      </c>
      <c r="D20" s="40">
        <f t="shared" si="4"/>
        <v>36.273972602739725</v>
      </c>
      <c r="E20" s="67">
        <v>1116.67</v>
      </c>
      <c r="F20" s="67">
        <v>676.78</v>
      </c>
      <c r="G20" s="67">
        <v>1793.45</v>
      </c>
      <c r="H20" s="48">
        <v>469.1</v>
      </c>
      <c r="I20" s="34">
        <f>SUM(H20:H22)</f>
        <v>1291.0700000000002</v>
      </c>
      <c r="J20" s="35">
        <f t="shared" si="5"/>
        <v>-0.28011932309236381</v>
      </c>
      <c r="K20" s="68" t="s">
        <v>105</v>
      </c>
      <c r="L20" s="36">
        <f>IF($N$1*H20+$P$1*SUM(H21:H22)&gt;=I20,I20,$N$1*H20+$P$1*SUM(H21:H22))</f>
        <v>1032.856</v>
      </c>
      <c r="M20" s="37">
        <f t="shared" si="6"/>
        <v>258.21400000000017</v>
      </c>
      <c r="N20" s="63">
        <f t="shared" si="7"/>
        <v>-7.5057089381822803E-2</v>
      </c>
      <c r="O20" s="63">
        <f t="shared" si="7"/>
        <v>-0.6184668577676643</v>
      </c>
      <c r="P20" s="71">
        <f t="shared" si="8"/>
        <v>0.20000000000000009</v>
      </c>
      <c r="Q20" s="3"/>
    </row>
    <row r="21" spans="1:17" x14ac:dyDescent="0.3">
      <c r="A21"/>
      <c r="B21"/>
      <c r="C21" s="30"/>
      <c r="D21" s="40">
        <v>37</v>
      </c>
      <c r="E21" s="67"/>
      <c r="F21" s="67"/>
      <c r="G21" s="67"/>
      <c r="H21" s="48">
        <v>479.57</v>
      </c>
      <c r="I21" s="34"/>
      <c r="J21" s="35"/>
      <c r="K21" s="68"/>
      <c r="L21" s="36"/>
      <c r="M21" s="37"/>
      <c r="N21" s="47"/>
      <c r="O21" s="47"/>
      <c r="P21" s="52"/>
      <c r="Q21" s="3"/>
    </row>
    <row r="22" spans="1:17" x14ac:dyDescent="0.3">
      <c r="A22"/>
      <c r="B22"/>
      <c r="C22" s="30"/>
      <c r="D22" s="40">
        <v>5</v>
      </c>
      <c r="E22" s="67"/>
      <c r="F22" s="67"/>
      <c r="G22" s="67"/>
      <c r="H22" s="48">
        <v>342.4</v>
      </c>
      <c r="I22" s="34"/>
      <c r="J22" s="35"/>
      <c r="K22" s="68"/>
      <c r="L22" s="36"/>
      <c r="M22" s="37"/>
      <c r="N22" s="47"/>
      <c r="O22" s="47"/>
      <c r="P22" s="52"/>
      <c r="Q22" s="3"/>
    </row>
    <row r="23" spans="1:17" ht="57.6" x14ac:dyDescent="0.3">
      <c r="A23" t="s">
        <v>26</v>
      </c>
      <c r="B23">
        <v>0</v>
      </c>
      <c r="C23" s="30">
        <v>34588</v>
      </c>
      <c r="D23" s="40">
        <f t="shared" ref="D23:D29" si="9">($B$3-C23)/365</f>
        <v>28.906849315068492</v>
      </c>
      <c r="E23" s="67">
        <v>334.63</v>
      </c>
      <c r="F23" s="67">
        <v>117.07</v>
      </c>
      <c r="G23" s="67">
        <v>451.7</v>
      </c>
      <c r="H23" s="48">
        <v>389.52</v>
      </c>
      <c r="I23" s="34">
        <f t="shared" ref="I23:I28" si="10">H23</f>
        <v>389.52</v>
      </c>
      <c r="J23" s="35">
        <f t="shared" ref="J23:J29" si="11">(I23-G23)/G23</f>
        <v>-0.13765773743635157</v>
      </c>
      <c r="K23" s="68" t="s">
        <v>105</v>
      </c>
      <c r="L23" s="36">
        <f t="shared" ref="L23:L28" si="12">IF($N$1*H23&gt;=I23,I23,$N$1*H23)</f>
        <v>311.61599999999999</v>
      </c>
      <c r="M23" s="37">
        <f t="shared" ref="M23:M29" si="13">I23-L23</f>
        <v>77.903999999999996</v>
      </c>
      <c r="N23" s="63">
        <f t="shared" ref="N23:O29" si="14">(L23-E23)/E23</f>
        <v>-6.8774467322116992E-2</v>
      </c>
      <c r="O23" s="63">
        <f t="shared" si="14"/>
        <v>-0.33455197744938925</v>
      </c>
      <c r="P23" s="71">
        <f t="shared" ref="P23:P29" si="15">M23/I23</f>
        <v>0.2</v>
      </c>
      <c r="Q23" s="3"/>
    </row>
    <row r="24" spans="1:17" ht="57.6" x14ac:dyDescent="0.3">
      <c r="A24" t="s">
        <v>27</v>
      </c>
      <c r="B24">
        <v>0</v>
      </c>
      <c r="C24" s="30">
        <v>33900</v>
      </c>
      <c r="D24" s="40">
        <f t="shared" si="9"/>
        <v>30.791780821917808</v>
      </c>
      <c r="E24" s="67">
        <v>349.82</v>
      </c>
      <c r="F24" s="67">
        <v>122.38</v>
      </c>
      <c r="G24" s="67">
        <v>472.2</v>
      </c>
      <c r="H24" s="48">
        <v>407.85</v>
      </c>
      <c r="I24" s="34">
        <f t="shared" si="10"/>
        <v>407.85</v>
      </c>
      <c r="J24" s="35">
        <f t="shared" si="11"/>
        <v>-0.13627700127064796</v>
      </c>
      <c r="K24" s="68" t="s">
        <v>105</v>
      </c>
      <c r="L24" s="36">
        <f t="shared" si="12"/>
        <v>326.28000000000003</v>
      </c>
      <c r="M24" s="37">
        <f t="shared" si="13"/>
        <v>81.569999999999993</v>
      </c>
      <c r="N24" s="63">
        <f t="shared" si="14"/>
        <v>-6.7291750042879087E-2</v>
      </c>
      <c r="O24" s="63">
        <f t="shared" si="14"/>
        <v>-0.33346952116358886</v>
      </c>
      <c r="P24" s="71">
        <f t="shared" si="15"/>
        <v>0.19999999999999998</v>
      </c>
      <c r="Q24" s="3"/>
    </row>
    <row r="25" spans="1:17" ht="57.6" x14ac:dyDescent="0.3">
      <c r="A25" t="s">
        <v>28</v>
      </c>
      <c r="B25">
        <v>0</v>
      </c>
      <c r="C25" s="30">
        <v>33765</v>
      </c>
      <c r="D25" s="40">
        <f t="shared" si="9"/>
        <v>31.161643835616438</v>
      </c>
      <c r="E25" s="67">
        <v>358.57</v>
      </c>
      <c r="F25" s="67">
        <v>125.44</v>
      </c>
      <c r="G25" s="67">
        <v>484.01</v>
      </c>
      <c r="H25" s="48">
        <v>418.32</v>
      </c>
      <c r="I25" s="34">
        <f t="shared" si="10"/>
        <v>418.32</v>
      </c>
      <c r="J25" s="35">
        <f t="shared" si="11"/>
        <v>-0.13572033635668684</v>
      </c>
      <c r="K25" s="68" t="s">
        <v>105</v>
      </c>
      <c r="L25" s="36">
        <f t="shared" si="12"/>
        <v>334.65600000000001</v>
      </c>
      <c r="M25" s="37">
        <f t="shared" si="13"/>
        <v>83.663999999999987</v>
      </c>
      <c r="N25" s="63">
        <f t="shared" si="14"/>
        <v>-6.6692695986836567E-2</v>
      </c>
      <c r="O25" s="63">
        <f t="shared" si="14"/>
        <v>-0.33303571428571438</v>
      </c>
      <c r="P25" s="71">
        <f t="shared" si="15"/>
        <v>0.19999999999999998</v>
      </c>
      <c r="Q25" s="3"/>
    </row>
    <row r="26" spans="1:17" ht="57.6" x14ac:dyDescent="0.3">
      <c r="A26" t="s">
        <v>29</v>
      </c>
      <c r="B26">
        <v>0</v>
      </c>
      <c r="C26" s="30">
        <v>31116</v>
      </c>
      <c r="D26" s="40">
        <f t="shared" si="9"/>
        <v>38.419178082191777</v>
      </c>
      <c r="E26" s="67">
        <v>426.69</v>
      </c>
      <c r="F26" s="67">
        <v>149.27000000000001</v>
      </c>
      <c r="G26" s="67">
        <v>575.96</v>
      </c>
      <c r="H26" s="48">
        <v>485.33</v>
      </c>
      <c r="I26" s="34">
        <f t="shared" si="10"/>
        <v>485.33</v>
      </c>
      <c r="J26" s="35">
        <f t="shared" si="11"/>
        <v>-0.15735467740815343</v>
      </c>
      <c r="K26" s="68" t="s">
        <v>105</v>
      </c>
      <c r="L26" s="36">
        <f t="shared" si="12"/>
        <v>388.26400000000001</v>
      </c>
      <c r="M26" s="37">
        <f t="shared" si="13"/>
        <v>97.065999999999974</v>
      </c>
      <c r="N26" s="63">
        <f t="shared" si="14"/>
        <v>-9.0056012561813004E-2</v>
      </c>
      <c r="O26" s="63">
        <f t="shared" si="14"/>
        <v>-0.34972867957392667</v>
      </c>
      <c r="P26" s="71">
        <f t="shared" si="15"/>
        <v>0.19999999999999996</v>
      </c>
      <c r="Q26" s="3"/>
    </row>
    <row r="27" spans="1:17" ht="57.6" x14ac:dyDescent="0.3">
      <c r="A27" t="s">
        <v>30</v>
      </c>
      <c r="B27">
        <v>0</v>
      </c>
      <c r="C27" s="30">
        <v>33886</v>
      </c>
      <c r="D27" s="40">
        <f t="shared" si="9"/>
        <v>30.830136986301369</v>
      </c>
      <c r="E27" s="67">
        <v>349.82</v>
      </c>
      <c r="F27" s="67">
        <v>75.87</v>
      </c>
      <c r="G27" s="67">
        <v>425.69</v>
      </c>
      <c r="H27" s="48">
        <v>407.85</v>
      </c>
      <c r="I27" s="34">
        <f t="shared" si="10"/>
        <v>407.85</v>
      </c>
      <c r="J27" s="35">
        <f t="shared" si="11"/>
        <v>-4.19084310178768E-2</v>
      </c>
      <c r="K27" s="68" t="s">
        <v>105</v>
      </c>
      <c r="L27" s="36">
        <f t="shared" si="12"/>
        <v>326.28000000000003</v>
      </c>
      <c r="M27" s="37">
        <f t="shared" si="13"/>
        <v>81.569999999999993</v>
      </c>
      <c r="N27" s="63">
        <f t="shared" si="14"/>
        <v>-6.7291750042879087E-2</v>
      </c>
      <c r="O27" s="63">
        <f t="shared" si="14"/>
        <v>7.512850929221021E-2</v>
      </c>
      <c r="P27" s="71">
        <f t="shared" si="15"/>
        <v>0.19999999999999998</v>
      </c>
      <c r="Q27" s="3"/>
    </row>
    <row r="28" spans="1:17" ht="57.6" x14ac:dyDescent="0.3">
      <c r="A28" t="s">
        <v>31</v>
      </c>
      <c r="B28">
        <v>0</v>
      </c>
      <c r="C28" s="30">
        <v>29996</v>
      </c>
      <c r="D28" s="40">
        <f t="shared" si="9"/>
        <v>41.487671232876714</v>
      </c>
      <c r="E28" s="67">
        <v>448.78</v>
      </c>
      <c r="F28" s="67">
        <v>97.34</v>
      </c>
      <c r="G28" s="67">
        <v>546.12</v>
      </c>
      <c r="H28" s="48">
        <v>530.36</v>
      </c>
      <c r="I28" s="34">
        <f t="shared" si="10"/>
        <v>530.36</v>
      </c>
      <c r="J28" s="35">
        <f t="shared" si="11"/>
        <v>-2.8858126419102011E-2</v>
      </c>
      <c r="K28" s="68" t="s">
        <v>105</v>
      </c>
      <c r="L28" s="36">
        <f t="shared" si="12"/>
        <v>424.28800000000001</v>
      </c>
      <c r="M28" s="37">
        <f t="shared" si="13"/>
        <v>106.072</v>
      </c>
      <c r="N28" s="63">
        <f t="shared" si="14"/>
        <v>-5.4574624537635286E-2</v>
      </c>
      <c r="O28" s="63">
        <f t="shared" si="14"/>
        <v>8.9706184507910403E-2</v>
      </c>
      <c r="P28" s="71">
        <f t="shared" si="15"/>
        <v>0.2</v>
      </c>
      <c r="Q28" s="3"/>
    </row>
    <row r="29" spans="1:17" ht="57.6" x14ac:dyDescent="0.3">
      <c r="A29" t="s">
        <v>32</v>
      </c>
      <c r="B29">
        <v>1</v>
      </c>
      <c r="C29" s="30">
        <v>31217</v>
      </c>
      <c r="D29" s="40">
        <f t="shared" si="9"/>
        <v>38.142465753424659</v>
      </c>
      <c r="E29" s="67">
        <v>887.89</v>
      </c>
      <c r="F29" s="67">
        <v>192.58</v>
      </c>
      <c r="G29" s="67">
        <v>1080.47</v>
      </c>
      <c r="H29" s="48">
        <v>485.33</v>
      </c>
      <c r="I29" s="38">
        <f>SUM(H29:H30)</f>
        <v>1036.6299999999999</v>
      </c>
      <c r="J29" s="35">
        <f t="shared" si="11"/>
        <v>-4.0574934981998712E-2</v>
      </c>
      <c r="K29" s="68" t="s">
        <v>105</v>
      </c>
      <c r="L29" s="36">
        <f>IF($N$1*H29+$P$1*H30&gt;=I29,I29,$N$1*H29+$P$1*H30)</f>
        <v>829.30399999999997</v>
      </c>
      <c r="M29" s="37">
        <f t="shared" si="13"/>
        <v>207.32599999999991</v>
      </c>
      <c r="N29" s="63">
        <f t="shared" si="14"/>
        <v>-6.5983398844451466E-2</v>
      </c>
      <c r="O29" s="63">
        <f t="shared" si="14"/>
        <v>7.6570775781492864E-2</v>
      </c>
      <c r="P29" s="71">
        <f t="shared" si="15"/>
        <v>0.19999999999999993</v>
      </c>
      <c r="Q29" s="3"/>
    </row>
    <row r="30" spans="1:17" x14ac:dyDescent="0.3">
      <c r="A30"/>
      <c r="B30"/>
      <c r="C30" s="30"/>
      <c r="D30" s="40">
        <v>42</v>
      </c>
      <c r="E30" s="67"/>
      <c r="F30" s="67"/>
      <c r="G30" s="67"/>
      <c r="H30" s="48">
        <v>551.29999999999995</v>
      </c>
      <c r="I30" s="38"/>
      <c r="J30" s="35"/>
      <c r="K30" s="68"/>
      <c r="L30" s="39"/>
      <c r="M30" s="37"/>
      <c r="N30" s="37"/>
      <c r="O30" s="37"/>
      <c r="P30" s="51"/>
      <c r="Q30" s="3"/>
    </row>
    <row r="31" spans="1:17" ht="57.6" x14ac:dyDescent="0.3">
      <c r="A31" t="s">
        <v>33</v>
      </c>
      <c r="B31">
        <v>0</v>
      </c>
      <c r="C31" s="30">
        <v>35369</v>
      </c>
      <c r="D31" s="40">
        <f t="shared" ref="D31:D33" si="16">($B$3-C31)/365</f>
        <v>26.767123287671232</v>
      </c>
      <c r="E31" s="67">
        <v>324.42</v>
      </c>
      <c r="F31" s="67">
        <v>0</v>
      </c>
      <c r="G31" s="67">
        <v>324.42</v>
      </c>
      <c r="H31" s="48">
        <v>380.62</v>
      </c>
      <c r="I31" s="34">
        <f t="shared" ref="I31:I33" si="17">H31</f>
        <v>380.62</v>
      </c>
      <c r="J31" s="35">
        <f t="shared" ref="J31:J34" si="18">(I31-G31)/G31</f>
        <v>0.17323222982553477</v>
      </c>
      <c r="K31" s="68" t="s">
        <v>105</v>
      </c>
      <c r="L31" s="36">
        <f t="shared" ref="L31:L33" si="19">IF($N$1*H31&gt;=I31,I31,$N$1*H31)</f>
        <v>304.49600000000004</v>
      </c>
      <c r="M31" s="37">
        <f t="shared" ref="M31:M34" si="20">I31-L31</f>
        <v>76.123999999999967</v>
      </c>
      <c r="N31" s="63">
        <f t="shared" ref="N31:O34" si="21">(L31-E31)/E31</f>
        <v>-6.1414216139572091E-2</v>
      </c>
      <c r="O31" s="63" t="e">
        <f t="shared" si="21"/>
        <v>#DIV/0!</v>
      </c>
      <c r="P31" s="71">
        <f t="shared" ref="P31:P34" si="22">M31/I31</f>
        <v>0.1999999999999999</v>
      </c>
      <c r="Q31" s="3"/>
    </row>
    <row r="32" spans="1:17" ht="57.6" x14ac:dyDescent="0.3">
      <c r="A32" t="s">
        <v>34</v>
      </c>
      <c r="B32">
        <v>0</v>
      </c>
      <c r="C32" s="30">
        <v>34295</v>
      </c>
      <c r="D32" s="40">
        <f t="shared" si="16"/>
        <v>29.709589041095889</v>
      </c>
      <c r="E32" s="67">
        <v>332</v>
      </c>
      <c r="F32" s="67">
        <v>0</v>
      </c>
      <c r="G32" s="67">
        <v>332</v>
      </c>
      <c r="H32" s="48">
        <v>397.9</v>
      </c>
      <c r="I32" s="34">
        <f t="shared" si="17"/>
        <v>397.9</v>
      </c>
      <c r="J32" s="35">
        <f t="shared" si="18"/>
        <v>0.19849397590361439</v>
      </c>
      <c r="K32" s="68" t="s">
        <v>105</v>
      </c>
      <c r="L32" s="36">
        <f t="shared" si="19"/>
        <v>318.32</v>
      </c>
      <c r="M32" s="37">
        <f t="shared" si="20"/>
        <v>79.579999999999984</v>
      </c>
      <c r="N32" s="63">
        <f t="shared" si="21"/>
        <v>-4.1204819277108451E-2</v>
      </c>
      <c r="O32" s="63" t="e">
        <f t="shared" si="21"/>
        <v>#DIV/0!</v>
      </c>
      <c r="P32" s="71">
        <f t="shared" si="22"/>
        <v>0.19999999999999998</v>
      </c>
      <c r="Q32" s="3"/>
    </row>
    <row r="33" spans="1:17" ht="57.6" x14ac:dyDescent="0.3">
      <c r="A33" t="s">
        <v>35</v>
      </c>
      <c r="B33">
        <v>0</v>
      </c>
      <c r="C33" s="30">
        <v>33576</v>
      </c>
      <c r="D33" s="40">
        <f t="shared" si="16"/>
        <v>31.67945205479452</v>
      </c>
      <c r="E33" s="67">
        <v>347.62</v>
      </c>
      <c r="F33" s="67">
        <v>0</v>
      </c>
      <c r="G33" s="67">
        <v>347.62</v>
      </c>
      <c r="H33" s="48">
        <v>418.32</v>
      </c>
      <c r="I33" s="34">
        <f t="shared" si="17"/>
        <v>418.32</v>
      </c>
      <c r="J33" s="35">
        <f t="shared" si="18"/>
        <v>0.2033830044301248</v>
      </c>
      <c r="K33" s="68" t="s">
        <v>105</v>
      </c>
      <c r="L33" s="36">
        <f t="shared" si="19"/>
        <v>334.65600000000001</v>
      </c>
      <c r="M33" s="37">
        <f t="shared" si="20"/>
        <v>83.663999999999987</v>
      </c>
      <c r="N33" s="63">
        <f t="shared" si="21"/>
        <v>-3.7293596455900115E-2</v>
      </c>
      <c r="O33" s="63" t="e">
        <f t="shared" si="21"/>
        <v>#DIV/0!</v>
      </c>
      <c r="P33" s="71">
        <f t="shared" si="22"/>
        <v>0.19999999999999998</v>
      </c>
      <c r="Q33" s="3"/>
    </row>
    <row r="34" spans="1:17" ht="57.6" x14ac:dyDescent="0.3">
      <c r="A34" s="74" t="s">
        <v>36</v>
      </c>
      <c r="B34">
        <v>1</v>
      </c>
      <c r="C34" s="30">
        <v>33338</v>
      </c>
      <c r="D34" s="40">
        <f>($B$3-C34)/365</f>
        <v>32.331506849315069</v>
      </c>
      <c r="E34" s="67">
        <v>680.97</v>
      </c>
      <c r="F34" s="67">
        <v>0</v>
      </c>
      <c r="G34" s="67">
        <v>680.97</v>
      </c>
      <c r="H34" s="48">
        <v>427.74</v>
      </c>
      <c r="I34" s="38">
        <f>SUM(H34:H35)</f>
        <v>817.26</v>
      </c>
      <c r="J34" s="35">
        <f t="shared" si="18"/>
        <v>0.20014097537336439</v>
      </c>
      <c r="K34" s="68" t="s">
        <v>105</v>
      </c>
      <c r="L34" s="36">
        <f>IF($N$1*H34+$P$1*H35&gt;=I34,I34,$N$1*H34+$P$1*H35)</f>
        <v>653.80799999999999</v>
      </c>
      <c r="M34" s="37">
        <f t="shared" si="20"/>
        <v>163.452</v>
      </c>
      <c r="N34" s="63">
        <f t="shared" si="21"/>
        <v>-3.9887219701308478E-2</v>
      </c>
      <c r="O34" s="63" t="e">
        <f t="shared" si="21"/>
        <v>#DIV/0!</v>
      </c>
      <c r="P34" s="71">
        <f t="shared" si="22"/>
        <v>0.2</v>
      </c>
      <c r="Q34" s="3"/>
    </row>
    <row r="35" spans="1:17" x14ac:dyDescent="0.3">
      <c r="A35"/>
      <c r="B35"/>
      <c r="C35" s="30"/>
      <c r="D35" s="40">
        <v>28</v>
      </c>
      <c r="E35" s="67"/>
      <c r="F35" s="67"/>
      <c r="G35" s="67"/>
      <c r="H35" s="48">
        <v>389.52</v>
      </c>
      <c r="I35" s="38"/>
      <c r="J35" s="35"/>
      <c r="K35" s="68"/>
      <c r="L35" s="36"/>
      <c r="M35" s="37"/>
      <c r="N35" s="47"/>
      <c r="O35" s="47"/>
      <c r="P35" s="52"/>
      <c r="Q35" s="3"/>
    </row>
    <row r="36" spans="1:17" ht="57.6" x14ac:dyDescent="0.3">
      <c r="A36" t="s">
        <v>37</v>
      </c>
      <c r="B36">
        <v>1</v>
      </c>
      <c r="C36" s="30">
        <v>31561</v>
      </c>
      <c r="D36" s="40">
        <f>($B$3-C36)/365</f>
        <v>37.200000000000003</v>
      </c>
      <c r="E36" s="67">
        <v>691.67</v>
      </c>
      <c r="F36" s="67">
        <v>0</v>
      </c>
      <c r="G36" s="67">
        <v>691.67</v>
      </c>
      <c r="H36" s="48">
        <v>479.57</v>
      </c>
      <c r="I36" s="38">
        <f>SUM(H36:H37)</f>
        <v>821.97</v>
      </c>
      <c r="J36" s="35">
        <f>(I36-G36)/G36</f>
        <v>0.1883846342909192</v>
      </c>
      <c r="K36" s="68" t="s">
        <v>105</v>
      </c>
      <c r="L36" s="36">
        <f>IF($N$1*H36+$P$1*H37&gt;=I36,I36,$N$1*H36+$P$1*H37)</f>
        <v>657.57600000000002</v>
      </c>
      <c r="M36" s="37">
        <f>I36-L36</f>
        <v>164.39400000000001</v>
      </c>
      <c r="N36" s="63">
        <f>(L36-E36)/E36</f>
        <v>-4.9292292567264646E-2</v>
      </c>
      <c r="O36" s="63" t="e">
        <f>(M36-F36)/F36</f>
        <v>#DIV/0!</v>
      </c>
      <c r="P36" s="71">
        <f>M36/I36</f>
        <v>0.2</v>
      </c>
      <c r="Q36" s="3"/>
    </row>
    <row r="37" spans="1:17" x14ac:dyDescent="0.3">
      <c r="A37"/>
      <c r="B37"/>
      <c r="C37" s="30"/>
      <c r="D37" s="40">
        <v>0</v>
      </c>
      <c r="E37" s="67"/>
      <c r="F37" s="67"/>
      <c r="G37" s="67"/>
      <c r="H37" s="48">
        <v>342.4</v>
      </c>
      <c r="I37" s="38"/>
      <c r="J37" s="35"/>
      <c r="K37" s="68"/>
      <c r="L37" s="36"/>
      <c r="M37" s="37"/>
      <c r="N37" s="47"/>
      <c r="O37" s="47"/>
      <c r="P37" s="52"/>
      <c r="Q37" s="3"/>
    </row>
    <row r="38" spans="1:17" ht="57.6" x14ac:dyDescent="0.3">
      <c r="A38" t="s">
        <v>38</v>
      </c>
      <c r="B38">
        <v>1</v>
      </c>
      <c r="C38" s="30">
        <v>33497</v>
      </c>
      <c r="D38" s="40">
        <f>($B$3-C38)/365</f>
        <v>31.895890410958906</v>
      </c>
      <c r="E38" s="67">
        <v>695.24</v>
      </c>
      <c r="F38" s="67">
        <v>0</v>
      </c>
      <c r="G38" s="67">
        <v>695.24</v>
      </c>
      <c r="H38" s="48">
        <v>418.32</v>
      </c>
      <c r="I38" s="38">
        <f>SUM(H38:H39)</f>
        <v>836.64</v>
      </c>
      <c r="J38" s="35">
        <f>(I38-G38)/G38</f>
        <v>0.2033830044301248</v>
      </c>
      <c r="K38" s="68" t="s">
        <v>105</v>
      </c>
      <c r="L38" s="36">
        <f>IF($N$1*H38+$P$1*H39&gt;=I38,I38,$N$1*H38+$P$1*H39)</f>
        <v>669.31200000000001</v>
      </c>
      <c r="M38" s="37">
        <f>I38-L38</f>
        <v>167.32799999999997</v>
      </c>
      <c r="N38" s="63">
        <f>(L38-E38)/E38</f>
        <v>-3.7293596455900115E-2</v>
      </c>
      <c r="O38" s="63" t="e">
        <f>(M38-F38)/F38</f>
        <v>#DIV/0!</v>
      </c>
      <c r="P38" s="71">
        <f>M38/I38</f>
        <v>0.19999999999999998</v>
      </c>
      <c r="Q38" s="3"/>
    </row>
    <row r="39" spans="1:17" x14ac:dyDescent="0.3">
      <c r="A39"/>
      <c r="B39"/>
      <c r="C39" s="30"/>
      <c r="D39" s="40">
        <v>31</v>
      </c>
      <c r="E39" s="67"/>
      <c r="F39" s="67"/>
      <c r="G39" s="67"/>
      <c r="H39" s="48">
        <v>418.32</v>
      </c>
      <c r="I39" s="38"/>
      <c r="J39" s="35"/>
      <c r="K39" s="68"/>
      <c r="L39" s="36"/>
      <c r="M39" s="37"/>
      <c r="N39" s="47"/>
      <c r="O39" s="47"/>
      <c r="P39" s="52"/>
      <c r="Q39" s="3"/>
    </row>
    <row r="40" spans="1:17" ht="57.6" x14ac:dyDescent="0.3">
      <c r="A40" t="s">
        <v>39</v>
      </c>
      <c r="B40">
        <v>1</v>
      </c>
      <c r="C40" s="30">
        <v>34122</v>
      </c>
      <c r="D40" s="40">
        <f>($B$3-C40)/365</f>
        <v>30.183561643835617</v>
      </c>
      <c r="E40" s="67">
        <v>738.97</v>
      </c>
      <c r="F40" s="67">
        <v>0</v>
      </c>
      <c r="G40" s="67">
        <v>738.97</v>
      </c>
      <c r="H40" s="48">
        <v>407.85</v>
      </c>
      <c r="I40" s="38">
        <f>SUM(H40:H41)</f>
        <v>887.42000000000007</v>
      </c>
      <c r="J40" s="35">
        <f>(I40-G40)/G40</f>
        <v>0.20088772209967934</v>
      </c>
      <c r="K40" s="68" t="s">
        <v>105</v>
      </c>
      <c r="L40" s="36">
        <f>IF($N$1*H40+$P$1*H41&gt;=I40,I40,$N$1*H40+$P$1*H41)</f>
        <v>709.93600000000004</v>
      </c>
      <c r="M40" s="37">
        <f>I40-L40</f>
        <v>177.48400000000004</v>
      </c>
      <c r="N40" s="63">
        <f>(L40-E40)/E40</f>
        <v>-3.9289822320256559E-2</v>
      </c>
      <c r="O40" s="63" t="e">
        <f>(M40-F40)/F40</f>
        <v>#DIV/0!</v>
      </c>
      <c r="P40" s="71">
        <f>M40/I40</f>
        <v>0.20000000000000004</v>
      </c>
      <c r="Q40" s="3"/>
    </row>
    <row r="41" spans="1:17" x14ac:dyDescent="0.3">
      <c r="A41"/>
      <c r="B41"/>
      <c r="C41" s="30"/>
      <c r="D41" s="40">
        <v>37</v>
      </c>
      <c r="E41" s="67"/>
      <c r="F41" s="67"/>
      <c r="G41" s="67"/>
      <c r="H41" s="48">
        <v>479.57</v>
      </c>
      <c r="I41" s="38"/>
      <c r="J41" s="35"/>
      <c r="K41" s="68"/>
      <c r="L41" s="36"/>
      <c r="M41" s="37"/>
      <c r="N41" s="47"/>
      <c r="O41" s="47"/>
      <c r="P41" s="52"/>
      <c r="Q41" s="3"/>
    </row>
    <row r="42" spans="1:17" ht="57.6" x14ac:dyDescent="0.3">
      <c r="A42" s="74" t="s">
        <v>40</v>
      </c>
      <c r="B42">
        <v>0</v>
      </c>
      <c r="C42" s="30">
        <v>24504</v>
      </c>
      <c r="D42" s="40">
        <f t="shared" ref="D42:D43" si="23">($B$3-C42)/365</f>
        <v>56.534246575342465</v>
      </c>
      <c r="E42" s="67">
        <v>773.34</v>
      </c>
      <c r="F42" s="67">
        <v>0</v>
      </c>
      <c r="G42" s="67">
        <v>773.34</v>
      </c>
      <c r="H42" s="48">
        <v>942.91</v>
      </c>
      <c r="I42" s="34">
        <f>H42</f>
        <v>942.91</v>
      </c>
      <c r="J42" s="35">
        <f t="shared" ref="J42:J43" si="24">(I42-G42)/G42</f>
        <v>0.21926966146843552</v>
      </c>
      <c r="K42" s="68" t="s">
        <v>105</v>
      </c>
      <c r="L42" s="36">
        <f>IF($N$1*H42&gt;=I42,I42,$N$1*H42)</f>
        <v>754.32799999999997</v>
      </c>
      <c r="M42" s="37">
        <f t="shared" ref="M42:M43" si="25">I42-L42</f>
        <v>188.58199999999999</v>
      </c>
      <c r="N42" s="63">
        <f t="shared" ref="N42:O43" si="26">(L42-E42)/E42</f>
        <v>-2.4584270825251581E-2</v>
      </c>
      <c r="O42" s="63" t="e">
        <f t="shared" si="26"/>
        <v>#DIV/0!</v>
      </c>
      <c r="P42" s="71">
        <f t="shared" ref="P42:P43" si="27">M42/I42</f>
        <v>0.2</v>
      </c>
      <c r="Q42" s="3"/>
    </row>
    <row r="43" spans="1:17" ht="57.6" x14ac:dyDescent="0.3">
      <c r="A43" s="74" t="s">
        <v>41</v>
      </c>
      <c r="B43">
        <v>1</v>
      </c>
      <c r="C43" s="30">
        <v>28690</v>
      </c>
      <c r="D43" s="40">
        <f t="shared" si="23"/>
        <v>45.065753424657537</v>
      </c>
      <c r="E43" s="67">
        <v>1054.92</v>
      </c>
      <c r="F43" s="67">
        <v>0</v>
      </c>
      <c r="G43" s="67">
        <v>1054.92</v>
      </c>
      <c r="H43" s="48">
        <v>618.30999999999995</v>
      </c>
      <c r="I43" s="38">
        <f>SUM(H43:H44)</f>
        <v>1285.8399999999999</v>
      </c>
      <c r="J43" s="35">
        <f t="shared" si="24"/>
        <v>0.21889811549690955</v>
      </c>
      <c r="K43" s="68" t="s">
        <v>105</v>
      </c>
      <c r="L43" s="36">
        <f>IF($N$1*H43+$P$1*H44&gt;=I43,I43,$N$1*H43+$P$1*H44)</f>
        <v>1028.672</v>
      </c>
      <c r="M43" s="37">
        <f t="shared" si="25"/>
        <v>257.16799999999989</v>
      </c>
      <c r="N43" s="63">
        <f t="shared" si="26"/>
        <v>-2.4881507602472267E-2</v>
      </c>
      <c r="O43" s="63" t="e">
        <f t="shared" si="26"/>
        <v>#DIV/0!</v>
      </c>
      <c r="P43" s="71">
        <f t="shared" si="27"/>
        <v>0.19999999999999993</v>
      </c>
      <c r="Q43" s="3"/>
    </row>
    <row r="44" spans="1:17" x14ac:dyDescent="0.3">
      <c r="A44"/>
      <c r="B44"/>
      <c r="C44" s="30"/>
      <c r="D44" s="40">
        <v>47</v>
      </c>
      <c r="E44" s="67"/>
      <c r="F44" s="67"/>
      <c r="G44" s="67"/>
      <c r="H44" s="48">
        <v>667.53</v>
      </c>
      <c r="I44" s="34"/>
      <c r="J44" s="35"/>
      <c r="K44" s="68"/>
      <c r="L44" s="36"/>
      <c r="M44" s="37"/>
      <c r="N44" s="47"/>
      <c r="O44" s="47"/>
      <c r="P44" s="52"/>
      <c r="Q44" s="3"/>
    </row>
    <row r="45" spans="1:17" ht="57.6" x14ac:dyDescent="0.3">
      <c r="A45" s="74" t="s">
        <v>42</v>
      </c>
      <c r="B45">
        <v>3</v>
      </c>
      <c r="C45" s="30">
        <v>27512</v>
      </c>
      <c r="D45" s="40">
        <f>($B$3-C45)/365</f>
        <v>48.293150684931504</v>
      </c>
      <c r="E45" s="67">
        <v>1700.18</v>
      </c>
      <c r="F45" s="67">
        <v>0</v>
      </c>
      <c r="G45" s="67">
        <v>1700.18</v>
      </c>
      <c r="H45" s="48">
        <v>693.7</v>
      </c>
      <c r="I45" s="38">
        <f>SUM(H45:H48)</f>
        <v>2020.9</v>
      </c>
      <c r="J45" s="35">
        <f>(I45-G45)/G45</f>
        <v>0.18863885000411723</v>
      </c>
      <c r="K45" s="68" t="s">
        <v>105</v>
      </c>
      <c r="L45" s="36">
        <f>IF($N$1*H45+$P$1*SUM(H46:H48)&gt;=I45,I45,$N$1*H45+$P$1*SUM(H46:H48))</f>
        <v>1616.72</v>
      </c>
      <c r="M45" s="37">
        <f>I45-L45</f>
        <v>404.18000000000006</v>
      </c>
      <c r="N45" s="63">
        <f>(L45-E45)/E45</f>
        <v>-4.9088919996706254E-2</v>
      </c>
      <c r="O45" s="63" t="e">
        <f>(M45-F45)/F45</f>
        <v>#DIV/0!</v>
      </c>
      <c r="P45" s="71">
        <f>M45/I45</f>
        <v>0.2</v>
      </c>
      <c r="Q45" s="3"/>
    </row>
    <row r="46" spans="1:17" x14ac:dyDescent="0.3">
      <c r="A46"/>
      <c r="B46"/>
      <c r="C46" s="30"/>
      <c r="D46" s="40">
        <v>46</v>
      </c>
      <c r="E46" s="67"/>
      <c r="F46" s="67"/>
      <c r="G46" s="67"/>
      <c r="H46" s="48">
        <v>642.4</v>
      </c>
      <c r="I46" s="34"/>
      <c r="J46" s="35"/>
      <c r="K46" s="68"/>
      <c r="L46" s="36"/>
      <c r="M46" s="37"/>
      <c r="N46" s="47"/>
      <c r="O46" s="47"/>
      <c r="P46" s="52"/>
      <c r="Q46" s="3"/>
    </row>
    <row r="47" spans="1:17" x14ac:dyDescent="0.3">
      <c r="A47"/>
      <c r="B47"/>
      <c r="C47" s="30"/>
      <c r="D47" s="40">
        <v>10</v>
      </c>
      <c r="E47" s="67"/>
      <c r="F47" s="67"/>
      <c r="G47" s="67"/>
      <c r="H47" s="48">
        <v>342.4</v>
      </c>
      <c r="I47" s="34"/>
      <c r="J47" s="35"/>
      <c r="K47" s="68"/>
      <c r="L47" s="36"/>
      <c r="M47" s="37"/>
      <c r="N47" s="47"/>
      <c r="O47" s="47"/>
      <c r="P47" s="52"/>
      <c r="Q47" s="3"/>
    </row>
    <row r="48" spans="1:17" x14ac:dyDescent="0.3">
      <c r="A48"/>
      <c r="B48"/>
      <c r="C48" s="30"/>
      <c r="D48" s="40">
        <v>7</v>
      </c>
      <c r="E48" s="67"/>
      <c r="F48" s="67"/>
      <c r="G48" s="67"/>
      <c r="H48" s="48">
        <v>342.4</v>
      </c>
      <c r="I48" s="34"/>
      <c r="J48" s="35"/>
      <c r="K48" s="68"/>
      <c r="L48" s="36"/>
      <c r="M48" s="37"/>
      <c r="N48" s="47"/>
      <c r="O48" s="47"/>
      <c r="P48" s="52"/>
      <c r="Q48" s="3"/>
    </row>
    <row r="49" spans="1:17" ht="57.6" x14ac:dyDescent="0.3">
      <c r="A49" t="s">
        <v>43</v>
      </c>
      <c r="B49">
        <v>0</v>
      </c>
      <c r="C49" s="30">
        <v>36111</v>
      </c>
      <c r="D49" s="40">
        <f t="shared" ref="D49:D50" si="28">($B$3-C49)/365</f>
        <v>24.734246575342464</v>
      </c>
      <c r="E49" s="67">
        <v>334.63</v>
      </c>
      <c r="F49" s="67">
        <v>16.28</v>
      </c>
      <c r="G49" s="67">
        <v>350.91</v>
      </c>
      <c r="H49" s="48">
        <v>380.62</v>
      </c>
      <c r="I49" s="34">
        <f>H49</f>
        <v>380.62</v>
      </c>
      <c r="J49" s="35">
        <f t="shared" ref="J49:J50" si="29">(I49-G49)/G49</f>
        <v>8.4665583767917635E-2</v>
      </c>
      <c r="K49" s="68" t="s">
        <v>105</v>
      </c>
      <c r="L49" s="36">
        <f>IF($N$1*H49&gt;=I49,I49,$N$1*H49)</f>
        <v>304.49600000000004</v>
      </c>
      <c r="M49" s="37">
        <f t="shared" ref="M49:M50" si="30">I49-L49</f>
        <v>76.123999999999967</v>
      </c>
      <c r="N49" s="63">
        <f t="shared" ref="N49:O50" si="31">(L49-E49)/E49</f>
        <v>-9.0051698891312662E-2</v>
      </c>
      <c r="O49" s="63">
        <f t="shared" si="31"/>
        <v>3.6759213759213734</v>
      </c>
      <c r="P49" s="71">
        <f t="shared" ref="P49:P50" si="32">M49/I49</f>
        <v>0.1999999999999999</v>
      </c>
      <c r="Q49" s="3"/>
    </row>
    <row r="50" spans="1:17" ht="57.6" x14ac:dyDescent="0.3">
      <c r="A50" t="s">
        <v>44</v>
      </c>
      <c r="B50">
        <v>3</v>
      </c>
      <c r="C50" s="30">
        <v>31872</v>
      </c>
      <c r="D50" s="40">
        <f t="shared" si="28"/>
        <v>36.347945205479455</v>
      </c>
      <c r="E50" s="67">
        <v>1417.7</v>
      </c>
      <c r="F50" s="67">
        <v>68.98</v>
      </c>
      <c r="G50" s="67">
        <v>1486.68</v>
      </c>
      <c r="H50" s="48">
        <v>469.1</v>
      </c>
      <c r="I50" s="34">
        <f>SUM(H50:H53)</f>
        <v>1633.4700000000003</v>
      </c>
      <c r="J50" s="35">
        <f t="shared" si="29"/>
        <v>9.8736782629752329E-2</v>
      </c>
      <c r="K50" s="68" t="s">
        <v>105</v>
      </c>
      <c r="L50" s="36">
        <f>IF($N$1*H50+$P$1*SUM(H51:H53)&gt;=I50,I50,$N$1*H50+$P$1*SUM(H51:H53))</f>
        <v>1306.7760000000001</v>
      </c>
      <c r="M50" s="37">
        <f t="shared" si="30"/>
        <v>326.69400000000019</v>
      </c>
      <c r="N50" s="63">
        <f t="shared" si="31"/>
        <v>-7.8242223319461082E-2</v>
      </c>
      <c r="O50" s="63">
        <f t="shared" si="31"/>
        <v>3.73606842563062</v>
      </c>
      <c r="P50" s="71">
        <f t="shared" si="32"/>
        <v>0.20000000000000009</v>
      </c>
      <c r="Q50" s="3"/>
    </row>
    <row r="51" spans="1:17" x14ac:dyDescent="0.3">
      <c r="A51"/>
      <c r="B51"/>
      <c r="C51" s="30"/>
      <c r="D51" s="40">
        <v>37</v>
      </c>
      <c r="E51" s="67"/>
      <c r="F51" s="67"/>
      <c r="G51" s="67"/>
      <c r="H51" s="48">
        <v>479.57</v>
      </c>
      <c r="I51" s="34"/>
      <c r="J51" s="35"/>
      <c r="K51" s="68"/>
      <c r="L51" s="36"/>
      <c r="M51" s="37"/>
      <c r="N51" s="47"/>
      <c r="O51" s="47"/>
      <c r="P51" s="52"/>
      <c r="Q51" s="3"/>
    </row>
    <row r="52" spans="1:17" x14ac:dyDescent="0.3">
      <c r="A52"/>
      <c r="B52"/>
      <c r="C52" s="30"/>
      <c r="D52" s="40">
        <v>17</v>
      </c>
      <c r="E52" s="67"/>
      <c r="F52" s="67"/>
      <c r="G52" s="67"/>
      <c r="H52" s="48">
        <v>342.4</v>
      </c>
      <c r="I52" s="34"/>
      <c r="J52" s="35"/>
      <c r="K52" s="68"/>
      <c r="L52" s="36"/>
      <c r="M52" s="37"/>
      <c r="N52" s="47"/>
      <c r="O52" s="47"/>
      <c r="P52" s="52"/>
      <c r="Q52" s="3"/>
    </row>
    <row r="53" spans="1:17" x14ac:dyDescent="0.3">
      <c r="A53"/>
      <c r="B53"/>
      <c r="C53" s="30"/>
      <c r="D53" s="40">
        <v>15</v>
      </c>
      <c r="E53" s="67"/>
      <c r="F53" s="67"/>
      <c r="G53" s="67"/>
      <c r="H53" s="48">
        <v>342.4</v>
      </c>
      <c r="I53" s="34"/>
      <c r="J53" s="35"/>
      <c r="K53" s="68"/>
      <c r="L53" s="36"/>
      <c r="M53" s="37"/>
      <c r="N53" s="47"/>
      <c r="O53" s="47"/>
      <c r="P53" s="52"/>
      <c r="Q53" s="3"/>
    </row>
    <row r="54" spans="1:17" ht="57.6" x14ac:dyDescent="0.3">
      <c r="A54" t="s">
        <v>45</v>
      </c>
      <c r="B54">
        <v>1</v>
      </c>
      <c r="C54" s="30">
        <v>24635</v>
      </c>
      <c r="D54" s="40">
        <f>($B$3-C54)/365</f>
        <v>56.175342465753424</v>
      </c>
      <c r="E54" s="67">
        <v>1727.46</v>
      </c>
      <c r="F54" s="67">
        <v>84.05</v>
      </c>
      <c r="G54" s="67">
        <v>1811.51</v>
      </c>
      <c r="H54" s="48">
        <v>942.91</v>
      </c>
      <c r="I54" s="38">
        <f>SUM(H54:H55)</f>
        <v>2000.48</v>
      </c>
      <c r="J54" s="35">
        <f>(I54-G54)/G54</f>
        <v>0.10431628862109513</v>
      </c>
      <c r="K54" s="68" t="s">
        <v>105</v>
      </c>
      <c r="L54" s="36">
        <f>IF($N$1*H54+$P$1*H55&gt;=I54,I54,$N$1*H54+$P$1*H55)</f>
        <v>1600.384</v>
      </c>
      <c r="M54" s="37">
        <f>I54-L54</f>
        <v>400.096</v>
      </c>
      <c r="N54" s="63">
        <f>(L54-E54)/E54</f>
        <v>-7.3562340083127842E-2</v>
      </c>
      <c r="O54" s="63">
        <f>(M54-F54)/F54</f>
        <v>3.7602141582391435</v>
      </c>
      <c r="P54" s="71">
        <f>M54/I54</f>
        <v>0.2</v>
      </c>
      <c r="Q54" s="3"/>
    </row>
    <row r="55" spans="1:17" x14ac:dyDescent="0.3">
      <c r="A55"/>
      <c r="B55"/>
      <c r="C55" s="30"/>
      <c r="D55" s="40">
        <v>59</v>
      </c>
      <c r="E55" s="67"/>
      <c r="F55" s="67"/>
      <c r="G55" s="67"/>
      <c r="H55" s="48">
        <v>1057.57</v>
      </c>
      <c r="I55" s="38"/>
      <c r="J55" s="35"/>
      <c r="K55" s="68"/>
      <c r="L55" s="36"/>
      <c r="M55" s="37"/>
      <c r="N55" s="47"/>
      <c r="O55" s="47"/>
      <c r="P55" s="52"/>
      <c r="Q55" s="3"/>
    </row>
    <row r="56" spans="1:17" ht="57.6" x14ac:dyDescent="0.3">
      <c r="A56" t="s">
        <v>46</v>
      </c>
      <c r="B56">
        <v>0</v>
      </c>
      <c r="C56" s="30">
        <v>34977</v>
      </c>
      <c r="D56" s="40">
        <f t="shared" ref="D56:D58" si="33">($B$3-C56)/365</f>
        <v>27.841095890410958</v>
      </c>
      <c r="E56" s="67">
        <v>334.63</v>
      </c>
      <c r="F56" s="67">
        <v>2.76</v>
      </c>
      <c r="G56" s="67">
        <v>337.39</v>
      </c>
      <c r="H56" s="48">
        <v>380.62</v>
      </c>
      <c r="I56" s="34">
        <f t="shared" ref="I56:I57" si="34">H56</f>
        <v>380.62</v>
      </c>
      <c r="J56" s="35">
        <f t="shared" ref="J56:J58" si="35">(I56-G56)/G56</f>
        <v>0.12813064998962631</v>
      </c>
      <c r="K56" s="68" t="s">
        <v>105</v>
      </c>
      <c r="L56" s="36">
        <f t="shared" ref="L56:L57" si="36">IF($N$1*H56&gt;=I56,I56,$N$1*H56)</f>
        <v>304.49600000000004</v>
      </c>
      <c r="M56" s="37">
        <f t="shared" ref="M56:M58" si="37">I56-L56</f>
        <v>76.123999999999967</v>
      </c>
      <c r="N56" s="63">
        <f t="shared" ref="N56:O58" si="38">(L56-E56)/E56</f>
        <v>-9.0051698891312662E-2</v>
      </c>
      <c r="O56" s="63">
        <f t="shared" si="38"/>
        <v>26.581159420289843</v>
      </c>
      <c r="P56" s="71">
        <f t="shared" ref="P56:P58" si="39">M56/I56</f>
        <v>0.1999999999999999</v>
      </c>
      <c r="Q56" s="3"/>
    </row>
    <row r="57" spans="1:17" ht="57.6" x14ac:dyDescent="0.3">
      <c r="A57" t="s">
        <v>47</v>
      </c>
      <c r="B57">
        <v>0</v>
      </c>
      <c r="C57" s="30">
        <v>28471</v>
      </c>
      <c r="D57" s="40">
        <f t="shared" si="33"/>
        <v>45.665753424657531</v>
      </c>
      <c r="E57" s="67">
        <v>523.34</v>
      </c>
      <c r="F57" s="67">
        <v>4.33</v>
      </c>
      <c r="G57" s="67">
        <v>527.66999999999996</v>
      </c>
      <c r="H57" s="48">
        <v>618.30999999999995</v>
      </c>
      <c r="I57" s="34">
        <f t="shared" si="34"/>
        <v>618.30999999999995</v>
      </c>
      <c r="J57" s="35">
        <f t="shared" si="35"/>
        <v>0.17177402543256201</v>
      </c>
      <c r="K57" s="68" t="s">
        <v>105</v>
      </c>
      <c r="L57" s="36">
        <f t="shared" si="36"/>
        <v>494.64799999999997</v>
      </c>
      <c r="M57" s="37">
        <f t="shared" si="37"/>
        <v>123.66199999999998</v>
      </c>
      <c r="N57" s="63">
        <f t="shared" si="38"/>
        <v>-5.4824779302174616E-2</v>
      </c>
      <c r="O57" s="63">
        <f t="shared" si="38"/>
        <v>27.559353348729786</v>
      </c>
      <c r="P57" s="71">
        <f t="shared" si="39"/>
        <v>0.19999999999999998</v>
      </c>
      <c r="Q57" s="3"/>
    </row>
    <row r="58" spans="1:17" ht="57.6" x14ac:dyDescent="0.3">
      <c r="A58" t="s">
        <v>48</v>
      </c>
      <c r="B58">
        <v>4</v>
      </c>
      <c r="C58" s="30">
        <v>25137</v>
      </c>
      <c r="D58" s="40">
        <f t="shared" si="33"/>
        <v>54.8</v>
      </c>
      <c r="E58" s="67">
        <v>2342.87</v>
      </c>
      <c r="F58" s="67">
        <v>19.350000000000001</v>
      </c>
      <c r="G58" s="67">
        <v>2362.2199999999998</v>
      </c>
      <c r="H58" s="48">
        <v>873.28</v>
      </c>
      <c r="I58" s="34">
        <f>SUM(H58:H62)</f>
        <v>2726.12</v>
      </c>
      <c r="J58" s="35">
        <f t="shared" si="35"/>
        <v>0.15405000380997541</v>
      </c>
      <c r="K58" s="68" t="s">
        <v>105</v>
      </c>
      <c r="L58" s="36">
        <f>IF($N$1*H58+$P$1*SUM(H59:H62)&gt;=I58,I58,$N$1*H58+$P$1*SUM(H59:H62))</f>
        <v>2180.8960000000002</v>
      </c>
      <c r="M58" s="37">
        <f t="shared" si="37"/>
        <v>545.22399999999971</v>
      </c>
      <c r="N58" s="63">
        <f t="shared" si="38"/>
        <v>-6.9134864503792234E-2</v>
      </c>
      <c r="O58" s="63">
        <f t="shared" si="38"/>
        <v>27.176950904392747</v>
      </c>
      <c r="P58" s="71">
        <f t="shared" si="39"/>
        <v>0.1999999999999999</v>
      </c>
      <c r="Q58" s="3"/>
    </row>
    <row r="59" spans="1:17" x14ac:dyDescent="0.3">
      <c r="A59"/>
      <c r="B59"/>
      <c r="C59" s="30"/>
      <c r="D59" s="40">
        <v>50</v>
      </c>
      <c r="E59" s="67"/>
      <c r="F59" s="67"/>
      <c r="G59" s="67"/>
      <c r="H59" s="48">
        <v>749.2</v>
      </c>
      <c r="I59" s="38"/>
      <c r="J59" s="35"/>
      <c r="K59" s="68"/>
      <c r="L59" s="36"/>
      <c r="M59" s="37"/>
      <c r="N59" s="47"/>
      <c r="O59" s="47"/>
      <c r="P59" s="52"/>
      <c r="Q59" s="3"/>
    </row>
    <row r="60" spans="1:17" x14ac:dyDescent="0.3">
      <c r="A60"/>
      <c r="B60"/>
      <c r="C60" s="30"/>
      <c r="D60" s="40">
        <v>25</v>
      </c>
      <c r="E60" s="67"/>
      <c r="F60" s="67"/>
      <c r="G60" s="67"/>
      <c r="H60" s="48">
        <v>380.62</v>
      </c>
      <c r="I60" s="38"/>
      <c r="J60" s="35"/>
      <c r="K60" s="68"/>
      <c r="L60" s="36"/>
      <c r="M60" s="37"/>
      <c r="N60" s="47"/>
      <c r="O60" s="47"/>
      <c r="P60" s="52"/>
      <c r="Q60" s="3"/>
    </row>
    <row r="61" spans="1:17" x14ac:dyDescent="0.3">
      <c r="A61"/>
      <c r="B61"/>
      <c r="C61" s="30"/>
      <c r="D61" s="40">
        <v>24</v>
      </c>
      <c r="E61" s="67"/>
      <c r="F61" s="67"/>
      <c r="G61" s="67"/>
      <c r="H61" s="48">
        <v>380.62</v>
      </c>
      <c r="I61" s="38"/>
      <c r="J61" s="35"/>
      <c r="K61" s="68"/>
      <c r="L61" s="36"/>
      <c r="M61" s="37"/>
      <c r="N61" s="47"/>
      <c r="O61" s="47"/>
      <c r="P61" s="52"/>
      <c r="Q61" s="3"/>
    </row>
    <row r="62" spans="1:17" x14ac:dyDescent="0.3">
      <c r="A62"/>
      <c r="B62"/>
      <c r="C62" s="30"/>
      <c r="D62" s="40">
        <v>19</v>
      </c>
      <c r="E62" s="67"/>
      <c r="F62" s="67"/>
      <c r="G62" s="67"/>
      <c r="H62" s="48">
        <v>342.4</v>
      </c>
      <c r="I62" s="38"/>
      <c r="J62" s="35"/>
      <c r="K62" s="68"/>
      <c r="L62" s="36"/>
      <c r="M62" s="37"/>
      <c r="N62" s="47"/>
      <c r="O62" s="47"/>
      <c r="P62" s="52"/>
      <c r="Q62" s="3"/>
    </row>
    <row r="63" spans="1:17" ht="57.6" x14ac:dyDescent="0.3">
      <c r="A63" t="s">
        <v>49</v>
      </c>
      <c r="B63">
        <v>0</v>
      </c>
      <c r="C63" s="30">
        <v>35017</v>
      </c>
      <c r="D63" s="40">
        <f t="shared" ref="D63:D68" si="40">($B$3-C63)/365</f>
        <v>27.731506849315068</v>
      </c>
      <c r="E63" s="67">
        <v>334.63</v>
      </c>
      <c r="F63" s="67">
        <v>159.88</v>
      </c>
      <c r="G63" s="67">
        <v>494.51</v>
      </c>
      <c r="H63" s="48">
        <v>380.62</v>
      </c>
      <c r="I63" s="34">
        <f t="shared" ref="I63:I67" si="41">H63</f>
        <v>380.62</v>
      </c>
      <c r="J63" s="35">
        <f t="shared" ref="J63:J68" si="42">(I63-G63)/G63</f>
        <v>-0.23030879051990857</v>
      </c>
      <c r="K63" s="68" t="s">
        <v>105</v>
      </c>
      <c r="L63" s="36">
        <f t="shared" ref="L63:L67" si="43">IF($N$1*H63&gt;=I63,I63,$N$1*H63)</f>
        <v>304.49600000000004</v>
      </c>
      <c r="M63" s="37">
        <f t="shared" ref="M63:M68" si="44">I63-L63</f>
        <v>76.123999999999967</v>
      </c>
      <c r="N63" s="63">
        <f t="shared" ref="N63:O68" si="45">(L63-E63)/E63</f>
        <v>-9.0051698891312662E-2</v>
      </c>
      <c r="O63" s="63">
        <f t="shared" si="45"/>
        <v>-0.52386790092569446</v>
      </c>
      <c r="P63" s="71">
        <f t="shared" ref="P63:P68" si="46">M63/I63</f>
        <v>0.1999999999999999</v>
      </c>
      <c r="Q63" s="3"/>
    </row>
    <row r="64" spans="1:17" s="22" customFormat="1" ht="57.6" x14ac:dyDescent="0.3">
      <c r="A64" t="s">
        <v>50</v>
      </c>
      <c r="B64">
        <v>0</v>
      </c>
      <c r="C64" s="30">
        <v>35099</v>
      </c>
      <c r="D64" s="40">
        <f t="shared" si="40"/>
        <v>27.506849315068493</v>
      </c>
      <c r="E64" s="67">
        <v>334.63</v>
      </c>
      <c r="F64" s="67">
        <v>76.22</v>
      </c>
      <c r="G64" s="67">
        <v>410.85</v>
      </c>
      <c r="H64" s="48">
        <v>380.62</v>
      </c>
      <c r="I64" s="34">
        <f t="shared" si="41"/>
        <v>380.62</v>
      </c>
      <c r="J64" s="35">
        <f t="shared" si="42"/>
        <v>-7.3579165145430239E-2</v>
      </c>
      <c r="K64" s="68" t="s">
        <v>105</v>
      </c>
      <c r="L64" s="36">
        <f t="shared" si="43"/>
        <v>304.49600000000004</v>
      </c>
      <c r="M64" s="37">
        <f t="shared" si="44"/>
        <v>76.123999999999967</v>
      </c>
      <c r="N64" s="63">
        <f t="shared" si="45"/>
        <v>-9.0051698891312662E-2</v>
      </c>
      <c r="O64" s="63">
        <f t="shared" si="45"/>
        <v>-1.2595119391240102E-3</v>
      </c>
      <c r="P64" s="71">
        <f t="shared" si="46"/>
        <v>0.1999999999999999</v>
      </c>
    </row>
    <row r="65" spans="1:17" s="22" customFormat="1" ht="57.6" x14ac:dyDescent="0.3">
      <c r="A65" t="s">
        <v>51</v>
      </c>
      <c r="B65">
        <v>0</v>
      </c>
      <c r="C65" s="30">
        <v>35229</v>
      </c>
      <c r="D65" s="40">
        <f t="shared" si="40"/>
        <v>27.150684931506849</v>
      </c>
      <c r="E65" s="67">
        <v>334.63</v>
      </c>
      <c r="F65" s="67">
        <v>76.22</v>
      </c>
      <c r="G65" s="67">
        <v>410.85</v>
      </c>
      <c r="H65" s="48">
        <v>380.62</v>
      </c>
      <c r="I65" s="34">
        <f t="shared" si="41"/>
        <v>380.62</v>
      </c>
      <c r="J65" s="35">
        <f t="shared" si="42"/>
        <v>-7.3579165145430239E-2</v>
      </c>
      <c r="K65" s="68" t="s">
        <v>105</v>
      </c>
      <c r="L65" s="36">
        <f t="shared" si="43"/>
        <v>304.49600000000004</v>
      </c>
      <c r="M65" s="37">
        <f t="shared" si="44"/>
        <v>76.123999999999967</v>
      </c>
      <c r="N65" s="63">
        <f t="shared" si="45"/>
        <v>-9.0051698891312662E-2</v>
      </c>
      <c r="O65" s="63">
        <f t="shared" si="45"/>
        <v>-1.2595119391240102E-3</v>
      </c>
      <c r="P65" s="71">
        <f t="shared" si="46"/>
        <v>0.1999999999999999</v>
      </c>
    </row>
    <row r="66" spans="1:17" s="22" customFormat="1" ht="57.6" x14ac:dyDescent="0.3">
      <c r="A66" t="s">
        <v>52</v>
      </c>
      <c r="B66">
        <v>0</v>
      </c>
      <c r="C66" s="30">
        <v>34375</v>
      </c>
      <c r="D66" s="40">
        <f t="shared" si="40"/>
        <v>29.490410958904111</v>
      </c>
      <c r="E66" s="67">
        <v>342.46</v>
      </c>
      <c r="F66" s="67">
        <v>78</v>
      </c>
      <c r="G66" s="67">
        <v>420.46</v>
      </c>
      <c r="H66" s="48">
        <v>397.9</v>
      </c>
      <c r="I66" s="34">
        <f t="shared" si="41"/>
        <v>397.9</v>
      </c>
      <c r="J66" s="35">
        <f t="shared" si="42"/>
        <v>-5.3655520144603536E-2</v>
      </c>
      <c r="K66" s="68" t="s">
        <v>105</v>
      </c>
      <c r="L66" s="36">
        <f t="shared" si="43"/>
        <v>318.32</v>
      </c>
      <c r="M66" s="37">
        <f t="shared" si="44"/>
        <v>79.579999999999984</v>
      </c>
      <c r="N66" s="63">
        <f t="shared" si="45"/>
        <v>-7.0489984231735053E-2</v>
      </c>
      <c r="O66" s="63">
        <f t="shared" si="45"/>
        <v>2.0256410256410052E-2</v>
      </c>
      <c r="P66" s="71">
        <f t="shared" si="46"/>
        <v>0.19999999999999998</v>
      </c>
    </row>
    <row r="67" spans="1:17" s="22" customFormat="1" ht="57.6" x14ac:dyDescent="0.3">
      <c r="A67" t="s">
        <v>53</v>
      </c>
      <c r="B67">
        <v>0</v>
      </c>
      <c r="C67" s="30">
        <v>31779</v>
      </c>
      <c r="D67" s="40">
        <f t="shared" si="40"/>
        <v>36.602739726027394</v>
      </c>
      <c r="E67" s="67">
        <v>403.22</v>
      </c>
      <c r="F67" s="67">
        <v>91.83</v>
      </c>
      <c r="G67" s="67">
        <v>495.05</v>
      </c>
      <c r="H67" s="48">
        <v>469.1</v>
      </c>
      <c r="I67" s="34">
        <f t="shared" si="41"/>
        <v>469.1</v>
      </c>
      <c r="J67" s="35">
        <f t="shared" si="42"/>
        <v>-5.2418947581052394E-2</v>
      </c>
      <c r="K67" s="68" t="s">
        <v>105</v>
      </c>
      <c r="L67" s="36">
        <f t="shared" si="43"/>
        <v>375.28000000000003</v>
      </c>
      <c r="M67" s="37">
        <f t="shared" si="44"/>
        <v>93.82</v>
      </c>
      <c r="N67" s="63">
        <f t="shared" si="45"/>
        <v>-6.929219780764842E-2</v>
      </c>
      <c r="O67" s="63">
        <f t="shared" si="45"/>
        <v>2.1670478057279702E-2</v>
      </c>
      <c r="P67" s="71">
        <f t="shared" si="46"/>
        <v>0.19999999999999998</v>
      </c>
    </row>
    <row r="68" spans="1:17" s="22" customFormat="1" ht="57.6" x14ac:dyDescent="0.3">
      <c r="A68" t="s">
        <v>54</v>
      </c>
      <c r="B68">
        <v>3</v>
      </c>
      <c r="C68" s="30">
        <v>31376</v>
      </c>
      <c r="D68" s="40">
        <f t="shared" si="40"/>
        <v>37.706849315068496</v>
      </c>
      <c r="E68" s="67">
        <v>1417.7</v>
      </c>
      <c r="F68" s="67">
        <v>322.91000000000003</v>
      </c>
      <c r="G68" s="67">
        <v>1740.61</v>
      </c>
      <c r="H68" s="48">
        <v>479.57</v>
      </c>
      <c r="I68" s="56">
        <f>SUM(H68:H71)</f>
        <v>1633.4700000000003</v>
      </c>
      <c r="J68" s="35">
        <f t="shared" si="42"/>
        <v>-6.1553133671528745E-2</v>
      </c>
      <c r="K68" s="68" t="s">
        <v>105</v>
      </c>
      <c r="L68" s="36">
        <f>IF($N$1*H68+$P$1*SUM(H69:H71)&gt;=I68,I68,$N$1*H68+$P$1*SUM(H69:H71))</f>
        <v>1306.7760000000001</v>
      </c>
      <c r="M68" s="37">
        <f t="shared" si="44"/>
        <v>326.69400000000019</v>
      </c>
      <c r="N68" s="63">
        <f t="shared" si="45"/>
        <v>-7.8242223319461082E-2</v>
      </c>
      <c r="O68" s="63">
        <f t="shared" si="45"/>
        <v>1.17184354773781E-2</v>
      </c>
      <c r="P68" s="71">
        <f t="shared" si="46"/>
        <v>0.20000000000000009</v>
      </c>
    </row>
    <row r="69" spans="1:17" s="22" customFormat="1" x14ac:dyDescent="0.3">
      <c r="A69"/>
      <c r="B69"/>
      <c r="C69" s="30"/>
      <c r="D69" s="54">
        <v>36</v>
      </c>
      <c r="E69" s="67"/>
      <c r="F69" s="67"/>
      <c r="G69" s="67"/>
      <c r="H69" s="48">
        <v>469.1</v>
      </c>
      <c r="I69" s="56"/>
      <c r="J69" s="35"/>
      <c r="K69" s="68"/>
      <c r="L69" s="36"/>
      <c r="M69" s="37"/>
      <c r="N69" s="37"/>
      <c r="O69" s="37"/>
      <c r="P69" s="57"/>
    </row>
    <row r="70" spans="1:17" s="22" customFormat="1" x14ac:dyDescent="0.3">
      <c r="A70"/>
      <c r="B70"/>
      <c r="C70" s="30"/>
      <c r="D70" s="54">
        <v>9</v>
      </c>
      <c r="E70" s="67"/>
      <c r="F70" s="67"/>
      <c r="G70" s="67"/>
      <c r="H70" s="48">
        <v>342.4</v>
      </c>
      <c r="I70" s="56"/>
      <c r="J70" s="35"/>
      <c r="K70" s="68"/>
      <c r="L70" s="36"/>
      <c r="M70" s="37"/>
      <c r="N70" s="37"/>
      <c r="O70" s="37"/>
      <c r="P70" s="57"/>
    </row>
    <row r="71" spans="1:17" s="22" customFormat="1" x14ac:dyDescent="0.3">
      <c r="A71"/>
      <c r="B71"/>
      <c r="C71" s="30"/>
      <c r="D71" s="54">
        <v>5</v>
      </c>
      <c r="E71" s="67"/>
      <c r="F71" s="67"/>
      <c r="G71" s="67"/>
      <c r="H71" s="48">
        <v>342.4</v>
      </c>
      <c r="I71" s="56"/>
      <c r="J71" s="35"/>
      <c r="K71" s="68"/>
      <c r="L71" s="36"/>
      <c r="M71" s="37"/>
      <c r="N71" s="37"/>
      <c r="O71" s="37"/>
      <c r="P71" s="57"/>
    </row>
    <row r="72" spans="1:17" s="22" customFormat="1" ht="57.6" x14ac:dyDescent="0.3">
      <c r="A72" t="s">
        <v>55</v>
      </c>
      <c r="B72">
        <v>0</v>
      </c>
      <c r="C72" s="30">
        <v>34315</v>
      </c>
      <c r="D72" s="40">
        <f t="shared" ref="D72:D76" si="47">($B$3-C72)/365</f>
        <v>29.654794520547945</v>
      </c>
      <c r="E72" s="67">
        <v>342.46</v>
      </c>
      <c r="F72" s="67">
        <v>101.28</v>
      </c>
      <c r="G72" s="67">
        <v>443.74</v>
      </c>
      <c r="H72" s="48">
        <v>397.9</v>
      </c>
      <c r="I72" s="34">
        <f t="shared" ref="I72:I76" si="48">H72</f>
        <v>397.9</v>
      </c>
      <c r="J72" s="35">
        <f t="shared" ref="J72:J76" si="49">(I72-G72)/G72</f>
        <v>-0.1033037364222293</v>
      </c>
      <c r="K72" s="68" t="s">
        <v>105</v>
      </c>
      <c r="L72" s="36">
        <f t="shared" ref="L72:L75" si="50">IF($N$1*H72&gt;=I72,I72,$N$1*H72)</f>
        <v>318.32</v>
      </c>
      <c r="M72" s="37">
        <f t="shared" ref="M72:M76" si="51">I72-L72</f>
        <v>79.579999999999984</v>
      </c>
      <c r="N72" s="63">
        <f t="shared" ref="N72:P76" si="52">(L72-E72)/E72</f>
        <v>-7.0489984231735053E-2</v>
      </c>
      <c r="O72" s="63">
        <f t="shared" si="52"/>
        <v>-0.21425750394944723</v>
      </c>
      <c r="P72" s="71">
        <f t="shared" ref="P72:P75" si="53">M72/I72</f>
        <v>0.19999999999999998</v>
      </c>
    </row>
    <row r="73" spans="1:17" s="22" customFormat="1" ht="57.6" x14ac:dyDescent="0.3">
      <c r="A73" t="s">
        <v>56</v>
      </c>
      <c r="B73">
        <v>0</v>
      </c>
      <c r="C73" s="30">
        <v>30417</v>
      </c>
      <c r="D73" s="40">
        <f t="shared" si="47"/>
        <v>40.334246575342469</v>
      </c>
      <c r="E73" s="67">
        <v>431.75</v>
      </c>
      <c r="F73" s="67">
        <v>127.69</v>
      </c>
      <c r="G73" s="67">
        <v>559.44000000000005</v>
      </c>
      <c r="H73" s="55">
        <v>510.46</v>
      </c>
      <c r="I73" s="34">
        <f t="shared" si="48"/>
        <v>510.46</v>
      </c>
      <c r="J73" s="35">
        <f t="shared" si="49"/>
        <v>-8.755183755183768E-2</v>
      </c>
      <c r="K73" s="68" t="s">
        <v>105</v>
      </c>
      <c r="L73" s="36">
        <f t="shared" si="50"/>
        <v>408.36799999999999</v>
      </c>
      <c r="M73" s="37">
        <f t="shared" si="51"/>
        <v>102.09199999999998</v>
      </c>
      <c r="N73" s="63">
        <f t="shared" si="52"/>
        <v>-5.4156340474811826E-2</v>
      </c>
      <c r="O73" s="63">
        <f t="shared" si="52"/>
        <v>-0.20046988801002438</v>
      </c>
      <c r="P73" s="71">
        <f t="shared" si="53"/>
        <v>0.19999999999999998</v>
      </c>
    </row>
    <row r="74" spans="1:17" s="22" customFormat="1" ht="57.6" x14ac:dyDescent="0.3">
      <c r="A74" t="s">
        <v>57</v>
      </c>
      <c r="B74">
        <v>0</v>
      </c>
      <c r="C74" s="30">
        <v>30382</v>
      </c>
      <c r="D74" s="40">
        <f t="shared" si="47"/>
        <v>40.43013698630137</v>
      </c>
      <c r="E74" s="67">
        <v>431.75</v>
      </c>
      <c r="F74" s="67">
        <v>127.69</v>
      </c>
      <c r="G74" s="67">
        <v>559.44000000000005</v>
      </c>
      <c r="H74" s="55">
        <v>510.46</v>
      </c>
      <c r="I74" s="34">
        <f t="shared" si="48"/>
        <v>510.46</v>
      </c>
      <c r="J74" s="35">
        <f t="shared" si="49"/>
        <v>-8.755183755183768E-2</v>
      </c>
      <c r="K74" s="68" t="s">
        <v>105</v>
      </c>
      <c r="L74" s="36">
        <f t="shared" si="50"/>
        <v>408.36799999999999</v>
      </c>
      <c r="M74" s="37">
        <f t="shared" si="51"/>
        <v>102.09199999999998</v>
      </c>
      <c r="N74" s="63">
        <f t="shared" si="52"/>
        <v>-5.4156340474811826E-2</v>
      </c>
      <c r="O74" s="63">
        <f t="shared" si="52"/>
        <v>-0.20046988801002438</v>
      </c>
      <c r="P74" s="71">
        <f t="shared" si="53"/>
        <v>0.19999999999999998</v>
      </c>
    </row>
    <row r="75" spans="1:17" ht="57.6" x14ac:dyDescent="0.3">
      <c r="A75" t="s">
        <v>58</v>
      </c>
      <c r="B75">
        <v>0</v>
      </c>
      <c r="C75" s="30">
        <v>35557</v>
      </c>
      <c r="D75" s="40">
        <f t="shared" si="47"/>
        <v>26.252054794520546</v>
      </c>
      <c r="E75" s="67">
        <v>334.63</v>
      </c>
      <c r="F75" s="67">
        <v>151.06</v>
      </c>
      <c r="G75" s="67">
        <v>485.69</v>
      </c>
      <c r="H75" s="48">
        <v>380.62</v>
      </c>
      <c r="I75" s="34">
        <f t="shared" si="48"/>
        <v>380.62</v>
      </c>
      <c r="J75" s="35">
        <f t="shared" si="49"/>
        <v>-0.21633140480553439</v>
      </c>
      <c r="K75" s="68" t="s">
        <v>105</v>
      </c>
      <c r="L75" s="36">
        <f t="shared" si="50"/>
        <v>304.49600000000004</v>
      </c>
      <c r="M75" s="37">
        <f t="shared" si="51"/>
        <v>76.123999999999967</v>
      </c>
      <c r="N75" s="63">
        <f t="shared" si="52"/>
        <v>-9.0051698891312662E-2</v>
      </c>
      <c r="O75" s="63">
        <f t="shared" si="52"/>
        <v>-0.4960677876340529</v>
      </c>
      <c r="P75" s="71">
        <f t="shared" si="53"/>
        <v>0.1999999999999999</v>
      </c>
      <c r="Q75" s="3"/>
    </row>
    <row r="76" spans="1:17" ht="57.6" x14ac:dyDescent="0.3">
      <c r="A76" t="s">
        <v>80</v>
      </c>
      <c r="B76">
        <v>0</v>
      </c>
      <c r="C76" s="30">
        <v>34137</v>
      </c>
      <c r="D76" s="40">
        <f t="shared" si="47"/>
        <v>30.142465753424659</v>
      </c>
      <c r="E76" s="67">
        <v>0</v>
      </c>
      <c r="F76" s="67">
        <v>507.74</v>
      </c>
      <c r="G76" s="67">
        <v>507.74</v>
      </c>
      <c r="H76" s="48">
        <v>407.85</v>
      </c>
      <c r="I76" s="34">
        <f t="shared" si="48"/>
        <v>407.85</v>
      </c>
      <c r="J76" s="35">
        <f t="shared" si="49"/>
        <v>-0.1967345491787135</v>
      </c>
      <c r="K76" s="68" t="s">
        <v>105</v>
      </c>
      <c r="L76" s="36">
        <v>0</v>
      </c>
      <c r="M76" s="37">
        <f t="shared" si="51"/>
        <v>407.85</v>
      </c>
      <c r="N76" s="63" t="e">
        <f t="shared" si="52"/>
        <v>#DIV/0!</v>
      </c>
      <c r="O76" s="63">
        <f t="shared" si="52"/>
        <v>-0.1967345491787135</v>
      </c>
      <c r="P76" s="63" t="e">
        <f t="shared" si="52"/>
        <v>#DIV/0!</v>
      </c>
      <c r="Q76" s="3"/>
    </row>
    <row r="77" spans="1:17" ht="15" thickBot="1" x14ac:dyDescent="0.35">
      <c r="B77" s="3"/>
      <c r="C77" s="3"/>
      <c r="D77" s="3"/>
      <c r="E77" s="3"/>
      <c r="F77" s="3"/>
      <c r="G77" s="3"/>
      <c r="H77" s="3"/>
      <c r="I77" s="3"/>
      <c r="J77" s="3"/>
      <c r="K77" s="3"/>
      <c r="L77" s="3"/>
      <c r="M77" s="3"/>
      <c r="N77" s="3"/>
      <c r="O77" s="3"/>
      <c r="P77" s="3"/>
      <c r="Q77" s="3"/>
    </row>
    <row r="78" spans="1:17" ht="58.2" thickBot="1" x14ac:dyDescent="0.35">
      <c r="A78"/>
      <c r="B78"/>
      <c r="C78"/>
      <c r="D78" s="30"/>
      <c r="E78" s="69"/>
      <c r="L78" s="31" t="s">
        <v>79</v>
      </c>
      <c r="M78" s="32">
        <f>SUM(E6:E75)</f>
        <v>29245.450000000004</v>
      </c>
      <c r="O78" s="44"/>
      <c r="P78" s="45"/>
      <c r="Q78" s="22"/>
    </row>
    <row r="79" spans="1:17" ht="43.8" thickBot="1" x14ac:dyDescent="0.35">
      <c r="A79"/>
      <c r="B79"/>
      <c r="C79"/>
      <c r="D79" s="30"/>
      <c r="E79" s="70"/>
      <c r="L79" s="31" t="s">
        <v>115</v>
      </c>
      <c r="M79" s="32">
        <f>SUM(L6:L76)-L76</f>
        <v>27315.887999999995</v>
      </c>
      <c r="O79" s="44"/>
      <c r="P79" s="45"/>
      <c r="Q79" s="22"/>
    </row>
    <row r="80" spans="1:17" ht="15" thickBot="1" x14ac:dyDescent="0.35">
      <c r="A80"/>
      <c r="B80"/>
      <c r="C80"/>
      <c r="D80" s="30"/>
      <c r="E80" s="69"/>
      <c r="L80" s="31" t="s">
        <v>8</v>
      </c>
      <c r="M80" s="32">
        <f>M79-M78</f>
        <v>-1929.562000000009</v>
      </c>
      <c r="O80" s="44"/>
      <c r="P80" s="45"/>
      <c r="Q80" s="22"/>
    </row>
    <row r="81" spans="1:17" ht="29.4" thickBot="1" x14ac:dyDescent="0.35">
      <c r="A81"/>
      <c r="B81"/>
      <c r="C81"/>
      <c r="D81" s="30"/>
      <c r="E81" s="69"/>
      <c r="F81" s="20"/>
      <c r="L81" s="31" t="s">
        <v>9</v>
      </c>
      <c r="M81" s="33">
        <f>M80/M78</f>
        <v>-6.5978194898693943E-2</v>
      </c>
      <c r="O81" s="45"/>
      <c r="P81" s="45"/>
      <c r="Q81" s="22"/>
    </row>
    <row r="82" spans="1:17" ht="29.4" thickBot="1" x14ac:dyDescent="0.35">
      <c r="A82"/>
      <c r="B82"/>
      <c r="C82"/>
      <c r="D82" s="30"/>
      <c r="E82" s="69"/>
      <c r="L82" s="31" t="s">
        <v>10</v>
      </c>
      <c r="M82" s="32">
        <f>M80*12</f>
        <v>-23154.744000000108</v>
      </c>
      <c r="O82" s="45"/>
      <c r="P82" s="45"/>
      <c r="Q82" s="3"/>
    </row>
    <row r="83" spans="1:17" ht="43.8" thickBot="1" x14ac:dyDescent="0.35">
      <c r="A83"/>
      <c r="B83"/>
      <c r="C83"/>
      <c r="D83" s="30"/>
      <c r="E83" s="29"/>
      <c r="L83" s="31" t="s">
        <v>107</v>
      </c>
      <c r="M83" s="32">
        <f>25*1600+16*3200</f>
        <v>91200</v>
      </c>
      <c r="O83" s="13"/>
      <c r="P83" s="45"/>
      <c r="Q83" s="3"/>
    </row>
    <row r="84" spans="1:17" x14ac:dyDescent="0.3">
      <c r="A84"/>
      <c r="B84"/>
      <c r="C84"/>
      <c r="D84" s="30"/>
      <c r="E84" s="29"/>
      <c r="L84" s="21" t="s">
        <v>108</v>
      </c>
      <c r="M84" s="19">
        <f>SUM(M82:M83)</f>
        <v>68045.255999999892</v>
      </c>
    </row>
    <row r="85" spans="1:17" x14ac:dyDescent="0.3">
      <c r="A85"/>
      <c r="B85"/>
      <c r="C85"/>
      <c r="D85" s="30"/>
      <c r="E85" s="29"/>
      <c r="L85" s="21" t="s">
        <v>109</v>
      </c>
      <c r="M85" s="130">
        <f>M84/(M78*12)</f>
        <v>0.19389128907231692</v>
      </c>
      <c r="O85" s="45"/>
      <c r="P85" s="45"/>
    </row>
    <row r="86" spans="1:17" x14ac:dyDescent="0.3">
      <c r="A86"/>
      <c r="B86"/>
      <c r="C86"/>
      <c r="D86" s="30"/>
      <c r="E86" s="29"/>
      <c r="O86" s="45"/>
      <c r="P86" s="45"/>
    </row>
    <row r="87" spans="1:17" x14ac:dyDescent="0.3">
      <c r="A87"/>
      <c r="B87"/>
      <c r="C87"/>
      <c r="D87" s="30"/>
      <c r="E87" s="29"/>
    </row>
    <row r="88" spans="1:17" x14ac:dyDescent="0.3">
      <c r="A88"/>
      <c r="B88"/>
      <c r="C88"/>
      <c r="D88" s="30"/>
      <c r="E88" s="29"/>
    </row>
    <row r="89" spans="1:17" x14ac:dyDescent="0.3">
      <c r="A89"/>
      <c r="B89"/>
      <c r="C89"/>
      <c r="D89" s="30"/>
      <c r="E89" s="29"/>
    </row>
    <row r="90" spans="1:17" s="22" customFormat="1" x14ac:dyDescent="0.3">
      <c r="A90"/>
      <c r="B90"/>
      <c r="C90"/>
      <c r="D90" s="30"/>
      <c r="E90" s="29"/>
      <c r="F90" s="19"/>
      <c r="G90" s="19"/>
      <c r="H90" s="43"/>
      <c r="I90" s="19"/>
      <c r="J90" s="19"/>
      <c r="K90" s="20"/>
      <c r="L90" s="21"/>
      <c r="M90" s="19"/>
      <c r="N90" s="19"/>
      <c r="O90" s="19"/>
      <c r="P90" s="13"/>
      <c r="Q90" s="19"/>
    </row>
    <row r="91" spans="1:17" s="22" customFormat="1" x14ac:dyDescent="0.3">
      <c r="A91"/>
      <c r="B91"/>
      <c r="C91"/>
      <c r="D91" s="30"/>
      <c r="E91" s="29"/>
      <c r="F91" s="19"/>
      <c r="G91" s="19"/>
      <c r="H91" s="43"/>
      <c r="I91" s="19"/>
      <c r="J91" s="19"/>
      <c r="K91" s="20"/>
      <c r="L91" s="21"/>
      <c r="M91" s="19"/>
      <c r="N91" s="19"/>
      <c r="O91" s="45"/>
      <c r="P91" s="45"/>
      <c r="Q91" s="19"/>
    </row>
    <row r="92" spans="1:17" x14ac:dyDescent="0.3">
      <c r="A92"/>
      <c r="B92"/>
      <c r="C92"/>
      <c r="D92" s="30"/>
      <c r="E92" s="29"/>
      <c r="O92" s="45"/>
      <c r="P92" s="45"/>
    </row>
    <row r="93" spans="1:17" x14ac:dyDescent="0.3">
      <c r="A93"/>
      <c r="B93"/>
      <c r="C93"/>
      <c r="D93" s="30"/>
      <c r="E93" s="29"/>
    </row>
    <row r="94" spans="1:17" s="7" customFormat="1" x14ac:dyDescent="0.3">
      <c r="A94"/>
      <c r="B94"/>
      <c r="C94"/>
      <c r="D94" s="30"/>
      <c r="E94" s="29"/>
      <c r="F94" s="19"/>
      <c r="G94" s="19"/>
      <c r="H94" s="43"/>
      <c r="I94" s="19"/>
      <c r="J94" s="19"/>
      <c r="K94" s="20"/>
      <c r="L94" s="21"/>
      <c r="M94" s="19"/>
      <c r="N94" s="19"/>
      <c r="O94" s="19"/>
      <c r="P94" s="13"/>
      <c r="Q94" s="19"/>
    </row>
    <row r="95" spans="1:17" s="7" customFormat="1" x14ac:dyDescent="0.3">
      <c r="A95"/>
      <c r="B95"/>
      <c r="C95"/>
      <c r="D95" s="30"/>
      <c r="E95" s="29"/>
      <c r="F95" s="19"/>
      <c r="G95" s="19"/>
      <c r="H95" s="43"/>
      <c r="I95" s="19"/>
      <c r="J95" s="19"/>
      <c r="K95" s="20"/>
      <c r="L95" s="21"/>
      <c r="M95" s="19"/>
      <c r="N95" s="19"/>
      <c r="O95" s="19"/>
      <c r="P95" s="13"/>
      <c r="Q95" s="19"/>
    </row>
    <row r="96" spans="1:17" s="7" customFormat="1" x14ac:dyDescent="0.3">
      <c r="A96"/>
      <c r="B96"/>
      <c r="C96"/>
      <c r="D96" s="30"/>
      <c r="E96" s="29"/>
      <c r="F96" s="19"/>
      <c r="G96" s="19"/>
      <c r="H96" s="43"/>
      <c r="I96" s="19"/>
      <c r="J96" s="19"/>
      <c r="K96" s="20"/>
      <c r="L96" s="21"/>
      <c r="M96" s="19"/>
      <c r="N96" s="19"/>
      <c r="O96" s="45"/>
      <c r="P96" s="45"/>
      <c r="Q96" s="19"/>
    </row>
    <row r="97" spans="1:17" s="7" customFormat="1" x14ac:dyDescent="0.3">
      <c r="A97"/>
      <c r="B97"/>
      <c r="C97"/>
      <c r="D97" s="30"/>
      <c r="E97" s="29"/>
      <c r="F97" s="19"/>
      <c r="G97" s="19"/>
      <c r="H97" s="43"/>
      <c r="I97" s="19"/>
      <c r="J97" s="19"/>
      <c r="K97" s="20"/>
      <c r="L97" s="21"/>
      <c r="M97" s="19"/>
      <c r="N97" s="19"/>
      <c r="O97" s="45"/>
      <c r="P97" s="45"/>
      <c r="Q97" s="19"/>
    </row>
    <row r="98" spans="1:17" x14ac:dyDescent="0.3">
      <c r="A98"/>
      <c r="B98"/>
      <c r="C98"/>
      <c r="D98" s="30"/>
      <c r="E98" s="29"/>
      <c r="O98" s="45"/>
      <c r="P98" s="45"/>
    </row>
    <row r="99" spans="1:17" x14ac:dyDescent="0.3">
      <c r="A99"/>
      <c r="B99"/>
      <c r="C99"/>
      <c r="D99" s="30"/>
      <c r="E99" s="29"/>
      <c r="O99" s="45"/>
      <c r="P99" s="45"/>
    </row>
    <row r="100" spans="1:17" x14ac:dyDescent="0.3">
      <c r="A100"/>
      <c r="B100"/>
      <c r="C100"/>
      <c r="D100" s="30"/>
      <c r="E100" s="29"/>
    </row>
    <row r="101" spans="1:17" x14ac:dyDescent="0.3">
      <c r="A101"/>
      <c r="B101"/>
      <c r="C101"/>
      <c r="D101" s="30"/>
      <c r="E101" s="29"/>
    </row>
    <row r="102" spans="1:17" x14ac:dyDescent="0.3">
      <c r="A102"/>
      <c r="B102"/>
      <c r="C102"/>
      <c r="D102" s="30"/>
      <c r="E102" s="29"/>
    </row>
    <row r="103" spans="1:17" x14ac:dyDescent="0.3">
      <c r="A103"/>
      <c r="B103"/>
      <c r="C103"/>
      <c r="D103" s="30"/>
      <c r="E103" s="29"/>
      <c r="O103" s="45"/>
      <c r="P103" s="45"/>
    </row>
    <row r="104" spans="1:17" x14ac:dyDescent="0.3">
      <c r="A104"/>
      <c r="B104"/>
      <c r="C104"/>
      <c r="D104" s="30"/>
      <c r="E104" s="29"/>
      <c r="O104" s="45"/>
      <c r="P104" s="45"/>
    </row>
    <row r="105" spans="1:17" x14ac:dyDescent="0.3">
      <c r="A105"/>
      <c r="B105"/>
      <c r="C105"/>
      <c r="D105" s="30"/>
      <c r="E105" s="29"/>
      <c r="O105" s="45"/>
      <c r="P105" s="45"/>
    </row>
    <row r="106" spans="1:17" x14ac:dyDescent="0.3">
      <c r="A106"/>
      <c r="B106"/>
      <c r="C106"/>
      <c r="D106" s="30"/>
      <c r="E106" s="29"/>
      <c r="O106" s="45"/>
      <c r="P106" s="45"/>
    </row>
    <row r="107" spans="1:17" x14ac:dyDescent="0.3">
      <c r="A107"/>
      <c r="B107"/>
      <c r="C107"/>
      <c r="D107" s="30"/>
      <c r="E107" s="29"/>
      <c r="O107" s="45"/>
      <c r="P107" s="45"/>
    </row>
    <row r="108" spans="1:17" x14ac:dyDescent="0.3">
      <c r="A108"/>
      <c r="B108"/>
      <c r="C108"/>
      <c r="D108" s="30"/>
      <c r="E108" s="29"/>
      <c r="O108" s="45"/>
      <c r="P108" s="45"/>
    </row>
    <row r="109" spans="1:17" x14ac:dyDescent="0.3">
      <c r="A109"/>
      <c r="B109"/>
      <c r="C109"/>
      <c r="D109" s="30"/>
      <c r="E109" s="29"/>
    </row>
    <row r="110" spans="1:17" x14ac:dyDescent="0.3">
      <c r="A110"/>
      <c r="B110"/>
      <c r="C110"/>
      <c r="D110" s="30"/>
      <c r="E110" s="29"/>
    </row>
    <row r="111" spans="1:17" x14ac:dyDescent="0.3">
      <c r="A111"/>
      <c r="B111"/>
      <c r="C111"/>
      <c r="D111" s="30"/>
      <c r="E111" s="29"/>
    </row>
    <row r="112" spans="1:17" x14ac:dyDescent="0.3">
      <c r="A112"/>
      <c r="B112"/>
      <c r="C112"/>
      <c r="D112" s="30"/>
      <c r="E112" s="29"/>
    </row>
    <row r="113" spans="1:17" x14ac:dyDescent="0.3">
      <c r="A113"/>
      <c r="B113"/>
      <c r="C113"/>
      <c r="D113" s="30"/>
      <c r="E113" s="29"/>
    </row>
    <row r="114" spans="1:17" x14ac:dyDescent="0.3">
      <c r="A114"/>
      <c r="B114"/>
      <c r="C114"/>
      <c r="D114" s="30"/>
      <c r="E114" s="29"/>
    </row>
    <row r="115" spans="1:17" x14ac:dyDescent="0.3">
      <c r="A115"/>
      <c r="B115"/>
      <c r="C115"/>
      <c r="D115" s="30"/>
      <c r="E115" s="29"/>
    </row>
    <row r="116" spans="1:17" x14ac:dyDescent="0.3">
      <c r="A116"/>
      <c r="B116"/>
      <c r="C116"/>
      <c r="D116" s="30"/>
      <c r="E116" s="29"/>
    </row>
    <row r="123" spans="1:17" ht="13.95" customHeight="1" x14ac:dyDescent="0.3"/>
    <row r="126" spans="1:17" s="22" customFormat="1" x14ac:dyDescent="0.3">
      <c r="A126" s="3"/>
      <c r="B126" s="7"/>
      <c r="C126" s="7"/>
      <c r="D126" s="28"/>
      <c r="E126" s="7"/>
      <c r="F126" s="19"/>
      <c r="G126" s="19"/>
      <c r="H126" s="43"/>
      <c r="I126" s="19"/>
      <c r="J126" s="19"/>
      <c r="K126" s="20"/>
      <c r="L126" s="21"/>
      <c r="M126" s="19"/>
      <c r="N126" s="19"/>
      <c r="O126" s="19"/>
      <c r="P126" s="13"/>
      <c r="Q126" s="19"/>
    </row>
    <row r="127" spans="1:17" s="22" customFormat="1" ht="13.95" customHeight="1" x14ac:dyDescent="0.3">
      <c r="A127" s="3"/>
      <c r="B127" s="7"/>
      <c r="C127" s="7"/>
      <c r="D127" s="28"/>
      <c r="E127" s="7"/>
      <c r="F127" s="19"/>
      <c r="G127" s="19"/>
      <c r="H127" s="43"/>
      <c r="I127" s="19"/>
      <c r="J127" s="19"/>
      <c r="K127" s="20"/>
      <c r="L127" s="21"/>
      <c r="M127" s="19"/>
      <c r="N127" s="19"/>
      <c r="O127" s="19"/>
      <c r="P127" s="13"/>
      <c r="Q127" s="19"/>
    </row>
    <row r="128" spans="1:17" s="22" customFormat="1" x14ac:dyDescent="0.3">
      <c r="A128" s="3"/>
      <c r="B128" s="7"/>
      <c r="C128" s="7"/>
      <c r="D128" s="28"/>
      <c r="E128" s="7"/>
      <c r="F128" s="19"/>
      <c r="G128" s="19"/>
      <c r="H128" s="43"/>
      <c r="I128" s="19"/>
      <c r="J128" s="19"/>
      <c r="K128" s="20"/>
      <c r="L128" s="21"/>
      <c r="M128" s="19"/>
      <c r="N128" s="19"/>
      <c r="O128" s="19"/>
      <c r="P128" s="13"/>
      <c r="Q128" s="19"/>
    </row>
    <row r="129" spans="1:17" s="22" customFormat="1" x14ac:dyDescent="0.3">
      <c r="A129" s="3"/>
      <c r="B129" s="7"/>
      <c r="C129" s="7"/>
      <c r="D129" s="28"/>
      <c r="E129" s="7"/>
      <c r="F129" s="19"/>
      <c r="G129" s="19"/>
      <c r="H129" s="43"/>
      <c r="I129" s="19"/>
      <c r="J129" s="19"/>
      <c r="K129" s="20"/>
      <c r="L129" s="21"/>
      <c r="M129" s="19"/>
      <c r="N129" s="19"/>
      <c r="O129" s="19"/>
      <c r="P129" s="13"/>
      <c r="Q129" s="19"/>
    </row>
    <row r="130" spans="1:17" s="22" customFormat="1" x14ac:dyDescent="0.3">
      <c r="A130" s="3"/>
      <c r="B130" s="7"/>
      <c r="C130" s="7"/>
      <c r="D130" s="28"/>
      <c r="E130" s="7"/>
      <c r="F130" s="19"/>
      <c r="G130" s="19"/>
      <c r="H130" s="43"/>
      <c r="I130" s="19"/>
      <c r="J130" s="19"/>
      <c r="K130" s="20"/>
      <c r="L130" s="21"/>
      <c r="M130" s="19"/>
      <c r="N130" s="19"/>
      <c r="O130" s="19"/>
      <c r="P130" s="13"/>
      <c r="Q130" s="19"/>
    </row>
    <row r="131" spans="1:17" s="22" customFormat="1" x14ac:dyDescent="0.3">
      <c r="A131" s="3"/>
      <c r="B131" s="7"/>
      <c r="C131" s="7"/>
      <c r="D131" s="28"/>
      <c r="E131" s="7"/>
      <c r="F131" s="19"/>
      <c r="G131" s="19"/>
      <c r="H131" s="43"/>
      <c r="I131" s="19"/>
      <c r="J131" s="19"/>
      <c r="K131" s="20"/>
      <c r="L131" s="21"/>
      <c r="M131" s="19"/>
      <c r="N131" s="19"/>
      <c r="O131" s="19"/>
      <c r="P131" s="13"/>
      <c r="Q131" s="19"/>
    </row>
    <row r="160" ht="61.5" customHeight="1" x14ac:dyDescent="0.3"/>
  </sheetData>
  <autoFilter ref="A5:Q108" xr:uid="{00000000-0009-0000-0000-000000000000}"/>
  <mergeCells count="4">
    <mergeCell ref="N2:Q3"/>
    <mergeCell ref="A4:D4"/>
    <mergeCell ref="E4:G4"/>
    <mergeCell ref="H4:J4"/>
  </mergeCells>
  <dataValidations count="1">
    <dataValidation type="list" allowBlank="1" showInputMessage="1" showErrorMessage="1" sqref="B20:B33 B64:B74" xr:uid="{2B0A63ED-E204-4C78-AF91-F4E0962ED3FC}">
      <formula1>"EE,ES,EC,EF,Waive,Decline"</formula1>
    </dataValidation>
  </dataValidations>
  <pageMargins left="0.25" right="0.25" top="0.75" bottom="0.75" header="0.3" footer="0.3"/>
  <pageSetup paperSize="5" scale="47" fitToWidth="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AAB44B-7DED-4E21-AE50-5870490267D0}"/>
</file>

<file path=customXml/itemProps2.xml><?xml version="1.0" encoding="utf-8"?>
<ds:datastoreItem xmlns:ds="http://schemas.openxmlformats.org/officeDocument/2006/customXml" ds:itemID="{166C4695-2751-4D10-B37B-D7B48857A337}"/>
</file>

<file path=customXml/itemProps3.xml><?xml version="1.0" encoding="utf-8"?>
<ds:datastoreItem xmlns:ds="http://schemas.openxmlformats.org/officeDocument/2006/customXml" ds:itemID="{5CE72C3A-CBB2-4005-BA0A-DE540AD1E4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Premium History</vt:lpstr>
      <vt:lpstr>Totals</vt:lpstr>
      <vt:lpstr>Partners 23-24 No Change</vt:lpstr>
      <vt:lpstr>Partners 23-24 75%</vt:lpstr>
      <vt:lpstr>Prtnrs Change Ref to Gold HRA</vt:lpstr>
      <vt:lpstr>Prtnrs Change Ref to Silver HRA</vt:lpstr>
      <vt:lpstr>'Partners 23-24 75%'!DATA</vt:lpstr>
      <vt:lpstr>'Partners 23-24 No Change'!DATA</vt:lpstr>
      <vt:lpstr>'Prtnrs Change Ref to Gold HRA'!DATA</vt:lpstr>
      <vt:lpstr>'Prtnrs Change Ref to Silver HRA'!DATA</vt:lpstr>
      <vt:lpstr>'Partners 23-24 75%'!Print_Titles</vt:lpstr>
      <vt:lpstr>'Partners 23-24 No Change'!Print_Titles</vt:lpstr>
      <vt:lpstr>'Prtnrs Change Ref to Gold HRA'!Print_Titles</vt:lpstr>
      <vt:lpstr>'Prtnrs Change Ref to Silver HRA'!Print_Titles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phepj</dc:creator>
  <cp:lastModifiedBy>Paul Phelan</cp:lastModifiedBy>
  <cp:lastPrinted>2020-02-27T14:36:34Z</cp:lastPrinted>
  <dcterms:created xsi:type="dcterms:W3CDTF">2017-07-03T13:08:33Z</dcterms:created>
  <dcterms:modified xsi:type="dcterms:W3CDTF">2023-05-19T20:44:09Z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nn_Max" linkTarget="Prop_Ann_Max">
    <vt:lpwstr>#REF!</vt:lpwstr>
  </property>
  <property fmtid="{D5CDD505-2E9C-101B-9397-08002B2CF9AE}" pid="3" name="Coins" linkTarget="Prop_Coins">
    <vt:lpwstr>#REF!</vt:lpwstr>
  </property>
  <property fmtid="{D5CDD505-2E9C-101B-9397-08002B2CF9AE}" pid="4" name="Deductible" linkTarget="Prop_Deductible">
    <vt:lpwstr>#REF!</vt:lpwstr>
  </property>
  <property fmtid="{D5CDD505-2E9C-101B-9397-08002B2CF9AE}" pid="5" name="Mail_Acute_Day" linkTarget="Prop_Mail_Acute_Day">
    <vt:lpwstr>#REF!</vt:lpwstr>
  </property>
  <property fmtid="{D5CDD505-2E9C-101B-9397-08002B2CF9AE}" pid="6" name="Mail_Maint_Day" linkTarget="Prop_Mail_Maint_Day">
    <vt:lpwstr>#REF!</vt:lpwstr>
  </property>
  <property fmtid="{D5CDD505-2E9C-101B-9397-08002B2CF9AE}" pid="7" name="Retail_Acute_Day" linkTarget="Prop_Retail_Acute_Day">
    <vt:lpwstr>#REF!</vt:lpwstr>
  </property>
  <property fmtid="{D5CDD505-2E9C-101B-9397-08002B2CF9AE}" pid="8" name="Retail_Maint_Day" linkTarget="Prop_Retail_Maint_Day">
    <vt:lpwstr>#REF!</vt:lpwstr>
  </property>
  <property fmtid="{D5CDD505-2E9C-101B-9397-08002B2CF9AE}" pid="9" name="ContentTypeId">
    <vt:lpwstr>0x0101003206C8355D678A459F2EF8957171B231</vt:lpwstr>
  </property>
  <property fmtid="{D5CDD505-2E9C-101B-9397-08002B2CF9AE}" pid="10" name="MediaServiceImageTags">
    <vt:lpwstr/>
  </property>
</Properties>
</file>