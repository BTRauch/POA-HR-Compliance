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Holiday_Global List/"/>
    </mc:Choice>
  </mc:AlternateContent>
  <xr:revisionPtr revIDLastSave="817" documentId="8_{ADE322B3-A311-4C3B-9FCA-E2164A764752}" xr6:coauthVersionLast="47" xr6:coauthVersionMax="47" xr10:uidLastSave="{38249DAC-8497-4366-B8F1-030FD9101650}"/>
  <bookViews>
    <workbookView xWindow="37320" yWindow="-120" windowWidth="29040" windowHeight="15840" firstSheet="7" xr2:uid="{487F4459-4E98-4238-9ED7-AF2B4FFDEF56}"/>
  </bookViews>
  <sheets>
    <sheet name="United States HQ" sheetId="1" r:id="rId1"/>
    <sheet name="Colombia" sheetId="6" r:id="rId2"/>
    <sheet name="Mexico" sheetId="4" r:id="rId3"/>
    <sheet name="Venezuela" sheetId="10" r:id="rId4"/>
    <sheet name="Dominican Republic" sheetId="8" r:id="rId5"/>
    <sheet name="Jamaica" sheetId="5" r:id="rId6"/>
    <sheet name="Guatemala" sheetId="9" r:id="rId7"/>
    <sheet name="Mauritania" sheetId="13" r:id="rId8"/>
    <sheet name="Paraguay" sheetId="2" r:id="rId9"/>
    <sheet name="Ecuador" sheetId="3" r:id="rId10"/>
    <sheet name="Haiti" sheetId="7" r:id="rId11"/>
    <sheet name="Guyana" sheetId="12" r:id="rId12"/>
  </sheets>
  <definedNames>
    <definedName name="_ftnref1" localSheetId="10">Haiti!$C$9</definedName>
    <definedName name="_xlnm.Print_Area" localSheetId="0">'United States HQ'!$A$1:$G$31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3" l="1"/>
  <c r="D27" i="10"/>
</calcChain>
</file>

<file path=xl/sharedStrings.xml><?xml version="1.0" encoding="utf-8"?>
<sst xmlns="http://schemas.openxmlformats.org/spreadsheetml/2006/main" count="500" uniqueCount="274">
  <si>
    <t>2024 Calendar Holidays US HQ</t>
  </si>
  <si>
    <t>Sunday</t>
  </si>
  <si>
    <t>New Year's Day observed</t>
  </si>
  <si>
    <t>Monday</t>
  </si>
  <si>
    <t>Martin Luther King Jr Day</t>
  </si>
  <si>
    <t>President's Day (third Monday in February)</t>
  </si>
  <si>
    <t>Tuesday</t>
  </si>
  <si>
    <t>Emancipation Day</t>
  </si>
  <si>
    <t>Memorial Day (fourth Monday in May)</t>
  </si>
  <si>
    <t>Wednesday</t>
  </si>
  <si>
    <t>Juneteenth</t>
  </si>
  <si>
    <t>Thursday</t>
  </si>
  <si>
    <t>Independence Day - Fourth of July</t>
  </si>
  <si>
    <t>Labor Day (First Monday of September)</t>
  </si>
  <si>
    <t>Indigenous People's Day (second Monday in October)</t>
  </si>
  <si>
    <t>Veteran's Day</t>
  </si>
  <si>
    <t>Thanksgiving Day (fourth Thursday of November)</t>
  </si>
  <si>
    <t>Friday</t>
  </si>
  <si>
    <t xml:space="preserve">Day after thanksgiving </t>
  </si>
  <si>
    <t>Christmas Day</t>
  </si>
  <si>
    <t>Thrusday to Tuesday</t>
  </si>
  <si>
    <t>26-Dec to 31-Dec</t>
  </si>
  <si>
    <t xml:space="preserve">Winter Break </t>
  </si>
  <si>
    <t>*If a holiday falls on a Saturday, the preceding Friday will be treated as a holiday for pay and leave purposes. If a holiday falls on a Sunday, the following Monday will be treated as a holiday for pay and leave purposes.</t>
  </si>
  <si>
    <t>2024 Calendar Holidays - POA Branch Colombia</t>
  </si>
  <si>
    <t>New Years Day</t>
  </si>
  <si>
    <t>Dia de los Reyes Mago</t>
  </si>
  <si>
    <t>Dia de San Jose</t>
  </si>
  <si>
    <t>Dia de Jueves Santo</t>
  </si>
  <si>
    <t>Dia de Viernes Santo</t>
  </si>
  <si>
    <t>Dia del Trabajador</t>
  </si>
  <si>
    <t>Dia de la Ascension</t>
  </si>
  <si>
    <t>Corpus Cristi</t>
  </si>
  <si>
    <t>Sagrado Corazon</t>
  </si>
  <si>
    <t>San Pedro y San Pablo</t>
  </si>
  <si>
    <t>Saturday</t>
  </si>
  <si>
    <t>Dia de la Independencia</t>
  </si>
  <si>
    <t>Batalla de Boyaca</t>
  </si>
  <si>
    <t>Asuncion de la Virgen</t>
  </si>
  <si>
    <t>Dia de la Raza</t>
  </si>
  <si>
    <t>Dia de los difuntos</t>
  </si>
  <si>
    <t>Independencia de Cartagena</t>
  </si>
  <si>
    <t>Dia de la Inmaculada Concepcion</t>
  </si>
  <si>
    <t>Navidad</t>
  </si>
  <si>
    <t xml:space="preserve">Thursday to Tuesday </t>
  </si>
  <si>
    <t>Winter Break</t>
  </si>
  <si>
    <t>2024 Calendar Holidays - POA Branch Mexico</t>
  </si>
  <si>
    <r>
      <t>No.</t>
    </r>
    <r>
      <rPr>
        <sz val="10"/>
        <rFont val="Calibri"/>
        <charset val="1"/>
      </rPr>
      <t> </t>
    </r>
  </si>
  <si>
    <r>
      <t>Días feriados según Ley Federal del Trabajo</t>
    </r>
    <r>
      <rPr>
        <sz val="10"/>
        <rFont val="Calibri"/>
        <charset val="1"/>
      </rPr>
      <t> </t>
    </r>
  </si>
  <si>
    <r>
      <t>Schedule of Holidays according to Federal Labor Law</t>
    </r>
    <r>
      <rPr>
        <sz val="10"/>
        <rFont val="Calibri"/>
        <charset val="1"/>
      </rPr>
      <t> </t>
    </r>
  </si>
  <si>
    <t>1 </t>
  </si>
  <si>
    <t>Enero 1° </t>
  </si>
  <si>
    <t>Año Nuevo </t>
  </si>
  <si>
    <t>January 1 </t>
  </si>
  <si>
    <t>New Year </t>
  </si>
  <si>
    <t>2 </t>
  </si>
  <si>
    <t>Febrero 5 </t>
  </si>
  <si>
    <t>Día de la Constitución Mexicana </t>
  </si>
  <si>
    <t>February 5 </t>
  </si>
  <si>
    <t>Anniversary of Mexican Constitution </t>
  </si>
  <si>
    <t>3 </t>
  </si>
  <si>
    <t>Marzo 18 </t>
  </si>
  <si>
    <t>Natalicio de Benito Juárez </t>
  </si>
  <si>
    <t>March 21 </t>
  </si>
  <si>
    <t>Benito Juárez Birth </t>
  </si>
  <si>
    <r>
      <t> </t>
    </r>
    <r>
      <rPr>
        <sz val="8"/>
        <rFont val="Calibri"/>
        <charset val="1"/>
      </rPr>
      <t> </t>
    </r>
  </si>
  <si>
    <t>*4 </t>
  </si>
  <si>
    <t>Marzo 28 </t>
  </si>
  <si>
    <t>Jueves Santo de cada año </t>
  </si>
  <si>
    <t>March 28 </t>
  </si>
  <si>
    <t>Holy Thursday of each year </t>
  </si>
  <si>
    <t>*5 </t>
  </si>
  <si>
    <t>Marzo 29 </t>
  </si>
  <si>
    <t>Viernes Santo de cada año </t>
  </si>
  <si>
    <t>March 29 </t>
  </si>
  <si>
    <t>Holy Friday of each year </t>
  </si>
  <si>
    <t>6 </t>
  </si>
  <si>
    <t>Mayo 1 </t>
  </si>
  <si>
    <t>Día del Trabajo </t>
  </si>
  <si>
    <t>May 1 </t>
  </si>
  <si>
    <t>Labor Day  </t>
  </si>
  <si>
    <t>*7 </t>
  </si>
  <si>
    <t>Mayo 5 </t>
  </si>
  <si>
    <t>Batalla de Puebla </t>
  </si>
  <si>
    <t>May 5 </t>
  </si>
  <si>
    <t>Puebla’s Battle </t>
  </si>
  <si>
    <t>*8 </t>
  </si>
  <si>
    <t>Mayo 10 </t>
  </si>
  <si>
    <t>Día de la Madre </t>
  </si>
  <si>
    <t>May 10  </t>
  </si>
  <si>
    <t>Mother’s Day </t>
  </si>
  <si>
    <t>9 </t>
  </si>
  <si>
    <t>Septiembre 16 </t>
  </si>
  <si>
    <t>Día de la Independencia de México </t>
  </si>
  <si>
    <r>
      <t>September 16</t>
    </r>
    <r>
      <rPr>
        <vertAlign val="superscript"/>
        <sz val="8"/>
        <rFont val="Calibri"/>
        <charset val="1"/>
      </rPr>
      <t> </t>
    </r>
    <r>
      <rPr>
        <sz val="8"/>
        <rFont val="Calibri"/>
        <charset val="1"/>
      </rPr>
      <t> </t>
    </r>
  </si>
  <si>
    <t>Mexican Independence Day </t>
  </si>
  <si>
    <t>10 </t>
  </si>
  <si>
    <t>Octubre 1 </t>
  </si>
  <si>
    <t>Transición del Poder Ejecutivo Federal </t>
  </si>
  <si>
    <t>October  1 </t>
  </si>
  <si>
    <t>Federal Executive power transition </t>
  </si>
  <si>
    <t>11 </t>
  </si>
  <si>
    <t>Noviembre 2 </t>
  </si>
  <si>
    <t>Día de Muertos </t>
  </si>
  <si>
    <t>November 2 </t>
  </si>
  <si>
    <t>Day of the Death </t>
  </si>
  <si>
    <t>12 </t>
  </si>
  <si>
    <t>Noviembre 18 </t>
  </si>
  <si>
    <t>Día de la Revolución Mexicana </t>
  </si>
  <si>
    <t>November 18 </t>
  </si>
  <si>
    <t>Mexican Revolution Day </t>
  </si>
  <si>
    <t>  </t>
  </si>
  <si>
    <t>*13 </t>
  </si>
  <si>
    <t>Diciembre 12 </t>
  </si>
  <si>
    <t>Día del Banquero y de la Virgen de Guadalupe </t>
  </si>
  <si>
    <r>
      <t>December 12</t>
    </r>
    <r>
      <rPr>
        <vertAlign val="superscript"/>
        <sz val="8"/>
        <rFont val="Calibri"/>
        <charset val="1"/>
      </rPr>
      <t> </t>
    </r>
    <r>
      <rPr>
        <sz val="8"/>
        <rFont val="Calibri"/>
        <charset val="1"/>
      </rPr>
      <t> </t>
    </r>
  </si>
  <si>
    <t>Banker’s Day and Virgin of Guadalupe Day </t>
  </si>
  <si>
    <t>14 </t>
  </si>
  <si>
    <t>Diciembre 25 </t>
  </si>
  <si>
    <t>Noche Buena </t>
  </si>
  <si>
    <t>December 25 </t>
  </si>
  <si>
    <t>Christmas Eve </t>
  </si>
  <si>
    <t>Diciembre 26-30</t>
  </si>
  <si>
    <t xml:space="preserve">Partners </t>
  </si>
  <si>
    <t>Diciembre 31 </t>
  </si>
  <si>
    <t>Noche vieja </t>
  </si>
  <si>
    <t>December 31 </t>
  </si>
  <si>
    <t>New Year’s Eve </t>
  </si>
  <si>
    <t>2024 Calendar Holidays - POA Branch Venezuela</t>
  </si>
  <si>
    <t>Holidays</t>
  </si>
  <si>
    <t>Dates</t>
  </si>
  <si>
    <t>Description</t>
  </si>
  <si>
    <t>Days</t>
  </si>
  <si>
    <t>New Year's Day</t>
  </si>
  <si>
    <t>Carnival</t>
  </si>
  <si>
    <t>Easter</t>
  </si>
  <si>
    <t>Declaration of Independence</t>
  </si>
  <si>
    <t>Labor Day</t>
  </si>
  <si>
    <t>Battle of Carabobo</t>
  </si>
  <si>
    <t>Independence Day</t>
  </si>
  <si>
    <t>Simon Bolivar Birth</t>
  </si>
  <si>
    <t>Indigenous Resistance Day</t>
  </si>
  <si>
    <t>Christmas Eve</t>
  </si>
  <si>
    <t>26-Dec-31-Dec</t>
  </si>
  <si>
    <t>Thursday to Tuesday</t>
  </si>
  <si>
    <t>2024 Calendar Holidays - POA Branch Dominican Republic</t>
  </si>
  <si>
    <t>Dia de los Santos Reyes</t>
  </si>
  <si>
    <t>Dia de la Altagracia</t>
  </si>
  <si>
    <t>Dia de Duarte</t>
  </si>
  <si>
    <t>Viernes Santo</t>
  </si>
  <si>
    <t>Dia del trabajo</t>
  </si>
  <si>
    <t>Corpus Crisit</t>
  </si>
  <si>
    <t>Dia de la Restauracion</t>
  </si>
  <si>
    <t>Dia de las Mercedes</t>
  </si>
  <si>
    <t>Dia de la Constitucion</t>
  </si>
  <si>
    <t>Dia de Navidad</t>
  </si>
  <si>
    <t xml:space="preserve">26-Dec to 31-Dec </t>
  </si>
  <si>
    <t>2024 Calendar Holidays - POA Branch Jamaica</t>
  </si>
  <si>
    <t>Date</t>
  </si>
  <si>
    <t>Day</t>
  </si>
  <si>
    <t>Holiday</t>
  </si>
  <si>
    <t>Mon</t>
  </si>
  <si>
    <t>Wed</t>
  </si>
  <si>
    <t>Ash Wednesday</t>
  </si>
  <si>
    <t>Fri</t>
  </si>
  <si>
    <t>Good Friday</t>
  </si>
  <si>
    <t>Easter Monday</t>
  </si>
  <si>
    <t>Thu</t>
  </si>
  <si>
    <t>Labour Day</t>
  </si>
  <si>
    <t>Tue</t>
  </si>
  <si>
    <t>National Heroes Day</t>
  </si>
  <si>
    <t>Boxing Day</t>
  </si>
  <si>
    <t>27-Dec-31-Dec</t>
  </si>
  <si>
    <t>Thurs-Tues</t>
  </si>
  <si>
    <t>2024 Calendar Holidays - POA Branch Guatemala</t>
  </si>
  <si>
    <t>ASUETOS GUATEMALA 2024</t>
  </si>
  <si>
    <t>fecha</t>
  </si>
  <si>
    <t>Día</t>
  </si>
  <si>
    <t>Días feriados</t>
  </si>
  <si>
    <t>observaciones </t>
  </si>
  <si>
    <t>1-ene</t>
  </si>
  <si>
    <t>lunes</t>
  </si>
  <si>
    <t>Año Nuevo</t>
  </si>
  <si>
    <t> </t>
  </si>
  <si>
    <t>miercoles </t>
  </si>
  <si>
    <t>miercoles santo </t>
  </si>
  <si>
    <t>medio día </t>
  </si>
  <si>
    <t>jueves</t>
  </si>
  <si>
    <t>Jueves Santo</t>
  </si>
  <si>
    <t>viernes</t>
  </si>
  <si>
    <t>sábado</t>
  </si>
  <si>
    <t>Sábado Santo</t>
  </si>
  <si>
    <t>miércoles</t>
  </si>
  <si>
    <t>Día del Trabajo</t>
  </si>
  <si>
    <t>Día del Ejército</t>
  </si>
  <si>
    <t>el asueto es el 30 de Junio de cada año pero por disposiciones del gobierno lo trasladan  para lunes o viernes </t>
  </si>
  <si>
    <t>domingo</t>
  </si>
  <si>
    <t>Día de la Independencia</t>
  </si>
  <si>
    <t>Día de la Revolución de Octubre</t>
  </si>
  <si>
    <t>Día de Todos los Santos</t>
  </si>
  <si>
    <t>25-dic</t>
  </si>
  <si>
    <t>Día de Navidad</t>
  </si>
  <si>
    <t>feriados  patronales en Guatemala para el año 2024</t>
  </si>
  <si>
    <t>4-ago</t>
  </si>
  <si>
    <t>domingo </t>
  </si>
  <si>
    <t>Dia de Santo Domingo Guzman </t>
  </si>
  <si>
    <t>15-ago</t>
  </si>
  <si>
    <t>jueves </t>
  </si>
  <si>
    <t>Dias de la Virgen de la Asunción</t>
  </si>
  <si>
    <t>Partners Organizacional Feriado en Guatemala para el año 2024</t>
  </si>
  <si>
    <t>26-Dic-31-Dec</t>
  </si>
  <si>
    <t>jueves - martes</t>
  </si>
  <si>
    <t>2024 Calendar Holidays - POA Branch Mauritania</t>
  </si>
  <si>
    <t>No.</t>
  </si>
  <si>
    <t>Total Days Off</t>
  </si>
  <si>
    <t>1-ene-24</t>
  </si>
  <si>
    <t>10-abr-24</t>
  </si>
  <si>
    <t>Eid al-Fitr</t>
  </si>
  <si>
    <t>11-abr-24</t>
  </si>
  <si>
    <t>12-abr-24</t>
  </si>
  <si>
    <t>Africa Day</t>
  </si>
  <si>
    <t xml:space="preserve">TBD </t>
  </si>
  <si>
    <t>Eid al-Adha (TBD by the Goverment)</t>
  </si>
  <si>
    <t>Islamic New Year</t>
  </si>
  <si>
    <t>Prophet Muhammad's Birthday</t>
  </si>
  <si>
    <t>Dec 26th -Dec 31</t>
  </si>
  <si>
    <t>2024 Calendar Holidays - POA Branch Paraguay</t>
  </si>
  <si>
    <t>Dia de los héroes</t>
  </si>
  <si>
    <t>Independencia</t>
  </si>
  <si>
    <t>Dia de la Paz del Chaco</t>
  </si>
  <si>
    <t>Fundación de Asunción</t>
  </si>
  <si>
    <t>Thursday - Tuesday</t>
  </si>
  <si>
    <t>26-Dec - 31-Dec</t>
  </si>
  <si>
    <t>2024 Calendar Holidays - POA Branch Ecuador</t>
  </si>
  <si>
    <t xml:space="preserve">Pichincha </t>
  </si>
  <si>
    <t>Dia Nacional</t>
  </si>
  <si>
    <t>Independencia de Guayaquil</t>
  </si>
  <si>
    <t>Independencia de Cuenca</t>
  </si>
  <si>
    <t>Thursday-Tuesday</t>
  </si>
  <si>
    <t>2024 Calendar Holidays - POA Branch Haiti</t>
  </si>
  <si>
    <t>Day[1]</t>
  </si>
  <si>
    <t>Name</t>
  </si>
  <si>
    <t>New Year's Day/Independence Day</t>
  </si>
  <si>
    <t>Heroes’ Day/Ancestors’ Day</t>
  </si>
  <si>
    <t>Carnival/Mardi Gras</t>
  </si>
  <si>
    <t>Carnival / Ash Wednesday</t>
  </si>
  <si>
    <t>Agriculture and Labor Day</t>
  </si>
  <si>
    <t>Flag Day/University Day</t>
  </si>
  <si>
    <t>Corpus Christi</t>
  </si>
  <si>
    <t>Assumption of Mary</t>
  </si>
  <si>
    <t>Dessalines Day</t>
  </si>
  <si>
    <t>All Saints' Day</t>
  </si>
  <si>
    <t>All Souls' Day</t>
  </si>
  <si>
    <t>Vertières Day / Army Day</t>
  </si>
  <si>
    <t>26-Dec to 30-Dec</t>
  </si>
  <si>
    <t>New Year's Eve</t>
  </si>
  <si>
    <t>2024 Calendar Holidays - POA Branch Guyana</t>
  </si>
  <si>
    <t>Holiday Name</t>
  </si>
  <si>
    <t>Comments</t>
  </si>
  <si>
    <t>Public Holiday</t>
  </si>
  <si>
    <t>Mashramani (Republic Day)</t>
  </si>
  <si>
    <t>Phagwah (Holi)</t>
  </si>
  <si>
    <t>Labor Day / May Day</t>
  </si>
  <si>
    <t>Sun</t>
  </si>
  <si>
    <t>Arrival Day</t>
  </si>
  <si>
    <t>Day off for Arrival Day</t>
  </si>
  <si>
    <t>Day off for Independence Day</t>
  </si>
  <si>
    <t>Eid al-Adha</t>
  </si>
  <si>
    <t>CARICOM Day</t>
  </si>
  <si>
    <t>Youman-Nabi (Mawlid)</t>
  </si>
  <si>
    <t>Deepavali</t>
  </si>
  <si>
    <t>Fri-Tues</t>
  </si>
  <si>
    <t>27-Dec to 31-Dec</t>
  </si>
  <si>
    <t>Partners Org Office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</si>
</sst>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8"/>
      <color rgb="FFC00000"/>
      <name val="Arial"/>
      <charset val="1"/>
    </font>
    <font>
      <sz val="11"/>
      <color rgb="FF444444"/>
      <name val="Calibri"/>
      <family val="2"/>
      <charset val="1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2"/>
      <color rgb="FFFFFFFF"/>
      <name val="Open Sans"/>
      <family val="2"/>
      <charset val="1"/>
    </font>
    <font>
      <sz val="12"/>
      <color rgb="FF333333"/>
      <name val="Open Sans"/>
      <family val="2"/>
      <charset val="1"/>
    </font>
    <font>
      <b/>
      <sz val="12"/>
      <color rgb="FF00B0F0"/>
      <name val="Open Sans"/>
      <family val="2"/>
      <charset val="1"/>
    </font>
    <font>
      <b/>
      <sz val="14"/>
      <color rgb="FF444444"/>
      <name val="Calibri"/>
    </font>
    <font>
      <b/>
      <sz val="11"/>
      <color rgb="FFF86841"/>
      <name val="Arial"/>
      <family val="2"/>
      <charset val="1"/>
    </font>
    <font>
      <sz val="10"/>
      <color theme="1"/>
      <name val="Times New Roman"/>
      <family val="1"/>
      <charset val="1"/>
    </font>
    <font>
      <sz val="10"/>
      <name val="Calibri"/>
      <charset val="1"/>
    </font>
    <font>
      <b/>
      <sz val="10"/>
      <name val="Calibri"/>
      <charset val="1"/>
    </font>
    <font>
      <sz val="10"/>
      <color rgb="FF000000"/>
      <name val="Calibri"/>
      <charset val="1"/>
    </font>
    <font>
      <sz val="8"/>
      <name val="Calibri"/>
      <charset val="1"/>
    </font>
    <font>
      <vertAlign val="superscript"/>
      <sz val="8"/>
      <name val="Calibri"/>
      <charset val="1"/>
    </font>
    <font>
      <b/>
      <sz val="2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Noto Sans"/>
      <family val="2"/>
      <charset val="1"/>
    </font>
    <font>
      <sz val="11"/>
      <color rgb="FF000000"/>
      <name val="Noto Sans"/>
      <family val="2"/>
      <charset val="1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7F7F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5">
    <xf numFmtId="0" fontId="0" fillId="0" borderId="0" xfId="0"/>
    <xf numFmtId="0" fontId="4" fillId="0" borderId="0" xfId="0" applyFont="1"/>
    <xf numFmtId="0" fontId="5" fillId="0" borderId="0" xfId="0" applyFont="1"/>
    <xf numFmtId="16" fontId="6" fillId="0" borderId="1" xfId="0" applyNumberFormat="1" applyFont="1" applyBorder="1"/>
    <xf numFmtId="0" fontId="6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16" fontId="3" fillId="0" borderId="4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16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2" borderId="2" xfId="0" applyFont="1" applyFill="1" applyBorder="1"/>
    <xf numFmtId="0" fontId="10" fillId="2" borderId="3" xfId="0" applyFont="1" applyFill="1" applyBorder="1"/>
    <xf numFmtId="0" fontId="12" fillId="3" borderId="6" xfId="0" applyFont="1" applyFill="1" applyBorder="1"/>
    <xf numFmtId="0" fontId="12" fillId="4" borderId="6" xfId="0" applyFont="1" applyFill="1" applyBorder="1"/>
    <xf numFmtId="0" fontId="13" fillId="4" borderId="7" xfId="0" applyFont="1" applyFill="1" applyBorder="1"/>
    <xf numFmtId="16" fontId="13" fillId="4" borderId="7" xfId="0" applyNumberFormat="1" applyFont="1" applyFill="1" applyBorder="1"/>
    <xf numFmtId="0" fontId="7" fillId="4" borderId="7" xfId="1" applyFill="1" applyBorder="1"/>
    <xf numFmtId="0" fontId="14" fillId="4" borderId="7" xfId="0" applyFont="1" applyFill="1" applyBorder="1"/>
    <xf numFmtId="0" fontId="15" fillId="0" borderId="0" xfId="0" applyFont="1"/>
    <xf numFmtId="0" fontId="16" fillId="0" borderId="8" xfId="0" applyFont="1" applyBorder="1"/>
    <xf numFmtId="0" fontId="17" fillId="0" borderId="8" xfId="0" applyFont="1" applyBorder="1"/>
    <xf numFmtId="0" fontId="19" fillId="0" borderId="9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19" xfId="0" applyFont="1" applyBorder="1"/>
    <xf numFmtId="0" fontId="18" fillId="0" borderId="20" xfId="0" applyFont="1" applyBorder="1" applyAlignment="1">
      <alignment wrapText="1"/>
    </xf>
    <xf numFmtId="0" fontId="0" fillId="0" borderId="21" xfId="0" applyBorder="1"/>
    <xf numFmtId="0" fontId="0" fillId="0" borderId="15" xfId="0" applyBorder="1"/>
    <xf numFmtId="0" fontId="22" fillId="0" borderId="15" xfId="0" applyFont="1" applyBorder="1"/>
    <xf numFmtId="0" fontId="0" fillId="0" borderId="16" xfId="0" applyBorder="1"/>
    <xf numFmtId="0" fontId="20" fillId="0" borderId="17" xfId="0" applyFont="1" applyBorder="1" applyAlignment="1">
      <alignment wrapText="1"/>
    </xf>
    <xf numFmtId="0" fontId="18" fillId="0" borderId="15" xfId="0" applyFont="1" applyBorder="1"/>
    <xf numFmtId="15" fontId="0" fillId="0" borderId="0" xfId="0" applyNumberFormat="1"/>
    <xf numFmtId="0" fontId="23" fillId="0" borderId="25" xfId="0" applyFont="1" applyBorder="1"/>
    <xf numFmtId="0" fontId="23" fillId="0" borderId="4" xfId="0" applyFont="1" applyBorder="1"/>
    <xf numFmtId="0" fontId="24" fillId="0" borderId="15" xfId="0" applyFont="1" applyBorder="1"/>
    <xf numFmtId="0" fontId="24" fillId="0" borderId="26" xfId="0" applyFont="1" applyBorder="1"/>
    <xf numFmtId="0" fontId="23" fillId="0" borderId="27" xfId="0" applyFont="1" applyBorder="1"/>
    <xf numFmtId="0" fontId="24" fillId="0" borderId="15" xfId="0" applyFont="1" applyBorder="1" applyAlignment="1">
      <alignment horizontal="left"/>
    </xf>
    <xf numFmtId="16" fontId="24" fillId="0" borderId="15" xfId="0" applyNumberFormat="1" applyFont="1" applyBorder="1" applyAlignment="1">
      <alignment horizontal="left"/>
    </xf>
    <xf numFmtId="0" fontId="25" fillId="0" borderId="25" xfId="0" applyFont="1" applyBorder="1"/>
    <xf numFmtId="0" fontId="25" fillId="0" borderId="4" xfId="0" applyFont="1" applyBorder="1"/>
    <xf numFmtId="0" fontId="25" fillId="0" borderId="5" xfId="0" applyFont="1" applyBorder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16" fontId="27" fillId="0" borderId="0" xfId="0" applyNumberFormat="1" applyFont="1" applyAlignment="1">
      <alignment wrapText="1"/>
    </xf>
    <xf numFmtId="0" fontId="28" fillId="6" borderId="2" xfId="0" applyFont="1" applyFill="1" applyBorder="1"/>
    <xf numFmtId="0" fontId="28" fillId="6" borderId="3" xfId="0" applyFont="1" applyFill="1" applyBorder="1"/>
    <xf numFmtId="0" fontId="24" fillId="0" borderId="4" xfId="0" applyFont="1" applyBorder="1"/>
    <xf numFmtId="0" fontId="24" fillId="0" borderId="5" xfId="0" applyFont="1" applyBorder="1"/>
    <xf numFmtId="0" fontId="24" fillId="0" borderId="5" xfId="0" applyFont="1" applyBorder="1" applyAlignment="1">
      <alignment horizontal="left"/>
    </xf>
    <xf numFmtId="15" fontId="24" fillId="0" borderId="5" xfId="0" applyNumberFormat="1" applyFont="1" applyBorder="1" applyAlignment="1">
      <alignment horizontal="left"/>
    </xf>
    <xf numFmtId="16" fontId="6" fillId="0" borderId="28" xfId="0" applyNumberFormat="1" applyFont="1" applyBorder="1"/>
    <xf numFmtId="16" fontId="6" fillId="0" borderId="28" xfId="0" applyNumberFormat="1" applyFont="1" applyBorder="1" applyAlignment="1">
      <alignment horizontal="center"/>
    </xf>
    <xf numFmtId="16" fontId="6" fillId="0" borderId="19" xfId="0" applyNumberFormat="1" applyFont="1" applyBorder="1"/>
    <xf numFmtId="16" fontId="6" fillId="0" borderId="19" xfId="0" applyNumberFormat="1" applyFont="1" applyBorder="1" applyAlignment="1">
      <alignment horizontal="center"/>
    </xf>
    <xf numFmtId="0" fontId="6" fillId="0" borderId="19" xfId="0" applyFont="1" applyBorder="1"/>
    <xf numFmtId="15" fontId="24" fillId="0" borderId="29" xfId="0" applyNumberFormat="1" applyFont="1" applyBorder="1" applyAlignment="1">
      <alignment horizontal="left"/>
    </xf>
    <xf numFmtId="0" fontId="24" fillId="0" borderId="29" xfId="0" applyFont="1" applyBorder="1"/>
    <xf numFmtId="0" fontId="24" fillId="0" borderId="25" xfId="0" applyFont="1" applyBorder="1"/>
    <xf numFmtId="15" fontId="24" fillId="0" borderId="30" xfId="0" applyNumberFormat="1" applyFont="1" applyBorder="1" applyAlignment="1">
      <alignment horizontal="left"/>
    </xf>
    <xf numFmtId="0" fontId="24" fillId="0" borderId="31" xfId="0" applyFont="1" applyBorder="1"/>
    <xf numFmtId="0" fontId="24" fillId="0" borderId="32" xfId="0" applyFont="1" applyBorder="1"/>
    <xf numFmtId="0" fontId="0" fillId="0" borderId="28" xfId="0" applyBorder="1" applyAlignment="1">
      <alignment horizontal="left"/>
    </xf>
    <xf numFmtId="0" fontId="18" fillId="0" borderId="33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33" xfId="0" applyFont="1" applyBorder="1" applyAlignment="1">
      <alignment wrapText="1"/>
    </xf>
    <xf numFmtId="0" fontId="0" fillId="0" borderId="34" xfId="0" applyBorder="1" applyAlignment="1">
      <alignment horizontal="left"/>
    </xf>
    <xf numFmtId="0" fontId="20" fillId="0" borderId="20" xfId="0" applyFont="1" applyBorder="1" applyAlignment="1">
      <alignment wrapText="1"/>
    </xf>
    <xf numFmtId="0" fontId="20" fillId="0" borderId="35" xfId="0" applyFont="1" applyBorder="1" applyAlignment="1">
      <alignment wrapText="1"/>
    </xf>
    <xf numFmtId="16" fontId="6" fillId="0" borderId="1" xfId="0" applyNumberFormat="1" applyFont="1" applyBorder="1" applyAlignment="1">
      <alignment horizontal="right"/>
    </xf>
    <xf numFmtId="0" fontId="27" fillId="0" borderId="0" xfId="0" applyFont="1" applyAlignment="1">
      <alignment horizontal="left" vertical="center" wrapText="1"/>
    </xf>
    <xf numFmtId="0" fontId="24" fillId="0" borderId="37" xfId="0" applyFont="1" applyBorder="1"/>
    <xf numFmtId="15" fontId="24" fillId="0" borderId="38" xfId="0" applyNumberFormat="1" applyFont="1" applyBorder="1" applyAlignment="1">
      <alignment horizontal="left"/>
    </xf>
    <xf numFmtId="15" fontId="24" fillId="0" borderId="39" xfId="0" applyNumberFormat="1" applyFont="1" applyBorder="1" applyAlignment="1">
      <alignment horizontal="left"/>
    </xf>
    <xf numFmtId="0" fontId="24" fillId="0" borderId="40" xfId="0" applyFont="1" applyBorder="1"/>
    <xf numFmtId="0" fontId="24" fillId="0" borderId="41" xfId="0" applyFont="1" applyBorder="1"/>
    <xf numFmtId="15" fontId="24" fillId="0" borderId="42" xfId="0" applyNumberFormat="1" applyFont="1" applyBorder="1" applyAlignment="1">
      <alignment horizontal="left"/>
    </xf>
    <xf numFmtId="0" fontId="24" fillId="0" borderId="43" xfId="0" applyFont="1" applyBorder="1"/>
    <xf numFmtId="0" fontId="24" fillId="0" borderId="44" xfId="0" applyFont="1" applyBorder="1"/>
    <xf numFmtId="0" fontId="18" fillId="0" borderId="36" xfId="0" applyFont="1" applyBorder="1" applyAlignment="1">
      <alignment horizontal="left" wrapText="1"/>
    </xf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25" fillId="5" borderId="22" xfId="0" applyFont="1" applyFill="1" applyBorder="1" applyAlignment="1"/>
    <xf numFmtId="0" fontId="25" fillId="5" borderId="23" xfId="0" applyFont="1" applyFill="1" applyBorder="1" applyAlignment="1"/>
    <xf numFmtId="0" fontId="25" fillId="5" borderId="24" xfId="0" applyFont="1" applyFill="1" applyBorder="1" applyAlignment="1"/>
    <xf numFmtId="0" fontId="23" fillId="5" borderId="22" xfId="0" applyFont="1" applyFill="1" applyBorder="1" applyAlignment="1"/>
    <xf numFmtId="0" fontId="23" fillId="5" borderId="23" xfId="0" applyFont="1" applyFill="1" applyBorder="1" applyAlignment="1"/>
    <xf numFmtId="0" fontId="23" fillId="5" borderId="24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60325</xdr:colOff>
      <xdr:row>4</xdr:row>
      <xdr:rowOff>106839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0889EC0A-7B9B-4032-B9C5-B1778A5C6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2432050" cy="668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804718</xdr:colOff>
      <xdr:row>4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83CACF45-B61B-4D17-8360-167AC6E85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9818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44450</xdr:rowOff>
    </xdr:from>
    <xdr:to>
      <xdr:col>1</xdr:col>
      <xdr:colOff>1921164</xdr:colOff>
      <xdr:row>3</xdr:row>
      <xdr:rowOff>146050</xdr:rowOff>
    </xdr:to>
    <xdr:pic>
      <xdr:nvPicPr>
        <xdr:cNvPr id="3" name="Picture 2" descr="Partners of the Americas - iEARN-USA">
          <a:extLst>
            <a:ext uri="{FF2B5EF4-FFF2-40B4-BE49-F238E27FC236}">
              <a16:creationId xmlns:a16="http://schemas.microsoft.com/office/drawing/2014/main" id="{820FC7BC-CA5E-40C2-872A-6EEBDF02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4450"/>
          <a:ext cx="2378364" cy="65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44450</xdr:rowOff>
    </xdr:from>
    <xdr:to>
      <xdr:col>1</xdr:col>
      <xdr:colOff>1730664</xdr:colOff>
      <xdr:row>3</xdr:row>
      <xdr:rowOff>117475</xdr:rowOff>
    </xdr:to>
    <xdr:pic>
      <xdr:nvPicPr>
        <xdr:cNvPr id="2" name="Picture 2" descr="Partners of the Americas - iEARN-USA">
          <a:extLst>
            <a:ext uri="{FF2B5EF4-FFF2-40B4-BE49-F238E27FC236}">
              <a16:creationId xmlns:a16="http://schemas.microsoft.com/office/drawing/2014/main" id="{79CBF87B-B69B-4240-8B79-42491C1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4450"/>
          <a:ext cx="2378364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922193</xdr:colOff>
      <xdr:row>4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B363A431-D826-4AF2-B86D-AB925826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9818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111125</xdr:colOff>
      <xdr:row>0</xdr:row>
      <xdr:rowOff>130175</xdr:rowOff>
    </xdr:from>
    <xdr:to>
      <xdr:col>3</xdr:col>
      <xdr:colOff>444500</xdr:colOff>
      <xdr:row>4</xdr:row>
      <xdr:rowOff>9525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724CB090-A348-4F15-9632-A7FAB7604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130175"/>
          <a:ext cx="232410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619125</xdr:colOff>
      <xdr:row>3</xdr:row>
      <xdr:rowOff>69850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8D934951-C9A1-4778-B02F-061771AD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2410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274493</xdr:colOff>
      <xdr:row>5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EDB75BB4-80C8-4C55-BBA9-5EBDB049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3398693" cy="94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560243</xdr:colOff>
      <xdr:row>5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4365560F-A8B6-41D0-BCAF-E7309CA5D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3509818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1747693</xdr:colOff>
      <xdr:row>7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79994A20-BAC1-4F07-A80C-37B6174E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3509818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1309543</xdr:colOff>
      <xdr:row>4</xdr:row>
      <xdr:rowOff>187325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7F9EF5B9-48F9-4157-A218-131C96A8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9818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4</xdr:col>
      <xdr:colOff>381000</xdr:colOff>
      <xdr:row>3</xdr:row>
      <xdr:rowOff>95250</xdr:rowOff>
    </xdr:to>
    <xdr:pic>
      <xdr:nvPicPr>
        <xdr:cNvPr id="2" name="Picture 1" descr="Partners of the Americas - iEARN-USA">
          <a:extLst>
            <a:ext uri="{FF2B5EF4-FFF2-40B4-BE49-F238E27FC236}">
              <a16:creationId xmlns:a16="http://schemas.microsoft.com/office/drawing/2014/main" id="{45B30771-243D-4395-ACFD-839A742CE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2438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holidays.la/jamaica/national-heroes-day/" TargetMode="External"/><Relationship Id="rId3" Type="http://schemas.openxmlformats.org/officeDocument/2006/relationships/hyperlink" Target="https://publicholidays.la/jamaica/easter/" TargetMode="External"/><Relationship Id="rId7" Type="http://schemas.openxmlformats.org/officeDocument/2006/relationships/hyperlink" Target="https://publicholidays.la/jamaica/independence-day/" TargetMode="External"/><Relationship Id="rId2" Type="http://schemas.openxmlformats.org/officeDocument/2006/relationships/hyperlink" Target="https://publicholidays.la/jamaica/ash-wednesday/" TargetMode="External"/><Relationship Id="rId1" Type="http://schemas.openxmlformats.org/officeDocument/2006/relationships/hyperlink" Target="https://publicholidays.la/jamaica/new-years-day/" TargetMode="External"/><Relationship Id="rId6" Type="http://schemas.openxmlformats.org/officeDocument/2006/relationships/hyperlink" Target="https://publicholidays.la/jamaica/emancipation-day/" TargetMode="External"/><Relationship Id="rId5" Type="http://schemas.openxmlformats.org/officeDocument/2006/relationships/hyperlink" Target="https://publicholidays.la/jamaica/labour-day/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https://publicholidays.la/jamaica/easter/" TargetMode="External"/><Relationship Id="rId9" Type="http://schemas.openxmlformats.org/officeDocument/2006/relationships/hyperlink" Target="https://publicholidays.la/jamaica/christma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9DCD-2E69-49A3-A20B-DE413B8383D7}">
  <dimension ref="A4:J24"/>
  <sheetViews>
    <sheetView tabSelected="1" workbookViewId="0">
      <selection sqref="A1:F31"/>
    </sheetView>
  </sheetViews>
  <sheetFormatPr defaultRowHeight="14.45"/>
  <cols>
    <col min="1" max="1" width="23.7109375" customWidth="1"/>
    <col min="2" max="2" width="35.5703125" style="12" bestFit="1" customWidth="1"/>
    <col min="3" max="3" width="57.28515625" bestFit="1" customWidth="1"/>
    <col min="4" max="4" width="13" bestFit="1" customWidth="1"/>
    <col min="9" max="9" width="12" customWidth="1"/>
    <col min="10" max="10" width="40" customWidth="1"/>
  </cols>
  <sheetData>
    <row r="4" spans="1:10">
      <c r="I4" s="14"/>
      <c r="J4" s="15"/>
    </row>
    <row r="5" spans="1:10">
      <c r="I5" s="14"/>
      <c r="J5" s="15"/>
    </row>
    <row r="6" spans="1:10" ht="15.6">
      <c r="B6" s="10" t="s">
        <v>0</v>
      </c>
      <c r="I6" s="14"/>
    </row>
    <row r="7" spans="1:10">
      <c r="I7" s="14"/>
      <c r="J7" s="15"/>
    </row>
    <row r="8" spans="1:10" ht="15.6">
      <c r="A8" s="3" t="s">
        <v>1</v>
      </c>
      <c r="B8" s="11">
        <v>45292</v>
      </c>
      <c r="C8" s="4" t="s">
        <v>2</v>
      </c>
      <c r="I8" s="14"/>
    </row>
    <row r="9" spans="1:10" ht="15.6">
      <c r="A9" s="3" t="s">
        <v>3</v>
      </c>
      <c r="B9" s="11">
        <v>45306</v>
      </c>
      <c r="C9" s="4" t="s">
        <v>4</v>
      </c>
      <c r="I9" s="14"/>
      <c r="J9" s="15"/>
    </row>
    <row r="10" spans="1:10" ht="15.6">
      <c r="A10" s="3" t="s">
        <v>3</v>
      </c>
      <c r="B10" s="11">
        <v>45341</v>
      </c>
      <c r="C10" s="4" t="s">
        <v>5</v>
      </c>
      <c r="I10" s="14"/>
      <c r="J10" s="15"/>
    </row>
    <row r="11" spans="1:10" ht="15.75">
      <c r="A11" s="3" t="s">
        <v>6</v>
      </c>
      <c r="B11" s="11">
        <v>45398</v>
      </c>
      <c r="C11" s="4" t="s">
        <v>7</v>
      </c>
      <c r="I11" s="14"/>
      <c r="J11" s="15"/>
    </row>
    <row r="12" spans="1:10" ht="15.6">
      <c r="A12" s="3" t="s">
        <v>3</v>
      </c>
      <c r="B12" s="11">
        <v>45439</v>
      </c>
      <c r="C12" s="4" t="s">
        <v>8</v>
      </c>
      <c r="I12" s="14"/>
    </row>
    <row r="13" spans="1:10" ht="15.6">
      <c r="A13" s="3" t="s">
        <v>9</v>
      </c>
      <c r="B13" s="11">
        <v>45462</v>
      </c>
      <c r="C13" s="4" t="s">
        <v>10</v>
      </c>
      <c r="I13" s="14"/>
    </row>
    <row r="14" spans="1:10" ht="15.6">
      <c r="A14" s="3" t="s">
        <v>11</v>
      </c>
      <c r="B14" s="11">
        <v>44746</v>
      </c>
      <c r="C14" s="4" t="s">
        <v>12</v>
      </c>
      <c r="I14" s="14"/>
    </row>
    <row r="15" spans="1:10" ht="15.6">
      <c r="A15" s="3" t="s">
        <v>3</v>
      </c>
      <c r="B15" s="11">
        <v>45537</v>
      </c>
      <c r="C15" s="4" t="s">
        <v>13</v>
      </c>
      <c r="I15" s="14"/>
    </row>
    <row r="16" spans="1:10" ht="15.6">
      <c r="A16" s="3" t="s">
        <v>3</v>
      </c>
      <c r="B16" s="11">
        <v>45208</v>
      </c>
      <c r="C16" s="4" t="s">
        <v>14</v>
      </c>
      <c r="I16" s="14"/>
    </row>
    <row r="17" spans="1:9" ht="15.6">
      <c r="A17" s="3" t="s">
        <v>3</v>
      </c>
      <c r="B17" s="11">
        <v>45607</v>
      </c>
      <c r="C17" s="4" t="s">
        <v>15</v>
      </c>
      <c r="I17" s="14"/>
    </row>
    <row r="18" spans="1:9" ht="15.6">
      <c r="A18" s="3" t="s">
        <v>11</v>
      </c>
      <c r="B18" s="11">
        <v>45624</v>
      </c>
      <c r="C18" s="4" t="s">
        <v>16</v>
      </c>
    </row>
    <row r="19" spans="1:9" ht="15.6">
      <c r="A19" s="68" t="s">
        <v>17</v>
      </c>
      <c r="B19" s="69">
        <v>45625</v>
      </c>
      <c r="C19" s="70" t="s">
        <v>18</v>
      </c>
    </row>
    <row r="20" spans="1:9" ht="15.6">
      <c r="A20" s="66" t="s">
        <v>9</v>
      </c>
      <c r="B20" s="67">
        <v>45651</v>
      </c>
      <c r="C20" s="66" t="s">
        <v>19</v>
      </c>
    </row>
    <row r="21" spans="1:9" ht="15.75">
      <c r="A21" s="66" t="s">
        <v>20</v>
      </c>
      <c r="B21" s="67" t="s">
        <v>21</v>
      </c>
      <c r="C21" s="66" t="s">
        <v>22</v>
      </c>
    </row>
    <row r="22" spans="1:9" ht="15">
      <c r="A22" s="13" t="s">
        <v>23</v>
      </c>
    </row>
    <row r="23" spans="1:9" ht="15"/>
    <row r="24" spans="1:9" ht="15"/>
  </sheetData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F620-3D33-4A06-A8BF-6F0D48026987}">
  <dimension ref="A7:D27"/>
  <sheetViews>
    <sheetView topLeftCell="A15" workbookViewId="0">
      <selection activeCell="B31" sqref="B31"/>
    </sheetView>
  </sheetViews>
  <sheetFormatPr defaultRowHeight="15" customHeight="1"/>
  <cols>
    <col min="2" max="2" width="20" bestFit="1" customWidth="1"/>
    <col min="3" max="3" width="20.5703125" customWidth="1"/>
    <col min="4" max="4" width="34.42578125" bestFit="1" customWidth="1"/>
  </cols>
  <sheetData>
    <row r="7" spans="1:4" ht="25.5">
      <c r="C7" s="1" t="s">
        <v>24</v>
      </c>
    </row>
    <row r="9" spans="1:4" ht="15.75">
      <c r="A9">
        <v>1</v>
      </c>
      <c r="B9" t="s">
        <v>3</v>
      </c>
      <c r="C9" s="3">
        <v>45292</v>
      </c>
      <c r="D9" s="4" t="s">
        <v>25</v>
      </c>
    </row>
    <row r="10" spans="1:4" ht="15.75">
      <c r="A10">
        <v>2</v>
      </c>
      <c r="B10" t="s">
        <v>3</v>
      </c>
      <c r="C10" s="3">
        <v>45299</v>
      </c>
      <c r="D10" s="4" t="s">
        <v>26</v>
      </c>
    </row>
    <row r="11" spans="1:4" ht="15.75">
      <c r="A11">
        <v>3</v>
      </c>
      <c r="B11" t="s">
        <v>3</v>
      </c>
      <c r="C11" s="3">
        <v>45376</v>
      </c>
      <c r="D11" s="4" t="s">
        <v>27</v>
      </c>
    </row>
    <row r="12" spans="1:4" ht="15.75">
      <c r="A12">
        <v>4</v>
      </c>
      <c r="B12" t="s">
        <v>11</v>
      </c>
      <c r="C12" s="3">
        <v>45379</v>
      </c>
      <c r="D12" s="4" t="s">
        <v>28</v>
      </c>
    </row>
    <row r="13" spans="1:4" ht="15.75">
      <c r="A13">
        <v>5</v>
      </c>
      <c r="B13" t="s">
        <v>17</v>
      </c>
      <c r="C13" s="3">
        <v>45380</v>
      </c>
      <c r="D13" s="4" t="s">
        <v>29</v>
      </c>
    </row>
    <row r="14" spans="1:4" ht="15.75">
      <c r="A14">
        <v>6</v>
      </c>
      <c r="B14" t="s">
        <v>9</v>
      </c>
      <c r="C14" s="3">
        <v>45413</v>
      </c>
      <c r="D14" s="4" t="s">
        <v>30</v>
      </c>
    </row>
    <row r="15" spans="1:4" ht="15.75">
      <c r="A15">
        <v>7</v>
      </c>
      <c r="B15" t="s">
        <v>3</v>
      </c>
      <c r="C15" s="3">
        <v>45425</v>
      </c>
      <c r="D15" s="4" t="s">
        <v>31</v>
      </c>
    </row>
    <row r="16" spans="1:4" ht="15.75">
      <c r="A16">
        <v>8</v>
      </c>
      <c r="B16" t="s">
        <v>3</v>
      </c>
      <c r="C16" s="3">
        <v>45446</v>
      </c>
      <c r="D16" s="4" t="s">
        <v>32</v>
      </c>
    </row>
    <row r="17" spans="1:4" ht="15.75">
      <c r="A17">
        <v>9</v>
      </c>
      <c r="B17" t="s">
        <v>3</v>
      </c>
      <c r="C17" s="3">
        <v>45453</v>
      </c>
      <c r="D17" s="4" t="s">
        <v>33</v>
      </c>
    </row>
    <row r="18" spans="1:4" ht="15.75">
      <c r="A18">
        <v>10</v>
      </c>
      <c r="B18" t="s">
        <v>3</v>
      </c>
      <c r="C18" s="3">
        <v>45474</v>
      </c>
      <c r="D18" s="4" t="s">
        <v>34</v>
      </c>
    </row>
    <row r="19" spans="1:4" ht="15.75">
      <c r="A19">
        <v>11</v>
      </c>
      <c r="B19" t="s">
        <v>35</v>
      </c>
      <c r="C19" s="3">
        <v>45493</v>
      </c>
      <c r="D19" s="4" t="s">
        <v>36</v>
      </c>
    </row>
    <row r="20" spans="1:4" ht="15.75">
      <c r="A20">
        <v>12</v>
      </c>
      <c r="B20" t="s">
        <v>3</v>
      </c>
      <c r="C20" s="3">
        <v>44780</v>
      </c>
      <c r="D20" s="4" t="s">
        <v>37</v>
      </c>
    </row>
    <row r="21" spans="1:4" ht="15.75">
      <c r="A21">
        <v>13</v>
      </c>
      <c r="B21" t="s">
        <v>3</v>
      </c>
      <c r="C21" s="3">
        <v>45523</v>
      </c>
      <c r="D21" s="4" t="s">
        <v>38</v>
      </c>
    </row>
    <row r="22" spans="1:4" ht="15.75">
      <c r="A22">
        <v>14</v>
      </c>
      <c r="B22" t="s">
        <v>3</v>
      </c>
      <c r="C22" s="3">
        <v>45579</v>
      </c>
      <c r="D22" s="4" t="s">
        <v>39</v>
      </c>
    </row>
    <row r="23" spans="1:4" ht="15.75">
      <c r="A23">
        <v>15</v>
      </c>
      <c r="B23" t="s">
        <v>3</v>
      </c>
      <c r="C23" s="3">
        <v>45600</v>
      </c>
      <c r="D23" s="4" t="s">
        <v>40</v>
      </c>
    </row>
    <row r="24" spans="1:4" ht="15.75">
      <c r="A24">
        <v>16</v>
      </c>
      <c r="B24" t="s">
        <v>3</v>
      </c>
      <c r="C24" s="3">
        <v>45607</v>
      </c>
      <c r="D24" s="4" t="s">
        <v>41</v>
      </c>
    </row>
    <row r="25" spans="1:4" ht="15.75">
      <c r="A25">
        <v>17</v>
      </c>
      <c r="B25" t="s">
        <v>1</v>
      </c>
      <c r="C25" s="3">
        <v>44903</v>
      </c>
      <c r="D25" s="4" t="s">
        <v>42</v>
      </c>
    </row>
    <row r="26" spans="1:4" ht="15.75">
      <c r="A26">
        <v>18</v>
      </c>
      <c r="B26" t="s">
        <v>3</v>
      </c>
      <c r="C26" s="3">
        <v>45651</v>
      </c>
      <c r="D26" s="3" t="s">
        <v>43</v>
      </c>
    </row>
    <row r="27" spans="1:4" ht="15.75">
      <c r="A27">
        <v>19</v>
      </c>
      <c r="B27" t="s">
        <v>44</v>
      </c>
      <c r="C27" s="3" t="s">
        <v>21</v>
      </c>
      <c r="D27" s="3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FC8-75A7-47E1-9D37-24E830600290}">
  <dimension ref="A6:E26"/>
  <sheetViews>
    <sheetView topLeftCell="A17" workbookViewId="0">
      <selection activeCell="A26" sqref="A26"/>
    </sheetView>
  </sheetViews>
  <sheetFormatPr defaultRowHeight="14.45"/>
  <cols>
    <col min="2" max="2" width="32.140625" bestFit="1" customWidth="1"/>
    <col min="3" max="3" width="12.85546875" bestFit="1" customWidth="1"/>
    <col min="4" max="4" width="12.7109375" customWidth="1"/>
    <col min="5" max="5" width="14.85546875" customWidth="1"/>
  </cols>
  <sheetData>
    <row r="6" spans="1:5" ht="18.95">
      <c r="A6" s="2" t="s">
        <v>46</v>
      </c>
    </row>
    <row r="7" spans="1:5" ht="15"/>
    <row r="8" spans="1:5" ht="15">
      <c r="A8" s="29" t="s">
        <v>47</v>
      </c>
      <c r="B8" s="95" t="s">
        <v>48</v>
      </c>
      <c r="C8" s="96"/>
      <c r="D8" s="97" t="s">
        <v>49</v>
      </c>
      <c r="E8" s="98"/>
    </row>
    <row r="9" spans="1:5" ht="15">
      <c r="A9" s="30" t="s">
        <v>50</v>
      </c>
      <c r="B9" s="31" t="s">
        <v>51</v>
      </c>
      <c r="C9" s="32" t="s">
        <v>52</v>
      </c>
      <c r="D9" s="33" t="s">
        <v>53</v>
      </c>
      <c r="E9" s="34" t="s">
        <v>54</v>
      </c>
    </row>
    <row r="10" spans="1:5" ht="67.5">
      <c r="A10" s="30" t="s">
        <v>55</v>
      </c>
      <c r="B10" s="31" t="s">
        <v>56</v>
      </c>
      <c r="C10" s="31" t="s">
        <v>57</v>
      </c>
      <c r="D10" s="31" t="s">
        <v>58</v>
      </c>
      <c r="E10" s="35" t="s">
        <v>59</v>
      </c>
    </row>
    <row r="11" spans="1:5" ht="40.5">
      <c r="A11" s="36" t="s">
        <v>60</v>
      </c>
      <c r="B11" s="37" t="s">
        <v>61</v>
      </c>
      <c r="C11" s="37" t="s">
        <v>62</v>
      </c>
      <c r="D11" s="38" t="s">
        <v>63</v>
      </c>
      <c r="E11" s="39" t="s">
        <v>64</v>
      </c>
    </row>
    <row r="12" spans="1:5" ht="15">
      <c r="A12" s="40"/>
      <c r="B12" s="41"/>
      <c r="C12" s="41"/>
      <c r="D12" s="42" t="s">
        <v>65</v>
      </c>
      <c r="E12" s="43"/>
    </row>
    <row r="13" spans="1:5" ht="53.25">
      <c r="A13" s="30" t="s">
        <v>66</v>
      </c>
      <c r="B13" s="31" t="s">
        <v>67</v>
      </c>
      <c r="C13" s="31" t="s">
        <v>68</v>
      </c>
      <c r="D13" s="31" t="s">
        <v>69</v>
      </c>
      <c r="E13" s="35" t="s">
        <v>70</v>
      </c>
    </row>
    <row r="14" spans="1:5" ht="40.5">
      <c r="A14" s="30" t="s">
        <v>71</v>
      </c>
      <c r="B14" s="31" t="s">
        <v>72</v>
      </c>
      <c r="C14" s="31" t="s">
        <v>73</v>
      </c>
      <c r="D14" s="31" t="s">
        <v>74</v>
      </c>
      <c r="E14" s="35" t="s">
        <v>75</v>
      </c>
    </row>
    <row r="15" spans="1:5" ht="15">
      <c r="A15" s="30" t="s">
        <v>76</v>
      </c>
      <c r="B15" s="31" t="s">
        <v>77</v>
      </c>
      <c r="C15" s="31" t="s">
        <v>78</v>
      </c>
      <c r="D15" s="33" t="s">
        <v>79</v>
      </c>
      <c r="E15" s="44" t="s">
        <v>80</v>
      </c>
    </row>
    <row r="16" spans="1:5" ht="27">
      <c r="A16" s="30" t="s">
        <v>81</v>
      </c>
      <c r="B16" s="31" t="s">
        <v>82</v>
      </c>
      <c r="C16" s="31" t="s">
        <v>83</v>
      </c>
      <c r="D16" s="31" t="s">
        <v>84</v>
      </c>
      <c r="E16" s="35" t="s">
        <v>85</v>
      </c>
    </row>
    <row r="17" spans="1:5" ht="27">
      <c r="A17" s="30" t="s">
        <v>86</v>
      </c>
      <c r="B17" s="31" t="s">
        <v>87</v>
      </c>
      <c r="C17" s="31" t="s">
        <v>88</v>
      </c>
      <c r="D17" s="31" t="s">
        <v>89</v>
      </c>
      <c r="E17" s="35" t="s">
        <v>90</v>
      </c>
    </row>
    <row r="18" spans="1:5" ht="40.5">
      <c r="A18" s="30" t="s">
        <v>91</v>
      </c>
      <c r="B18" s="31" t="s">
        <v>92</v>
      </c>
      <c r="C18" s="31" t="s">
        <v>93</v>
      </c>
      <c r="D18" s="31" t="s">
        <v>94</v>
      </c>
      <c r="E18" s="35" t="s">
        <v>95</v>
      </c>
    </row>
    <row r="19" spans="1:5" ht="53.25">
      <c r="A19" s="30" t="s">
        <v>96</v>
      </c>
      <c r="B19" s="31" t="s">
        <v>97</v>
      </c>
      <c r="C19" s="31" t="s">
        <v>98</v>
      </c>
      <c r="D19" s="31" t="s">
        <v>99</v>
      </c>
      <c r="E19" s="35" t="s">
        <v>100</v>
      </c>
    </row>
    <row r="20" spans="1:5" ht="27">
      <c r="A20" s="30" t="s">
        <v>101</v>
      </c>
      <c r="B20" s="31" t="s">
        <v>102</v>
      </c>
      <c r="C20" s="31" t="s">
        <v>103</v>
      </c>
      <c r="D20" s="31" t="s">
        <v>104</v>
      </c>
      <c r="E20" s="35" t="s">
        <v>105</v>
      </c>
    </row>
    <row r="21" spans="1:5" ht="40.5">
      <c r="A21" s="36" t="s">
        <v>106</v>
      </c>
      <c r="B21" s="37" t="s">
        <v>107</v>
      </c>
      <c r="C21" s="37" t="s">
        <v>108</v>
      </c>
      <c r="D21" s="38" t="s">
        <v>109</v>
      </c>
      <c r="E21" s="39" t="s">
        <v>110</v>
      </c>
    </row>
    <row r="22" spans="1:5" ht="15">
      <c r="A22" s="40"/>
      <c r="B22" s="41"/>
      <c r="C22" s="41"/>
      <c r="D22" s="45" t="s">
        <v>111</v>
      </c>
      <c r="E22" s="43"/>
    </row>
    <row r="23" spans="1:5" ht="67.5">
      <c r="A23" s="30" t="s">
        <v>112</v>
      </c>
      <c r="B23" s="31" t="s">
        <v>113</v>
      </c>
      <c r="C23" s="31" t="s">
        <v>114</v>
      </c>
      <c r="D23" s="31" t="s">
        <v>115</v>
      </c>
      <c r="E23" s="35" t="s">
        <v>116</v>
      </c>
    </row>
    <row r="24" spans="1:5" ht="27">
      <c r="A24" s="36" t="s">
        <v>117</v>
      </c>
      <c r="B24" s="37" t="s">
        <v>118</v>
      </c>
      <c r="C24" s="37" t="s">
        <v>119</v>
      </c>
      <c r="D24" s="79" t="s">
        <v>120</v>
      </c>
      <c r="E24" s="82" t="s">
        <v>121</v>
      </c>
    </row>
    <row r="25" spans="1:5" ht="15">
      <c r="A25" s="77">
        <v>15</v>
      </c>
      <c r="B25" s="81" t="s">
        <v>122</v>
      </c>
      <c r="C25" s="77" t="s">
        <v>45</v>
      </c>
      <c r="D25" s="81" t="s">
        <v>123</v>
      </c>
      <c r="E25" s="77" t="s">
        <v>45</v>
      </c>
    </row>
    <row r="26" spans="1:5" ht="15">
      <c r="A26" s="94">
        <v>16</v>
      </c>
      <c r="B26" s="78" t="s">
        <v>124</v>
      </c>
      <c r="C26" s="78" t="s">
        <v>125</v>
      </c>
      <c r="D26" s="80" t="s">
        <v>126</v>
      </c>
      <c r="E26" s="83" t="s">
        <v>127</v>
      </c>
    </row>
  </sheetData>
  <mergeCells count="2">
    <mergeCell ref="B8:C8"/>
    <mergeCell ref="D8:E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75F0-22C4-4AEB-86E5-4D0EB4774BB9}">
  <dimension ref="A6:D27"/>
  <sheetViews>
    <sheetView topLeftCell="A8" workbookViewId="0">
      <selection activeCell="D28" sqref="D28"/>
    </sheetView>
  </sheetViews>
  <sheetFormatPr defaultRowHeight="15"/>
  <cols>
    <col min="1" max="1" width="12" customWidth="1"/>
    <col min="2" max="2" width="32.140625" bestFit="1" customWidth="1"/>
    <col min="3" max="3" width="11.85546875" customWidth="1"/>
    <col min="4" max="4" width="12.85546875" customWidth="1"/>
  </cols>
  <sheetData>
    <row r="6" spans="1:4" ht="18.95">
      <c r="A6" s="2" t="s">
        <v>128</v>
      </c>
    </row>
    <row r="8" spans="1:4">
      <c r="A8" s="16" t="s">
        <v>129</v>
      </c>
      <c r="B8" s="17"/>
      <c r="C8" s="17"/>
      <c r="D8" s="17"/>
    </row>
    <row r="9" spans="1:4">
      <c r="A9" s="18" t="s">
        <v>130</v>
      </c>
      <c r="B9" s="19" t="s">
        <v>131</v>
      </c>
      <c r="C9" s="19" t="s">
        <v>131</v>
      </c>
      <c r="D9" s="19" t="s">
        <v>132</v>
      </c>
    </row>
    <row r="10" spans="1:4">
      <c r="A10" s="46">
        <v>45292</v>
      </c>
      <c r="B10" t="s">
        <v>3</v>
      </c>
      <c r="C10" t="s">
        <v>133</v>
      </c>
      <c r="D10">
        <v>1</v>
      </c>
    </row>
    <row r="11" spans="1:4">
      <c r="A11" s="46">
        <v>45334</v>
      </c>
      <c r="B11" t="s">
        <v>3</v>
      </c>
      <c r="C11" t="s">
        <v>134</v>
      </c>
      <c r="D11">
        <v>1</v>
      </c>
    </row>
    <row r="12" spans="1:4">
      <c r="A12" s="46">
        <v>45335</v>
      </c>
      <c r="B12" t="s">
        <v>6</v>
      </c>
      <c r="C12" t="s">
        <v>134</v>
      </c>
      <c r="D12">
        <v>1</v>
      </c>
    </row>
    <row r="13" spans="1:4">
      <c r="A13" s="46">
        <v>45376</v>
      </c>
      <c r="B13" t="s">
        <v>3</v>
      </c>
      <c r="C13" t="s">
        <v>135</v>
      </c>
      <c r="D13">
        <v>1</v>
      </c>
    </row>
    <row r="14" spans="1:4">
      <c r="A14" s="46">
        <v>45377</v>
      </c>
      <c r="B14" t="s">
        <v>6</v>
      </c>
      <c r="C14" t="s">
        <v>135</v>
      </c>
      <c r="D14">
        <v>1</v>
      </c>
    </row>
    <row r="15" spans="1:4">
      <c r="A15" s="46">
        <v>45378</v>
      </c>
      <c r="B15" t="s">
        <v>9</v>
      </c>
      <c r="C15" t="s">
        <v>135</v>
      </c>
      <c r="D15">
        <v>1</v>
      </c>
    </row>
    <row r="16" spans="1:4">
      <c r="A16" s="46">
        <v>45379</v>
      </c>
      <c r="B16" t="s">
        <v>11</v>
      </c>
      <c r="C16" t="s">
        <v>135</v>
      </c>
      <c r="D16">
        <v>1</v>
      </c>
    </row>
    <row r="17" spans="1:4">
      <c r="A17" s="46">
        <v>45380</v>
      </c>
      <c r="B17" t="s">
        <v>17</v>
      </c>
      <c r="C17" t="s">
        <v>135</v>
      </c>
      <c r="D17">
        <v>1</v>
      </c>
    </row>
    <row r="18" spans="1:4">
      <c r="A18" s="46">
        <v>45401</v>
      </c>
      <c r="B18" t="s">
        <v>17</v>
      </c>
      <c r="C18" t="s">
        <v>136</v>
      </c>
      <c r="D18">
        <v>1</v>
      </c>
    </row>
    <row r="19" spans="1:4">
      <c r="A19" s="46">
        <v>45413</v>
      </c>
      <c r="B19" t="s">
        <v>9</v>
      </c>
      <c r="C19" t="s">
        <v>137</v>
      </c>
      <c r="D19">
        <v>1</v>
      </c>
    </row>
    <row r="20" spans="1:4">
      <c r="A20" s="46">
        <v>45467</v>
      </c>
      <c r="B20" t="s">
        <v>3</v>
      </c>
      <c r="C20" t="s">
        <v>138</v>
      </c>
      <c r="D20">
        <v>1</v>
      </c>
    </row>
    <row r="21" spans="1:4">
      <c r="A21" s="46">
        <v>45478</v>
      </c>
      <c r="B21" t="s">
        <v>17</v>
      </c>
      <c r="C21" t="s">
        <v>139</v>
      </c>
      <c r="D21">
        <v>1</v>
      </c>
    </row>
    <row r="22" spans="1:4">
      <c r="A22" s="46">
        <v>45497</v>
      </c>
      <c r="B22" t="s">
        <v>9</v>
      </c>
      <c r="C22" t="s">
        <v>140</v>
      </c>
      <c r="D22">
        <v>1</v>
      </c>
    </row>
    <row r="23" spans="1:4">
      <c r="A23" s="46">
        <v>45577</v>
      </c>
      <c r="B23" t="s">
        <v>35</v>
      </c>
      <c r="C23" t="s">
        <v>141</v>
      </c>
      <c r="D23">
        <v>1</v>
      </c>
    </row>
    <row r="24" spans="1:4">
      <c r="A24" s="46">
        <v>45650</v>
      </c>
      <c r="B24" t="s">
        <v>6</v>
      </c>
      <c r="C24" t="s">
        <v>142</v>
      </c>
      <c r="D24">
        <v>1</v>
      </c>
    </row>
    <row r="25" spans="1:4">
      <c r="A25" s="46">
        <v>45651</v>
      </c>
      <c r="B25" t="s">
        <v>9</v>
      </c>
      <c r="C25" t="s">
        <v>19</v>
      </c>
      <c r="D25">
        <v>1</v>
      </c>
    </row>
    <row r="26" spans="1:4">
      <c r="A26" t="s">
        <v>143</v>
      </c>
      <c r="B26" t="s">
        <v>144</v>
      </c>
      <c r="C26" t="s">
        <v>45</v>
      </c>
      <c r="D26">
        <v>4</v>
      </c>
    </row>
    <row r="27" spans="1:4">
      <c r="D27">
        <f>SUM(D10:D26)</f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ADA8-3986-4344-BAD1-FAE5642F19A6}">
  <dimension ref="A7:D21"/>
  <sheetViews>
    <sheetView workbookViewId="0">
      <selection activeCell="A22" sqref="A22"/>
    </sheetView>
  </sheetViews>
  <sheetFormatPr defaultRowHeight="15" customHeight="1"/>
  <cols>
    <col min="2" max="2" width="18.140625" customWidth="1"/>
    <col min="3" max="3" width="19.42578125" customWidth="1"/>
    <col min="4" max="4" width="25.140625" bestFit="1" customWidth="1"/>
  </cols>
  <sheetData>
    <row r="7" spans="1:4" ht="18.75">
      <c r="C7" s="2" t="s">
        <v>145</v>
      </c>
    </row>
    <row r="9" spans="1:4" ht="15.75">
      <c r="A9">
        <v>1</v>
      </c>
      <c r="B9" t="s">
        <v>3</v>
      </c>
      <c r="C9" s="3">
        <v>45292</v>
      </c>
      <c r="D9" s="4" t="s">
        <v>25</v>
      </c>
    </row>
    <row r="10" spans="1:4" ht="15.75">
      <c r="A10">
        <v>2</v>
      </c>
      <c r="B10" t="s">
        <v>35</v>
      </c>
      <c r="C10" s="3">
        <v>45297</v>
      </c>
      <c r="D10" s="4" t="s">
        <v>146</v>
      </c>
    </row>
    <row r="11" spans="1:4" ht="15.75">
      <c r="A11">
        <v>3</v>
      </c>
      <c r="B11" t="s">
        <v>1</v>
      </c>
      <c r="C11" s="3">
        <v>45312</v>
      </c>
      <c r="D11" s="4" t="s">
        <v>147</v>
      </c>
    </row>
    <row r="12" spans="1:4" ht="15.75">
      <c r="A12">
        <v>4</v>
      </c>
      <c r="B12" t="s">
        <v>17</v>
      </c>
      <c r="C12" s="3">
        <v>45317</v>
      </c>
      <c r="D12" s="4" t="s">
        <v>148</v>
      </c>
    </row>
    <row r="13" spans="1:4" ht="15.75">
      <c r="A13">
        <v>5</v>
      </c>
      <c r="B13" t="s">
        <v>6</v>
      </c>
      <c r="C13" s="3">
        <v>45349</v>
      </c>
      <c r="D13" s="4" t="s">
        <v>36</v>
      </c>
    </row>
    <row r="14" spans="1:4" ht="15.75">
      <c r="A14">
        <v>6</v>
      </c>
      <c r="B14" t="s">
        <v>17</v>
      </c>
      <c r="C14" s="3">
        <v>45380</v>
      </c>
      <c r="D14" s="4" t="s">
        <v>149</v>
      </c>
    </row>
    <row r="15" spans="1:4" ht="15.75">
      <c r="A15">
        <v>7</v>
      </c>
      <c r="B15" t="s">
        <v>9</v>
      </c>
      <c r="C15" s="3">
        <v>45413</v>
      </c>
      <c r="D15" s="4" t="s">
        <v>150</v>
      </c>
    </row>
    <row r="16" spans="1:4" ht="15.75">
      <c r="A16">
        <v>8</v>
      </c>
      <c r="B16" t="s">
        <v>11</v>
      </c>
      <c r="C16" s="3">
        <v>45442</v>
      </c>
      <c r="D16" s="4" t="s">
        <v>151</v>
      </c>
    </row>
    <row r="17" spans="1:4" ht="15.75">
      <c r="A17">
        <v>9</v>
      </c>
      <c r="B17" t="s">
        <v>17</v>
      </c>
      <c r="C17" s="3">
        <v>45520</v>
      </c>
      <c r="D17" s="4" t="s">
        <v>152</v>
      </c>
    </row>
    <row r="18" spans="1:4" ht="15.75">
      <c r="A18">
        <v>10</v>
      </c>
      <c r="B18" t="s">
        <v>6</v>
      </c>
      <c r="C18" s="3">
        <v>45559</v>
      </c>
      <c r="D18" s="4" t="s">
        <v>153</v>
      </c>
    </row>
    <row r="19" spans="1:4" ht="15.75">
      <c r="A19">
        <v>11</v>
      </c>
      <c r="B19" t="s">
        <v>9</v>
      </c>
      <c r="C19" s="3">
        <v>45602</v>
      </c>
      <c r="D19" s="4" t="s">
        <v>154</v>
      </c>
    </row>
    <row r="20" spans="1:4" ht="15.75">
      <c r="A20">
        <v>12</v>
      </c>
      <c r="B20" t="s">
        <v>9</v>
      </c>
      <c r="C20" s="3">
        <v>45651</v>
      </c>
      <c r="D20" s="4" t="s">
        <v>155</v>
      </c>
    </row>
    <row r="21" spans="1:4" ht="15.75">
      <c r="A21">
        <v>13</v>
      </c>
      <c r="B21" t="s">
        <v>144</v>
      </c>
      <c r="C21" s="3" t="s">
        <v>156</v>
      </c>
      <c r="D21" s="3" t="s">
        <v>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7422A-1499-448A-AD80-B3FA95FFC136}">
  <dimension ref="A6:D20"/>
  <sheetViews>
    <sheetView workbookViewId="0">
      <selection activeCell="E16" sqref="E16"/>
    </sheetView>
  </sheetViews>
  <sheetFormatPr defaultRowHeight="15" customHeight="1"/>
  <cols>
    <col min="2" max="2" width="17" customWidth="1"/>
    <col min="3" max="3" width="12.85546875" customWidth="1"/>
    <col min="4" max="4" width="24.85546875" bestFit="1" customWidth="1"/>
  </cols>
  <sheetData>
    <row r="6" spans="1:4" ht="18.75">
      <c r="B6" s="2" t="s">
        <v>157</v>
      </c>
    </row>
    <row r="7" spans="1:4" thickBot="1"/>
    <row r="8" spans="1:4" ht="18">
      <c r="B8" s="20" t="s">
        <v>158</v>
      </c>
      <c r="C8" s="20" t="s">
        <v>159</v>
      </c>
      <c r="D8" s="21" t="s">
        <v>160</v>
      </c>
    </row>
    <row r="9" spans="1:4" ht="18">
      <c r="A9">
        <v>1</v>
      </c>
      <c r="B9" s="23">
        <v>45292</v>
      </c>
      <c r="C9" s="22" t="s">
        <v>161</v>
      </c>
      <c r="D9" s="24" t="s">
        <v>133</v>
      </c>
    </row>
    <row r="10" spans="1:4" ht="18">
      <c r="A10">
        <v>2</v>
      </c>
      <c r="B10" s="23">
        <v>45336</v>
      </c>
      <c r="C10" s="22" t="s">
        <v>162</v>
      </c>
      <c r="D10" s="24" t="s">
        <v>163</v>
      </c>
    </row>
    <row r="11" spans="1:4" ht="18">
      <c r="A11">
        <v>3</v>
      </c>
      <c r="B11" s="23">
        <v>45380</v>
      </c>
      <c r="C11" s="22" t="s">
        <v>164</v>
      </c>
      <c r="D11" s="24" t="s">
        <v>165</v>
      </c>
    </row>
    <row r="12" spans="1:4" ht="18">
      <c r="A12">
        <v>4</v>
      </c>
      <c r="B12" s="23">
        <v>45383</v>
      </c>
      <c r="C12" s="22" t="s">
        <v>161</v>
      </c>
      <c r="D12" s="24" t="s">
        <v>166</v>
      </c>
    </row>
    <row r="13" spans="1:4" ht="18">
      <c r="A13">
        <v>5</v>
      </c>
      <c r="B13" s="23">
        <v>45435</v>
      </c>
      <c r="C13" s="22" t="s">
        <v>167</v>
      </c>
      <c r="D13" s="24" t="s">
        <v>168</v>
      </c>
    </row>
    <row r="14" spans="1:4" ht="18">
      <c r="A14">
        <v>6</v>
      </c>
      <c r="B14" s="23">
        <v>45505</v>
      </c>
      <c r="C14" s="22" t="s">
        <v>167</v>
      </c>
      <c r="D14" s="24" t="s">
        <v>7</v>
      </c>
    </row>
    <row r="15" spans="1:4" ht="18">
      <c r="A15">
        <v>7</v>
      </c>
      <c r="B15" s="23">
        <v>45510</v>
      </c>
      <c r="C15" s="22" t="s">
        <v>169</v>
      </c>
      <c r="D15" s="24" t="s">
        <v>139</v>
      </c>
    </row>
    <row r="16" spans="1:4" ht="18">
      <c r="A16">
        <v>8</v>
      </c>
      <c r="B16" s="23">
        <v>45586</v>
      </c>
      <c r="C16" s="22" t="s">
        <v>161</v>
      </c>
      <c r="D16" s="24" t="s">
        <v>170</v>
      </c>
    </row>
    <row r="17" spans="1:4" ht="18">
      <c r="A17">
        <v>9</v>
      </c>
      <c r="B17" s="23">
        <v>45651</v>
      </c>
      <c r="C17" s="22" t="s">
        <v>162</v>
      </c>
      <c r="D17" s="24" t="s">
        <v>19</v>
      </c>
    </row>
    <row r="18" spans="1:4" ht="18">
      <c r="A18">
        <v>10</v>
      </c>
      <c r="B18" s="23">
        <v>45652</v>
      </c>
      <c r="C18" s="22" t="s">
        <v>167</v>
      </c>
      <c r="D18" s="25" t="s">
        <v>171</v>
      </c>
    </row>
    <row r="19" spans="1:4" ht="18">
      <c r="A19">
        <v>11</v>
      </c>
      <c r="B19" s="23" t="s">
        <v>172</v>
      </c>
      <c r="C19" s="23" t="s">
        <v>173</v>
      </c>
      <c r="D19" s="23" t="s">
        <v>45</v>
      </c>
    </row>
    <row r="20" spans="1:4"/>
  </sheetData>
  <hyperlinks>
    <hyperlink ref="D9" r:id="rId1" xr:uid="{52B1B4F3-40F5-46E0-8238-DD4286C7B452}"/>
    <hyperlink ref="D10" r:id="rId2" xr:uid="{C5C30BA5-12D4-4011-9551-659800D40547}"/>
    <hyperlink ref="D11" r:id="rId3" xr:uid="{AEA89093-F5FD-4E45-93E5-42BDFA598DA1}"/>
    <hyperlink ref="D12" r:id="rId4" xr:uid="{146846D0-6C9A-47A8-8971-513FBC899161}"/>
    <hyperlink ref="D13" r:id="rId5" xr:uid="{B3A03973-3A49-451C-B37C-0B429EF0B678}"/>
    <hyperlink ref="D14" r:id="rId6" xr:uid="{B8F09D91-2573-4E3A-9B94-F72363DEEF3B}"/>
    <hyperlink ref="D15" r:id="rId7" xr:uid="{9A12F7B2-62EE-4A93-ADA0-6D08DCE9CFE6}"/>
    <hyperlink ref="D16" r:id="rId8" xr:uid="{C31F0582-7617-4DDF-BC68-5D04F7D8DEA3}"/>
    <hyperlink ref="D17" r:id="rId9" xr:uid="{D260ADBF-1972-4E0D-8E67-86F9F0019B97}"/>
  </hyperlinks>
  <pageMargins left="0.7" right="0.7" top="0.75" bottom="0.75" header="0.3" footer="0.3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2848-D6E8-4082-90F5-7D7133B1D01A}">
  <dimension ref="A5:E29"/>
  <sheetViews>
    <sheetView topLeftCell="A10" workbookViewId="0">
      <selection activeCell="A30" sqref="A30"/>
    </sheetView>
  </sheetViews>
  <sheetFormatPr defaultRowHeight="15"/>
  <cols>
    <col min="2" max="2" width="11" customWidth="1"/>
    <col min="3" max="3" width="14.5703125" bestFit="1" customWidth="1"/>
    <col min="4" max="4" width="29.42578125" bestFit="1" customWidth="1"/>
    <col min="5" max="5" width="52.5703125" customWidth="1"/>
  </cols>
  <sheetData>
    <row r="5" spans="1:5" ht="18.75">
      <c r="B5" s="26" t="s">
        <v>174</v>
      </c>
    </row>
    <row r="7" spans="1:5">
      <c r="B7" s="27"/>
    </row>
    <row r="8" spans="1:5" ht="18.75">
      <c r="B8" s="99" t="s">
        <v>175</v>
      </c>
      <c r="C8" s="100"/>
      <c r="D8" s="100"/>
      <c r="E8" s="101"/>
    </row>
    <row r="9" spans="1:5" ht="18.75">
      <c r="B9" s="54" t="s">
        <v>176</v>
      </c>
      <c r="C9" s="55" t="s">
        <v>177</v>
      </c>
      <c r="D9" s="56" t="s">
        <v>178</v>
      </c>
      <c r="E9" s="56" t="s">
        <v>179</v>
      </c>
    </row>
    <row r="10" spans="1:5">
      <c r="A10">
        <v>1</v>
      </c>
      <c r="B10" s="52" t="s">
        <v>180</v>
      </c>
      <c r="C10" s="50" t="s">
        <v>181</v>
      </c>
      <c r="D10" s="50" t="s">
        <v>182</v>
      </c>
      <c r="E10" s="50" t="s">
        <v>183</v>
      </c>
    </row>
    <row r="11" spans="1:5">
      <c r="A11">
        <v>2</v>
      </c>
      <c r="B11" s="53">
        <v>45378</v>
      </c>
      <c r="C11" s="50" t="s">
        <v>184</v>
      </c>
      <c r="D11" s="50" t="s">
        <v>185</v>
      </c>
      <c r="E11" s="50" t="s">
        <v>186</v>
      </c>
    </row>
    <row r="12" spans="1:5">
      <c r="A12">
        <v>3</v>
      </c>
      <c r="B12" s="53">
        <v>45379</v>
      </c>
      <c r="C12" s="50" t="s">
        <v>187</v>
      </c>
      <c r="D12" s="50" t="s">
        <v>188</v>
      </c>
      <c r="E12" s="50" t="s">
        <v>183</v>
      </c>
    </row>
    <row r="13" spans="1:5">
      <c r="A13">
        <v>4</v>
      </c>
      <c r="B13" s="53">
        <v>45380</v>
      </c>
      <c r="C13" s="50" t="s">
        <v>189</v>
      </c>
      <c r="D13" s="50" t="s">
        <v>149</v>
      </c>
      <c r="E13" s="50" t="s">
        <v>183</v>
      </c>
    </row>
    <row r="14" spans="1:5">
      <c r="A14">
        <v>5</v>
      </c>
      <c r="B14" s="53">
        <v>45381</v>
      </c>
      <c r="C14" s="50" t="s">
        <v>190</v>
      </c>
      <c r="D14" s="50" t="s">
        <v>191</v>
      </c>
      <c r="E14" s="50" t="s">
        <v>183</v>
      </c>
    </row>
    <row r="15" spans="1:5">
      <c r="A15">
        <v>6</v>
      </c>
      <c r="B15" s="53">
        <v>45413</v>
      </c>
      <c r="C15" s="50" t="s">
        <v>192</v>
      </c>
      <c r="D15" s="50" t="s">
        <v>193</v>
      </c>
      <c r="E15" s="50" t="s">
        <v>183</v>
      </c>
    </row>
    <row r="16" spans="1:5">
      <c r="A16">
        <v>7</v>
      </c>
      <c r="B16" s="53">
        <v>45474</v>
      </c>
      <c r="C16" s="50" t="s">
        <v>181</v>
      </c>
      <c r="D16" s="50" t="s">
        <v>194</v>
      </c>
      <c r="E16" s="50" t="s">
        <v>195</v>
      </c>
    </row>
    <row r="17" spans="1:5">
      <c r="A17">
        <v>8</v>
      </c>
      <c r="B17" s="53">
        <v>45550</v>
      </c>
      <c r="C17" s="50" t="s">
        <v>196</v>
      </c>
      <c r="D17" s="50" t="s">
        <v>197</v>
      </c>
      <c r="E17" s="50" t="s">
        <v>183</v>
      </c>
    </row>
    <row r="18" spans="1:5">
      <c r="A18">
        <v>9</v>
      </c>
      <c r="B18" s="53">
        <v>45585</v>
      </c>
      <c r="C18" s="50" t="s">
        <v>196</v>
      </c>
      <c r="D18" s="50" t="s">
        <v>198</v>
      </c>
      <c r="E18" s="50" t="s">
        <v>183</v>
      </c>
    </row>
    <row r="19" spans="1:5">
      <c r="A19">
        <v>10</v>
      </c>
      <c r="B19" s="53">
        <v>45597</v>
      </c>
      <c r="C19" s="50" t="s">
        <v>189</v>
      </c>
      <c r="D19" s="50" t="s">
        <v>199</v>
      </c>
      <c r="E19" s="50" t="s">
        <v>183</v>
      </c>
    </row>
    <row r="20" spans="1:5">
      <c r="A20">
        <v>11</v>
      </c>
      <c r="B20" s="52" t="s">
        <v>200</v>
      </c>
      <c r="C20" s="50" t="s">
        <v>192</v>
      </c>
      <c r="D20" s="50" t="s">
        <v>201</v>
      </c>
      <c r="E20" s="50" t="s">
        <v>183</v>
      </c>
    </row>
    <row r="21" spans="1:5">
      <c r="B21" s="28"/>
      <c r="C21" s="28"/>
      <c r="D21" s="28"/>
      <c r="E21" s="28"/>
    </row>
    <row r="22" spans="1:5" ht="26.25">
      <c r="B22" s="102" t="s">
        <v>202</v>
      </c>
      <c r="C22" s="103"/>
      <c r="D22" s="103"/>
      <c r="E22" s="104"/>
    </row>
    <row r="23" spans="1:5" ht="26.25">
      <c r="B23" s="47" t="s">
        <v>176</v>
      </c>
      <c r="C23" s="48" t="s">
        <v>177</v>
      </c>
      <c r="D23" s="51" t="s">
        <v>178</v>
      </c>
      <c r="E23" s="48" t="s">
        <v>179</v>
      </c>
    </row>
    <row r="24" spans="1:5">
      <c r="A24">
        <v>12</v>
      </c>
      <c r="B24" s="49" t="s">
        <v>203</v>
      </c>
      <c r="C24" s="50" t="s">
        <v>204</v>
      </c>
      <c r="D24" s="50" t="s">
        <v>205</v>
      </c>
      <c r="E24" s="50" t="s">
        <v>183</v>
      </c>
    </row>
    <row r="25" spans="1:5">
      <c r="A25">
        <v>13</v>
      </c>
      <c r="B25" s="49" t="s">
        <v>206</v>
      </c>
      <c r="C25" s="50" t="s">
        <v>207</v>
      </c>
      <c r="D25" s="50" t="s">
        <v>208</v>
      </c>
      <c r="E25" s="50" t="s">
        <v>183</v>
      </c>
    </row>
    <row r="27" spans="1:5" ht="26.25">
      <c r="B27" s="102" t="s">
        <v>209</v>
      </c>
      <c r="C27" s="103"/>
      <c r="D27" s="103"/>
      <c r="E27" s="104"/>
    </row>
    <row r="28" spans="1:5" ht="26.25">
      <c r="B28" s="47" t="s">
        <v>176</v>
      </c>
      <c r="C28" s="48" t="s">
        <v>177</v>
      </c>
      <c r="D28" s="51" t="s">
        <v>178</v>
      </c>
      <c r="E28" s="48" t="s">
        <v>179</v>
      </c>
    </row>
    <row r="29" spans="1:5">
      <c r="A29">
        <v>14</v>
      </c>
      <c r="B29" s="49" t="s">
        <v>210</v>
      </c>
      <c r="C29" s="50" t="s">
        <v>211</v>
      </c>
      <c r="D29" s="50" t="s">
        <v>45</v>
      </c>
      <c r="E29" s="50" t="s">
        <v>183</v>
      </c>
    </row>
  </sheetData>
  <mergeCells count="3">
    <mergeCell ref="B8:E8"/>
    <mergeCell ref="B22:E22"/>
    <mergeCell ref="B27:E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8AB7-6FB9-4C1D-A30A-B394BB1DB949}">
  <dimension ref="A8:E24"/>
  <sheetViews>
    <sheetView topLeftCell="A5" workbookViewId="0">
      <selection activeCell="D10" sqref="D10"/>
    </sheetView>
  </sheetViews>
  <sheetFormatPr defaultRowHeight="15" customHeight="1"/>
  <cols>
    <col min="1" max="1" width="8.7109375" customWidth="1"/>
    <col min="2" max="2" width="25.28515625" customWidth="1"/>
    <col min="3" max="3" width="12.85546875" customWidth="1"/>
    <col min="4" max="4" width="39" customWidth="1"/>
    <col min="5" max="5" width="10.5703125" customWidth="1"/>
  </cols>
  <sheetData>
    <row r="8" spans="1:5" ht="25.5">
      <c r="A8" s="1" t="s">
        <v>212</v>
      </c>
    </row>
    <row r="10" spans="1:5" ht="15" customHeight="1">
      <c r="A10" s="60" t="s">
        <v>213</v>
      </c>
      <c r="B10" s="61" t="s">
        <v>130</v>
      </c>
      <c r="C10" s="61" t="s">
        <v>159</v>
      </c>
      <c r="D10" s="61" t="s">
        <v>131</v>
      </c>
      <c r="E10" t="s">
        <v>214</v>
      </c>
    </row>
    <row r="11" spans="1:5" ht="15" customHeight="1">
      <c r="A11" s="62">
        <v>1</v>
      </c>
      <c r="B11" s="64" t="s">
        <v>215</v>
      </c>
      <c r="C11" s="63" t="s">
        <v>3</v>
      </c>
      <c r="D11" s="63" t="s">
        <v>133</v>
      </c>
      <c r="E11">
        <v>1</v>
      </c>
    </row>
    <row r="12" spans="1:5" ht="15" customHeight="1">
      <c r="A12" s="62">
        <v>2</v>
      </c>
      <c r="B12" s="64" t="s">
        <v>216</v>
      </c>
      <c r="C12" s="63" t="s">
        <v>9</v>
      </c>
      <c r="D12" s="63" t="s">
        <v>217</v>
      </c>
      <c r="E12">
        <v>1</v>
      </c>
    </row>
    <row r="13" spans="1:5" ht="15" customHeight="1">
      <c r="A13" s="62">
        <v>3</v>
      </c>
      <c r="B13" s="64" t="s">
        <v>218</v>
      </c>
      <c r="C13" s="63" t="s">
        <v>11</v>
      </c>
      <c r="D13" s="63" t="s">
        <v>217</v>
      </c>
      <c r="E13">
        <v>1</v>
      </c>
    </row>
    <row r="14" spans="1:5" ht="15" customHeight="1">
      <c r="A14" s="62">
        <v>4</v>
      </c>
      <c r="B14" s="64" t="s">
        <v>219</v>
      </c>
      <c r="C14" s="63" t="s">
        <v>17</v>
      </c>
      <c r="D14" s="63" t="s">
        <v>217</v>
      </c>
      <c r="E14">
        <v>1</v>
      </c>
    </row>
    <row r="15" spans="1:5" ht="15" customHeight="1">
      <c r="A15" s="62">
        <v>5</v>
      </c>
      <c r="B15" s="65">
        <v>45413</v>
      </c>
      <c r="C15" s="63" t="s">
        <v>9</v>
      </c>
      <c r="D15" s="63" t="s">
        <v>168</v>
      </c>
      <c r="E15">
        <v>1</v>
      </c>
    </row>
    <row r="16" spans="1:5" ht="15" customHeight="1">
      <c r="A16" s="62">
        <v>6</v>
      </c>
      <c r="B16" s="65">
        <v>45437</v>
      </c>
      <c r="C16" s="63" t="s">
        <v>35</v>
      </c>
      <c r="D16" s="63" t="s">
        <v>220</v>
      </c>
      <c r="E16">
        <v>1</v>
      </c>
    </row>
    <row r="17" spans="1:5" ht="15" customHeight="1">
      <c r="A17" s="62">
        <v>7</v>
      </c>
      <c r="B17" s="65">
        <v>45460</v>
      </c>
      <c r="C17" s="63" t="s">
        <v>221</v>
      </c>
      <c r="D17" s="63" t="s">
        <v>222</v>
      </c>
      <c r="E17">
        <v>1</v>
      </c>
    </row>
    <row r="18" spans="1:5" ht="15" customHeight="1">
      <c r="A18" s="62">
        <v>8</v>
      </c>
      <c r="B18" s="71">
        <v>45461</v>
      </c>
      <c r="C18" s="72" t="s">
        <v>221</v>
      </c>
      <c r="D18" s="63" t="s">
        <v>222</v>
      </c>
      <c r="E18">
        <v>1</v>
      </c>
    </row>
    <row r="19" spans="1:5" ht="15" customHeight="1">
      <c r="A19" s="73">
        <v>9</v>
      </c>
      <c r="B19" s="87">
        <v>45462</v>
      </c>
      <c r="C19" s="86" t="s">
        <v>221</v>
      </c>
      <c r="D19" s="63" t="s">
        <v>222</v>
      </c>
      <c r="E19">
        <v>1</v>
      </c>
    </row>
    <row r="20" spans="1:5" ht="15" customHeight="1">
      <c r="A20" s="62">
        <v>10</v>
      </c>
      <c r="B20" s="71">
        <v>45481</v>
      </c>
      <c r="C20" s="72" t="s">
        <v>3</v>
      </c>
      <c r="D20" s="72" t="s">
        <v>223</v>
      </c>
      <c r="E20">
        <v>1</v>
      </c>
    </row>
    <row r="21" spans="1:5" ht="15" customHeight="1">
      <c r="A21" s="73">
        <v>11</v>
      </c>
      <c r="B21" s="74">
        <v>45551</v>
      </c>
      <c r="C21" s="75" t="s">
        <v>3</v>
      </c>
      <c r="D21" s="76" t="s">
        <v>224</v>
      </c>
      <c r="E21">
        <v>1</v>
      </c>
    </row>
    <row r="22" spans="1:5" ht="15" customHeight="1">
      <c r="A22" s="73">
        <v>12</v>
      </c>
      <c r="B22" s="91">
        <v>45624</v>
      </c>
      <c r="C22" s="92" t="s">
        <v>11</v>
      </c>
      <c r="D22" s="93" t="s">
        <v>139</v>
      </c>
      <c r="E22">
        <v>1</v>
      </c>
    </row>
    <row r="23" spans="1:5">
      <c r="A23" s="73">
        <v>13</v>
      </c>
      <c r="B23" s="88" t="s">
        <v>225</v>
      </c>
      <c r="C23" s="89" t="s">
        <v>11</v>
      </c>
      <c r="D23" s="90" t="s">
        <v>45</v>
      </c>
      <c r="E23">
        <v>4</v>
      </c>
    </row>
    <row r="24" spans="1:5">
      <c r="A24" s="13"/>
      <c r="B24" s="12"/>
      <c r="E24">
        <f>SUM(E11:E23)</f>
        <v>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FF9D-C36D-447C-87DD-19A891626E10}">
  <dimension ref="A8:D20"/>
  <sheetViews>
    <sheetView workbookViewId="0">
      <selection activeCell="A21" sqref="A21"/>
    </sheetView>
  </sheetViews>
  <sheetFormatPr defaultRowHeight="15" customHeight="1"/>
  <cols>
    <col min="2" max="2" width="18.42578125" customWidth="1"/>
    <col min="3" max="3" width="24.140625" customWidth="1"/>
    <col min="4" max="4" width="31.140625" customWidth="1"/>
  </cols>
  <sheetData>
    <row r="8" spans="1:4" ht="25.5">
      <c r="B8" s="1" t="s">
        <v>226</v>
      </c>
    </row>
    <row r="10" spans="1:4" ht="15.75">
      <c r="A10">
        <v>1</v>
      </c>
      <c r="B10" t="s">
        <v>3</v>
      </c>
      <c r="C10" s="3">
        <v>45292</v>
      </c>
      <c r="D10" s="4" t="s">
        <v>25</v>
      </c>
    </row>
    <row r="11" spans="1:4" ht="15.75">
      <c r="A11">
        <v>2</v>
      </c>
      <c r="B11" t="s">
        <v>17</v>
      </c>
      <c r="C11" s="3">
        <v>45352</v>
      </c>
      <c r="D11" s="4" t="s">
        <v>227</v>
      </c>
    </row>
    <row r="12" spans="1:4" ht="15.75">
      <c r="A12">
        <v>3</v>
      </c>
      <c r="B12" t="s">
        <v>11</v>
      </c>
      <c r="C12" s="3">
        <v>45379</v>
      </c>
      <c r="D12" s="4" t="s">
        <v>28</v>
      </c>
    </row>
    <row r="13" spans="1:4" ht="15.75">
      <c r="A13">
        <v>4</v>
      </c>
      <c r="B13" t="s">
        <v>17</v>
      </c>
      <c r="C13" s="3">
        <v>45380</v>
      </c>
      <c r="D13" s="4" t="s">
        <v>29</v>
      </c>
    </row>
    <row r="14" spans="1:4" ht="15.75">
      <c r="A14">
        <v>5</v>
      </c>
      <c r="B14" t="s">
        <v>9</v>
      </c>
      <c r="C14" s="3">
        <v>45413</v>
      </c>
      <c r="D14" s="4" t="s">
        <v>30</v>
      </c>
    </row>
    <row r="15" spans="1:4" ht="15.75">
      <c r="A15">
        <v>6</v>
      </c>
      <c r="B15" t="s">
        <v>6</v>
      </c>
      <c r="C15" s="3">
        <v>45426</v>
      </c>
      <c r="D15" s="4" t="s">
        <v>228</v>
      </c>
    </row>
    <row r="16" spans="1:4" ht="15.75">
      <c r="A16">
        <v>7</v>
      </c>
      <c r="B16" t="s">
        <v>9</v>
      </c>
      <c r="C16" s="3">
        <v>45427</v>
      </c>
      <c r="D16" s="4" t="s">
        <v>228</v>
      </c>
    </row>
    <row r="17" spans="1:4" ht="15.75">
      <c r="A17">
        <v>8</v>
      </c>
      <c r="B17" t="s">
        <v>9</v>
      </c>
      <c r="C17" s="3">
        <v>45455</v>
      </c>
      <c r="D17" s="4" t="s">
        <v>229</v>
      </c>
    </row>
    <row r="18" spans="1:4" ht="15.75">
      <c r="A18">
        <v>9</v>
      </c>
      <c r="B18" t="s">
        <v>11</v>
      </c>
      <c r="C18" s="3">
        <v>45519</v>
      </c>
      <c r="D18" s="4" t="s">
        <v>230</v>
      </c>
    </row>
    <row r="19" spans="1:4" ht="15.75">
      <c r="A19">
        <v>10</v>
      </c>
      <c r="B19" t="s">
        <v>9</v>
      </c>
      <c r="C19" s="3">
        <v>45651</v>
      </c>
      <c r="D19" s="4" t="s">
        <v>43</v>
      </c>
    </row>
    <row r="20" spans="1:4" ht="15" customHeight="1">
      <c r="A20">
        <v>11</v>
      </c>
      <c r="B20" t="s">
        <v>231</v>
      </c>
      <c r="C20" s="84" t="s">
        <v>232</v>
      </c>
      <c r="D20" s="4" t="s">
        <v>45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0AF6-28D9-4FB2-922C-2FC62A86CC24}">
  <dimension ref="A11:D30"/>
  <sheetViews>
    <sheetView topLeftCell="A9" workbookViewId="0">
      <selection activeCell="A25" sqref="A25"/>
    </sheetView>
  </sheetViews>
  <sheetFormatPr defaultRowHeight="15" customHeight="1"/>
  <cols>
    <col min="3" max="3" width="17.28515625" customWidth="1"/>
    <col min="4" max="4" width="37.28515625" customWidth="1"/>
  </cols>
  <sheetData>
    <row r="11" spans="1:4" ht="25.5">
      <c r="C11" s="1" t="s">
        <v>233</v>
      </c>
    </row>
    <row r="13" spans="1:4" ht="15.75">
      <c r="A13">
        <v>1</v>
      </c>
      <c r="B13" t="s">
        <v>3</v>
      </c>
      <c r="C13" s="3">
        <v>45292</v>
      </c>
      <c r="D13" s="4" t="s">
        <v>25</v>
      </c>
    </row>
    <row r="14" spans="1:4" ht="15.75">
      <c r="A14">
        <v>2</v>
      </c>
      <c r="B14" t="s">
        <v>3</v>
      </c>
      <c r="C14" s="3">
        <v>45334</v>
      </c>
      <c r="D14" s="4" t="s">
        <v>134</v>
      </c>
    </row>
    <row r="15" spans="1:4" ht="15.75">
      <c r="A15">
        <v>3</v>
      </c>
      <c r="B15" t="s">
        <v>6</v>
      </c>
      <c r="C15" s="3">
        <v>45335</v>
      </c>
      <c r="D15" s="4" t="s">
        <v>134</v>
      </c>
    </row>
    <row r="16" spans="1:4" ht="15.75">
      <c r="A16">
        <v>4</v>
      </c>
      <c r="B16" t="s">
        <v>17</v>
      </c>
      <c r="C16" s="3">
        <v>45380</v>
      </c>
      <c r="D16" s="4" t="s">
        <v>29</v>
      </c>
    </row>
    <row r="17" spans="1:4" ht="15.75">
      <c r="A17">
        <v>5</v>
      </c>
      <c r="B17" t="s">
        <v>17</v>
      </c>
      <c r="C17" s="3">
        <v>45415</v>
      </c>
      <c r="D17" s="4" t="s">
        <v>30</v>
      </c>
    </row>
    <row r="18" spans="1:4" ht="15.75">
      <c r="A18">
        <v>6</v>
      </c>
      <c r="B18" t="s">
        <v>17</v>
      </c>
      <c r="C18" s="3">
        <v>45436</v>
      </c>
      <c r="D18" s="4" t="s">
        <v>234</v>
      </c>
    </row>
    <row r="19" spans="1:4" ht="15.75">
      <c r="A19">
        <v>7</v>
      </c>
      <c r="B19" t="s">
        <v>17</v>
      </c>
      <c r="C19" s="3">
        <v>45513</v>
      </c>
      <c r="D19" s="4" t="s">
        <v>235</v>
      </c>
    </row>
    <row r="20" spans="1:4" ht="15.75">
      <c r="A20">
        <v>8</v>
      </c>
      <c r="B20" t="s">
        <v>17</v>
      </c>
      <c r="C20" s="3">
        <v>45576</v>
      </c>
      <c r="D20" s="4" t="s">
        <v>236</v>
      </c>
    </row>
    <row r="21" spans="1:4" ht="15.75">
      <c r="A21">
        <v>9</v>
      </c>
      <c r="B21" t="s">
        <v>17</v>
      </c>
      <c r="C21" s="3">
        <v>45597</v>
      </c>
      <c r="D21" s="4" t="s">
        <v>40</v>
      </c>
    </row>
    <row r="22" spans="1:4" ht="15.75">
      <c r="A22">
        <v>10</v>
      </c>
      <c r="B22" t="s">
        <v>3</v>
      </c>
      <c r="C22" s="3">
        <v>45600</v>
      </c>
      <c r="D22" s="4" t="s">
        <v>237</v>
      </c>
    </row>
    <row r="23" spans="1:4" ht="15.75">
      <c r="A23">
        <v>11</v>
      </c>
      <c r="B23" t="s">
        <v>9</v>
      </c>
      <c r="C23" s="3">
        <v>45651</v>
      </c>
      <c r="D23" s="4" t="s">
        <v>43</v>
      </c>
    </row>
    <row r="24" spans="1:4" ht="15.75">
      <c r="A24">
        <v>12</v>
      </c>
      <c r="B24" t="s">
        <v>238</v>
      </c>
      <c r="C24" s="4" t="s">
        <v>21</v>
      </c>
      <c r="D24" s="4" t="s">
        <v>45</v>
      </c>
    </row>
    <row r="25" spans="1:4"/>
    <row r="26" spans="1:4"/>
    <row r="27" spans="1:4"/>
    <row r="28" spans="1:4"/>
    <row r="29" spans="1:4"/>
    <row r="30" spans="1:4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0F15-CE80-482F-955B-1466ED4D0806}">
  <dimension ref="A7:D29"/>
  <sheetViews>
    <sheetView topLeftCell="A10" workbookViewId="0">
      <selection activeCell="B26" sqref="B26"/>
    </sheetView>
  </sheetViews>
  <sheetFormatPr defaultRowHeight="15" customHeight="1"/>
  <cols>
    <col min="2" max="2" width="20.140625" customWidth="1"/>
    <col min="3" max="3" width="12.28515625" customWidth="1"/>
    <col min="4" max="4" width="33.42578125" customWidth="1"/>
  </cols>
  <sheetData>
    <row r="7" spans="1:4" ht="25.5">
      <c r="B7" s="1" t="s">
        <v>239</v>
      </c>
    </row>
    <row r="8" spans="1:4" thickBot="1"/>
    <row r="9" spans="1:4" ht="16.5" thickBot="1">
      <c r="B9" s="5" t="s">
        <v>158</v>
      </c>
      <c r="C9" s="7" t="s">
        <v>240</v>
      </c>
      <c r="D9" s="6" t="s">
        <v>241</v>
      </c>
    </row>
    <row r="10" spans="1:4" ht="21" customHeight="1" thickBot="1">
      <c r="A10">
        <v>1</v>
      </c>
      <c r="B10" s="8">
        <v>45292</v>
      </c>
      <c r="C10" s="9" t="s">
        <v>3</v>
      </c>
      <c r="D10" s="9" t="s">
        <v>242</v>
      </c>
    </row>
    <row r="11" spans="1:4" ht="14.25">
      <c r="A11">
        <v>2</v>
      </c>
      <c r="B11" s="8">
        <v>45293</v>
      </c>
      <c r="C11" s="9" t="s">
        <v>6</v>
      </c>
      <c r="D11" s="9" t="s">
        <v>243</v>
      </c>
    </row>
    <row r="12" spans="1:4" ht="14.25">
      <c r="A12">
        <v>3</v>
      </c>
      <c r="B12" s="8">
        <v>45335</v>
      </c>
      <c r="C12" s="9" t="s">
        <v>6</v>
      </c>
      <c r="D12" s="9" t="s">
        <v>244</v>
      </c>
    </row>
    <row r="13" spans="1:4" ht="14.25">
      <c r="A13">
        <v>4</v>
      </c>
      <c r="B13" s="8">
        <v>45336</v>
      </c>
      <c r="C13" s="9" t="s">
        <v>9</v>
      </c>
      <c r="D13" s="9" t="s">
        <v>245</v>
      </c>
    </row>
    <row r="14" spans="1:4" ht="14.25">
      <c r="A14">
        <v>5</v>
      </c>
      <c r="B14" s="8">
        <v>45380</v>
      </c>
      <c r="C14" s="9" t="s">
        <v>17</v>
      </c>
      <c r="D14" s="9" t="s">
        <v>165</v>
      </c>
    </row>
    <row r="15" spans="1:4" ht="14.25">
      <c r="A15">
        <v>6</v>
      </c>
      <c r="B15" s="8">
        <v>45413</v>
      </c>
      <c r="C15" s="9" t="s">
        <v>9</v>
      </c>
      <c r="D15" s="9" t="s">
        <v>246</v>
      </c>
    </row>
    <row r="16" spans="1:4" ht="14.25">
      <c r="A16">
        <v>7</v>
      </c>
      <c r="B16" s="8">
        <v>45430</v>
      </c>
      <c r="C16" s="9" t="s">
        <v>35</v>
      </c>
      <c r="D16" s="9" t="s">
        <v>247</v>
      </c>
    </row>
    <row r="17" spans="1:4" ht="14.25">
      <c r="A17">
        <v>8</v>
      </c>
      <c r="B17" s="8">
        <v>45442</v>
      </c>
      <c r="C17" s="9" t="s">
        <v>11</v>
      </c>
      <c r="D17" s="9" t="s">
        <v>248</v>
      </c>
    </row>
    <row r="18" spans="1:4" ht="14.25">
      <c r="A18">
        <v>9</v>
      </c>
      <c r="B18" s="8">
        <v>45519</v>
      </c>
      <c r="C18" s="9" t="s">
        <v>11</v>
      </c>
      <c r="D18" s="9" t="s">
        <v>249</v>
      </c>
    </row>
    <row r="19" spans="1:4" ht="14.25">
      <c r="A19">
        <v>10</v>
      </c>
      <c r="B19" s="8">
        <v>45582</v>
      </c>
      <c r="C19" s="9" t="s">
        <v>11</v>
      </c>
      <c r="D19" s="9" t="s">
        <v>250</v>
      </c>
    </row>
    <row r="20" spans="1:4" ht="14.25">
      <c r="A20">
        <v>11</v>
      </c>
      <c r="B20" s="8">
        <v>45597</v>
      </c>
      <c r="C20" s="9" t="s">
        <v>17</v>
      </c>
      <c r="D20" s="9" t="s">
        <v>251</v>
      </c>
    </row>
    <row r="21" spans="1:4" ht="14.25">
      <c r="A21">
        <v>12</v>
      </c>
      <c r="B21" s="8">
        <v>45598</v>
      </c>
      <c r="C21" s="9" t="s">
        <v>35</v>
      </c>
      <c r="D21" s="9" t="s">
        <v>252</v>
      </c>
    </row>
    <row r="22" spans="1:4" ht="14.25">
      <c r="A22">
        <v>13</v>
      </c>
      <c r="B22" s="8">
        <v>45614</v>
      </c>
      <c r="C22" s="9" t="s">
        <v>3</v>
      </c>
      <c r="D22" s="9" t="s">
        <v>253</v>
      </c>
    </row>
    <row r="23" spans="1:4" ht="14.25">
      <c r="A23">
        <v>14</v>
      </c>
      <c r="B23" s="8">
        <v>45650</v>
      </c>
      <c r="C23" s="9" t="s">
        <v>6</v>
      </c>
      <c r="D23" s="9" t="s">
        <v>142</v>
      </c>
    </row>
    <row r="24" spans="1:4" ht="14.25">
      <c r="A24">
        <v>15</v>
      </c>
      <c r="B24" s="8">
        <v>45651</v>
      </c>
      <c r="C24" s="9" t="s">
        <v>9</v>
      </c>
      <c r="D24" s="9" t="s">
        <v>19</v>
      </c>
    </row>
    <row r="25" spans="1:4" ht="28.5">
      <c r="A25">
        <v>16</v>
      </c>
      <c r="B25" s="8" t="s">
        <v>254</v>
      </c>
      <c r="C25" s="8" t="s">
        <v>144</v>
      </c>
      <c r="D25" s="8" t="s">
        <v>45</v>
      </c>
    </row>
    <row r="26" spans="1:4" ht="14.25">
      <c r="A26">
        <v>17</v>
      </c>
      <c r="B26" s="8">
        <v>45657</v>
      </c>
      <c r="C26" s="9" t="s">
        <v>6</v>
      </c>
      <c r="D26" s="9" t="s">
        <v>255</v>
      </c>
    </row>
    <row r="27" spans="1:4"/>
    <row r="28" spans="1:4"/>
    <row r="29" spans="1:4"/>
  </sheetData>
  <hyperlinks>
    <hyperlink ref="C9" location="_ftn1" display="_ftn1" xr:uid="{4481E80F-94DF-41FE-BED7-AFD21CD2A1E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0E67-E0FC-4987-9320-CA10E2B0B207}">
  <dimension ref="A5:E25"/>
  <sheetViews>
    <sheetView topLeftCell="A15" workbookViewId="0">
      <selection activeCell="A28" sqref="A28"/>
    </sheetView>
  </sheetViews>
  <sheetFormatPr defaultRowHeight="15"/>
  <cols>
    <col min="3" max="3" width="8.85546875" customWidth="1"/>
    <col min="4" max="4" width="15" customWidth="1"/>
    <col min="5" max="5" width="15.5703125" customWidth="1"/>
  </cols>
  <sheetData>
    <row r="5" spans="1:5" ht="25.5">
      <c r="B5" s="1" t="s">
        <v>256</v>
      </c>
    </row>
    <row r="7" spans="1:5" ht="33.75">
      <c r="B7" s="57" t="s">
        <v>159</v>
      </c>
      <c r="C7" s="57" t="s">
        <v>158</v>
      </c>
      <c r="D7" s="57" t="s">
        <v>257</v>
      </c>
      <c r="E7" s="57" t="s">
        <v>258</v>
      </c>
    </row>
    <row r="8" spans="1:5" ht="33.75">
      <c r="A8">
        <v>1</v>
      </c>
      <c r="B8" s="58" t="s">
        <v>161</v>
      </c>
      <c r="C8" s="59">
        <v>45292</v>
      </c>
      <c r="D8" s="58" t="s">
        <v>133</v>
      </c>
      <c r="E8" s="58" t="s">
        <v>259</v>
      </c>
    </row>
    <row r="9" spans="1:5" ht="50.25">
      <c r="A9">
        <v>2</v>
      </c>
      <c r="B9" s="58" t="s">
        <v>164</v>
      </c>
      <c r="C9" s="59">
        <v>45345</v>
      </c>
      <c r="D9" s="58" t="s">
        <v>260</v>
      </c>
      <c r="E9" s="58" t="s">
        <v>259</v>
      </c>
    </row>
    <row r="10" spans="1:5" ht="33.75">
      <c r="A10">
        <v>3</v>
      </c>
      <c r="B10" s="58" t="s">
        <v>161</v>
      </c>
      <c r="C10" s="59">
        <v>45376</v>
      </c>
      <c r="D10" s="58" t="s">
        <v>261</v>
      </c>
      <c r="E10" s="58" t="s">
        <v>259</v>
      </c>
    </row>
    <row r="11" spans="1:5" ht="16.5">
      <c r="A11">
        <v>4</v>
      </c>
      <c r="B11" s="58" t="s">
        <v>164</v>
      </c>
      <c r="C11" s="59">
        <v>45380</v>
      </c>
      <c r="D11" s="58" t="s">
        <v>165</v>
      </c>
      <c r="E11" s="58" t="s">
        <v>259</v>
      </c>
    </row>
    <row r="12" spans="1:5" ht="33.75">
      <c r="A12">
        <v>5</v>
      </c>
      <c r="B12" s="58" t="s">
        <v>161</v>
      </c>
      <c r="C12" s="59">
        <v>45383</v>
      </c>
      <c r="D12" s="58" t="s">
        <v>166</v>
      </c>
      <c r="E12" s="58" t="s">
        <v>259</v>
      </c>
    </row>
    <row r="13" spans="1:5" ht="33.75">
      <c r="A13">
        <v>6</v>
      </c>
      <c r="B13" s="58" t="s">
        <v>162</v>
      </c>
      <c r="C13" s="59">
        <v>45413</v>
      </c>
      <c r="D13" s="58" t="s">
        <v>262</v>
      </c>
      <c r="E13" s="58" t="s">
        <v>259</v>
      </c>
    </row>
    <row r="14" spans="1:5" ht="16.5">
      <c r="A14">
        <v>7</v>
      </c>
      <c r="B14" s="58" t="s">
        <v>263</v>
      </c>
      <c r="C14" s="59">
        <v>45417</v>
      </c>
      <c r="D14" s="58" t="s">
        <v>264</v>
      </c>
      <c r="E14" s="58" t="s">
        <v>259</v>
      </c>
    </row>
    <row r="15" spans="1:5" ht="33.75">
      <c r="A15">
        <v>8</v>
      </c>
      <c r="B15" s="58" t="s">
        <v>161</v>
      </c>
      <c r="C15" s="59">
        <v>45418</v>
      </c>
      <c r="D15" s="58" t="s">
        <v>265</v>
      </c>
      <c r="E15" s="58" t="s">
        <v>259</v>
      </c>
    </row>
    <row r="16" spans="1:5" ht="33.75">
      <c r="A16">
        <v>9</v>
      </c>
      <c r="B16" s="58" t="s">
        <v>263</v>
      </c>
      <c r="C16" s="59">
        <v>45438</v>
      </c>
      <c r="D16" s="58" t="s">
        <v>139</v>
      </c>
      <c r="E16" s="58" t="s">
        <v>259</v>
      </c>
    </row>
    <row r="17" spans="1:5" ht="50.25">
      <c r="A17">
        <v>10</v>
      </c>
      <c r="B17" s="58" t="s">
        <v>161</v>
      </c>
      <c r="C17" s="59">
        <v>45439</v>
      </c>
      <c r="D17" s="58" t="s">
        <v>266</v>
      </c>
      <c r="E17" s="58" t="s">
        <v>259</v>
      </c>
    </row>
    <row r="18" spans="1:5" ht="16.5">
      <c r="A18">
        <v>11</v>
      </c>
      <c r="B18" s="58" t="s">
        <v>161</v>
      </c>
      <c r="C18" s="59">
        <v>45460</v>
      </c>
      <c r="D18" s="58" t="s">
        <v>267</v>
      </c>
      <c r="E18" s="58" t="s">
        <v>259</v>
      </c>
    </row>
    <row r="19" spans="1:5" ht="16.5">
      <c r="A19">
        <v>12</v>
      </c>
      <c r="B19" s="58" t="s">
        <v>161</v>
      </c>
      <c r="C19" s="59">
        <v>45474</v>
      </c>
      <c r="D19" s="58" t="s">
        <v>268</v>
      </c>
      <c r="E19" s="58" t="s">
        <v>259</v>
      </c>
    </row>
    <row r="20" spans="1:5" ht="33.75">
      <c r="A20">
        <v>13</v>
      </c>
      <c r="B20" s="58" t="s">
        <v>167</v>
      </c>
      <c r="C20" s="59">
        <v>45505</v>
      </c>
      <c r="D20" s="58" t="s">
        <v>7</v>
      </c>
      <c r="E20" s="58" t="s">
        <v>259</v>
      </c>
    </row>
    <row r="21" spans="1:5" ht="33.75">
      <c r="A21">
        <v>14</v>
      </c>
      <c r="B21" s="58" t="s">
        <v>161</v>
      </c>
      <c r="C21" s="59">
        <v>45551</v>
      </c>
      <c r="D21" s="58" t="s">
        <v>269</v>
      </c>
      <c r="E21" s="58" t="s">
        <v>259</v>
      </c>
    </row>
    <row r="22" spans="1:5" ht="16.5">
      <c r="A22">
        <v>15</v>
      </c>
      <c r="B22" s="58" t="s">
        <v>167</v>
      </c>
      <c r="C22" s="59">
        <v>45596</v>
      </c>
      <c r="D22" s="58" t="s">
        <v>270</v>
      </c>
      <c r="E22" s="58" t="s">
        <v>259</v>
      </c>
    </row>
    <row r="23" spans="1:5" ht="33.75">
      <c r="A23">
        <v>16</v>
      </c>
      <c r="B23" s="58" t="s">
        <v>162</v>
      </c>
      <c r="C23" s="59">
        <v>45651</v>
      </c>
      <c r="D23" s="58" t="s">
        <v>19</v>
      </c>
      <c r="E23" s="58" t="s">
        <v>259</v>
      </c>
    </row>
    <row r="24" spans="1:5" ht="16.5">
      <c r="A24">
        <v>17</v>
      </c>
      <c r="B24" s="58" t="s">
        <v>167</v>
      </c>
      <c r="C24" s="59">
        <v>45652</v>
      </c>
      <c r="D24" s="58" t="s">
        <v>171</v>
      </c>
      <c r="E24" s="58" t="s">
        <v>259</v>
      </c>
    </row>
    <row r="25" spans="1:5" ht="52.5" customHeight="1">
      <c r="A25">
        <v>18</v>
      </c>
      <c r="B25" s="85" t="s">
        <v>271</v>
      </c>
      <c r="C25" s="85" t="s">
        <v>272</v>
      </c>
      <c r="D25" s="85" t="s">
        <v>45</v>
      </c>
      <c r="E25" s="85" t="s">
        <v>273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>Natalie Abegesah</DisplayName>
        <AccountId>1172</AccountId>
        <AccountType/>
      </UserInfo>
      <UserInfo>
        <DisplayName>Gustavo Payán</DisplayName>
        <AccountId>860</AccountId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92E562AC-834E-475E-99B1-BD5A49C2DCF4}"/>
</file>

<file path=customXml/itemProps2.xml><?xml version="1.0" encoding="utf-8"?>
<ds:datastoreItem xmlns:ds="http://schemas.openxmlformats.org/officeDocument/2006/customXml" ds:itemID="{D0DF8E8F-2B06-46EB-8F3F-3F09ACCB5C4F}"/>
</file>

<file path=customXml/itemProps3.xml><?xml version="1.0" encoding="utf-8"?>
<ds:datastoreItem xmlns:ds="http://schemas.openxmlformats.org/officeDocument/2006/customXml" ds:itemID="{5408AE64-AA50-46C9-98C9-EBEDC8550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Kirk Del Rosario</dc:creator>
  <cp:keywords/>
  <dc:description/>
  <cp:lastModifiedBy>Mark Lester Darantinao</cp:lastModifiedBy>
  <cp:revision/>
  <dcterms:created xsi:type="dcterms:W3CDTF">2022-01-11T19:49:52Z</dcterms:created>
  <dcterms:modified xsi:type="dcterms:W3CDTF">2024-05-14T12:52:55Z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