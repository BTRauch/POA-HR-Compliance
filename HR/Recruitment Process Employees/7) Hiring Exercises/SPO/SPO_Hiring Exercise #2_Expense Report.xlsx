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5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-my.sharepoint.com/personal/kdelrosario_partners_net/Documents/Desktop/Hiring exercises/PO/"/>
    </mc:Choice>
  </mc:AlternateContent>
  <xr:revisionPtr revIDLastSave="3" documentId="8_{60D8279D-A027-4BFB-831D-42F0B5513E06}" xr6:coauthVersionLast="47" xr6:coauthVersionMax="47" xr10:uidLastSave="{7466171F-4515-4BE6-9E74-246C02049BFD}"/>
  <bookViews>
    <workbookView showHorizontalScroll="0" showVerticalScroll="0" showSheetTabs="0" xWindow="-110" yWindow="-110" windowWidth="22780" windowHeight="14660" xr2:uid="{00000000-000D-0000-FFFF-FFFF00000000}"/>
  </bookViews>
  <sheets>
    <sheet name="High Atlas Expense Report Main" sheetId="1" r:id="rId1"/>
    <sheet name="High Atlas Code Database" sheetId="2" r:id="rId2"/>
  </sheets>
  <definedNames>
    <definedName name="_xlnm._FilterDatabase" localSheetId="0" hidden="1">'High Atlas Expense Report Main'!$A$6:$M$17</definedName>
    <definedName name="Budget">'High Atlas Code Database'!$A$2:$A$37</definedName>
    <definedName name="HighAtlasCodes">'High Atlas Code Database'!$A$2:$E$37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5" i="1" l="1"/>
  <c r="H15" i="1"/>
  <c r="K13" i="1" l="1"/>
  <c r="K14" i="1"/>
  <c r="L14" i="1" l="1"/>
  <c r="H14" i="1"/>
  <c r="H13" i="1" l="1"/>
  <c r="H16" i="1" l="1"/>
  <c r="H17" i="1" s="1"/>
  <c r="L8" i="1"/>
  <c r="L9" i="1"/>
  <c r="L10" i="1"/>
  <c r="L11" i="1"/>
  <c r="L13" i="1"/>
  <c r="K8" i="1" l="1"/>
  <c r="K9" i="1"/>
  <c r="K10" i="1"/>
  <c r="K11" i="1"/>
</calcChain>
</file>

<file path=xl/sharedStrings.xml><?xml version="1.0" encoding="utf-8"?>
<sst xmlns="http://schemas.openxmlformats.org/spreadsheetml/2006/main" count="207" uniqueCount="115">
  <si>
    <t xml:space="preserve">Partners of the Americas - USAID670 The High Atas Foundation </t>
  </si>
  <si>
    <t>Month ending</t>
  </si>
  <si>
    <t>* Choose from drop down list</t>
  </si>
  <si>
    <t>Date</t>
  </si>
  <si>
    <t>Ref or CK#</t>
  </si>
  <si>
    <t>Payee</t>
  </si>
  <si>
    <t xml:space="preserve">*Budget Description </t>
  </si>
  <si>
    <t>*Activity Code</t>
  </si>
  <si>
    <t>Amount Moroccan Dirham</t>
  </si>
  <si>
    <t>Exchange Rate</t>
  </si>
  <si>
    <t>Amount (USD)</t>
  </si>
  <si>
    <t>*Object Code</t>
  </si>
  <si>
    <t>Description of Expense</t>
  </si>
  <si>
    <t>*Subcont. ID</t>
  </si>
  <si>
    <t>SAI Budget Code</t>
  </si>
  <si>
    <t>Session Description</t>
  </si>
  <si>
    <t>Anne Marie del Castillo</t>
  </si>
  <si>
    <t xml:space="preserve"> 3.4.1 Volunteer flights from US to Marrakech return </t>
  </si>
  <si>
    <t>USAIDAWARD</t>
  </si>
  <si>
    <t>Reimbursement of Transport from home to airport for F2F volunteer Anne Marie Del Castillo</t>
  </si>
  <si>
    <t>HIGHATLAS</t>
  </si>
  <si>
    <t>AIRFARVLHA</t>
  </si>
  <si>
    <t>Aissa Azouzzi</t>
  </si>
  <si>
    <t xml:space="preserve"> 6.1 F2F Consultant - Technical Assistance  </t>
  </si>
  <si>
    <t>F2F Program Consulting Services</t>
  </si>
  <si>
    <t>Expedia</t>
  </si>
  <si>
    <t>Airplane ticket for F2F Volunteer ( Janet Buresh)</t>
  </si>
  <si>
    <t>Tempo Hotel</t>
  </si>
  <si>
    <t xml:space="preserve"> 3.3.2 Accommodation Volunteers </t>
  </si>
  <si>
    <t>Accommodation for volunteer Anne Marie Del Castillo from 01 to 02 to November 2019</t>
  </si>
  <si>
    <t>Anne Marie Del Castilo</t>
  </si>
  <si>
    <t xml:space="preserve"> 3.3.1 Per Diem Volunteers </t>
  </si>
  <si>
    <t xml:space="preserve">Per diem for Anne Marie Del Castillo for 15 days </t>
  </si>
  <si>
    <t>Yossef Ben-Meir</t>
  </si>
  <si>
    <t xml:space="preserve"> 3.1.1 Per Diem Staff </t>
  </si>
  <si>
    <t>Reimbursement of expenses at Cloud Lounge Nightclub for volunteer farewell</t>
  </si>
  <si>
    <t>Al Amane Bureau</t>
  </si>
  <si>
    <t xml:space="preserve"> 5.1 Administrative - flipcharts, pens, notebooks, markers  </t>
  </si>
  <si>
    <t>Station Total Route d'Ourika</t>
  </si>
  <si>
    <t xml:space="preserve"> 4.1.1 Petrol </t>
  </si>
  <si>
    <t>Gas for four-day Workshop in Ait Bou Ali village Tidili Msfioua commune Al Haouz Province</t>
  </si>
  <si>
    <t>Ste Librairie Chatr Sarl</t>
  </si>
  <si>
    <t xml:space="preserve">Supplies for the four day workshop in  Ait Bou Ali village Tidili Messfioua </t>
  </si>
  <si>
    <t>HAF</t>
  </si>
  <si>
    <t xml:space="preserve"> 8. De minimus rate  </t>
  </si>
  <si>
    <t>Indirect costs</t>
  </si>
  <si>
    <t>Report Total</t>
  </si>
  <si>
    <t>Budget Description</t>
  </si>
  <si>
    <t>Activity Code</t>
  </si>
  <si>
    <t>Object Code</t>
  </si>
  <si>
    <t>Subcontract ID</t>
  </si>
  <si>
    <t>Open 1</t>
  </si>
  <si>
    <t xml:space="preserve"> 1.1.1 F2F Program Director </t>
  </si>
  <si>
    <t>PROGDIRHA</t>
  </si>
  <si>
    <t xml:space="preserve"> 1.1.2 F2F Country Director </t>
  </si>
  <si>
    <t>COUNTRYHA</t>
  </si>
  <si>
    <t xml:space="preserve"> 1.1.3 F2F Volunter Technical Support (M&amp;E and Gender) </t>
  </si>
  <si>
    <t>TECHSUPPHA</t>
  </si>
  <si>
    <t xml:space="preserve"> 1.1.4 F2F Volunteer Administration and Finance Officer </t>
  </si>
  <si>
    <t>ADMINFINHA</t>
  </si>
  <si>
    <t xml:space="preserve"> 1.1.5 F2F Volunteer Field assistant / M&amp;E (Data collection) </t>
  </si>
  <si>
    <t>M&amp;EDATAHA</t>
  </si>
  <si>
    <t xml:space="preserve"> 1.1.6 F2F Driver </t>
  </si>
  <si>
    <t>DRIVERHA</t>
  </si>
  <si>
    <t xml:space="preserve"> 2.1.1 F2F Program Director </t>
  </si>
  <si>
    <t>FRINGEPDHA</t>
  </si>
  <si>
    <t xml:space="preserve"> 2.1.3 F2F Country Director </t>
  </si>
  <si>
    <t>FRINGECDHA</t>
  </si>
  <si>
    <t xml:space="preserve"> 2.1.4 F2F Volunter Technical Support (M&amp;E and Gender) </t>
  </si>
  <si>
    <t>FRINGETSHA</t>
  </si>
  <si>
    <t xml:space="preserve"> 2.1.5 F2F Volunteer Administration and Finance Officer </t>
  </si>
  <si>
    <t>FRINGEFAHA</t>
  </si>
  <si>
    <t xml:space="preserve"> 2.1.6 F2F Volunteer Field assistant / M&amp;E (Data collection) </t>
  </si>
  <si>
    <t>FRINGEMEHA</t>
  </si>
  <si>
    <t xml:space="preserve"> 2.1.7 F2F Driver </t>
  </si>
  <si>
    <t>FRINGEDRHA</t>
  </si>
  <si>
    <t>PERDIEMHA</t>
  </si>
  <si>
    <t xml:space="preserve"> 3.1.2 Accommodation Staff </t>
  </si>
  <si>
    <t>LODGINGHA</t>
  </si>
  <si>
    <t>PERDIEVLHA</t>
  </si>
  <si>
    <t>LODGINVLHA</t>
  </si>
  <si>
    <t xml:space="preserve"> 3.3.3 Volunteer Insurance - Chubb Multinational Casualty (travel, medical, security, evacuation) </t>
  </si>
  <si>
    <t>INSURVLHA</t>
  </si>
  <si>
    <t xml:space="preserve"> 3.3.4 Project identification, design, assessment, and action planning 4-day workshops with all members of the 80 host cooperatives </t>
  </si>
  <si>
    <t>WORKSHOPHA</t>
  </si>
  <si>
    <t xml:space="preserve"> 4.1 4WD Vehicle Model Jeep Cherokee </t>
  </si>
  <si>
    <t>VECHICLHA</t>
  </si>
  <si>
    <t>PETROLHA</t>
  </si>
  <si>
    <t xml:space="preserve"> 4.1.2 Vehicle Insurance and Maintenance </t>
  </si>
  <si>
    <t>VECHMAINHA</t>
  </si>
  <si>
    <t xml:space="preserve"> 4.1.3 Tolls  &amp; Taxes </t>
  </si>
  <si>
    <t>TOLLSHA</t>
  </si>
  <si>
    <t>ADMINHA</t>
  </si>
  <si>
    <t xml:space="preserve"> 5.2 Laptops (volunteer use) Model HP Notebook 250 G6 </t>
  </si>
  <si>
    <t>LAPTOPHA</t>
  </si>
  <si>
    <t xml:space="preserve"> 5.3 Printer/ scanner (volunteer use) Model HP Laser Pro M181fw </t>
  </si>
  <si>
    <t>PRINTERHA</t>
  </si>
  <si>
    <t xml:space="preserve"> 5.4 Projector (volunteer use in field) Model EPSON EB S27 </t>
  </si>
  <si>
    <t>PROJECTHA</t>
  </si>
  <si>
    <t xml:space="preserve"> 5.5 Mobile Phones Samsung Galaxy A9 </t>
  </si>
  <si>
    <t>PHONEHA</t>
  </si>
  <si>
    <t xml:space="preserve"> 5.6 Prepaid Mobile Phone Plans (Volunteers) </t>
  </si>
  <si>
    <t>PHONPLANHA</t>
  </si>
  <si>
    <t>CONSULTHA</t>
  </si>
  <si>
    <t xml:space="preserve"> 6.2 PWC Auditor </t>
  </si>
  <si>
    <t>AUDITHA</t>
  </si>
  <si>
    <t xml:space="preserve"> 7.1 Bank fees </t>
  </si>
  <si>
    <t>BANKFEEHA</t>
  </si>
  <si>
    <t xml:space="preserve"> 7.2 Subscription to Slack, online collaboration tool </t>
  </si>
  <si>
    <t>SUBSCRIPHA</t>
  </si>
  <si>
    <t xml:space="preserve"> 7.3 Advertising Costs for volunteer recruitment </t>
  </si>
  <si>
    <t>ADCOSTA</t>
  </si>
  <si>
    <t xml:space="preserve"> 7.4 Report Translation Services (French and Arabic) </t>
  </si>
  <si>
    <t>TRANSHA</t>
  </si>
  <si>
    <t>IDCHA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</si>
</sst>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[$-409]d\-mmm\-yy;@"/>
    <numFmt numFmtId="166" formatCode="#,##0.00;\(#,##0.00\)"/>
    <numFmt numFmtId="167" formatCode="_-* #,##0.00\ _B_s_-;\-* #,##0.00\ _B_s_-;_-* &quot;-&quot;??\ _B_s_-;_-@_-"/>
    <numFmt numFmtId="168" formatCode="_-* #,##0.00\ &quot;Bs&quot;_-;\-* #,##0.00\ &quot;Bs&quot;_-;_-* &quot;-&quot;??\ &quot;Bs&quot;_-;_-@_-"/>
    <numFmt numFmtId="169" formatCode="#,##0.00;[Red]#,##0.00"/>
    <numFmt numFmtId="170" formatCode="_([$MAD]\ * #,##0.00_);_([$MAD]\ * \(#,##0.00\);_([$MAD]\ * &quot;-&quot;??_);_(@_)"/>
    <numFmt numFmtId="171" formatCode="_([$USD]\ * #,##0_);_([$USD]\ * \(#,##0\);_([$USD]\ 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b/>
      <sz val="16"/>
      <name val="Arial"/>
      <family val="2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8"/>
      <color indexed="14"/>
      <name val="Tahoma"/>
      <family val="2"/>
    </font>
    <font>
      <b/>
      <sz val="8"/>
      <color indexed="62"/>
      <name val="Tahoma"/>
      <family val="2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8"/>
      <name val="Arial"/>
      <family val="2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1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1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1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2" fillId="5" borderId="0" applyNumberFormat="0" applyBorder="0" applyAlignment="0" applyProtection="0"/>
    <xf numFmtId="0" fontId="16" fillId="18" borderId="6" applyNumberFormat="0" applyAlignment="0" applyProtection="0"/>
    <xf numFmtId="0" fontId="17" fillId="8" borderId="9" applyNumberFormat="0" applyAlignment="0" applyProtection="0"/>
    <xf numFmtId="167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8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3" fillId="0" borderId="11" applyNumberFormat="0" applyFill="0" applyAlignment="0" applyProtection="0"/>
    <xf numFmtId="0" fontId="13" fillId="0" borderId="5" applyNumberFormat="0" applyFill="0" applyAlignment="0" applyProtection="0"/>
    <xf numFmtId="0" fontId="13" fillId="0" borderId="12" applyNumberFormat="0" applyFill="0" applyAlignment="0" applyProtection="0"/>
    <xf numFmtId="0" fontId="13" fillId="0" borderId="0" applyNumberFormat="0" applyFill="0" applyBorder="0" applyAlignment="0" applyProtection="0"/>
    <xf numFmtId="0" fontId="20" fillId="7" borderId="6" applyNumberFormat="0" applyAlignment="0" applyProtection="0"/>
    <xf numFmtId="0" fontId="21" fillId="0" borderId="8" applyNumberFormat="0" applyFill="0" applyAlignment="0" applyProtection="0"/>
    <xf numFmtId="16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2" fillId="6" borderId="0" applyNumberFormat="0" applyBorder="0" applyAlignment="0" applyProtection="0"/>
    <xf numFmtId="0" fontId="14" fillId="0" borderId="0"/>
    <xf numFmtId="0" fontId="6" fillId="0" borderId="0"/>
    <xf numFmtId="0" fontId="6" fillId="0" borderId="0"/>
    <xf numFmtId="0" fontId="1" fillId="0" borderId="0"/>
    <xf numFmtId="0" fontId="11" fillId="9" borderId="10" applyNumberFormat="0" applyFont="0" applyAlignment="0" applyProtection="0"/>
    <xf numFmtId="0" fontId="23" fillId="18" borderId="7" applyNumberFormat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4" fillId="0" borderId="14" applyNumberFormat="0" applyFill="0" applyAlignment="0" applyProtection="0"/>
    <xf numFmtId="0" fontId="27" fillId="0" borderId="0"/>
    <xf numFmtId="9" fontId="2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24" fillId="0" borderId="16" applyNumberFormat="0" applyFill="0" applyAlignment="0" applyProtection="0"/>
  </cellStyleXfs>
  <cellXfs count="47">
    <xf numFmtId="0" fontId="0" fillId="0" borderId="0" xfId="0"/>
    <xf numFmtId="0" fontId="2" fillId="0" borderId="0" xfId="1"/>
    <xf numFmtId="14" fontId="0" fillId="0" borderId="0" xfId="0" applyNumberFormat="1"/>
    <xf numFmtId="44" fontId="2" fillId="0" borderId="0" xfId="27" applyFont="1"/>
    <xf numFmtId="44" fontId="0" fillId="0" borderId="0" xfId="27" applyFont="1"/>
    <xf numFmtId="0" fontId="9" fillId="0" borderId="0" xfId="0" applyFont="1"/>
    <xf numFmtId="44" fontId="9" fillId="0" borderId="0" xfId="27" applyFont="1"/>
    <xf numFmtId="0" fontId="7" fillId="0" borderId="15" xfId="4" applyFont="1" applyBorder="1" applyAlignment="1">
      <alignment horizontal="center"/>
    </xf>
    <xf numFmtId="0" fontId="7" fillId="0" borderId="15" xfId="4" applyFont="1" applyBorder="1"/>
    <xf numFmtId="0" fontId="5" fillId="0" borderId="0" xfId="0" applyFont="1"/>
    <xf numFmtId="0" fontId="7" fillId="0" borderId="15" xfId="0" applyFont="1" applyBorder="1"/>
    <xf numFmtId="0" fontId="7" fillId="0" borderId="15" xfId="0" applyFont="1" applyBorder="1" applyAlignment="1">
      <alignment horizontal="left"/>
    </xf>
    <xf numFmtId="40" fontId="4" fillId="2" borderId="1" xfId="2" applyNumberFormat="1" applyFont="1" applyFill="1" applyBorder="1" applyAlignment="1">
      <alignment vertical="center" wrapText="1"/>
    </xf>
    <xf numFmtId="49" fontId="4" fillId="0" borderId="0" xfId="2" applyNumberFormat="1" applyFont="1" applyFill="1" applyBorder="1" applyAlignment="1">
      <alignment horizontal="center"/>
    </xf>
    <xf numFmtId="40" fontId="28" fillId="3" borderId="2" xfId="2" applyNumberFormat="1" applyFont="1" applyFill="1" applyBorder="1" applyAlignment="1">
      <alignment vertical="center" wrapText="1"/>
    </xf>
    <xf numFmtId="0" fontId="29" fillId="0" borderId="0" xfId="0" applyFont="1"/>
    <xf numFmtId="0" fontId="29" fillId="0" borderId="0" xfId="0" applyFont="1" applyProtection="1">
      <protection locked="0"/>
    </xf>
    <xf numFmtId="170" fontId="0" fillId="0" borderId="0" xfId="0" applyNumberFormat="1"/>
    <xf numFmtId="170" fontId="29" fillId="0" borderId="0" xfId="0" applyNumberFormat="1" applyFont="1"/>
    <xf numFmtId="14" fontId="0" fillId="0" borderId="0" xfId="0" applyNumberFormat="1" applyAlignment="1">
      <alignment horizontal="right"/>
    </xf>
    <xf numFmtId="170" fontId="9" fillId="0" borderId="0" xfId="0" applyNumberFormat="1" applyFont="1"/>
    <xf numFmtId="44" fontId="0" fillId="0" borderId="0" xfId="0" applyNumberFormat="1"/>
    <xf numFmtId="0" fontId="0" fillId="0" borderId="0" xfId="0" applyAlignment="1">
      <alignment horizontal="right"/>
    </xf>
    <xf numFmtId="171" fontId="0" fillId="0" borderId="0" xfId="0" applyNumberFormat="1"/>
    <xf numFmtId="44" fontId="4" fillId="2" borderId="1" xfId="3" applyFont="1" applyFill="1" applyBorder="1" applyAlignment="1">
      <alignment vertical="center" wrapText="1"/>
    </xf>
    <xf numFmtId="44" fontId="4" fillId="2" borderId="2" xfId="3" applyFont="1" applyFill="1" applyBorder="1" applyAlignment="1">
      <alignment vertical="center" wrapText="1"/>
    </xf>
    <xf numFmtId="166" fontId="8" fillId="0" borderId="0" xfId="2" applyNumberFormat="1" applyFont="1" applyFill="1" applyBorder="1" applyAlignment="1">
      <alignment horizontal="center" vertical="center"/>
    </xf>
    <xf numFmtId="0" fontId="8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3" fillId="0" borderId="0" xfId="1" applyFont="1" applyAlignment="1">
      <alignment horizontal="center"/>
    </xf>
    <xf numFmtId="14" fontId="4" fillId="2" borderId="0" xfId="3" applyNumberFormat="1" applyFont="1" applyFill="1" applyBorder="1" applyAlignment="1">
      <alignment horizontal="center" vertical="center" wrapText="1"/>
    </xf>
    <xf numFmtId="44" fontId="4" fillId="2" borderId="17" xfId="3" applyFont="1" applyFill="1" applyBorder="1" applyAlignment="1">
      <alignment vertical="center" wrapText="1"/>
    </xf>
    <xf numFmtId="165" fontId="7" fillId="0" borderId="3" xfId="1" applyNumberFormat="1" applyFont="1" applyBorder="1" applyAlignment="1">
      <alignment horizontal="left" vertical="top"/>
    </xf>
    <xf numFmtId="40" fontId="4" fillId="2" borderId="1" xfId="2" applyNumberFormat="1" applyFont="1" applyFill="1" applyBorder="1" applyAlignment="1">
      <alignment vertical="center" wrapText="1"/>
    </xf>
    <xf numFmtId="40" fontId="4" fillId="2" borderId="2" xfId="2" applyNumberFormat="1" applyFont="1" applyFill="1" applyBorder="1" applyAlignment="1">
      <alignment vertical="center" wrapText="1"/>
    </xf>
    <xf numFmtId="44" fontId="4" fillId="2" borderId="1" xfId="27" applyFont="1" applyFill="1" applyBorder="1" applyAlignment="1">
      <alignment vertical="center" wrapText="1"/>
    </xf>
    <xf numFmtId="44" fontId="4" fillId="2" borderId="2" xfId="27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4" fillId="2" borderId="2" xfId="1" applyFont="1" applyFill="1" applyBorder="1" applyAlignment="1">
      <alignment vertical="center" wrapText="1"/>
    </xf>
    <xf numFmtId="49" fontId="4" fillId="0" borderId="18" xfId="2" applyNumberFormat="1" applyFont="1" applyFill="1" applyBorder="1" applyAlignment="1">
      <alignment horizontal="center"/>
    </xf>
    <xf numFmtId="49" fontId="4" fillId="0" borderId="19" xfId="2" applyNumberFormat="1" applyFont="1" applyFill="1" applyBorder="1" applyAlignment="1">
      <alignment horizontal="center"/>
    </xf>
    <xf numFmtId="49" fontId="4" fillId="2" borderId="1" xfId="2" applyNumberFormat="1" applyFont="1" applyFill="1" applyBorder="1" applyAlignment="1">
      <alignment vertical="center" wrapText="1"/>
    </xf>
    <xf numFmtId="49" fontId="4" fillId="2" borderId="2" xfId="2" applyNumberFormat="1" applyFont="1" applyFill="1" applyBorder="1" applyAlignment="1">
      <alignment vertical="center" wrapText="1"/>
    </xf>
    <xf numFmtId="40" fontId="4" fillId="2" borderId="1" xfId="2" applyNumberFormat="1" applyFont="1" applyFill="1" applyBorder="1" applyAlignment="1">
      <alignment horizontal="center" vertical="center" wrapText="1"/>
    </xf>
    <xf numFmtId="40" fontId="4" fillId="2" borderId="2" xfId="2" applyNumberFormat="1" applyFont="1" applyFill="1" applyBorder="1" applyAlignment="1">
      <alignment horizontal="center" vertical="center" wrapText="1"/>
    </xf>
    <xf numFmtId="44" fontId="4" fillId="2" borderId="15" xfId="3" applyFont="1" applyFill="1" applyBorder="1" applyAlignment="1">
      <alignment vertical="center" wrapText="1"/>
    </xf>
    <xf numFmtId="0" fontId="26" fillId="3" borderId="15" xfId="0" applyFont="1" applyFill="1" applyBorder="1"/>
  </cellXfs>
  <cellStyles count="291">
    <cellStyle name="20% - Accent1 2" xfId="28" xr:uid="{00000000-0005-0000-0000-000000000000}"/>
    <cellStyle name="20% - Accent2 2" xfId="29" xr:uid="{00000000-0005-0000-0000-000001000000}"/>
    <cellStyle name="20% - Accent3 2" xfId="30" xr:uid="{00000000-0005-0000-0000-000002000000}"/>
    <cellStyle name="20% - Accent4 2" xfId="31" xr:uid="{00000000-0005-0000-0000-000003000000}"/>
    <cellStyle name="20% - Accent5 2" xfId="32" xr:uid="{00000000-0005-0000-0000-000004000000}"/>
    <cellStyle name="20% - Accent6 2" xfId="33" xr:uid="{00000000-0005-0000-0000-000005000000}"/>
    <cellStyle name="40% - Accent1 2" xfId="34" xr:uid="{00000000-0005-0000-0000-000006000000}"/>
    <cellStyle name="40% - Accent2 2" xfId="35" xr:uid="{00000000-0005-0000-0000-000007000000}"/>
    <cellStyle name="40% - Accent3 2" xfId="36" xr:uid="{00000000-0005-0000-0000-000008000000}"/>
    <cellStyle name="40% - Accent4 2" xfId="37" xr:uid="{00000000-0005-0000-0000-000009000000}"/>
    <cellStyle name="40% - Accent5 2" xfId="38" xr:uid="{00000000-0005-0000-0000-00000A000000}"/>
    <cellStyle name="40% - Accent6 2" xfId="39" xr:uid="{00000000-0005-0000-0000-00000B000000}"/>
    <cellStyle name="60% - Accent1 2" xfId="40" xr:uid="{00000000-0005-0000-0000-00000C000000}"/>
    <cellStyle name="60% - Accent2 2" xfId="41" xr:uid="{00000000-0005-0000-0000-00000D000000}"/>
    <cellStyle name="60% - Accent3 2" xfId="42" xr:uid="{00000000-0005-0000-0000-00000E000000}"/>
    <cellStyle name="60% - Accent4 2" xfId="43" xr:uid="{00000000-0005-0000-0000-00000F000000}"/>
    <cellStyle name="60% - Accent5 2" xfId="44" xr:uid="{00000000-0005-0000-0000-000010000000}"/>
    <cellStyle name="60% - Accent6 2" xfId="45" xr:uid="{00000000-0005-0000-0000-000011000000}"/>
    <cellStyle name="Accent1 2" xfId="46" xr:uid="{00000000-0005-0000-0000-000012000000}"/>
    <cellStyle name="Accent2 2" xfId="47" xr:uid="{00000000-0005-0000-0000-000013000000}"/>
    <cellStyle name="Accent3 2" xfId="48" xr:uid="{00000000-0005-0000-0000-000014000000}"/>
    <cellStyle name="Accent4 2" xfId="49" xr:uid="{00000000-0005-0000-0000-000015000000}"/>
    <cellStyle name="Accent5 2" xfId="50" xr:uid="{00000000-0005-0000-0000-000016000000}"/>
    <cellStyle name="Accent6 2" xfId="51" xr:uid="{00000000-0005-0000-0000-000017000000}"/>
    <cellStyle name="Bad 2" xfId="52" xr:uid="{00000000-0005-0000-0000-000018000000}"/>
    <cellStyle name="Calculation 2" xfId="53" xr:uid="{00000000-0005-0000-0000-000019000000}"/>
    <cellStyle name="Check Cell 2" xfId="54" xr:uid="{00000000-0005-0000-0000-00001A000000}"/>
    <cellStyle name="Comma [0] 2" xfId="2" xr:uid="{00000000-0005-0000-0000-00001B000000}"/>
    <cellStyle name="Comma [0] 2 2" xfId="56" xr:uid="{00000000-0005-0000-0000-00001C000000}"/>
    <cellStyle name="Comma 10" xfId="17" xr:uid="{00000000-0005-0000-0000-00001D000000}"/>
    <cellStyle name="Comma 10 2" xfId="57" xr:uid="{00000000-0005-0000-0000-00001E000000}"/>
    <cellStyle name="Comma 100" xfId="283" xr:uid="{00000000-0005-0000-0000-00001F000000}"/>
    <cellStyle name="Comma 11" xfId="24" xr:uid="{00000000-0005-0000-0000-000020000000}"/>
    <cellStyle name="Comma 11 2" xfId="58" xr:uid="{00000000-0005-0000-0000-000021000000}"/>
    <cellStyle name="Comma 12" xfId="15" xr:uid="{00000000-0005-0000-0000-000022000000}"/>
    <cellStyle name="Comma 12 2" xfId="59" xr:uid="{00000000-0005-0000-0000-000023000000}"/>
    <cellStyle name="Comma 13" xfId="60" xr:uid="{00000000-0005-0000-0000-000024000000}"/>
    <cellStyle name="Comma 14" xfId="61" xr:uid="{00000000-0005-0000-0000-000025000000}"/>
    <cellStyle name="Comma 15" xfId="62" xr:uid="{00000000-0005-0000-0000-000026000000}"/>
    <cellStyle name="Comma 16" xfId="63" xr:uid="{00000000-0005-0000-0000-000027000000}"/>
    <cellStyle name="Comma 17" xfId="64" xr:uid="{00000000-0005-0000-0000-000028000000}"/>
    <cellStyle name="Comma 18" xfId="65" xr:uid="{00000000-0005-0000-0000-000029000000}"/>
    <cellStyle name="Comma 19" xfId="66" xr:uid="{00000000-0005-0000-0000-00002A000000}"/>
    <cellStyle name="Comma 2" xfId="6" xr:uid="{00000000-0005-0000-0000-00002B000000}"/>
    <cellStyle name="Comma 2 2" xfId="67" xr:uid="{00000000-0005-0000-0000-00002C000000}"/>
    <cellStyle name="Comma 2 3" xfId="68" xr:uid="{00000000-0005-0000-0000-00002D000000}"/>
    <cellStyle name="Comma 20" xfId="69" xr:uid="{00000000-0005-0000-0000-00002E000000}"/>
    <cellStyle name="Comma 21" xfId="70" xr:uid="{00000000-0005-0000-0000-00002F000000}"/>
    <cellStyle name="Comma 22" xfId="71" xr:uid="{00000000-0005-0000-0000-000030000000}"/>
    <cellStyle name="Comma 23" xfId="72" xr:uid="{00000000-0005-0000-0000-000031000000}"/>
    <cellStyle name="Comma 24" xfId="73" xr:uid="{00000000-0005-0000-0000-000032000000}"/>
    <cellStyle name="Comma 25" xfId="74" xr:uid="{00000000-0005-0000-0000-000033000000}"/>
    <cellStyle name="Comma 26" xfId="75" xr:uid="{00000000-0005-0000-0000-000034000000}"/>
    <cellStyle name="Comma 27" xfId="76" xr:uid="{00000000-0005-0000-0000-000035000000}"/>
    <cellStyle name="Comma 28" xfId="77" xr:uid="{00000000-0005-0000-0000-000036000000}"/>
    <cellStyle name="Comma 29" xfId="78" xr:uid="{00000000-0005-0000-0000-000037000000}"/>
    <cellStyle name="Comma 3" xfId="10" xr:uid="{00000000-0005-0000-0000-000038000000}"/>
    <cellStyle name="Comma 3 2" xfId="14" xr:uid="{00000000-0005-0000-0000-000039000000}"/>
    <cellStyle name="Comma 3 2 2" xfId="79" xr:uid="{00000000-0005-0000-0000-00003A000000}"/>
    <cellStyle name="Comma 3 3" xfId="80" xr:uid="{00000000-0005-0000-0000-00003B000000}"/>
    <cellStyle name="Comma 30" xfId="81" xr:uid="{00000000-0005-0000-0000-00003C000000}"/>
    <cellStyle name="Comma 31" xfId="82" xr:uid="{00000000-0005-0000-0000-00003D000000}"/>
    <cellStyle name="Comma 32" xfId="83" xr:uid="{00000000-0005-0000-0000-00003E000000}"/>
    <cellStyle name="Comma 33" xfId="84" xr:uid="{00000000-0005-0000-0000-00003F000000}"/>
    <cellStyle name="Comma 34" xfId="85" xr:uid="{00000000-0005-0000-0000-000040000000}"/>
    <cellStyle name="Comma 35" xfId="86" xr:uid="{00000000-0005-0000-0000-000041000000}"/>
    <cellStyle name="Comma 36" xfId="87" xr:uid="{00000000-0005-0000-0000-000042000000}"/>
    <cellStyle name="Comma 37" xfId="88" xr:uid="{00000000-0005-0000-0000-000043000000}"/>
    <cellStyle name="Comma 38" xfId="89" xr:uid="{00000000-0005-0000-0000-000044000000}"/>
    <cellStyle name="Comma 39" xfId="90" xr:uid="{00000000-0005-0000-0000-000045000000}"/>
    <cellStyle name="Comma 4" xfId="12" xr:uid="{00000000-0005-0000-0000-000046000000}"/>
    <cellStyle name="Comma 4 2" xfId="91" xr:uid="{00000000-0005-0000-0000-000047000000}"/>
    <cellStyle name="Comma 40" xfId="92" xr:uid="{00000000-0005-0000-0000-000048000000}"/>
    <cellStyle name="Comma 41" xfId="93" xr:uid="{00000000-0005-0000-0000-000049000000}"/>
    <cellStyle name="Comma 42" xfId="94" xr:uid="{00000000-0005-0000-0000-00004A000000}"/>
    <cellStyle name="Comma 43" xfId="95" xr:uid="{00000000-0005-0000-0000-00004B000000}"/>
    <cellStyle name="Comma 44" xfId="96" xr:uid="{00000000-0005-0000-0000-00004C000000}"/>
    <cellStyle name="Comma 45" xfId="97" xr:uid="{00000000-0005-0000-0000-00004D000000}"/>
    <cellStyle name="Comma 46" xfId="98" xr:uid="{00000000-0005-0000-0000-00004E000000}"/>
    <cellStyle name="Comma 47" xfId="99" xr:uid="{00000000-0005-0000-0000-00004F000000}"/>
    <cellStyle name="Comma 48" xfId="100" xr:uid="{00000000-0005-0000-0000-000050000000}"/>
    <cellStyle name="Comma 49" xfId="101" xr:uid="{00000000-0005-0000-0000-000051000000}"/>
    <cellStyle name="Comma 5" xfId="13" xr:uid="{00000000-0005-0000-0000-000052000000}"/>
    <cellStyle name="Comma 5 2" xfId="102" xr:uid="{00000000-0005-0000-0000-000053000000}"/>
    <cellStyle name="Comma 50" xfId="103" xr:uid="{00000000-0005-0000-0000-000054000000}"/>
    <cellStyle name="Comma 51" xfId="104" xr:uid="{00000000-0005-0000-0000-000055000000}"/>
    <cellStyle name="Comma 52" xfId="105" xr:uid="{00000000-0005-0000-0000-000056000000}"/>
    <cellStyle name="Comma 53" xfId="106" xr:uid="{00000000-0005-0000-0000-000057000000}"/>
    <cellStyle name="Comma 54" xfId="107" xr:uid="{00000000-0005-0000-0000-000058000000}"/>
    <cellStyle name="Comma 54 2" xfId="108" xr:uid="{00000000-0005-0000-0000-000059000000}"/>
    <cellStyle name="Comma 55" xfId="109" xr:uid="{00000000-0005-0000-0000-00005A000000}"/>
    <cellStyle name="Comma 56" xfId="110" xr:uid="{00000000-0005-0000-0000-00005B000000}"/>
    <cellStyle name="Comma 56 2" xfId="111" xr:uid="{00000000-0005-0000-0000-00005C000000}"/>
    <cellStyle name="Comma 56 3" xfId="112" xr:uid="{00000000-0005-0000-0000-00005D000000}"/>
    <cellStyle name="Comma 57" xfId="113" xr:uid="{00000000-0005-0000-0000-00005E000000}"/>
    <cellStyle name="Comma 58" xfId="114" xr:uid="{00000000-0005-0000-0000-00005F000000}"/>
    <cellStyle name="Comma 59" xfId="115" xr:uid="{00000000-0005-0000-0000-000060000000}"/>
    <cellStyle name="Comma 6" xfId="21" xr:uid="{00000000-0005-0000-0000-000061000000}"/>
    <cellStyle name="Comma 6 2" xfId="116" xr:uid="{00000000-0005-0000-0000-000062000000}"/>
    <cellStyle name="Comma 60" xfId="117" xr:uid="{00000000-0005-0000-0000-000063000000}"/>
    <cellStyle name="Comma 61" xfId="118" xr:uid="{00000000-0005-0000-0000-000064000000}"/>
    <cellStyle name="Comma 62" xfId="119" xr:uid="{00000000-0005-0000-0000-000065000000}"/>
    <cellStyle name="Comma 63" xfId="120" xr:uid="{00000000-0005-0000-0000-000066000000}"/>
    <cellStyle name="Comma 64" xfId="121" xr:uid="{00000000-0005-0000-0000-000067000000}"/>
    <cellStyle name="Comma 65" xfId="122" xr:uid="{00000000-0005-0000-0000-000068000000}"/>
    <cellStyle name="Comma 66" xfId="123" xr:uid="{00000000-0005-0000-0000-000069000000}"/>
    <cellStyle name="Comma 67" xfId="124" xr:uid="{00000000-0005-0000-0000-00006A000000}"/>
    <cellStyle name="Comma 68" xfId="125" xr:uid="{00000000-0005-0000-0000-00006B000000}"/>
    <cellStyle name="Comma 69" xfId="126" xr:uid="{00000000-0005-0000-0000-00006C000000}"/>
    <cellStyle name="Comma 7" xfId="26" xr:uid="{00000000-0005-0000-0000-00006D000000}"/>
    <cellStyle name="Comma 7 2" xfId="127" xr:uid="{00000000-0005-0000-0000-00006E000000}"/>
    <cellStyle name="Comma 70" xfId="128" xr:uid="{00000000-0005-0000-0000-00006F000000}"/>
    <cellStyle name="Comma 71" xfId="129" xr:uid="{00000000-0005-0000-0000-000070000000}"/>
    <cellStyle name="Comma 72" xfId="130" xr:uid="{00000000-0005-0000-0000-000071000000}"/>
    <cellStyle name="Comma 73" xfId="131" xr:uid="{00000000-0005-0000-0000-000072000000}"/>
    <cellStyle name="Comma 74" xfId="132" xr:uid="{00000000-0005-0000-0000-000073000000}"/>
    <cellStyle name="Comma 75" xfId="133" xr:uid="{00000000-0005-0000-0000-000074000000}"/>
    <cellStyle name="Comma 76" xfId="134" xr:uid="{00000000-0005-0000-0000-000075000000}"/>
    <cellStyle name="Comma 77" xfId="135" xr:uid="{00000000-0005-0000-0000-000076000000}"/>
    <cellStyle name="Comma 78" xfId="136" xr:uid="{00000000-0005-0000-0000-000077000000}"/>
    <cellStyle name="Comma 79" xfId="137" xr:uid="{00000000-0005-0000-0000-000078000000}"/>
    <cellStyle name="Comma 8" xfId="19" xr:uid="{00000000-0005-0000-0000-000079000000}"/>
    <cellStyle name="Comma 8 2" xfId="138" xr:uid="{00000000-0005-0000-0000-00007A000000}"/>
    <cellStyle name="Comma 80" xfId="139" xr:uid="{00000000-0005-0000-0000-00007B000000}"/>
    <cellStyle name="Comma 81" xfId="140" xr:uid="{00000000-0005-0000-0000-00007C000000}"/>
    <cellStyle name="Comma 82" xfId="141" xr:uid="{00000000-0005-0000-0000-00007D000000}"/>
    <cellStyle name="Comma 83" xfId="142" xr:uid="{00000000-0005-0000-0000-00007E000000}"/>
    <cellStyle name="Comma 84" xfId="143" xr:uid="{00000000-0005-0000-0000-00007F000000}"/>
    <cellStyle name="Comma 85" xfId="144" xr:uid="{00000000-0005-0000-0000-000080000000}"/>
    <cellStyle name="Comma 86" xfId="145" xr:uid="{00000000-0005-0000-0000-000081000000}"/>
    <cellStyle name="Comma 87" xfId="146" xr:uid="{00000000-0005-0000-0000-000082000000}"/>
    <cellStyle name="Comma 88" xfId="147" xr:uid="{00000000-0005-0000-0000-000083000000}"/>
    <cellStyle name="Comma 89" xfId="148" xr:uid="{00000000-0005-0000-0000-000084000000}"/>
    <cellStyle name="Comma 9" xfId="25" xr:uid="{00000000-0005-0000-0000-000085000000}"/>
    <cellStyle name="Comma 9 2" xfId="149" xr:uid="{00000000-0005-0000-0000-000086000000}"/>
    <cellStyle name="Comma 90" xfId="150" xr:uid="{00000000-0005-0000-0000-000087000000}"/>
    <cellStyle name="Comma 91" xfId="151" xr:uid="{00000000-0005-0000-0000-000088000000}"/>
    <cellStyle name="Comma 92" xfId="152" xr:uid="{00000000-0005-0000-0000-000089000000}"/>
    <cellStyle name="Comma 93" xfId="153" xr:uid="{00000000-0005-0000-0000-00008A000000}"/>
    <cellStyle name="Comma 94" xfId="154" xr:uid="{00000000-0005-0000-0000-00008B000000}"/>
    <cellStyle name="Comma 95" xfId="155" xr:uid="{00000000-0005-0000-0000-00008C000000}"/>
    <cellStyle name="Comma 96" xfId="55" xr:uid="{00000000-0005-0000-0000-00008D000000}"/>
    <cellStyle name="Comma 97" xfId="278" xr:uid="{00000000-0005-0000-0000-00008E000000}"/>
    <cellStyle name="Comma 98" xfId="284" xr:uid="{00000000-0005-0000-0000-00008F000000}"/>
    <cellStyle name="Comma 99" xfId="277" xr:uid="{00000000-0005-0000-0000-000090000000}"/>
    <cellStyle name="Currency" xfId="27" builtinId="4"/>
    <cellStyle name="Currency [0] 2" xfId="156" xr:uid="{00000000-0005-0000-0000-000092000000}"/>
    <cellStyle name="Currency 10" xfId="157" xr:uid="{00000000-0005-0000-0000-000093000000}"/>
    <cellStyle name="Currency 11" xfId="158" xr:uid="{00000000-0005-0000-0000-000094000000}"/>
    <cellStyle name="Currency 12" xfId="159" xr:uid="{00000000-0005-0000-0000-000095000000}"/>
    <cellStyle name="Currency 13" xfId="160" xr:uid="{00000000-0005-0000-0000-000096000000}"/>
    <cellStyle name="Currency 14" xfId="161" xr:uid="{00000000-0005-0000-0000-000097000000}"/>
    <cellStyle name="Currency 15" xfId="162" xr:uid="{00000000-0005-0000-0000-000098000000}"/>
    <cellStyle name="Currency 16" xfId="163" xr:uid="{00000000-0005-0000-0000-000099000000}"/>
    <cellStyle name="Currency 17" xfId="164" xr:uid="{00000000-0005-0000-0000-00009A000000}"/>
    <cellStyle name="Currency 18" xfId="165" xr:uid="{00000000-0005-0000-0000-00009B000000}"/>
    <cellStyle name="Currency 19" xfId="166" xr:uid="{00000000-0005-0000-0000-00009C000000}"/>
    <cellStyle name="Currency 2" xfId="8" xr:uid="{00000000-0005-0000-0000-00009D000000}"/>
    <cellStyle name="Currency 2 2" xfId="16" xr:uid="{00000000-0005-0000-0000-00009E000000}"/>
    <cellStyle name="Currency 2 3" xfId="167" xr:uid="{00000000-0005-0000-0000-00009F000000}"/>
    <cellStyle name="Currency 20" xfId="168" xr:uid="{00000000-0005-0000-0000-0000A0000000}"/>
    <cellStyle name="Currency 21" xfId="169" xr:uid="{00000000-0005-0000-0000-0000A1000000}"/>
    <cellStyle name="Currency 22" xfId="170" xr:uid="{00000000-0005-0000-0000-0000A2000000}"/>
    <cellStyle name="Currency 23" xfId="171" xr:uid="{00000000-0005-0000-0000-0000A3000000}"/>
    <cellStyle name="Currency 24" xfId="172" xr:uid="{00000000-0005-0000-0000-0000A4000000}"/>
    <cellStyle name="Currency 25" xfId="173" xr:uid="{00000000-0005-0000-0000-0000A5000000}"/>
    <cellStyle name="Currency 26" xfId="174" xr:uid="{00000000-0005-0000-0000-0000A6000000}"/>
    <cellStyle name="Currency 27" xfId="175" xr:uid="{00000000-0005-0000-0000-0000A7000000}"/>
    <cellStyle name="Currency 28" xfId="176" xr:uid="{00000000-0005-0000-0000-0000A8000000}"/>
    <cellStyle name="Currency 29" xfId="177" xr:uid="{00000000-0005-0000-0000-0000A9000000}"/>
    <cellStyle name="Currency 3" xfId="7" xr:uid="{00000000-0005-0000-0000-0000AA000000}"/>
    <cellStyle name="Currency 3 2" xfId="178" xr:uid="{00000000-0005-0000-0000-0000AB000000}"/>
    <cellStyle name="Currency 30" xfId="179" xr:uid="{00000000-0005-0000-0000-0000AC000000}"/>
    <cellStyle name="Currency 31" xfId="180" xr:uid="{00000000-0005-0000-0000-0000AD000000}"/>
    <cellStyle name="Currency 32" xfId="181" xr:uid="{00000000-0005-0000-0000-0000AE000000}"/>
    <cellStyle name="Currency 33" xfId="182" xr:uid="{00000000-0005-0000-0000-0000AF000000}"/>
    <cellStyle name="Currency 34" xfId="183" xr:uid="{00000000-0005-0000-0000-0000B0000000}"/>
    <cellStyle name="Currency 35" xfId="184" xr:uid="{00000000-0005-0000-0000-0000B1000000}"/>
    <cellStyle name="Currency 36" xfId="185" xr:uid="{00000000-0005-0000-0000-0000B2000000}"/>
    <cellStyle name="Currency 37" xfId="186" xr:uid="{00000000-0005-0000-0000-0000B3000000}"/>
    <cellStyle name="Currency 38" xfId="187" xr:uid="{00000000-0005-0000-0000-0000B4000000}"/>
    <cellStyle name="Currency 39" xfId="188" xr:uid="{00000000-0005-0000-0000-0000B5000000}"/>
    <cellStyle name="Currency 4" xfId="3" xr:uid="{00000000-0005-0000-0000-0000B6000000}"/>
    <cellStyle name="Currency 4 2" xfId="190" xr:uid="{00000000-0005-0000-0000-0000B7000000}"/>
    <cellStyle name="Currency 4 3" xfId="189" xr:uid="{00000000-0005-0000-0000-0000B8000000}"/>
    <cellStyle name="Currency 40" xfId="191" xr:uid="{00000000-0005-0000-0000-0000B9000000}"/>
    <cellStyle name="Currency 41" xfId="192" xr:uid="{00000000-0005-0000-0000-0000BA000000}"/>
    <cellStyle name="Currency 42" xfId="193" xr:uid="{00000000-0005-0000-0000-0000BB000000}"/>
    <cellStyle name="Currency 43" xfId="194" xr:uid="{00000000-0005-0000-0000-0000BC000000}"/>
    <cellStyle name="Currency 44" xfId="195" xr:uid="{00000000-0005-0000-0000-0000BD000000}"/>
    <cellStyle name="Currency 45" xfId="196" xr:uid="{00000000-0005-0000-0000-0000BE000000}"/>
    <cellStyle name="Currency 46" xfId="197" xr:uid="{00000000-0005-0000-0000-0000BF000000}"/>
    <cellStyle name="Currency 47" xfId="198" xr:uid="{00000000-0005-0000-0000-0000C0000000}"/>
    <cellStyle name="Currency 48" xfId="199" xr:uid="{00000000-0005-0000-0000-0000C1000000}"/>
    <cellStyle name="Currency 49" xfId="200" xr:uid="{00000000-0005-0000-0000-0000C2000000}"/>
    <cellStyle name="Currency 5" xfId="201" xr:uid="{00000000-0005-0000-0000-0000C3000000}"/>
    <cellStyle name="Currency 50" xfId="202" xr:uid="{00000000-0005-0000-0000-0000C4000000}"/>
    <cellStyle name="Currency 51" xfId="203" xr:uid="{00000000-0005-0000-0000-0000C5000000}"/>
    <cellStyle name="Currency 52" xfId="204" xr:uid="{00000000-0005-0000-0000-0000C6000000}"/>
    <cellStyle name="Currency 53" xfId="205" xr:uid="{00000000-0005-0000-0000-0000C7000000}"/>
    <cellStyle name="Currency 54" xfId="206" xr:uid="{00000000-0005-0000-0000-0000C8000000}"/>
    <cellStyle name="Currency 54 2" xfId="207" xr:uid="{00000000-0005-0000-0000-0000C9000000}"/>
    <cellStyle name="Currency 55" xfId="208" xr:uid="{00000000-0005-0000-0000-0000CA000000}"/>
    <cellStyle name="Currency 55 2" xfId="209" xr:uid="{00000000-0005-0000-0000-0000CB000000}"/>
    <cellStyle name="Currency 56" xfId="210" xr:uid="{00000000-0005-0000-0000-0000CC000000}"/>
    <cellStyle name="Currency 57" xfId="211" xr:uid="{00000000-0005-0000-0000-0000CD000000}"/>
    <cellStyle name="Currency 58" xfId="212" xr:uid="{00000000-0005-0000-0000-0000CE000000}"/>
    <cellStyle name="Currency 59" xfId="213" xr:uid="{00000000-0005-0000-0000-0000CF000000}"/>
    <cellStyle name="Currency 6" xfId="214" xr:uid="{00000000-0005-0000-0000-0000D0000000}"/>
    <cellStyle name="Currency 60" xfId="215" xr:uid="{00000000-0005-0000-0000-0000D1000000}"/>
    <cellStyle name="Currency 61" xfId="216" xr:uid="{00000000-0005-0000-0000-0000D2000000}"/>
    <cellStyle name="Currency 62" xfId="217" xr:uid="{00000000-0005-0000-0000-0000D3000000}"/>
    <cellStyle name="Currency 63" xfId="218" xr:uid="{00000000-0005-0000-0000-0000D4000000}"/>
    <cellStyle name="Currency 64" xfId="219" xr:uid="{00000000-0005-0000-0000-0000D5000000}"/>
    <cellStyle name="Currency 65" xfId="220" xr:uid="{00000000-0005-0000-0000-0000D6000000}"/>
    <cellStyle name="Currency 66" xfId="221" xr:uid="{00000000-0005-0000-0000-0000D7000000}"/>
    <cellStyle name="Currency 67" xfId="222" xr:uid="{00000000-0005-0000-0000-0000D8000000}"/>
    <cellStyle name="Currency 68" xfId="223" xr:uid="{00000000-0005-0000-0000-0000D9000000}"/>
    <cellStyle name="Currency 69" xfId="224" xr:uid="{00000000-0005-0000-0000-0000DA000000}"/>
    <cellStyle name="Currency 7" xfId="225" xr:uid="{00000000-0005-0000-0000-0000DB000000}"/>
    <cellStyle name="Currency 70" xfId="226" xr:uid="{00000000-0005-0000-0000-0000DC000000}"/>
    <cellStyle name="Currency 71" xfId="227" xr:uid="{00000000-0005-0000-0000-0000DD000000}"/>
    <cellStyle name="Currency 72" xfId="228" xr:uid="{00000000-0005-0000-0000-0000DE000000}"/>
    <cellStyle name="Currency 73" xfId="229" xr:uid="{00000000-0005-0000-0000-0000DF000000}"/>
    <cellStyle name="Currency 74" xfId="230" xr:uid="{00000000-0005-0000-0000-0000E0000000}"/>
    <cellStyle name="Currency 75" xfId="231" xr:uid="{00000000-0005-0000-0000-0000E1000000}"/>
    <cellStyle name="Currency 76" xfId="232" xr:uid="{00000000-0005-0000-0000-0000E2000000}"/>
    <cellStyle name="Currency 77" xfId="233" xr:uid="{00000000-0005-0000-0000-0000E3000000}"/>
    <cellStyle name="Currency 78" xfId="234" xr:uid="{00000000-0005-0000-0000-0000E4000000}"/>
    <cellStyle name="Currency 79" xfId="235" xr:uid="{00000000-0005-0000-0000-0000E5000000}"/>
    <cellStyle name="Currency 8" xfId="236" xr:uid="{00000000-0005-0000-0000-0000E6000000}"/>
    <cellStyle name="Currency 80" xfId="237" xr:uid="{00000000-0005-0000-0000-0000E7000000}"/>
    <cellStyle name="Currency 81" xfId="238" xr:uid="{00000000-0005-0000-0000-0000E8000000}"/>
    <cellStyle name="Currency 82" xfId="239" xr:uid="{00000000-0005-0000-0000-0000E9000000}"/>
    <cellStyle name="Currency 83" xfId="240" xr:uid="{00000000-0005-0000-0000-0000EA000000}"/>
    <cellStyle name="Currency 84" xfId="241" xr:uid="{00000000-0005-0000-0000-0000EB000000}"/>
    <cellStyle name="Currency 85" xfId="242" xr:uid="{00000000-0005-0000-0000-0000EC000000}"/>
    <cellStyle name="Currency 86" xfId="243" xr:uid="{00000000-0005-0000-0000-0000ED000000}"/>
    <cellStyle name="Currency 87" xfId="244" xr:uid="{00000000-0005-0000-0000-0000EE000000}"/>
    <cellStyle name="Currency 88" xfId="245" xr:uid="{00000000-0005-0000-0000-0000EF000000}"/>
    <cellStyle name="Currency 89" xfId="246" xr:uid="{00000000-0005-0000-0000-0000F0000000}"/>
    <cellStyle name="Currency 9" xfId="247" xr:uid="{00000000-0005-0000-0000-0000F1000000}"/>
    <cellStyle name="Currency 90" xfId="248" xr:uid="{00000000-0005-0000-0000-0000F2000000}"/>
    <cellStyle name="Currency 91" xfId="249" xr:uid="{00000000-0005-0000-0000-0000F3000000}"/>
    <cellStyle name="Currency 92" xfId="250" xr:uid="{00000000-0005-0000-0000-0000F4000000}"/>
    <cellStyle name="Currency 93" xfId="251" xr:uid="{00000000-0005-0000-0000-0000F5000000}"/>
    <cellStyle name="Currency 94" xfId="281" xr:uid="{00000000-0005-0000-0000-0000F6000000}"/>
    <cellStyle name="Currency 95" xfId="282" xr:uid="{00000000-0005-0000-0000-0000F7000000}"/>
    <cellStyle name="Currency 96" xfId="280" xr:uid="{00000000-0005-0000-0000-0000F8000000}"/>
    <cellStyle name="Currency 97" xfId="279" xr:uid="{00000000-0005-0000-0000-0000F9000000}"/>
    <cellStyle name="Explanatory Text 2" xfId="252" xr:uid="{00000000-0005-0000-0000-0000FA000000}"/>
    <cellStyle name="Good 2" xfId="253" xr:uid="{00000000-0005-0000-0000-0000FB000000}"/>
    <cellStyle name="Heading 1 2" xfId="254" xr:uid="{00000000-0005-0000-0000-0000FC000000}"/>
    <cellStyle name="Heading 2 2" xfId="255" xr:uid="{00000000-0005-0000-0000-0000FD000000}"/>
    <cellStyle name="Heading 3 2" xfId="256" xr:uid="{00000000-0005-0000-0000-0000FE000000}"/>
    <cellStyle name="Heading 4 2" xfId="257" xr:uid="{00000000-0005-0000-0000-0000FF000000}"/>
    <cellStyle name="Input 2" xfId="258" xr:uid="{00000000-0005-0000-0000-000000010000}"/>
    <cellStyle name="Linked Cell 2" xfId="259" xr:uid="{00000000-0005-0000-0000-000001010000}"/>
    <cellStyle name="Millares 2" xfId="260" xr:uid="{00000000-0005-0000-0000-000002010000}"/>
    <cellStyle name="Millares 3" xfId="261" xr:uid="{00000000-0005-0000-0000-000003010000}"/>
    <cellStyle name="Neutral 2" xfId="262" xr:uid="{00000000-0005-0000-0000-000004010000}"/>
    <cellStyle name="Normal" xfId="0" builtinId="0"/>
    <cellStyle name="Normal 2" xfId="4" xr:uid="{00000000-0005-0000-0000-000006010000}"/>
    <cellStyle name="Normal 2 2" xfId="18" xr:uid="{00000000-0005-0000-0000-000007010000}"/>
    <cellStyle name="Normal 2 3" xfId="263" xr:uid="{00000000-0005-0000-0000-000008010000}"/>
    <cellStyle name="Normal 3" xfId="5" xr:uid="{00000000-0005-0000-0000-000009010000}"/>
    <cellStyle name="Normal 3 2" xfId="264" xr:uid="{00000000-0005-0000-0000-00000A010000}"/>
    <cellStyle name="Normal 4" xfId="1" xr:uid="{00000000-0005-0000-0000-00000B010000}"/>
    <cellStyle name="Normal 4 2" xfId="20" xr:uid="{00000000-0005-0000-0000-00000C010000}"/>
    <cellStyle name="Normal 4 2 2" xfId="265" xr:uid="{00000000-0005-0000-0000-00000D010000}"/>
    <cellStyle name="Normal 5" xfId="266" xr:uid="{00000000-0005-0000-0000-00000E010000}"/>
    <cellStyle name="Normal 6" xfId="288" xr:uid="{00000000-0005-0000-0000-00000F010000}"/>
    <cellStyle name="Normal 7" xfId="286" xr:uid="{00000000-0005-0000-0000-000010010000}"/>
    <cellStyle name="Note 2" xfId="267" xr:uid="{00000000-0005-0000-0000-000011010000}"/>
    <cellStyle name="Output 2" xfId="268" xr:uid="{00000000-0005-0000-0000-000012010000}"/>
    <cellStyle name="Percent 2" xfId="9" xr:uid="{00000000-0005-0000-0000-000013010000}"/>
    <cellStyle name="Percent 2 2" xfId="22" xr:uid="{00000000-0005-0000-0000-000014010000}"/>
    <cellStyle name="Percent 2 3" xfId="269" xr:uid="{00000000-0005-0000-0000-000015010000}"/>
    <cellStyle name="Percent 3" xfId="11" xr:uid="{00000000-0005-0000-0000-000016010000}"/>
    <cellStyle name="Percent 3 2" xfId="23" xr:uid="{00000000-0005-0000-0000-000017010000}"/>
    <cellStyle name="Percent 3 2 2" xfId="270" xr:uid="{00000000-0005-0000-0000-000018010000}"/>
    <cellStyle name="Percent 4" xfId="271" xr:uid="{00000000-0005-0000-0000-000019010000}"/>
    <cellStyle name="Percent 4 2" xfId="272" xr:uid="{00000000-0005-0000-0000-00001A010000}"/>
    <cellStyle name="Percent 5" xfId="273" xr:uid="{00000000-0005-0000-0000-00001B010000}"/>
    <cellStyle name="Percent 6" xfId="289" xr:uid="{00000000-0005-0000-0000-00001C010000}"/>
    <cellStyle name="Percent 7" xfId="287" xr:uid="{00000000-0005-0000-0000-00001D010000}"/>
    <cellStyle name="Title 2" xfId="274" xr:uid="{00000000-0005-0000-0000-00001E010000}"/>
    <cellStyle name="Total 2" xfId="275" xr:uid="{00000000-0005-0000-0000-00001F010000}"/>
    <cellStyle name="Total 2 2" xfId="285" xr:uid="{00000000-0005-0000-0000-000020010000}"/>
    <cellStyle name="Total 2 3" xfId="290" xr:uid="{00000000-0005-0000-0000-000021010000}"/>
    <cellStyle name="Warning Text 2" xfId="276" xr:uid="{00000000-0005-0000-0000-000022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531"/>
  <sheetViews>
    <sheetView tabSelected="1" zoomScale="90" zoomScaleNormal="90" workbookViewId="0">
      <selection activeCell="B5" sqref="B5:B6"/>
    </sheetView>
  </sheetViews>
  <sheetFormatPr defaultRowHeight="14.45"/>
  <cols>
    <col min="1" max="1" width="15.140625" customWidth="1"/>
    <col min="2" max="2" width="10.5703125" bestFit="1" customWidth="1"/>
    <col min="3" max="3" width="31.140625" customWidth="1"/>
    <col min="4" max="4" width="48.5703125" customWidth="1"/>
    <col min="5" max="5" width="13.5703125" hidden="1" customWidth="1"/>
    <col min="6" max="6" width="24.42578125" bestFit="1" customWidth="1"/>
    <col min="7" max="7" width="9.42578125" customWidth="1"/>
    <col min="8" max="8" width="17.140625" style="4" bestFit="1" customWidth="1"/>
    <col min="9" max="9" width="8.42578125" hidden="1" customWidth="1"/>
    <col min="10" max="10" width="135.140625" bestFit="1" customWidth="1"/>
    <col min="11" max="11" width="12.42578125" hidden="1" customWidth="1"/>
    <col min="12" max="12" width="16" hidden="1" customWidth="1"/>
    <col min="13" max="13" width="38.5703125" hidden="1" customWidth="1"/>
  </cols>
  <sheetData>
    <row r="1" spans="1:13" ht="15.7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5.7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15.75" customHeight="1">
      <c r="A3" s="27"/>
      <c r="B3" s="27"/>
      <c r="C3" s="27"/>
      <c r="D3" s="28"/>
      <c r="E3" s="39" t="s">
        <v>1</v>
      </c>
      <c r="F3" s="40"/>
      <c r="G3" s="13"/>
      <c r="H3" s="30">
        <v>43799</v>
      </c>
      <c r="I3" s="30"/>
      <c r="J3" s="29"/>
      <c r="K3" s="29"/>
      <c r="L3" s="29"/>
      <c r="M3" s="29"/>
    </row>
    <row r="4" spans="1:13" ht="15.6">
      <c r="A4" s="32" t="s">
        <v>2</v>
      </c>
      <c r="B4" s="32"/>
      <c r="C4" s="32"/>
      <c r="D4" s="1"/>
      <c r="E4" s="1"/>
      <c r="F4" s="1"/>
      <c r="G4" s="1"/>
      <c r="H4" s="3"/>
      <c r="I4" s="1"/>
      <c r="J4" s="1"/>
      <c r="K4" s="1"/>
      <c r="L4" s="1"/>
      <c r="M4" s="1"/>
    </row>
    <row r="5" spans="1:13" ht="26.25" customHeight="1">
      <c r="A5" s="37" t="s">
        <v>3</v>
      </c>
      <c r="B5" s="37" t="s">
        <v>4</v>
      </c>
      <c r="C5" s="37" t="s">
        <v>5</v>
      </c>
      <c r="D5" s="41" t="s">
        <v>6</v>
      </c>
      <c r="E5" s="33" t="s">
        <v>7</v>
      </c>
      <c r="F5" s="43" t="s">
        <v>8</v>
      </c>
      <c r="G5" s="12" t="s">
        <v>9</v>
      </c>
      <c r="H5" s="35" t="s">
        <v>10</v>
      </c>
      <c r="I5" s="24" t="s">
        <v>11</v>
      </c>
      <c r="J5" s="24" t="s">
        <v>12</v>
      </c>
      <c r="K5" s="24" t="s">
        <v>13</v>
      </c>
      <c r="L5" s="24" t="s">
        <v>14</v>
      </c>
      <c r="M5" s="45" t="s">
        <v>15</v>
      </c>
    </row>
    <row r="6" spans="1:13" ht="23.1">
      <c r="A6" s="38"/>
      <c r="B6" s="38"/>
      <c r="C6" s="38"/>
      <c r="D6" s="42"/>
      <c r="E6" s="34"/>
      <c r="F6" s="44"/>
      <c r="G6" s="14">
        <v>9.5399999999999991</v>
      </c>
      <c r="H6" s="36"/>
      <c r="I6" s="25"/>
      <c r="J6" s="31"/>
      <c r="K6" s="25"/>
      <c r="L6" s="25"/>
      <c r="M6" s="45"/>
    </row>
    <row r="7" spans="1:13">
      <c r="A7" s="2">
        <v>43770</v>
      </c>
      <c r="B7" s="22">
        <v>1</v>
      </c>
      <c r="C7" s="16" t="s">
        <v>16</v>
      </c>
      <c r="D7" s="16" t="s">
        <v>17</v>
      </c>
      <c r="E7" t="s">
        <v>18</v>
      </c>
      <c r="F7" s="23">
        <v>1</v>
      </c>
      <c r="G7" s="15"/>
      <c r="H7" s="4">
        <v>41</v>
      </c>
      <c r="I7">
        <v>8700</v>
      </c>
      <c r="J7" t="s">
        <v>19</v>
      </c>
      <c r="K7" t="s">
        <v>20</v>
      </c>
      <c r="L7" t="s">
        <v>21</v>
      </c>
    </row>
    <row r="8" spans="1:13">
      <c r="A8" s="2">
        <v>43775</v>
      </c>
      <c r="B8" s="22">
        <v>2</v>
      </c>
      <c r="C8" s="16" t="s">
        <v>22</v>
      </c>
      <c r="D8" s="16" t="s">
        <v>23</v>
      </c>
      <c r="E8" t="s">
        <v>18</v>
      </c>
      <c r="F8" s="23">
        <v>1</v>
      </c>
      <c r="G8" s="15"/>
      <c r="H8" s="4">
        <v>5000</v>
      </c>
      <c r="I8">
        <v>8700</v>
      </c>
      <c r="J8" t="s">
        <v>24</v>
      </c>
      <c r="K8" t="str">
        <f t="shared" ref="K8:K14" si="0">IF(D8="","",(VLOOKUP(D8,HighAtlasCodes,4,FALSE)))</f>
        <v>HIGHATLAS</v>
      </c>
      <c r="L8" t="str">
        <f t="shared" ref="L8:L14" si="1">IF(D8="","",(VLOOKUP(D8,HighAtlasCodes,5,FALSE)))</f>
        <v>CONSULTHA</v>
      </c>
    </row>
    <row r="9" spans="1:13">
      <c r="A9" s="2">
        <v>43775</v>
      </c>
      <c r="B9" s="22">
        <v>3</v>
      </c>
      <c r="C9" s="16" t="s">
        <v>25</v>
      </c>
      <c r="D9" s="16" t="s">
        <v>17</v>
      </c>
      <c r="E9" t="s">
        <v>18</v>
      </c>
      <c r="F9" s="23">
        <v>1</v>
      </c>
      <c r="G9" s="15"/>
      <c r="H9" s="4">
        <v>1654.25</v>
      </c>
      <c r="I9">
        <v>8700</v>
      </c>
      <c r="J9" t="s">
        <v>26</v>
      </c>
      <c r="K9" t="str">
        <f t="shared" si="0"/>
        <v>HIGHATLAS</v>
      </c>
      <c r="L9" t="str">
        <f t="shared" si="1"/>
        <v>AIRFARVLHA</v>
      </c>
    </row>
    <row r="10" spans="1:13">
      <c r="A10" s="2">
        <v>43776</v>
      </c>
      <c r="B10" s="22">
        <v>4</v>
      </c>
      <c r="C10" s="16" t="s">
        <v>27</v>
      </c>
      <c r="D10" s="16" t="s">
        <v>28</v>
      </c>
      <c r="E10" t="s">
        <v>18</v>
      </c>
      <c r="F10" s="17">
        <v>516.5</v>
      </c>
      <c r="G10" s="15">
        <v>9.5399999999999991</v>
      </c>
      <c r="H10" s="4">
        <v>53</v>
      </c>
      <c r="I10">
        <v>8700</v>
      </c>
      <c r="J10" s="15" t="s">
        <v>29</v>
      </c>
      <c r="K10" t="str">
        <f t="shared" si="0"/>
        <v>HIGHATLAS</v>
      </c>
      <c r="L10" t="str">
        <f t="shared" si="1"/>
        <v>LODGINVLHA</v>
      </c>
    </row>
    <row r="11" spans="1:13">
      <c r="A11" s="2">
        <v>43776</v>
      </c>
      <c r="B11" s="22">
        <v>5</v>
      </c>
      <c r="C11" s="16" t="s">
        <v>30</v>
      </c>
      <c r="D11" s="16" t="s">
        <v>31</v>
      </c>
      <c r="E11" t="s">
        <v>18</v>
      </c>
      <c r="F11" s="23">
        <v>1</v>
      </c>
      <c r="G11" s="15"/>
      <c r="H11" s="4">
        <v>355</v>
      </c>
      <c r="I11">
        <v>8700</v>
      </c>
      <c r="J11" t="s">
        <v>32</v>
      </c>
      <c r="K11" t="str">
        <f t="shared" si="0"/>
        <v>HIGHATLAS</v>
      </c>
      <c r="L11" t="str">
        <f t="shared" si="1"/>
        <v>PERDIEVLHA</v>
      </c>
    </row>
    <row r="12" spans="1:13">
      <c r="A12" s="2">
        <v>43784</v>
      </c>
      <c r="B12" s="22">
        <v>6</v>
      </c>
      <c r="C12" s="16" t="s">
        <v>33</v>
      </c>
      <c r="D12" s="16" t="s">
        <v>34</v>
      </c>
      <c r="F12" s="23">
        <v>1</v>
      </c>
      <c r="G12" s="15"/>
      <c r="H12" s="4">
        <v>44.6</v>
      </c>
      <c r="J12" t="s">
        <v>35</v>
      </c>
    </row>
    <row r="13" spans="1:13">
      <c r="A13" s="2">
        <v>43791</v>
      </c>
      <c r="B13" s="22">
        <v>7</v>
      </c>
      <c r="C13" s="16" t="s">
        <v>36</v>
      </c>
      <c r="D13" s="16" t="s">
        <v>37</v>
      </c>
      <c r="E13" t="s">
        <v>18</v>
      </c>
      <c r="F13" s="17">
        <v>301.43</v>
      </c>
      <c r="G13" s="15">
        <v>9.5399999999999991</v>
      </c>
      <c r="H13" s="4">
        <f t="shared" ref="H13" si="2">F13/G13</f>
        <v>31.596436058700213</v>
      </c>
      <c r="I13">
        <v>8700</v>
      </c>
      <c r="K13" t="str">
        <f t="shared" si="0"/>
        <v>HIGHATLAS</v>
      </c>
      <c r="L13" t="str">
        <f t="shared" si="1"/>
        <v>ADMINHA</v>
      </c>
    </row>
    <row r="14" spans="1:13">
      <c r="A14" s="2">
        <v>43792</v>
      </c>
      <c r="B14" s="22">
        <v>8</v>
      </c>
      <c r="C14" s="16" t="s">
        <v>38</v>
      </c>
      <c r="D14" s="16" t="s">
        <v>39</v>
      </c>
      <c r="E14" t="s">
        <v>18</v>
      </c>
      <c r="F14" s="17">
        <v>260</v>
      </c>
      <c r="G14" s="15">
        <v>9.5399999999999991</v>
      </c>
      <c r="H14" s="4">
        <f>F14/G14</f>
        <v>27.253668763102727</v>
      </c>
      <c r="I14">
        <v>8700</v>
      </c>
      <c r="J14" t="s">
        <v>40</v>
      </c>
      <c r="K14" t="str">
        <f t="shared" si="0"/>
        <v>HIGHATLAS</v>
      </c>
      <c r="L14" t="str">
        <f t="shared" si="1"/>
        <v>PETROLHA</v>
      </c>
    </row>
    <row r="15" spans="1:13">
      <c r="A15" s="2">
        <v>43798</v>
      </c>
      <c r="B15" s="22">
        <v>9</v>
      </c>
      <c r="C15" s="16" t="s">
        <v>41</v>
      </c>
      <c r="D15" s="16" t="s">
        <v>37</v>
      </c>
      <c r="E15" t="s">
        <v>18</v>
      </c>
      <c r="F15" s="18">
        <v>218</v>
      </c>
      <c r="G15" s="15">
        <v>9.5399999999999991</v>
      </c>
      <c r="H15" s="4">
        <f>F15/G15</f>
        <v>22.851153039832287</v>
      </c>
      <c r="I15">
        <v>8700</v>
      </c>
      <c r="J15" t="s">
        <v>42</v>
      </c>
      <c r="K15" t="s">
        <v>20</v>
      </c>
      <c r="L15" t="str">
        <f t="shared" ref="L15" si="3">IF(D15="","",(VLOOKUP(D15,HighAtlasCodes,5,FALSE)))</f>
        <v>ADMINHA</v>
      </c>
    </row>
    <row r="16" spans="1:13">
      <c r="A16" s="19">
        <v>43799</v>
      </c>
      <c r="C16" s="16" t="s">
        <v>43</v>
      </c>
      <c r="D16" s="16" t="s">
        <v>44</v>
      </c>
      <c r="E16" t="s">
        <v>18</v>
      </c>
      <c r="F16" s="18"/>
      <c r="G16" s="15"/>
      <c r="H16" s="4">
        <f>SUM(H7:H15)*0.1</f>
        <v>722.95512578616353</v>
      </c>
      <c r="J16" t="s">
        <v>45</v>
      </c>
    </row>
    <row r="17" spans="1:8" ht="21">
      <c r="A17" s="19"/>
      <c r="C17" s="16"/>
      <c r="D17" s="5" t="s">
        <v>46</v>
      </c>
      <c r="F17" s="20"/>
      <c r="H17" s="6">
        <f>SUM(H7:H16)</f>
        <v>7952.5063836477984</v>
      </c>
    </row>
    <row r="18" spans="1:8">
      <c r="A18" s="2"/>
      <c r="C18" s="16"/>
      <c r="F18" s="21"/>
    </row>
    <row r="19" spans="1:8">
      <c r="A19" s="2"/>
    </row>
    <row r="20" spans="1:8">
      <c r="A20" s="2"/>
    </row>
    <row r="21" spans="1:8">
      <c r="A21" s="2"/>
    </row>
    <row r="22" spans="1:8">
      <c r="A22" s="2"/>
    </row>
    <row r="23" spans="1:8">
      <c r="A23" s="2"/>
    </row>
    <row r="24" spans="1:8">
      <c r="A24" s="2"/>
    </row>
    <row r="25" spans="1:8">
      <c r="A25" s="2"/>
    </row>
    <row r="26" spans="1:8">
      <c r="A26" s="2"/>
    </row>
    <row r="27" spans="1:8">
      <c r="A27" s="2"/>
    </row>
    <row r="28" spans="1:8">
      <c r="A28" s="2"/>
    </row>
    <row r="29" spans="1:8">
      <c r="A29" s="2"/>
    </row>
    <row r="30" spans="1:8">
      <c r="A30" s="2"/>
    </row>
    <row r="31" spans="1:8">
      <c r="A31" s="2"/>
    </row>
    <row r="32" spans="1:8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</sheetData>
  <sheetProtection formatCells="0" formatColumns="0" formatRows="0" deleteRows="0" sort="0" autoFilter="0"/>
  <mergeCells count="18">
    <mergeCell ref="B5:B6"/>
    <mergeCell ref="F5:F6"/>
    <mergeCell ref="L5:L6"/>
    <mergeCell ref="A1:M2"/>
    <mergeCell ref="A3:D3"/>
    <mergeCell ref="J3:M3"/>
    <mergeCell ref="H3:I3"/>
    <mergeCell ref="M5:M6"/>
    <mergeCell ref="J5:J6"/>
    <mergeCell ref="A4:C4"/>
    <mergeCell ref="E5:E6"/>
    <mergeCell ref="H5:H6"/>
    <mergeCell ref="I5:I6"/>
    <mergeCell ref="K5:K6"/>
    <mergeCell ref="A5:A6"/>
    <mergeCell ref="C5:C6"/>
    <mergeCell ref="E3:F3"/>
    <mergeCell ref="D5:D6"/>
  </mergeCells>
  <dataValidations count="1">
    <dataValidation type="list" allowBlank="1" showInputMessage="1" showErrorMessage="1" sqref="D7:D16" xr:uid="{00000000-0002-0000-0000-000000000000}">
      <formula1>Budget</formula1>
    </dataValidation>
  </dataValidations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126"/>
  <sheetViews>
    <sheetView topLeftCell="A10" zoomScale="118" zoomScaleNormal="118" workbookViewId="0">
      <selection activeCell="E17" sqref="E17"/>
    </sheetView>
  </sheetViews>
  <sheetFormatPr defaultRowHeight="14.45"/>
  <cols>
    <col min="1" max="1" width="84.42578125" bestFit="1" customWidth="1"/>
    <col min="2" max="2" width="11.5703125" bestFit="1" customWidth="1"/>
    <col min="3" max="3" width="10.85546875" bestFit="1" customWidth="1"/>
    <col min="4" max="4" width="12.85546875" bestFit="1" customWidth="1"/>
    <col min="5" max="5" width="12.5703125" bestFit="1" customWidth="1"/>
  </cols>
  <sheetData>
    <row r="1" spans="1:5">
      <c r="A1" s="46" t="s">
        <v>47</v>
      </c>
      <c r="B1" s="46" t="s">
        <v>48</v>
      </c>
      <c r="C1" s="46" t="s">
        <v>49</v>
      </c>
      <c r="D1" s="46" t="s">
        <v>50</v>
      </c>
      <c r="E1" s="46" t="s">
        <v>51</v>
      </c>
    </row>
    <row r="2" spans="1:5" s="9" customFormat="1" ht="12.95">
      <c r="A2" s="10" t="s">
        <v>52</v>
      </c>
      <c r="B2" s="10" t="s">
        <v>18</v>
      </c>
      <c r="C2" s="11">
        <v>8700</v>
      </c>
      <c r="D2" s="8" t="s">
        <v>20</v>
      </c>
      <c r="E2" s="7" t="s">
        <v>53</v>
      </c>
    </row>
    <row r="3" spans="1:5" s="9" customFormat="1" ht="12.95">
      <c r="A3" s="10" t="s">
        <v>54</v>
      </c>
      <c r="B3" s="10" t="s">
        <v>18</v>
      </c>
      <c r="C3" s="11">
        <v>8700</v>
      </c>
      <c r="D3" s="8" t="s">
        <v>20</v>
      </c>
      <c r="E3" s="7" t="s">
        <v>55</v>
      </c>
    </row>
    <row r="4" spans="1:5" s="9" customFormat="1" ht="12.95">
      <c r="A4" s="10" t="s">
        <v>56</v>
      </c>
      <c r="B4" s="10" t="s">
        <v>18</v>
      </c>
      <c r="C4" s="11">
        <v>8700</v>
      </c>
      <c r="D4" s="8" t="s">
        <v>20</v>
      </c>
      <c r="E4" s="7" t="s">
        <v>57</v>
      </c>
    </row>
    <row r="5" spans="1:5" s="9" customFormat="1" ht="12.95">
      <c r="A5" s="10" t="s">
        <v>58</v>
      </c>
      <c r="B5" s="10" t="s">
        <v>18</v>
      </c>
      <c r="C5" s="11">
        <v>8700</v>
      </c>
      <c r="D5" s="8" t="s">
        <v>20</v>
      </c>
      <c r="E5" s="7" t="s">
        <v>59</v>
      </c>
    </row>
    <row r="6" spans="1:5" s="9" customFormat="1" ht="12.95">
      <c r="A6" s="10" t="s">
        <v>60</v>
      </c>
      <c r="B6" s="10" t="s">
        <v>18</v>
      </c>
      <c r="C6" s="11">
        <v>8700</v>
      </c>
      <c r="D6" s="8" t="s">
        <v>20</v>
      </c>
      <c r="E6" s="7" t="s">
        <v>61</v>
      </c>
    </row>
    <row r="7" spans="1:5" s="9" customFormat="1" ht="12.95">
      <c r="A7" s="10" t="s">
        <v>62</v>
      </c>
      <c r="B7" s="10" t="s">
        <v>18</v>
      </c>
      <c r="C7" s="11">
        <v>8700</v>
      </c>
      <c r="D7" s="8" t="s">
        <v>20</v>
      </c>
      <c r="E7" s="7" t="s">
        <v>63</v>
      </c>
    </row>
    <row r="8" spans="1:5" s="9" customFormat="1" ht="12.95">
      <c r="A8" s="10" t="s">
        <v>64</v>
      </c>
      <c r="B8" s="10" t="s">
        <v>18</v>
      </c>
      <c r="C8" s="11">
        <v>8700</v>
      </c>
      <c r="D8" s="8" t="s">
        <v>20</v>
      </c>
      <c r="E8" s="7" t="s">
        <v>65</v>
      </c>
    </row>
    <row r="9" spans="1:5" s="9" customFormat="1" ht="12.95">
      <c r="A9" s="10" t="s">
        <v>66</v>
      </c>
      <c r="B9" s="10" t="s">
        <v>18</v>
      </c>
      <c r="C9" s="11">
        <v>8700</v>
      </c>
      <c r="D9" s="8" t="s">
        <v>20</v>
      </c>
      <c r="E9" s="7" t="s">
        <v>67</v>
      </c>
    </row>
    <row r="10" spans="1:5" s="9" customFormat="1" ht="12.95">
      <c r="A10" s="10" t="s">
        <v>68</v>
      </c>
      <c r="B10" s="10" t="s">
        <v>18</v>
      </c>
      <c r="C10" s="11">
        <v>8700</v>
      </c>
      <c r="D10" s="8" t="s">
        <v>20</v>
      </c>
      <c r="E10" s="7" t="s">
        <v>69</v>
      </c>
    </row>
    <row r="11" spans="1:5" s="9" customFormat="1" ht="12.95">
      <c r="A11" s="10" t="s">
        <v>70</v>
      </c>
      <c r="B11" s="10" t="s">
        <v>18</v>
      </c>
      <c r="C11" s="11">
        <v>8700</v>
      </c>
      <c r="D11" s="8" t="s">
        <v>20</v>
      </c>
      <c r="E11" s="7" t="s">
        <v>71</v>
      </c>
    </row>
    <row r="12" spans="1:5" s="9" customFormat="1" ht="12.95">
      <c r="A12" s="10" t="s">
        <v>72</v>
      </c>
      <c r="B12" s="10" t="s">
        <v>18</v>
      </c>
      <c r="C12" s="11">
        <v>8700</v>
      </c>
      <c r="D12" s="8" t="s">
        <v>20</v>
      </c>
      <c r="E12" s="7" t="s">
        <v>73</v>
      </c>
    </row>
    <row r="13" spans="1:5" s="9" customFormat="1" ht="12.95">
      <c r="A13" s="10" t="s">
        <v>74</v>
      </c>
      <c r="B13" s="10" t="s">
        <v>18</v>
      </c>
      <c r="C13" s="11">
        <v>8700</v>
      </c>
      <c r="D13" s="8" t="s">
        <v>20</v>
      </c>
      <c r="E13" s="7" t="s">
        <v>75</v>
      </c>
    </row>
    <row r="14" spans="1:5" s="9" customFormat="1" ht="12.95">
      <c r="A14" s="10" t="s">
        <v>34</v>
      </c>
      <c r="B14" s="10" t="s">
        <v>18</v>
      </c>
      <c r="C14" s="11">
        <v>8700</v>
      </c>
      <c r="D14" s="8" t="s">
        <v>20</v>
      </c>
      <c r="E14" s="7" t="s">
        <v>76</v>
      </c>
    </row>
    <row r="15" spans="1:5" s="9" customFormat="1" ht="12.95">
      <c r="A15" s="10" t="s">
        <v>77</v>
      </c>
      <c r="B15" s="10" t="s">
        <v>18</v>
      </c>
      <c r="C15" s="11">
        <v>8700</v>
      </c>
      <c r="D15" s="8" t="s">
        <v>20</v>
      </c>
      <c r="E15" s="7" t="s">
        <v>78</v>
      </c>
    </row>
    <row r="16" spans="1:5" s="9" customFormat="1" ht="12.95">
      <c r="A16" s="10" t="s">
        <v>31</v>
      </c>
      <c r="B16" s="10" t="s">
        <v>18</v>
      </c>
      <c r="C16" s="11">
        <v>8700</v>
      </c>
      <c r="D16" s="8" t="s">
        <v>20</v>
      </c>
      <c r="E16" s="7" t="s">
        <v>79</v>
      </c>
    </row>
    <row r="17" spans="1:5" s="9" customFormat="1" ht="12.95">
      <c r="A17" s="10" t="s">
        <v>28</v>
      </c>
      <c r="B17" s="10" t="s">
        <v>18</v>
      </c>
      <c r="C17" s="11">
        <v>8700</v>
      </c>
      <c r="D17" s="8" t="s">
        <v>20</v>
      </c>
      <c r="E17" s="7" t="s">
        <v>80</v>
      </c>
    </row>
    <row r="18" spans="1:5" s="9" customFormat="1" ht="12.95">
      <c r="A18" s="10" t="s">
        <v>81</v>
      </c>
      <c r="B18" s="10" t="s">
        <v>18</v>
      </c>
      <c r="C18" s="11">
        <v>8700</v>
      </c>
      <c r="D18" s="8" t="s">
        <v>20</v>
      </c>
      <c r="E18" s="7" t="s">
        <v>82</v>
      </c>
    </row>
    <row r="19" spans="1:5" s="9" customFormat="1" ht="12.95">
      <c r="A19" s="10" t="s">
        <v>83</v>
      </c>
      <c r="B19" s="10" t="s">
        <v>18</v>
      </c>
      <c r="C19" s="11">
        <v>8700</v>
      </c>
      <c r="D19" s="8" t="s">
        <v>20</v>
      </c>
      <c r="E19" s="7" t="s">
        <v>84</v>
      </c>
    </row>
    <row r="20" spans="1:5" s="9" customFormat="1" ht="12.95">
      <c r="A20" s="10" t="s">
        <v>17</v>
      </c>
      <c r="B20" s="10" t="s">
        <v>18</v>
      </c>
      <c r="C20" s="11">
        <v>8700</v>
      </c>
      <c r="D20" s="8" t="s">
        <v>20</v>
      </c>
      <c r="E20" s="7" t="s">
        <v>21</v>
      </c>
    </row>
    <row r="21" spans="1:5" s="9" customFormat="1" ht="12.95">
      <c r="A21" s="10" t="s">
        <v>85</v>
      </c>
      <c r="B21" s="10" t="s">
        <v>18</v>
      </c>
      <c r="C21" s="11">
        <v>8700</v>
      </c>
      <c r="D21" s="8" t="s">
        <v>20</v>
      </c>
      <c r="E21" s="7" t="s">
        <v>86</v>
      </c>
    </row>
    <row r="22" spans="1:5" s="9" customFormat="1" ht="12.95">
      <c r="A22" s="10" t="s">
        <v>39</v>
      </c>
      <c r="B22" s="10" t="s">
        <v>18</v>
      </c>
      <c r="C22" s="11">
        <v>8700</v>
      </c>
      <c r="D22" s="8" t="s">
        <v>20</v>
      </c>
      <c r="E22" s="7" t="s">
        <v>87</v>
      </c>
    </row>
    <row r="23" spans="1:5" s="9" customFormat="1" ht="12.95">
      <c r="A23" s="10" t="s">
        <v>88</v>
      </c>
      <c r="B23" s="10" t="s">
        <v>18</v>
      </c>
      <c r="C23" s="11">
        <v>8700</v>
      </c>
      <c r="D23" s="8" t="s">
        <v>20</v>
      </c>
      <c r="E23" s="7" t="s">
        <v>89</v>
      </c>
    </row>
    <row r="24" spans="1:5" s="9" customFormat="1" ht="12.95">
      <c r="A24" s="10" t="s">
        <v>90</v>
      </c>
      <c r="B24" s="10" t="s">
        <v>18</v>
      </c>
      <c r="C24" s="11">
        <v>8700</v>
      </c>
      <c r="D24" s="8" t="s">
        <v>20</v>
      </c>
      <c r="E24" s="7" t="s">
        <v>91</v>
      </c>
    </row>
    <row r="25" spans="1:5" s="9" customFormat="1" ht="12.95">
      <c r="A25" s="10" t="s">
        <v>37</v>
      </c>
      <c r="B25" s="10" t="s">
        <v>18</v>
      </c>
      <c r="C25" s="11">
        <v>8700</v>
      </c>
      <c r="D25" s="8" t="s">
        <v>20</v>
      </c>
      <c r="E25" s="7" t="s">
        <v>92</v>
      </c>
    </row>
    <row r="26" spans="1:5" s="9" customFormat="1" ht="12.95">
      <c r="A26" s="10" t="s">
        <v>93</v>
      </c>
      <c r="B26" s="10" t="s">
        <v>18</v>
      </c>
      <c r="C26" s="11">
        <v>8700</v>
      </c>
      <c r="D26" s="8" t="s">
        <v>20</v>
      </c>
      <c r="E26" s="7" t="s">
        <v>94</v>
      </c>
    </row>
    <row r="27" spans="1:5" s="9" customFormat="1" ht="12.95">
      <c r="A27" s="10" t="s">
        <v>95</v>
      </c>
      <c r="B27" s="10" t="s">
        <v>18</v>
      </c>
      <c r="C27" s="11">
        <v>8700</v>
      </c>
      <c r="D27" s="8" t="s">
        <v>20</v>
      </c>
      <c r="E27" s="7" t="s">
        <v>96</v>
      </c>
    </row>
    <row r="28" spans="1:5" s="9" customFormat="1" ht="12.95">
      <c r="A28" s="10" t="s">
        <v>97</v>
      </c>
      <c r="B28" s="10" t="s">
        <v>18</v>
      </c>
      <c r="C28" s="11">
        <v>8700</v>
      </c>
      <c r="D28" s="8" t="s">
        <v>20</v>
      </c>
      <c r="E28" s="7" t="s">
        <v>98</v>
      </c>
    </row>
    <row r="29" spans="1:5" s="9" customFormat="1" ht="12.95">
      <c r="A29" s="10" t="s">
        <v>99</v>
      </c>
      <c r="B29" s="10" t="s">
        <v>18</v>
      </c>
      <c r="C29" s="11">
        <v>8700</v>
      </c>
      <c r="D29" s="8" t="s">
        <v>20</v>
      </c>
      <c r="E29" s="7" t="s">
        <v>100</v>
      </c>
    </row>
    <row r="30" spans="1:5" s="9" customFormat="1" ht="12.95">
      <c r="A30" s="10" t="s">
        <v>101</v>
      </c>
      <c r="B30" s="10" t="s">
        <v>18</v>
      </c>
      <c r="C30" s="11">
        <v>8700</v>
      </c>
      <c r="D30" s="8" t="s">
        <v>20</v>
      </c>
      <c r="E30" s="7" t="s">
        <v>102</v>
      </c>
    </row>
    <row r="31" spans="1:5" s="9" customFormat="1" ht="12.95">
      <c r="A31" s="10" t="s">
        <v>23</v>
      </c>
      <c r="B31" s="10" t="s">
        <v>18</v>
      </c>
      <c r="C31" s="11">
        <v>8700</v>
      </c>
      <c r="D31" s="8" t="s">
        <v>20</v>
      </c>
      <c r="E31" s="7" t="s">
        <v>103</v>
      </c>
    </row>
    <row r="32" spans="1:5" s="9" customFormat="1" ht="12.95">
      <c r="A32" s="10" t="s">
        <v>104</v>
      </c>
      <c r="B32" s="10" t="s">
        <v>18</v>
      </c>
      <c r="C32" s="11">
        <v>8700</v>
      </c>
      <c r="D32" s="8" t="s">
        <v>20</v>
      </c>
      <c r="E32" s="7" t="s">
        <v>105</v>
      </c>
    </row>
    <row r="33" spans="1:5" s="9" customFormat="1" ht="12.95">
      <c r="A33" s="10" t="s">
        <v>106</v>
      </c>
      <c r="B33" s="10" t="s">
        <v>18</v>
      </c>
      <c r="C33" s="11">
        <v>8700</v>
      </c>
      <c r="D33" s="8" t="s">
        <v>20</v>
      </c>
      <c r="E33" s="8" t="s">
        <v>107</v>
      </c>
    </row>
    <row r="34" spans="1:5" s="9" customFormat="1" ht="12.95">
      <c r="A34" s="10" t="s">
        <v>108</v>
      </c>
      <c r="B34" s="10" t="s">
        <v>18</v>
      </c>
      <c r="C34" s="11">
        <v>8700</v>
      </c>
      <c r="D34" s="8" t="s">
        <v>20</v>
      </c>
      <c r="E34" s="8" t="s">
        <v>109</v>
      </c>
    </row>
    <row r="35" spans="1:5" s="9" customFormat="1" ht="12.95">
      <c r="A35" s="10" t="s">
        <v>110</v>
      </c>
      <c r="B35" s="10" t="s">
        <v>18</v>
      </c>
      <c r="C35" s="11">
        <v>8700</v>
      </c>
      <c r="D35" s="8" t="s">
        <v>20</v>
      </c>
      <c r="E35" s="8" t="s">
        <v>111</v>
      </c>
    </row>
    <row r="36" spans="1:5" s="9" customFormat="1" ht="12.95">
      <c r="A36" s="10" t="s">
        <v>112</v>
      </c>
      <c r="B36" s="10" t="s">
        <v>18</v>
      </c>
      <c r="C36" s="11">
        <v>8700</v>
      </c>
      <c r="D36" s="8" t="s">
        <v>20</v>
      </c>
      <c r="E36" s="8" t="s">
        <v>113</v>
      </c>
    </row>
    <row r="37" spans="1:5" s="9" customFormat="1" ht="12.95">
      <c r="A37" s="10" t="s">
        <v>44</v>
      </c>
      <c r="B37" s="10" t="s">
        <v>18</v>
      </c>
      <c r="C37" s="11">
        <v>8700</v>
      </c>
      <c r="D37" s="8" t="s">
        <v>20</v>
      </c>
      <c r="E37" s="8" t="s">
        <v>114</v>
      </c>
    </row>
    <row r="38" spans="1:5" s="9" customFormat="1" ht="12.95"/>
    <row r="39" spans="1:5" s="9" customFormat="1" ht="12.95"/>
    <row r="40" spans="1:5" s="9" customFormat="1" ht="12.95"/>
    <row r="41" spans="1:5" s="9" customFormat="1" ht="12.95"/>
    <row r="42" spans="1:5" s="9" customFormat="1" ht="12.95"/>
    <row r="43" spans="1:5" s="9" customFormat="1" ht="12.95"/>
    <row r="44" spans="1:5" s="9" customFormat="1" ht="12.95"/>
    <row r="45" spans="1:5" s="9" customFormat="1" ht="12.95"/>
    <row r="46" spans="1:5" s="9" customFormat="1" ht="12.95"/>
    <row r="47" spans="1:5" s="9" customFormat="1" ht="12.95"/>
    <row r="48" spans="1:5" s="9" customFormat="1" ht="12.95"/>
    <row r="49" s="9" customFormat="1" ht="12.95"/>
    <row r="50" s="9" customFormat="1" ht="12.95"/>
    <row r="51" s="9" customFormat="1" ht="12.95"/>
    <row r="52" s="9" customFormat="1" ht="12.95"/>
    <row r="53" s="9" customFormat="1" ht="12.95"/>
    <row r="54" s="9" customFormat="1" ht="12.95"/>
    <row r="55" s="9" customFormat="1" ht="12.95"/>
    <row r="56" s="9" customFormat="1" ht="12.95"/>
    <row r="57" s="9" customFormat="1" ht="12.95"/>
    <row r="58" s="9" customFormat="1" ht="12.95"/>
    <row r="59" s="9" customFormat="1" ht="12.95"/>
    <row r="60" s="9" customFormat="1" ht="12.95"/>
    <row r="61" s="9" customFormat="1" ht="12.95"/>
    <row r="62" s="9" customFormat="1" ht="12.95"/>
    <row r="63" s="9" customFormat="1" ht="12.95"/>
    <row r="64" s="9" customFormat="1" ht="12.95"/>
    <row r="65" s="9" customFormat="1" ht="12.95"/>
    <row r="66" s="9" customFormat="1" ht="12.95"/>
    <row r="67" s="9" customFormat="1" ht="12.95"/>
    <row r="68" s="9" customFormat="1" ht="12.95"/>
    <row r="69" s="9" customFormat="1" ht="12.95"/>
    <row r="70" s="9" customFormat="1" ht="12.95"/>
    <row r="71" s="9" customFormat="1" ht="12.95"/>
    <row r="72" s="9" customFormat="1" ht="12.95"/>
    <row r="73" s="9" customFormat="1" ht="12.95"/>
    <row r="74" s="9" customFormat="1" ht="12.95"/>
    <row r="75" s="9" customFormat="1" ht="12.95"/>
    <row r="76" s="9" customFormat="1" ht="12.95"/>
    <row r="77" s="9" customFormat="1" ht="12.95"/>
    <row r="78" s="9" customFormat="1" ht="12.95"/>
    <row r="79" s="9" customFormat="1" ht="12.95"/>
    <row r="80" s="9" customFormat="1" ht="12.95"/>
    <row r="81" s="9" customFormat="1" ht="12.95"/>
    <row r="82" s="9" customFormat="1" ht="12.95"/>
    <row r="83" s="9" customFormat="1" ht="12.95"/>
    <row r="84" s="9" customFormat="1" ht="12.95"/>
    <row r="85" s="9" customFormat="1" ht="12.95"/>
    <row r="86" s="9" customFormat="1" ht="12.95"/>
    <row r="87" s="9" customFormat="1" ht="12.95"/>
    <row r="88" s="9" customFormat="1" ht="12.95"/>
    <row r="89" s="9" customFormat="1" ht="12.95"/>
    <row r="90" s="9" customFormat="1" ht="12.95"/>
    <row r="91" s="9" customFormat="1" ht="12.95"/>
    <row r="92" s="9" customFormat="1" ht="12.95"/>
    <row r="93" s="9" customFormat="1" ht="12.95"/>
    <row r="94" s="9" customFormat="1" ht="12.95"/>
    <row r="95" s="9" customFormat="1" ht="12.95"/>
    <row r="96" s="9" customFormat="1" ht="12.95"/>
    <row r="97" s="9" customFormat="1" ht="12.95"/>
    <row r="98" s="9" customFormat="1" ht="12.95"/>
    <row r="99" s="9" customFormat="1" ht="12.95"/>
    <row r="100" s="9" customFormat="1" ht="12.95"/>
    <row r="101" s="9" customFormat="1" ht="12.95"/>
    <row r="102" s="9" customFormat="1" ht="12.95"/>
    <row r="103" s="9" customFormat="1" ht="12.95"/>
    <row r="104" s="9" customFormat="1" ht="12.95"/>
    <row r="105" s="9" customFormat="1" ht="12.95"/>
    <row r="106" s="9" customFormat="1" ht="12.95"/>
    <row r="107" s="9" customFormat="1" ht="12.95"/>
    <row r="108" s="9" customFormat="1" ht="12.95"/>
    <row r="109" s="9" customFormat="1" ht="12.95"/>
    <row r="110" s="9" customFormat="1" ht="12.95"/>
    <row r="111" s="9" customFormat="1" ht="12.95"/>
    <row r="112" s="9" customFormat="1" ht="12.95"/>
    <row r="113" s="9" customFormat="1" ht="12.95"/>
    <row r="114" s="9" customFormat="1" ht="12.95"/>
    <row r="115" s="9" customFormat="1" ht="12.95"/>
    <row r="116" s="9" customFormat="1" ht="12.95"/>
    <row r="117" s="9" customFormat="1" ht="12.95"/>
    <row r="118" s="9" customFormat="1" ht="12.95"/>
    <row r="119" s="9" customFormat="1" ht="12.95"/>
    <row r="120" s="9" customFormat="1" ht="12.95"/>
    <row r="121" s="9" customFormat="1" ht="12.95"/>
    <row r="122" s="9" customFormat="1" ht="12.95"/>
    <row r="123" s="9" customFormat="1" ht="12.95"/>
    <row r="124" s="9" customFormat="1" ht="12.95"/>
    <row r="125" s="9" customFormat="1" ht="12.95"/>
    <row r="126" s="9" customFormat="1" ht="12.95"/>
  </sheetData>
  <sheetProtection sheet="1" objects="1" scenario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A93BE-7DCE-44E1-B2DF-AE9AC2B871C8}"/>
</file>

<file path=customXml/itemProps2.xml><?xml version="1.0" encoding="utf-8"?>
<ds:datastoreItem xmlns:ds="http://schemas.openxmlformats.org/officeDocument/2006/customXml" ds:itemID="{A9931724-764A-437D-A76D-A9125C8A41B1}"/>
</file>

<file path=customXml/itemProps3.xml><?xml version="1.0" encoding="utf-8"?>
<ds:datastoreItem xmlns:ds="http://schemas.openxmlformats.org/officeDocument/2006/customXml" ds:itemID="{30D65FA6-526A-4B4E-BED5-528CB0349D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Kirk Del Rosario</cp:lastModifiedBy>
  <cp:revision/>
  <dcterms:created xsi:type="dcterms:W3CDTF">2016-01-06T16:54:57Z</dcterms:created>
  <dcterms:modified xsi:type="dcterms:W3CDTF">2022-07-19T01:22:23Z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3579200</vt:r8>
  </property>
  <property fmtid="{D5CDD505-2E9C-101B-9397-08002B2CF9AE}" pid="4" name="MediaServiceImageTags">
    <vt:lpwstr/>
  </property>
</Properties>
</file>