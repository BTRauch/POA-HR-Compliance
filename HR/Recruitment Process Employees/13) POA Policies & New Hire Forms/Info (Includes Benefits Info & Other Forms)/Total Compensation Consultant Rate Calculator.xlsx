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126"/>
  <workbookPr defaultThemeVersion="124226"/>
  <mc:AlternateContent xmlns:mc="http://schemas.openxmlformats.org/markup-compatibility/2006">
    <mc:Choice Requires="x15">
      <x15ac:absPath xmlns:x15ac="http://schemas.microsoft.com/office/spreadsheetml/2010/11/ac" url="https://partnersnet107.sharepoint.com/sites/FA/Organizational FA/HR/New Hire Staff/New Hire (Includes Benefits Info &amp; Other Forms)/"/>
    </mc:Choice>
  </mc:AlternateContent>
  <xr:revisionPtr revIDLastSave="121" documentId="11_734D12AF21D0089079ED98D5B7C3BE9A04E4A893" xr6:coauthVersionLast="47" xr6:coauthVersionMax="47" xr10:uidLastSave="{1C9FC2EB-9582-4564-94C4-246CB294EDD7}"/>
  <bookViews>
    <workbookView xWindow="-28920" yWindow="2055" windowWidth="29040" windowHeight="15840"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8" i="1" l="1"/>
  <c r="C29" i="1"/>
  <c r="B28" i="1"/>
  <c r="B29" i="1"/>
  <c r="C30" i="1"/>
  <c r="C23" i="1"/>
  <c r="B23" i="1"/>
  <c r="C14" i="1"/>
  <c r="B14" i="1"/>
  <c r="C33" i="1"/>
  <c r="C32" i="1"/>
  <c r="C31" i="1"/>
  <c r="C22" i="1"/>
  <c r="C21" i="1"/>
  <c r="C19" i="1"/>
  <c r="C13" i="1"/>
  <c r="C12" i="1"/>
  <c r="C16" i="1" l="1"/>
  <c r="C38" i="1" s="1"/>
  <c r="E38" i="1" s="1"/>
  <c r="C34" i="1"/>
  <c r="C24" i="1"/>
  <c r="B33" i="1"/>
  <c r="B30" i="1"/>
  <c r="B31" i="1"/>
  <c r="C36" i="1" l="1"/>
  <c r="B32" i="1"/>
  <c r="B34" i="1" s="1"/>
  <c r="B22" i="1"/>
  <c r="B21" i="1"/>
  <c r="B19" i="1"/>
  <c r="B13" i="1"/>
  <c r="B12" i="1"/>
  <c r="B24" i="1" l="1"/>
  <c r="B16" i="1"/>
  <c r="B36" i="1" l="1"/>
  <c r="B38" i="1"/>
</calcChain>
</file>

<file path=xl/sharedStrings.xml><?xml version="1.0" encoding="utf-8"?>
<sst xmlns="http://schemas.openxmlformats.org/spreadsheetml/2006/main" count="40" uniqueCount="38">
  <si>
    <t>Contribution</t>
  </si>
  <si>
    <t>HEALTH &amp; WELFARE BENEFITS</t>
  </si>
  <si>
    <t>Long-Term Disability</t>
  </si>
  <si>
    <t>PAID LEAVE BENEFITS</t>
  </si>
  <si>
    <t xml:space="preserve">Social Security </t>
  </si>
  <si>
    <t>Medicare</t>
  </si>
  <si>
    <t>Workers Compensation</t>
  </si>
  <si>
    <t>TOTAL VALUE OF EMPLOYER-PROVIDED BENEFITS</t>
  </si>
  <si>
    <t>This example total compensation summary is for informational purposes only.  Actual compensation and value of benefits can vary based on many factors. For more detailed and complete information about any of these benefits, please consult the Employee Manual or with the Finance and Administration Office.</t>
  </si>
  <si>
    <t>ANNUAL SALARY</t>
  </si>
  <si>
    <t>Other (Bereavement, Jury Duty, Maternity, etc.)</t>
  </si>
  <si>
    <t>Holidays (10 days, Federal Holidays)</t>
  </si>
  <si>
    <t>Local Unemployment Insurance and Administrative Costs</t>
  </si>
  <si>
    <t>BENEFITS SUMMARY</t>
  </si>
  <si>
    <t>(*Paid leave is included in annual salary, and therefore omitted from this calculation.)</t>
  </si>
  <si>
    <t>Sick Leave (13 days per year)</t>
  </si>
  <si>
    <t>Vacation/Annual Leave* (15 days per year)</t>
  </si>
  <si>
    <t>TOTAL ANNUAL COMPENSATION*</t>
  </si>
  <si>
    <t>Annual Company</t>
  </si>
  <si>
    <t>FEDERAL AND STATE-MANDATED BENEFITS*</t>
  </si>
  <si>
    <t>TOTAL</t>
  </si>
  <si>
    <t>(*After 3 years of employment increases to 20 days per year.)</t>
  </si>
  <si>
    <t>403(b) Retirement Plan*</t>
  </si>
  <si>
    <t>(*Does not take into consideration pre-tax withholdings such as insurance premiums, transit benefits, retirement contributions or flex-spending/dependent care.)</t>
  </si>
  <si>
    <t>Life Insurance ($100,000 individual coverage)</t>
  </si>
  <si>
    <t>Medical, Dental, Rx - Selection of Individual or Family Plan from Providers: Kaiser Permanente, CareFirst, United HealthCare and Dental UNUM (PPO) Plan</t>
  </si>
  <si>
    <t>(*Employee can defer at any time.  Employer match contributions of up to 10% begin on a quarterly basis after 1 year of employment if employee has worked at least 1,000 hours.)</t>
  </si>
  <si>
    <t>DC Family Paid Leave</t>
  </si>
  <si>
    <t xml:space="preserve">Consultant </t>
  </si>
  <si>
    <t>Rate</t>
  </si>
  <si>
    <t>Rate is an average paid for by Partners for individuals 30-45</t>
  </si>
  <si>
    <t>Assuming 10 days of other leave</t>
  </si>
  <si>
    <t>Dental Plan Coverage</t>
  </si>
  <si>
    <t>Assuming individual</t>
  </si>
  <si>
    <t>Consultant Hourly Rate (on an yearly basis)</t>
  </si>
  <si>
    <t>Loss of Pre-tax Benefits and State withholdings</t>
  </si>
  <si>
    <t>Assuming 7.5% average</t>
  </si>
  <si>
    <t>Note this occurs after one year, also assuming full 10% match for entire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</si>
</sst>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00_);_(&quot;$&quot;* \(#,##0.00\);_(&quot;$&quot;* &quot;-&quot;??_);_(@_)"/>
  </numFmts>
  <fonts count="10" x14ac:knownFonts="1">
    <font>
      <sz val="11"/>
      <color theme="1"/>
      <name val="Calibri"/>
      <family val="2"/>
      <scheme val="minor"/>
    </font>
    <font>
      <sz val="11"/>
      <color theme="1"/>
      <name val="Calibri"/>
      <family val="2"/>
      <scheme val="minor"/>
    </font>
    <font>
      <sz val="8"/>
      <color theme="1"/>
      <name val="Cambria"/>
      <family val="1"/>
      <scheme val="major"/>
    </font>
    <font>
      <sz val="12"/>
      <color theme="1"/>
      <name val="Cambria"/>
      <family val="1"/>
      <scheme val="major"/>
    </font>
    <font>
      <sz val="12"/>
      <color theme="1"/>
      <name val="Calibri"/>
      <family val="2"/>
      <scheme val="minor"/>
    </font>
    <font>
      <b/>
      <sz val="12"/>
      <color theme="1"/>
      <name val="Cambria"/>
      <family val="1"/>
      <scheme val="major"/>
    </font>
    <font>
      <b/>
      <sz val="18"/>
      <color theme="1"/>
      <name val="Cambria"/>
      <family val="1"/>
      <scheme val="major"/>
    </font>
    <font>
      <sz val="18"/>
      <color theme="1"/>
      <name val="Cambria"/>
      <family val="1"/>
      <scheme val="major"/>
    </font>
    <font>
      <sz val="10"/>
      <color theme="1"/>
      <name val="Cambria"/>
      <family val="1"/>
      <scheme val="major"/>
    </font>
    <font>
      <b/>
      <u val="doubleAccounting"/>
      <sz val="12"/>
      <color theme="1"/>
      <name val="Cambria"/>
      <family val="1"/>
      <scheme val="major"/>
    </font>
  </fonts>
  <fills count="3">
    <fill>
      <patternFill patternType="none"/>
    </fill>
    <fill>
      <patternFill patternType="gray125"/>
    </fill>
    <fill>
      <patternFill patternType="solid">
        <fgColor rgb="FFFFFF00"/>
        <bgColor indexed="64"/>
      </patternFill>
    </fill>
  </fills>
  <borders count="4">
    <border>
      <left/>
      <right/>
      <top/>
      <bottom/>
      <diagonal/>
    </border>
    <border>
      <left/>
      <right/>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25">
    <xf numFmtId="0" fontId="0" fillId="0" borderId="0" xfId="0"/>
    <xf numFmtId="0" fontId="2" fillId="0" borderId="0" xfId="0" applyFont="1"/>
    <xf numFmtId="0" fontId="3" fillId="0" borderId="0" xfId="0" applyFont="1"/>
    <xf numFmtId="164" fontId="3" fillId="0" borderId="0" xfId="1" applyFont="1"/>
    <xf numFmtId="0" fontId="4" fillId="0" borderId="0" xfId="0" applyFont="1"/>
    <xf numFmtId="164" fontId="5" fillId="0" borderId="1" xfId="1" applyFont="1" applyBorder="1"/>
    <xf numFmtId="0" fontId="5" fillId="0" borderId="0" xfId="0" applyFont="1"/>
    <xf numFmtId="0" fontId="5" fillId="0" borderId="1" xfId="0" applyFont="1" applyBorder="1" applyAlignment="1">
      <alignment horizontal="right"/>
    </xf>
    <xf numFmtId="0" fontId="5" fillId="0" borderId="0" xfId="0" applyFont="1" applyAlignment="1">
      <alignment horizontal="right"/>
    </xf>
    <xf numFmtId="0" fontId="6" fillId="0" borderId="1" xfId="0" applyFont="1" applyBorder="1"/>
    <xf numFmtId="164" fontId="7" fillId="0" borderId="1" xfId="1" applyFont="1" applyBorder="1"/>
    <xf numFmtId="164" fontId="9" fillId="0" borderId="0" xfId="1" applyFont="1" applyBorder="1" applyAlignment="1">
      <alignment horizontal="center"/>
    </xf>
    <xf numFmtId="0" fontId="2" fillId="0" borderId="0" xfId="0" applyFont="1" applyAlignment="1">
      <alignment vertical="top" wrapText="1"/>
    </xf>
    <xf numFmtId="0" fontId="2" fillId="0" borderId="0" xfId="0" applyFont="1" applyAlignment="1">
      <alignment horizontal="right" vertical="top"/>
    </xf>
    <xf numFmtId="0" fontId="5" fillId="0" borderId="0" xfId="0" applyFont="1" applyAlignment="1">
      <alignment horizontal="right" vertical="center"/>
    </xf>
    <xf numFmtId="164" fontId="9" fillId="0" borderId="3" xfId="1" applyFont="1" applyBorder="1" applyAlignment="1">
      <alignment vertical="center"/>
    </xf>
    <xf numFmtId="164" fontId="5" fillId="0" borderId="0" xfId="1" applyFont="1" applyAlignment="1">
      <alignment horizontal="center"/>
    </xf>
    <xf numFmtId="0" fontId="3" fillId="0" borderId="0" xfId="0" applyFont="1" applyAlignment="1">
      <alignment wrapText="1"/>
    </xf>
    <xf numFmtId="164" fontId="3" fillId="0" borderId="0" xfId="1" applyFont="1" applyAlignment="1">
      <alignment horizontal="left" wrapText="1"/>
    </xf>
    <xf numFmtId="164" fontId="5" fillId="0" borderId="0" xfId="1" applyFont="1" applyAlignment="1">
      <alignment horizontal="left"/>
    </xf>
    <xf numFmtId="164" fontId="5" fillId="2" borderId="1" xfId="1" applyFont="1" applyFill="1" applyBorder="1"/>
    <xf numFmtId="9" fontId="3" fillId="0" borderId="0" xfId="2" applyFont="1"/>
    <xf numFmtId="0" fontId="8" fillId="0" borderId="2" xfId="0" applyFont="1" applyBorder="1" applyAlignment="1">
      <alignment horizontal="left" vertical="top" wrapText="1"/>
    </xf>
    <xf numFmtId="164" fontId="3" fillId="0" borderId="0" xfId="1" applyFont="1" applyBorder="1" applyAlignment="1">
      <alignment horizontal="left" wrapText="1"/>
    </xf>
    <xf numFmtId="164" fontId="3" fillId="0" borderId="1" xfId="1" applyFont="1" applyBorder="1" applyAlignment="1">
      <alignment horizontal="left" wrapText="1"/>
    </xf>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104775</xdr:colOff>
      <xdr:row>0</xdr:row>
      <xdr:rowOff>66675</xdr:rowOff>
    </xdr:from>
    <xdr:to>
      <xdr:col>0</xdr:col>
      <xdr:colOff>3469261</xdr:colOff>
      <xdr:row>0</xdr:row>
      <xdr:rowOff>819150</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775" y="66675"/>
          <a:ext cx="3364486" cy="752475"/>
        </a:xfrm>
        <a:prstGeom prst="rect">
          <a:avLst/>
        </a:prstGeom>
      </xdr:spPr>
    </xdr:pic>
    <xdr:clientData/>
  </xdr:twoCellAnchor>
  <xdr:twoCellAnchor editAs="oneCell">
    <xdr:from>
      <xdr:col>0</xdr:col>
      <xdr:colOff>3739515</xdr:colOff>
      <xdr:row>40</xdr:row>
      <xdr:rowOff>17145</xdr:rowOff>
    </xdr:from>
    <xdr:to>
      <xdr:col>2</xdr:col>
      <xdr:colOff>1559560</xdr:colOff>
      <xdr:row>41</xdr:row>
      <xdr:rowOff>100330</xdr:rowOff>
    </xdr:to>
    <xdr:pic>
      <xdr:nvPicPr>
        <xdr:cNvPr id="4" name="Picture 3">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739515" y="9519285"/>
          <a:ext cx="4525645" cy="28130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46"/>
  <sheetViews>
    <sheetView tabSelected="1" topLeftCell="A9" workbookViewId="0">
      <selection activeCell="E34" sqref="E34"/>
    </sheetView>
  </sheetViews>
  <sheetFormatPr defaultColWidth="9.08984375" defaultRowHeight="15.5" x14ac:dyDescent="0.35"/>
  <cols>
    <col min="1" max="1" width="73.1796875" style="2" customWidth="1"/>
    <col min="2" max="3" width="24.54296875" style="3" customWidth="1"/>
    <col min="4" max="4" width="9.08984375" style="4"/>
    <col min="5" max="5" width="47.6328125" style="4" bestFit="1" customWidth="1"/>
    <col min="6" max="16384" width="9.08984375" style="4"/>
  </cols>
  <sheetData>
    <row r="1" spans="1:4" ht="72" customHeight="1" x14ac:dyDescent="0.35"/>
    <row r="2" spans="1:4" ht="22.5" x14ac:dyDescent="0.45">
      <c r="A2" s="9" t="s">
        <v>13</v>
      </c>
      <c r="B2" s="10"/>
      <c r="C2" s="10"/>
    </row>
    <row r="3" spans="1:4" ht="54.75" customHeight="1" x14ac:dyDescent="0.35">
      <c r="A3" s="22" t="s">
        <v>8</v>
      </c>
      <c r="B3" s="22"/>
      <c r="C3" s="4"/>
    </row>
    <row r="4" spans="1:4" x14ac:dyDescent="0.35">
      <c r="B4" s="16" t="s">
        <v>18</v>
      </c>
      <c r="C4" s="16" t="s">
        <v>28</v>
      </c>
    </row>
    <row r="5" spans="1:4" x14ac:dyDescent="0.35">
      <c r="B5" s="16" t="s">
        <v>0</v>
      </c>
      <c r="C5" s="16" t="s">
        <v>29</v>
      </c>
    </row>
    <row r="7" spans="1:4" x14ac:dyDescent="0.35">
      <c r="A7" s="7" t="s">
        <v>9</v>
      </c>
      <c r="B7" s="5">
        <v>50000</v>
      </c>
      <c r="C7" s="5">
        <v>50000</v>
      </c>
    </row>
    <row r="9" spans="1:4" x14ac:dyDescent="0.35">
      <c r="A9" s="6" t="s">
        <v>1</v>
      </c>
    </row>
    <row r="10" spans="1:4" x14ac:dyDescent="0.35">
      <c r="A10" s="17" t="s">
        <v>32</v>
      </c>
      <c r="B10" s="18">
        <v>29.2</v>
      </c>
      <c r="C10" s="18">
        <v>29.2</v>
      </c>
      <c r="D10" s="4" t="s">
        <v>33</v>
      </c>
    </row>
    <row r="11" spans="1:4" ht="34.25" customHeight="1" x14ac:dyDescent="0.35">
      <c r="A11" s="17" t="s">
        <v>25</v>
      </c>
      <c r="B11" s="18">
        <v>375</v>
      </c>
      <c r="C11" s="18">
        <v>375</v>
      </c>
      <c r="D11" s="4" t="s">
        <v>30</v>
      </c>
    </row>
    <row r="12" spans="1:4" x14ac:dyDescent="0.35">
      <c r="A12" s="2" t="s">
        <v>2</v>
      </c>
      <c r="B12" s="3">
        <f>B7*0.003</f>
        <v>150</v>
      </c>
      <c r="C12" s="3">
        <f>C7*0.003</f>
        <v>150</v>
      </c>
    </row>
    <row r="13" spans="1:4" x14ac:dyDescent="0.35">
      <c r="A13" s="2" t="s">
        <v>24</v>
      </c>
      <c r="B13" s="3">
        <f>18*12</f>
        <v>216</v>
      </c>
      <c r="C13" s="3">
        <f>18*12</f>
        <v>216</v>
      </c>
    </row>
    <row r="14" spans="1:4" ht="15.65" customHeight="1" x14ac:dyDescent="0.35">
      <c r="A14" s="2" t="s">
        <v>22</v>
      </c>
      <c r="B14" s="23">
        <f>B7*0.1</f>
        <v>5000</v>
      </c>
      <c r="C14" s="23">
        <f>C7*0.1</f>
        <v>5000</v>
      </c>
      <c r="D14" s="4" t="s">
        <v>37</v>
      </c>
    </row>
    <row r="15" spans="1:4" ht="21" x14ac:dyDescent="0.35">
      <c r="A15" s="12" t="s">
        <v>26</v>
      </c>
      <c r="B15" s="24"/>
      <c r="C15" s="24"/>
    </row>
    <row r="16" spans="1:4" x14ac:dyDescent="0.35">
      <c r="A16" s="7" t="s">
        <v>20</v>
      </c>
      <c r="B16" s="5">
        <f>SUM(B11:B15)</f>
        <v>5741</v>
      </c>
      <c r="C16" s="5">
        <f>SUM(C11:C15)</f>
        <v>5741</v>
      </c>
    </row>
    <row r="18" spans="1:4" x14ac:dyDescent="0.35">
      <c r="A18" s="6" t="s">
        <v>3</v>
      </c>
    </row>
    <row r="19" spans="1:4" x14ac:dyDescent="0.35">
      <c r="A19" s="2" t="s">
        <v>16</v>
      </c>
      <c r="B19" s="3">
        <f>($B$7/2080)*120</f>
        <v>2884.6153846153848</v>
      </c>
      <c r="C19" s="3">
        <f>($B$7/2080)*120</f>
        <v>2884.6153846153848</v>
      </c>
    </row>
    <row r="20" spans="1:4" x14ac:dyDescent="0.35">
      <c r="A20" s="1" t="s">
        <v>21</v>
      </c>
    </row>
    <row r="21" spans="1:4" x14ac:dyDescent="0.35">
      <c r="A21" s="2" t="s">
        <v>15</v>
      </c>
      <c r="B21" s="3">
        <f>($B$7/2080)*104</f>
        <v>2500</v>
      </c>
      <c r="C21" s="3">
        <f>($B$7/2080)*104</f>
        <v>2500</v>
      </c>
    </row>
    <row r="22" spans="1:4" x14ac:dyDescent="0.35">
      <c r="A22" s="2" t="s">
        <v>11</v>
      </c>
      <c r="B22" s="3">
        <f>($B$7/2080)*80</f>
        <v>1923.0769230769233</v>
      </c>
      <c r="C22" s="3">
        <f>($B$7/2080)*80</f>
        <v>1923.0769230769233</v>
      </c>
    </row>
    <row r="23" spans="1:4" x14ac:dyDescent="0.35">
      <c r="A23" s="2" t="s">
        <v>10</v>
      </c>
      <c r="B23" s="3">
        <f>($B$7/2080)*80</f>
        <v>1923.0769230769233</v>
      </c>
      <c r="C23" s="3">
        <f>($B$7/2080)*80</f>
        <v>1923.0769230769233</v>
      </c>
      <c r="D23" s="4" t="s">
        <v>31</v>
      </c>
    </row>
    <row r="24" spans="1:4" x14ac:dyDescent="0.35">
      <c r="A24" s="7" t="s">
        <v>20</v>
      </c>
      <c r="B24" s="5">
        <f>SUM(B19:B23)</f>
        <v>9230.7692307692323</v>
      </c>
      <c r="C24" s="5">
        <f>SUM(C19:C23)</f>
        <v>9230.7692307692323</v>
      </c>
    </row>
    <row r="26" spans="1:4" x14ac:dyDescent="0.35">
      <c r="A26" s="6" t="s">
        <v>19</v>
      </c>
    </row>
    <row r="27" spans="1:4" ht="23.25" customHeight="1" x14ac:dyDescent="0.35">
      <c r="A27" s="12" t="s">
        <v>23</v>
      </c>
    </row>
    <row r="28" spans="1:4" x14ac:dyDescent="0.35">
      <c r="A28" s="2" t="s">
        <v>35</v>
      </c>
      <c r="B28" s="3">
        <f>B7*0</f>
        <v>0</v>
      </c>
      <c r="C28" s="3">
        <f>C7*0.075</f>
        <v>3750</v>
      </c>
      <c r="D28" s="4" t="s">
        <v>36</v>
      </c>
    </row>
    <row r="29" spans="1:4" x14ac:dyDescent="0.35">
      <c r="A29" s="2" t="s">
        <v>4</v>
      </c>
      <c r="B29" s="3">
        <f>B7*0.062</f>
        <v>3100</v>
      </c>
      <c r="C29" s="3">
        <f>C7*0.062*2</f>
        <v>6200</v>
      </c>
    </row>
    <row r="30" spans="1:4" x14ac:dyDescent="0.35">
      <c r="A30" s="2" t="s">
        <v>5</v>
      </c>
      <c r="B30" s="3">
        <f>B7*0.0145</f>
        <v>725</v>
      </c>
      <c r="C30" s="3">
        <f>C7*0.0145*2</f>
        <v>1450</v>
      </c>
    </row>
    <row r="31" spans="1:4" x14ac:dyDescent="0.35">
      <c r="A31" s="2" t="s">
        <v>12</v>
      </c>
      <c r="B31" s="3">
        <f>(B7*0.016)+(B7*0.002)</f>
        <v>900</v>
      </c>
      <c r="C31" s="3">
        <f>(C7*0.016)+(C7*0.002)</f>
        <v>900</v>
      </c>
    </row>
    <row r="32" spans="1:4" x14ac:dyDescent="0.35">
      <c r="A32" s="2" t="s">
        <v>6</v>
      </c>
      <c r="B32" s="3">
        <f>B7*0.0015</f>
        <v>75</v>
      </c>
      <c r="C32" s="3">
        <f>C7*0.0015</f>
        <v>75</v>
      </c>
    </row>
    <row r="33" spans="1:5" x14ac:dyDescent="0.35">
      <c r="A33" s="2" t="s">
        <v>27</v>
      </c>
      <c r="B33" s="3">
        <f>B7*0.01</f>
        <v>500</v>
      </c>
      <c r="C33" s="3">
        <f>C7*0.01</f>
        <v>500</v>
      </c>
    </row>
    <row r="34" spans="1:5" x14ac:dyDescent="0.35">
      <c r="A34" s="7" t="s">
        <v>20</v>
      </c>
      <c r="B34" s="5">
        <f>SUM(B28:B33)</f>
        <v>5300</v>
      </c>
      <c r="C34" s="5">
        <f>SUM(C28:C33)</f>
        <v>12875</v>
      </c>
    </row>
    <row r="36" spans="1:5" ht="16.5" x14ac:dyDescent="0.45">
      <c r="A36" s="8" t="s">
        <v>7</v>
      </c>
      <c r="B36" s="11">
        <f>B16+B24+B34</f>
        <v>20271.769230769234</v>
      </c>
      <c r="C36" s="11">
        <f>C16+C24+C34</f>
        <v>27846.769230769234</v>
      </c>
    </row>
    <row r="37" spans="1:5" ht="16" thickBot="1" x14ac:dyDescent="0.4">
      <c r="E37" s="19" t="s">
        <v>34</v>
      </c>
    </row>
    <row r="38" spans="1:5" ht="27.75" customHeight="1" thickBot="1" x14ac:dyDescent="0.4">
      <c r="A38" s="14" t="s">
        <v>17</v>
      </c>
      <c r="B38" s="15">
        <f>B7+B16+B34</f>
        <v>61041</v>
      </c>
      <c r="C38" s="15">
        <f>C7+C16+C34</f>
        <v>68616</v>
      </c>
      <c r="E38" s="20">
        <f>C38/2080</f>
        <v>32.988461538461536</v>
      </c>
    </row>
    <row r="39" spans="1:5" x14ac:dyDescent="0.35">
      <c r="A39" s="13" t="s">
        <v>14</v>
      </c>
    </row>
    <row r="46" spans="1:5" x14ac:dyDescent="0.35">
      <c r="B46" s="21"/>
    </row>
  </sheetData>
  <mergeCells count="3">
    <mergeCell ref="A3:B3"/>
    <mergeCell ref="B14:B15"/>
    <mergeCell ref="C14:C15"/>
  </mergeCells>
  <pageMargins left="0.7" right="0.7" top="0.75" bottom="0.75" header="0.3" footer="0.3"/>
  <pageSetup scale="97"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2466082-b6bf-4153-98c3-3c41e85fda18">
      <Terms xmlns="http://schemas.microsoft.com/office/infopath/2007/PartnerControls"/>
    </lcf76f155ced4ddcb4097134ff3c332f>
    <TaxCatchAll xmlns="dc808d36-874f-4b27-aec2-2fd64981792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3206C8355D678A459F2EF8957171B231" ma:contentTypeVersion="18" ma:contentTypeDescription="Crear nuevo documento." ma:contentTypeScope="" ma:versionID="d57cbf8bb45c5289c7e473ed1a37fbd9">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26ec42693e457ba148cfdd4b23c931cd"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DC021BD-A0C8-40DD-854E-8C3C91FEAC0C}">
  <ds:schemaRefs>
    <ds:schemaRef ds:uri="http://schemas.microsoft.com/sharepoint/v3/contenttype/forms"/>
  </ds:schemaRefs>
</ds:datastoreItem>
</file>

<file path=customXml/itemProps2.xml><?xml version="1.0" encoding="utf-8"?>
<ds:datastoreItem xmlns:ds="http://schemas.openxmlformats.org/officeDocument/2006/customXml" ds:itemID="{F1FAD020-723E-42CD-A1ED-49C77DF5EE61}">
  <ds:schemaRefs>
    <ds:schemaRef ds:uri="http://purl.org/dc/terms/"/>
    <ds:schemaRef ds:uri="http://schemas.openxmlformats.org/package/2006/metadata/core-properties"/>
    <ds:schemaRef ds:uri="http://purl.org/dc/dcmitype/"/>
    <ds:schemaRef ds:uri="http://schemas.microsoft.com/office/infopath/2007/PartnerControls"/>
    <ds:schemaRef ds:uri="http://purl.org/dc/elements/1.1/"/>
    <ds:schemaRef ds:uri="http://schemas.microsoft.com/office/2006/documentManagement/types"/>
    <ds:schemaRef ds:uri="41b6ea9f-a3e8-403c-841e-02950e8e8bbc"/>
    <ds:schemaRef ds:uri="http://schemas.microsoft.com/office/2006/metadata/properties"/>
    <ds:schemaRef ds:uri="http://www.w3.org/XML/1998/namespace"/>
    <ds:schemaRef ds:uri="f2466082-b6bf-4153-98c3-3c41e85fda18"/>
    <ds:schemaRef ds:uri="dc808d36-874f-4b27-aec2-2fd649817929"/>
  </ds:schemaRefs>
</ds:datastoreItem>
</file>

<file path=customXml/itemProps3.xml><?xml version="1.0" encoding="utf-8"?>
<ds:datastoreItem xmlns:ds="http://schemas.openxmlformats.org/officeDocument/2006/customXml" ds:itemID="{BA771216-232F-46BB-9F26-0A7CA92D3BF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Jamie M. Trimarchi</dc:creator>
  <cp:lastModifiedBy>Paola Sarmiento</cp:lastModifiedBy>
  <cp:lastPrinted>2012-09-06T13:27:25Z</cp:lastPrinted>
  <dcterms:created xsi:type="dcterms:W3CDTF">2012-01-19T14:05:20Z</dcterms:created>
  <dcterms:modified xsi:type="dcterms:W3CDTF">2024-01-26T19:21:57Z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Order">
    <vt:r8>525400</vt:r8>
  </property>
  <property fmtid="{D5CDD505-2E9C-101B-9397-08002B2CF9AE}" pid="4" name="MediaServiceImageTags">
    <vt:lpwstr/>
  </property>
</Properties>
</file>