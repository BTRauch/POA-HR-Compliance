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New Hire Staff/New Hire (Includes Benefits Info &amp; Other Forms)/"/>
    </mc:Choice>
  </mc:AlternateContent>
  <xr:revisionPtr revIDLastSave="33" documentId="13_ncr:1_{279D6AD9-678B-4B1B-BA53-3716CCA082F4}" xr6:coauthVersionLast="45" xr6:coauthVersionMax="45" xr10:uidLastSave="{F6F339E1-4A36-46DD-A652-DFE4CC96081A}"/>
  <bookViews>
    <workbookView xWindow="33720" yWindow="261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7" i="1" l="1"/>
  <c r="G35" i="1"/>
  <c r="C33" i="1"/>
  <c r="G30" i="1" l="1"/>
  <c r="C31" i="1" l="1"/>
  <c r="C30" i="1"/>
  <c r="C29" i="1"/>
  <c r="C14" i="1"/>
  <c r="C43" i="1" l="1"/>
  <c r="C44" i="1"/>
  <c r="C36" i="1"/>
  <c r="C40" i="1"/>
  <c r="C41" i="1"/>
  <c r="C42" i="1"/>
  <c r="C13" i="1"/>
  <c r="C11" i="1" l="1"/>
  <c r="C10" i="1"/>
  <c r="G29" i="1" s="1"/>
  <c r="G31" i="1" s="1"/>
  <c r="C15" i="1" l="1"/>
  <c r="C20" i="1"/>
  <c r="C21" i="1"/>
  <c r="C17" i="1" l="1"/>
  <c r="C24" i="1"/>
  <c r="C23" i="1"/>
  <c r="C26" i="1" l="1"/>
  <c r="C45" i="1"/>
  <c r="G33" i="1" l="1"/>
  <c r="C47" i="1"/>
  <c r="C49" i="1"/>
</calcChain>
</file>

<file path=xl/sharedStrings.xml><?xml version="1.0" encoding="utf-8"?>
<sst xmlns="http://schemas.openxmlformats.org/spreadsheetml/2006/main" count="55" uniqueCount="52">
  <si>
    <t>Contribution</t>
  </si>
  <si>
    <t>HEALTH &amp; WELFARE BENEFITS</t>
  </si>
  <si>
    <t>Long-Term Disability</t>
  </si>
  <si>
    <t>PAID LEAVE BENEFITS</t>
  </si>
  <si>
    <t xml:space="preserve">Social Security </t>
  </si>
  <si>
    <t>Medicare</t>
  </si>
  <si>
    <t>Workers Compensation</t>
  </si>
  <si>
    <t>TOTAL VALUE OF EMPLOYER-PROVIDED BENEFITS</t>
  </si>
  <si>
    <t>ANNUAL SALARY</t>
  </si>
  <si>
    <t>Other (Bereavement, Jury Duty, Maternity, etc.)</t>
  </si>
  <si>
    <t>As qualified</t>
  </si>
  <si>
    <t>Holidays (10 days, Federal Holidays)</t>
  </si>
  <si>
    <t>Local Unemployment Insurance and Administrative Costs</t>
  </si>
  <si>
    <t>BENEFITS SUMMARY</t>
  </si>
  <si>
    <t>(*Paid leave is included in annual salary, and therefore omitted from this calculation.)</t>
  </si>
  <si>
    <t>Sick Leave (13 days per year)</t>
  </si>
  <si>
    <t>Vacation/Annual Leave* (15 days per year)</t>
  </si>
  <si>
    <t>TOTAL ANNUAL COMPENSATION*</t>
  </si>
  <si>
    <t>Annual Company</t>
  </si>
  <si>
    <t>FEDERAL AND STATE-MANDATED BENEFITS*</t>
  </si>
  <si>
    <t>TOTAL</t>
  </si>
  <si>
    <t>DC Family Paid Leave</t>
  </si>
  <si>
    <t>% or $</t>
  </si>
  <si>
    <t>Medical Coverage - Local or US Plan Covered at 100%*</t>
  </si>
  <si>
    <t>Dental Coverage - Local or US Plan Covered at 100%*</t>
  </si>
  <si>
    <t>403(b) Retirement Plan**</t>
  </si>
  <si>
    <t>**Employee can defer any time, however, assume employee contributes 10% upon hire. Employer matches contributions of up to 10% beginning immediately upon hire.</t>
  </si>
  <si>
    <t xml:space="preserve">This example total compensation summary is for informational purposes only.  Actual compensation and value of benefits can vary based on many factors. </t>
  </si>
  <si>
    <t>Life Insurance ($100,000 individual coverage) &amp; Accidental Death</t>
  </si>
  <si>
    <t>*Assumes 100% coverage for only employee, rate is an estimate, actual plan coverage varies. Spouse and dependents also eligible and Partners will cover 80% of the premium costs for spouses or dependents.</t>
  </si>
  <si>
    <t>ADDITIONAL COUNTRY BASED BENEFITS</t>
  </si>
  <si>
    <t>Cost of Living Allowance (COLA) (Non-Taxable)</t>
  </si>
  <si>
    <t>*Does not take into consideration pre-tax withholdings such as insurance premiums, transit benefits, retirement contributions or flex-spending/dependent care.</t>
  </si>
  <si>
    <t>Annual Home of Record Leave (15 days per year)</t>
  </si>
  <si>
    <t>*After 3 years of employment increases to 20 days per year.</t>
  </si>
  <si>
    <t>Annual Home of Record Trip (Airfare and Transportation Cost) (Non-Taxable)*</t>
  </si>
  <si>
    <t>*Actual cost for airfare and transportation home is covered, amount is an estimate</t>
  </si>
  <si>
    <t>Post Hardship Differential (Taxable)</t>
  </si>
  <si>
    <t>Living Quarters/Accommodation Allowance (Non-Taxable)</t>
  </si>
  <si>
    <t>Primary and secondary education benefits for dependents</t>
  </si>
  <si>
    <t>Other Considerations</t>
  </si>
  <si>
    <t>Living Abroad Tax Exemption:</t>
  </si>
  <si>
    <t>(salary+medical+dental+hardship+living quarters)</t>
  </si>
  <si>
    <t>(estimated value of take-home gross salary)</t>
  </si>
  <si>
    <t>Take-home "Gross Pay":</t>
  </si>
  <si>
    <t>(estimated 20% of $107,600 - Foreign Earned Income Exclusion)</t>
  </si>
  <si>
    <t>Other benefits:</t>
  </si>
  <si>
    <t>Transportation</t>
  </si>
  <si>
    <t>Relocation Allowance (Non-Taxable)</t>
  </si>
  <si>
    <t>Adjustment for COLA:</t>
  </si>
  <si>
    <t>Adjusted value:</t>
  </si>
  <si>
    <t>(using salary and hardship)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</si>
</sst>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u val="doubleAccounting"/>
      <sz val="12"/>
      <color theme="1"/>
      <name val="Cambria"/>
      <family val="1"/>
      <scheme val="major"/>
    </font>
    <font>
      <b/>
      <u/>
      <sz val="12"/>
      <color theme="1"/>
      <name val="Cambria"/>
      <family val="1"/>
      <scheme val="major"/>
    </font>
    <font>
      <sz val="8.5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u/>
      <sz val="12"/>
      <color theme="1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44" fontId="3" fillId="0" borderId="0" xfId="1" applyFont="1"/>
    <xf numFmtId="0" fontId="4" fillId="0" borderId="0" xfId="0" applyFont="1"/>
    <xf numFmtId="44" fontId="5" fillId="0" borderId="1" xfId="1" applyFont="1" applyBorder="1"/>
    <xf numFmtId="0" fontId="5" fillId="0" borderId="0" xfId="0" applyFont="1"/>
    <xf numFmtId="0" fontId="5" fillId="0" borderId="1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6" fillId="0" borderId="1" xfId="0" applyFont="1" applyBorder="1"/>
    <xf numFmtId="44" fontId="7" fillId="0" borderId="1" xfId="1" applyFont="1" applyBorder="1"/>
    <xf numFmtId="44" fontId="9" fillId="0" borderId="0" xfId="1" applyFont="1" applyBorder="1" applyAlignment="1">
      <alignment horizontal="center"/>
    </xf>
    <xf numFmtId="10" fontId="10" fillId="0" borderId="0" xfId="2" applyNumberFormat="1" applyFont="1" applyAlignment="1">
      <alignment horizontal="righ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right" vertical="top"/>
    </xf>
    <xf numFmtId="0" fontId="5" fillId="0" borderId="0" xfId="0" applyFont="1" applyBorder="1" applyAlignment="1">
      <alignment horizontal="right" vertical="center"/>
    </xf>
    <xf numFmtId="44" fontId="9" fillId="0" borderId="3" xfId="1" applyFont="1" applyBorder="1" applyAlignment="1">
      <alignment vertical="center"/>
    </xf>
    <xf numFmtId="44" fontId="5" fillId="0" borderId="0" xfId="1" applyFont="1" applyAlignment="1">
      <alignment horizontal="center"/>
    </xf>
    <xf numFmtId="0" fontId="3" fillId="0" borderId="0" xfId="0" applyFont="1" applyAlignment="1">
      <alignment wrapText="1"/>
    </xf>
    <xf numFmtId="44" fontId="3" fillId="0" borderId="1" xfId="1" applyFont="1" applyBorder="1" applyAlignment="1">
      <alignment horizontal="center"/>
    </xf>
    <xf numFmtId="44" fontId="3" fillId="0" borderId="0" xfId="1" applyFont="1" applyAlignment="1">
      <alignment horizontal="left" wrapText="1"/>
    </xf>
    <xf numFmtId="44" fontId="4" fillId="0" borderId="0" xfId="0" applyNumberFormat="1" applyFont="1"/>
    <xf numFmtId="44" fontId="5" fillId="0" borderId="0" xfId="1" applyFont="1" applyBorder="1"/>
    <xf numFmtId="0" fontId="5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right" vertical="center" wrapText="1"/>
    </xf>
    <xf numFmtId="44" fontId="5" fillId="0" borderId="1" xfId="1" applyFont="1" applyFill="1" applyBorder="1"/>
    <xf numFmtId="164" fontId="3" fillId="0" borderId="0" xfId="1" applyNumberFormat="1" applyFont="1" applyFill="1"/>
    <xf numFmtId="9" fontId="3" fillId="0" borderId="0" xfId="2" applyFont="1" applyFill="1"/>
    <xf numFmtId="0" fontId="13" fillId="0" borderId="0" xfId="3" applyFont="1"/>
    <xf numFmtId="0" fontId="4" fillId="0" borderId="0" xfId="0" applyFont="1" applyAlignment="1">
      <alignment horizontal="right"/>
    </xf>
    <xf numFmtId="0" fontId="8" fillId="0" borderId="2" xfId="0" applyFont="1" applyBorder="1" applyAlignment="1">
      <alignment horizontal="left" vertical="top" wrapText="1"/>
    </xf>
    <xf numFmtId="44" fontId="3" fillId="0" borderId="0" xfId="1" applyFont="1" applyBorder="1" applyAlignment="1">
      <alignment horizontal="left" wrapText="1"/>
    </xf>
    <xf numFmtId="44" fontId="3" fillId="0" borderId="1" xfId="1" applyFont="1" applyBorder="1" applyAlignment="1">
      <alignment horizontal="left" wrapText="1"/>
    </xf>
    <xf numFmtId="9" fontId="3" fillId="0" borderId="0" xfId="2" applyFont="1" applyFill="1" applyAlignment="1">
      <alignment vertic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3469261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3364486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1590675</xdr:colOff>
      <xdr:row>50</xdr:row>
      <xdr:rowOff>85725</xdr:rowOff>
    </xdr:from>
    <xdr:to>
      <xdr:col>2</xdr:col>
      <xdr:colOff>302260</xdr:colOff>
      <xdr:row>51</xdr:row>
      <xdr:rowOff>168909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8934450"/>
          <a:ext cx="4352290" cy="283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oprals.state.gov/Web920/hardship.asp" TargetMode="External"/><Relationship Id="rId1" Type="http://schemas.openxmlformats.org/officeDocument/2006/relationships/hyperlink" Target="https://aoprals.state.gov/Web920/cola.asp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topLeftCell="A11" zoomScale="110" zoomScaleNormal="110" workbookViewId="0">
      <selection activeCell="H37" sqref="H37"/>
    </sheetView>
  </sheetViews>
  <sheetFormatPr defaultColWidth="9.08984375" defaultRowHeight="15.5" x14ac:dyDescent="0.35"/>
  <cols>
    <col min="1" max="1" width="73.6328125" style="2" customWidth="1"/>
    <col min="2" max="2" width="10.453125" style="2" customWidth="1"/>
    <col min="3" max="3" width="24.54296875" style="3" customWidth="1"/>
    <col min="4" max="4" width="9.54296875" style="4" bestFit="1" customWidth="1"/>
    <col min="5" max="5" width="9.08984375" style="4"/>
    <col min="6" max="6" width="30.36328125" style="4" bestFit="1" customWidth="1"/>
    <col min="7" max="7" width="13.36328125" style="4" bestFit="1" customWidth="1"/>
    <col min="8" max="16384" width="9.08984375" style="4"/>
  </cols>
  <sheetData>
    <row r="1" spans="1:4" ht="72" customHeight="1" x14ac:dyDescent="0.35"/>
    <row r="2" spans="1:4" ht="22.5" x14ac:dyDescent="0.45">
      <c r="A2" s="9" t="s">
        <v>13</v>
      </c>
      <c r="B2" s="9"/>
      <c r="C2" s="10"/>
    </row>
    <row r="3" spans="1:4" ht="31.5" customHeight="1" x14ac:dyDescent="0.35">
      <c r="A3" s="32" t="s">
        <v>27</v>
      </c>
      <c r="B3" s="32"/>
      <c r="C3" s="32"/>
    </row>
    <row r="4" spans="1:4" x14ac:dyDescent="0.35">
      <c r="C4" s="17" t="s">
        <v>18</v>
      </c>
    </row>
    <row r="5" spans="1:4" x14ac:dyDescent="0.35">
      <c r="C5" s="17" t="s">
        <v>0</v>
      </c>
    </row>
    <row r="7" spans="1:4" x14ac:dyDescent="0.35">
      <c r="A7" s="7"/>
      <c r="B7" s="7" t="s">
        <v>8</v>
      </c>
      <c r="C7" s="27">
        <v>130000</v>
      </c>
    </row>
    <row r="9" spans="1:4" x14ac:dyDescent="0.35">
      <c r="A9" s="6" t="s">
        <v>1</v>
      </c>
      <c r="B9" s="6"/>
    </row>
    <row r="10" spans="1:4" x14ac:dyDescent="0.35">
      <c r="A10" s="18" t="s">
        <v>23</v>
      </c>
      <c r="B10" s="18"/>
      <c r="C10" s="20">
        <f>750*12</f>
        <v>9000</v>
      </c>
    </row>
    <row r="11" spans="1:4" x14ac:dyDescent="0.35">
      <c r="A11" s="18" t="s">
        <v>24</v>
      </c>
      <c r="B11" s="18"/>
      <c r="C11" s="20">
        <f>50*12</f>
        <v>600</v>
      </c>
    </row>
    <row r="12" spans="1:4" ht="22" x14ac:dyDescent="0.35">
      <c r="A12" s="25" t="s">
        <v>29</v>
      </c>
      <c r="B12" s="18"/>
      <c r="C12" s="20"/>
    </row>
    <row r="13" spans="1:4" x14ac:dyDescent="0.35">
      <c r="A13" s="2" t="s">
        <v>2</v>
      </c>
      <c r="C13" s="3">
        <f>C7*0.0015</f>
        <v>195</v>
      </c>
      <c r="D13" s="21"/>
    </row>
    <row r="14" spans="1:4" x14ac:dyDescent="0.35">
      <c r="A14" s="2" t="s">
        <v>28</v>
      </c>
      <c r="C14" s="3">
        <f>(9*12)+(1.5*12)</f>
        <v>126</v>
      </c>
      <c r="D14" s="21"/>
    </row>
    <row r="15" spans="1:4" x14ac:dyDescent="0.35">
      <c r="A15" s="2" t="s">
        <v>25</v>
      </c>
      <c r="B15" s="35">
        <v>0.1</v>
      </c>
      <c r="C15" s="33">
        <f>B15*$C$7</f>
        <v>13000</v>
      </c>
    </row>
    <row r="16" spans="1:4" ht="22" x14ac:dyDescent="0.35">
      <c r="A16" s="25" t="s">
        <v>26</v>
      </c>
      <c r="B16" s="35"/>
      <c r="C16" s="34"/>
    </row>
    <row r="17" spans="1:8" x14ac:dyDescent="0.35">
      <c r="A17" s="7"/>
      <c r="B17" s="7" t="s">
        <v>20</v>
      </c>
      <c r="C17" s="5">
        <f>SUM(C10:C16)</f>
        <v>22921</v>
      </c>
    </row>
    <row r="19" spans="1:8" x14ac:dyDescent="0.35">
      <c r="A19" s="6" t="s">
        <v>3</v>
      </c>
      <c r="B19" s="6"/>
    </row>
    <row r="20" spans="1:8" x14ac:dyDescent="0.35">
      <c r="A20" s="2" t="s">
        <v>33</v>
      </c>
      <c r="C20" s="3">
        <f>($C$7/2080)*120</f>
        <v>7500</v>
      </c>
    </row>
    <row r="21" spans="1:8" x14ac:dyDescent="0.35">
      <c r="A21" s="2" t="s">
        <v>16</v>
      </c>
      <c r="C21" s="3">
        <f>($C$7/2080)*120</f>
        <v>7500</v>
      </c>
    </row>
    <row r="22" spans="1:8" x14ac:dyDescent="0.35">
      <c r="A22" s="24" t="s">
        <v>34</v>
      </c>
      <c r="B22" s="1"/>
    </row>
    <row r="23" spans="1:8" x14ac:dyDescent="0.35">
      <c r="A23" s="2" t="s">
        <v>15</v>
      </c>
      <c r="C23" s="3">
        <f>($C$7/2080)*104</f>
        <v>6500</v>
      </c>
    </row>
    <row r="24" spans="1:8" x14ac:dyDescent="0.35">
      <c r="A24" s="2" t="s">
        <v>11</v>
      </c>
      <c r="C24" s="3">
        <f>($C$7/2080)*80</f>
        <v>5000</v>
      </c>
    </row>
    <row r="25" spans="1:8" x14ac:dyDescent="0.35">
      <c r="A25" s="2" t="s">
        <v>9</v>
      </c>
      <c r="C25" s="19" t="s">
        <v>10</v>
      </c>
    </row>
    <row r="26" spans="1:8" x14ac:dyDescent="0.35">
      <c r="A26" s="7"/>
      <c r="B26" s="7" t="s">
        <v>20</v>
      </c>
      <c r="C26" s="5">
        <f>SUM(C20:C25)</f>
        <v>26500</v>
      </c>
    </row>
    <row r="27" spans="1:8" x14ac:dyDescent="0.35">
      <c r="A27" s="8"/>
      <c r="B27" s="8"/>
      <c r="C27" s="22"/>
    </row>
    <row r="28" spans="1:8" x14ac:dyDescent="0.35">
      <c r="A28" s="6" t="s">
        <v>30</v>
      </c>
      <c r="B28" s="23" t="s">
        <v>22</v>
      </c>
      <c r="F28" s="4" t="s">
        <v>40</v>
      </c>
    </row>
    <row r="29" spans="1:8" x14ac:dyDescent="0.35">
      <c r="A29" s="30" t="s">
        <v>37</v>
      </c>
      <c r="B29" s="29">
        <v>0.1</v>
      </c>
      <c r="C29" s="3">
        <f>$B$29*$C$7</f>
        <v>13000</v>
      </c>
      <c r="F29" s="31" t="s">
        <v>44</v>
      </c>
      <c r="G29" s="21">
        <f>C7+C10+C11+C29+C30+C31</f>
        <v>176600</v>
      </c>
      <c r="H29" s="4" t="s">
        <v>42</v>
      </c>
    </row>
    <row r="30" spans="1:8" x14ac:dyDescent="0.35">
      <c r="A30" s="30" t="s">
        <v>31</v>
      </c>
      <c r="B30" s="29">
        <v>0</v>
      </c>
      <c r="C30" s="3">
        <f>$B$30*$C$7</f>
        <v>0</v>
      </c>
      <c r="F30" s="31" t="s">
        <v>41</v>
      </c>
      <c r="G30" s="21">
        <f>107600*0.2</f>
        <v>21520</v>
      </c>
      <c r="H30" s="4" t="s">
        <v>45</v>
      </c>
    </row>
    <row r="31" spans="1:8" x14ac:dyDescent="0.35">
      <c r="A31" s="2" t="s">
        <v>38</v>
      </c>
      <c r="B31" s="28">
        <v>2000</v>
      </c>
      <c r="C31" s="3">
        <f>$B$31*12</f>
        <v>24000</v>
      </c>
      <c r="G31" s="21">
        <f>G29+G30</f>
        <v>198120</v>
      </c>
      <c r="H31" s="4" t="s">
        <v>43</v>
      </c>
    </row>
    <row r="32" spans="1:8" x14ac:dyDescent="0.35">
      <c r="A32" s="2" t="s">
        <v>39</v>
      </c>
      <c r="B32" s="28">
        <v>800</v>
      </c>
    </row>
    <row r="33" spans="1:8" x14ac:dyDescent="0.35">
      <c r="A33" s="2" t="s">
        <v>47</v>
      </c>
      <c r="B33" s="28">
        <v>400</v>
      </c>
      <c r="C33" s="3">
        <f>B33*12</f>
        <v>4800</v>
      </c>
      <c r="F33" s="31" t="s">
        <v>46</v>
      </c>
      <c r="G33" s="21">
        <f>C13+C14+C15+C20+C21+C23+C24+C32+C33+C34+C35+C45</f>
        <v>65235.6</v>
      </c>
    </row>
    <row r="34" spans="1:8" x14ac:dyDescent="0.35">
      <c r="A34" s="2" t="s">
        <v>48</v>
      </c>
      <c r="C34" s="3">
        <v>5000</v>
      </c>
      <c r="F34" s="31"/>
    </row>
    <row r="35" spans="1:8" x14ac:dyDescent="0.35">
      <c r="A35" s="2" t="s">
        <v>35</v>
      </c>
      <c r="C35" s="19">
        <v>1000</v>
      </c>
      <c r="F35" s="31" t="s">
        <v>49</v>
      </c>
      <c r="G35" s="21">
        <f>(C7+C29)*0.3</f>
        <v>42900</v>
      </c>
      <c r="H35" s="4" t="s">
        <v>51</v>
      </c>
    </row>
    <row r="36" spans="1:8" x14ac:dyDescent="0.35">
      <c r="A36" s="25" t="s">
        <v>36</v>
      </c>
      <c r="B36" s="7" t="s">
        <v>20</v>
      </c>
      <c r="C36" s="5">
        <f>SUM(C29:C35)</f>
        <v>47800</v>
      </c>
      <c r="F36" s="31"/>
    </row>
    <row r="37" spans="1:8" x14ac:dyDescent="0.35">
      <c r="F37" s="31" t="s">
        <v>50</v>
      </c>
      <c r="G37" s="21">
        <f>G31+G33+G35</f>
        <v>306255.59999999998</v>
      </c>
    </row>
    <row r="38" spans="1:8" ht="23.25" customHeight="1" x14ac:dyDescent="0.35">
      <c r="A38" s="6" t="s">
        <v>19</v>
      </c>
      <c r="B38" s="6"/>
      <c r="G38" s="21"/>
    </row>
    <row r="39" spans="1:8" ht="22" x14ac:dyDescent="0.35">
      <c r="A39" s="25" t="s">
        <v>32</v>
      </c>
      <c r="B39" s="13"/>
    </row>
    <row r="40" spans="1:8" x14ac:dyDescent="0.35">
      <c r="A40" s="2" t="s">
        <v>4</v>
      </c>
      <c r="C40" s="3">
        <f>($C$7+$C$29)*0.062</f>
        <v>8866</v>
      </c>
    </row>
    <row r="41" spans="1:8" x14ac:dyDescent="0.35">
      <c r="A41" s="2" t="s">
        <v>5</v>
      </c>
      <c r="C41" s="3">
        <f>($C$7+$C$29)*0.0145</f>
        <v>2073.5</v>
      </c>
    </row>
    <row r="42" spans="1:8" x14ac:dyDescent="0.35">
      <c r="A42" s="2" t="s">
        <v>12</v>
      </c>
      <c r="C42" s="3">
        <f>($C$7+$C$29)*0.018</f>
        <v>2574</v>
      </c>
    </row>
    <row r="43" spans="1:8" x14ac:dyDescent="0.35">
      <c r="A43" s="2" t="s">
        <v>6</v>
      </c>
      <c r="C43" s="3">
        <f>($C$7+$C$29)*0.0015</f>
        <v>214.5</v>
      </c>
    </row>
    <row r="44" spans="1:8" x14ac:dyDescent="0.35">
      <c r="A44" s="2" t="s">
        <v>21</v>
      </c>
      <c r="C44" s="3">
        <f>($C$7+$C$29)*0.0062</f>
        <v>886.6</v>
      </c>
      <c r="D44" s="21"/>
    </row>
    <row r="45" spans="1:8" x14ac:dyDescent="0.35">
      <c r="A45" s="7"/>
      <c r="B45" s="7" t="s">
        <v>20</v>
      </c>
      <c r="C45" s="5">
        <f>SUM(C40:C44)</f>
        <v>14614.6</v>
      </c>
    </row>
    <row r="46" spans="1:8" x14ac:dyDescent="0.35">
      <c r="D46" s="12"/>
    </row>
    <row r="47" spans="1:8" ht="16.5" x14ac:dyDescent="0.45">
      <c r="A47" s="8" t="s">
        <v>7</v>
      </c>
      <c r="B47" s="8"/>
      <c r="C47" s="11">
        <f>C17+C26+C36+C45</f>
        <v>111835.6</v>
      </c>
    </row>
    <row r="48" spans="1:8" ht="27.75" customHeight="1" thickBot="1" x14ac:dyDescent="0.4"/>
    <row r="49" spans="1:3" ht="17" thickBot="1" x14ac:dyDescent="0.4">
      <c r="A49" s="15" t="s">
        <v>17</v>
      </c>
      <c r="B49" s="15"/>
      <c r="C49" s="16">
        <f>C7+C17+C36+C45</f>
        <v>215335.6</v>
      </c>
    </row>
    <row r="50" spans="1:3" x14ac:dyDescent="0.35">
      <c r="A50" s="26" t="s">
        <v>14</v>
      </c>
      <c r="B50" s="14"/>
    </row>
  </sheetData>
  <mergeCells count="3">
    <mergeCell ref="A3:C3"/>
    <mergeCell ref="C15:C16"/>
    <mergeCell ref="B15:B16"/>
  </mergeCells>
  <hyperlinks>
    <hyperlink ref="A30" r:id="rId1" location="CABO%20VERDE" xr:uid="{594123AF-972F-4360-9FC2-CEE82E042FB1}"/>
    <hyperlink ref="A29" r:id="rId2" xr:uid="{DDAED7FD-79EB-4176-BF67-0FD941DF973B}"/>
  </hyperlinks>
  <pageMargins left="0.7" right="0.7" top="0.75" bottom="0.75" header="0.3" footer="0.3"/>
  <pageSetup scale="97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FAD020-723E-42CD-A1ED-49C77DF5EE61}">
  <ds:schemaRefs>
    <ds:schemaRef ds:uri="http://purl.org/dc/elements/1.1/"/>
    <ds:schemaRef ds:uri="http://www.w3.org/XML/1998/namespace"/>
    <ds:schemaRef ds:uri="dc808d36-874f-4b27-aec2-2fd649817929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2466082-b6bf-4153-98c3-3c41e85fda18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27FAD74-89F8-4264-A597-FEB8CA65AF06}"/>
</file>

<file path=customXml/itemProps3.xml><?xml version="1.0" encoding="utf-8"?>
<ds:datastoreItem xmlns:ds="http://schemas.openxmlformats.org/officeDocument/2006/customXml" ds:itemID="{3DC021BD-A0C8-40DD-854E-8C3C91FEAC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John McPhail</cp:lastModifiedBy>
  <cp:lastPrinted>2012-09-06T13:27:25Z</cp:lastPrinted>
  <dcterms:created xsi:type="dcterms:W3CDTF">2012-01-19T14:05:20Z</dcterms:created>
  <dcterms:modified xsi:type="dcterms:W3CDTF">2020-10-22T12:55:52Z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525400</vt:r8>
  </property>
</Properties>
</file>