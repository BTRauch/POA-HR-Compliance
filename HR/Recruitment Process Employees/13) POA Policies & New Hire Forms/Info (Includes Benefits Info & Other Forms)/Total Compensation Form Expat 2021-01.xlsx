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defaultThemeVersion="124226"/>
  <mc:AlternateContent xmlns:mc="http://schemas.openxmlformats.org/markup-compatibility/2006">
    <mc:Choice Requires="x15">
      <x15ac:absPath xmlns:x15ac="http://schemas.microsoft.com/office/spreadsheetml/2010/11/ac" url="https://partnersnet107.sharepoint.com/sites/FA/HR Management/New Hire (Includes Benefits Info &amp; Other Forms)/Benefits Info and Forms/"/>
    </mc:Choice>
  </mc:AlternateContent>
  <xr:revisionPtr revIDLastSave="2" documentId="13_ncr:1_{54A684C5-DAAA-4129-9744-3D94E6FE0693}" xr6:coauthVersionLast="45" xr6:coauthVersionMax="45" xr10:uidLastSave="{6BCE1203-2252-45AE-8E8A-F85CFFAA87CC}"/>
  <bookViews>
    <workbookView minimized="1" xWindow="336" yWindow="5400" windowWidth="10884" windowHeight="4908"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0" i="1" l="1"/>
  <c r="C33" i="1" l="1"/>
  <c r="B24" i="1" l="1"/>
  <c r="C24" i="1" s="1"/>
  <c r="B23" i="1"/>
  <c r="C23" i="1" s="1"/>
  <c r="B21" i="1"/>
  <c r="C21" i="1" s="1"/>
  <c r="B20" i="1"/>
  <c r="C20" i="1" s="1"/>
  <c r="C32" i="1" l="1"/>
  <c r="C31" i="1"/>
  <c r="C30" i="1"/>
  <c r="C14" i="1"/>
  <c r="C43" i="1" l="1"/>
  <c r="C44" i="1"/>
  <c r="C36" i="1"/>
  <c r="C40" i="1"/>
  <c r="C41" i="1"/>
  <c r="C42" i="1"/>
  <c r="C13" i="1"/>
  <c r="C11" i="1" l="1"/>
  <c r="C15" i="1" l="1"/>
  <c r="C17" i="1" s="1"/>
  <c r="C27" i="1" l="1"/>
  <c r="C45" i="1" l="1"/>
  <c r="C49" i="1" l="1"/>
  <c r="C47" i="1"/>
</calcChain>
</file>

<file path=xl/sharedStrings.xml><?xml version="1.0" encoding="utf-8"?>
<sst xmlns="http://schemas.openxmlformats.org/spreadsheetml/2006/main" count="45" uniqueCount="42">
  <si>
    <t>Contribution</t>
  </si>
  <si>
    <t>HEALTH &amp; WELFARE BENEFITS</t>
  </si>
  <si>
    <t>Long-Term Disability</t>
  </si>
  <si>
    <t>PAID LEAVE BENEFITS</t>
  </si>
  <si>
    <t xml:space="preserve">Social Security </t>
  </si>
  <si>
    <t>Medicare</t>
  </si>
  <si>
    <t>Workers Compensation</t>
  </si>
  <si>
    <t>TOTAL VALUE OF EMPLOYER-PROVIDED BENEFITS</t>
  </si>
  <si>
    <t>ANNUAL SALARY</t>
  </si>
  <si>
    <t>Other (Bereavement, Jury Duty, Maternity, etc.)</t>
  </si>
  <si>
    <t>As qualified</t>
  </si>
  <si>
    <t>Local Unemployment Insurance and Administrative Costs</t>
  </si>
  <si>
    <t>(*Paid leave is included in annual salary, and therefore omitted from this calculation.)</t>
  </si>
  <si>
    <t>Sick Leave (13 days per year)</t>
  </si>
  <si>
    <t>Vacation/Annual Leave* (15 days per year)</t>
  </si>
  <si>
    <t>TOTAL ANNUAL COMPENSATION*</t>
  </si>
  <si>
    <t>Annual Company</t>
  </si>
  <si>
    <t>FEDERAL AND STATE-MANDATED BENEFITS*</t>
  </si>
  <si>
    <t>TOTAL</t>
  </si>
  <si>
    <t>DC Family Paid Leave</t>
  </si>
  <si>
    <t>% or $</t>
  </si>
  <si>
    <t>Medical Coverage - Local or US Plan Covered at 100%*</t>
  </si>
  <si>
    <t>Dental Coverage - Local or US Plan Covered at 100%*</t>
  </si>
  <si>
    <t>403(b) Retirement Plan**</t>
  </si>
  <si>
    <t>**Employee can defer any time, however, assume employee contributes 10% upon hire. Employer matches contributions of up to 10% beginning immediately upon hire.</t>
  </si>
  <si>
    <t>Life Insurance ($100,000 individual coverage) &amp; Accidental Death</t>
  </si>
  <si>
    <t>*Assumes 100% coverage for only employee, rate is an estimate, actual plan coverage varies. Spouse and dependents also eligible and Partners will cover 80% of the premium costs for spouses or dependents.</t>
  </si>
  <si>
    <t>ADDITIONAL COUNTRY BASED BENEFITS</t>
  </si>
  <si>
    <t>Cost of Living Allowance (COLA) (Non-Taxable)</t>
  </si>
  <si>
    <t>*Does not take into consideration pre-tax withholdings such as insurance premiums, transit benefits, retirement contributions or flex-spending/dependent care.</t>
  </si>
  <si>
    <t>*After 3 years of employment increases to 20 days per year.</t>
  </si>
  <si>
    <t>Annual Home of Record Trip (Airfare and Transportation Cost) (Non-Taxable)*</t>
  </si>
  <si>
    <t>Post Hardship Differential (Taxable)</t>
  </si>
  <si>
    <t>Holidays (10 days, Federal Holidays)**</t>
  </si>
  <si>
    <t>**Alternatively use local country holiday schedule</t>
  </si>
  <si>
    <t>BENEFITS SUMMARY - Expatriate Staff</t>
  </si>
  <si>
    <r>
      <t xml:space="preserve">This benefits summary is applicable for </t>
    </r>
    <r>
      <rPr>
        <b/>
        <sz val="10"/>
        <color theme="1"/>
        <rFont val="Cambria"/>
        <family val="1"/>
        <scheme val="major"/>
      </rPr>
      <t>Grade E and F</t>
    </r>
    <r>
      <rPr>
        <sz val="10"/>
        <color theme="1"/>
        <rFont val="Cambria"/>
        <family val="1"/>
        <scheme val="major"/>
      </rPr>
      <t xml:space="preserve"> expatriate staff.  This example total compensation summary is for informational purposes only.  Actual compensation and value of benefits can vary based on many factors.  Annual salary is only included as an illustrative example.</t>
    </r>
  </si>
  <si>
    <t>Annual Home of Record Leave (10 days per year)</t>
  </si>
  <si>
    <t>One-Time Relocation Costs (Non-Taxable) - Maximum*</t>
  </si>
  <si>
    <t>Living Quarters/Accommodation Allowance (Non-Taxable)*</t>
  </si>
  <si>
    <t>Primary and Secondary Education Benefits for Dependents (Non-Taxable)*</t>
  </si>
  <si>
    <t>*Actual cost for covered, amount is an estimate and based on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</si>
</sst>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6" x14ac:knownFonts="1">
    <font>
      <sz val="11"/>
      <color theme="1"/>
      <name val="Calibri"/>
      <family val="2"/>
      <scheme val="minor"/>
    </font>
    <font>
      <sz val="11"/>
      <color theme="1"/>
      <name val="Calibri"/>
      <family val="2"/>
      <scheme val="minor"/>
    </font>
    <font>
      <sz val="8"/>
      <color theme="1"/>
      <name val="Cambria"/>
      <family val="1"/>
      <scheme val="major"/>
    </font>
    <font>
      <sz val="12"/>
      <color theme="1"/>
      <name val="Cambria"/>
      <family val="1"/>
      <scheme val="major"/>
    </font>
    <font>
      <sz val="12"/>
      <color theme="1"/>
      <name val="Calibri"/>
      <family val="2"/>
      <scheme val="minor"/>
    </font>
    <font>
      <b/>
      <sz val="12"/>
      <color theme="1"/>
      <name val="Cambria"/>
      <family val="1"/>
      <scheme val="major"/>
    </font>
    <font>
      <b/>
      <sz val="18"/>
      <color theme="1"/>
      <name val="Cambria"/>
      <family val="1"/>
      <scheme val="major"/>
    </font>
    <font>
      <sz val="18"/>
      <color theme="1"/>
      <name val="Cambria"/>
      <family val="1"/>
      <scheme val="major"/>
    </font>
    <font>
      <sz val="10"/>
      <color theme="1"/>
      <name val="Cambria"/>
      <family val="1"/>
      <scheme val="major"/>
    </font>
    <font>
      <b/>
      <u val="doubleAccounting"/>
      <sz val="12"/>
      <color theme="1"/>
      <name val="Cambria"/>
      <family val="1"/>
      <scheme val="major"/>
    </font>
    <font>
      <b/>
      <u/>
      <sz val="12"/>
      <color theme="1"/>
      <name val="Cambria"/>
      <family val="1"/>
      <scheme val="major"/>
    </font>
    <font>
      <sz val="8.5"/>
      <color theme="1"/>
      <name val="Cambria"/>
      <family val="1"/>
      <scheme val="major"/>
    </font>
    <font>
      <u/>
      <sz val="11"/>
      <color theme="10"/>
      <name val="Calibri"/>
      <family val="2"/>
      <scheme val="minor"/>
    </font>
    <font>
      <u/>
      <sz val="12"/>
      <color theme="10"/>
      <name val="Cambria"/>
      <family val="1"/>
      <scheme val="major"/>
    </font>
    <font>
      <b/>
      <sz val="10"/>
      <color theme="1"/>
      <name val="Cambria"/>
      <family val="1"/>
      <scheme val="major"/>
    </font>
    <font>
      <sz val="12"/>
      <color theme="0"/>
      <name val="Cambria"/>
      <family val="1"/>
      <scheme val="maj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cellStyleXfs>
  <cellXfs count="40">
    <xf numFmtId="0" fontId="0" fillId="0" borderId="0" xfId="0"/>
    <xf numFmtId="0" fontId="2" fillId="0" borderId="0" xfId="0" applyFont="1"/>
    <xf numFmtId="0" fontId="3" fillId="0" borderId="0" xfId="0" applyFont="1"/>
    <xf numFmtId="44" fontId="3" fillId="0" borderId="0" xfId="1" applyFont="1"/>
    <xf numFmtId="0" fontId="4" fillId="0" borderId="0" xfId="0" applyFont="1"/>
    <xf numFmtId="44" fontId="5" fillId="0" borderId="1" xfId="1" applyFont="1" applyBorder="1"/>
    <xf numFmtId="0" fontId="5" fillId="0" borderId="0" xfId="0" applyFont="1"/>
    <xf numFmtId="0" fontId="5" fillId="0" borderId="1" xfId="0" applyFont="1" applyBorder="1" applyAlignment="1">
      <alignment horizontal="right"/>
    </xf>
    <xf numFmtId="0" fontId="5" fillId="0" borderId="0" xfId="0" applyFont="1" applyBorder="1" applyAlignment="1">
      <alignment horizontal="right"/>
    </xf>
    <xf numFmtId="0" fontId="6" fillId="0" borderId="1" xfId="0" applyFont="1" applyBorder="1"/>
    <xf numFmtId="44" fontId="7" fillId="0" borderId="1" xfId="1" applyFont="1" applyBorder="1"/>
    <xf numFmtId="44" fontId="9" fillId="0" borderId="0" xfId="1" applyFont="1" applyBorder="1" applyAlignment="1">
      <alignment horizontal="center"/>
    </xf>
    <xf numFmtId="10" fontId="10" fillId="0" borderId="0" xfId="2" applyNumberFormat="1" applyFont="1" applyAlignment="1">
      <alignment horizontal="right"/>
    </xf>
    <xf numFmtId="0" fontId="2" fillId="0" borderId="0" xfId="0" applyFont="1" applyAlignment="1">
      <alignment vertical="top" wrapText="1"/>
    </xf>
    <xf numFmtId="0" fontId="2" fillId="0" borderId="0" xfId="0" applyFont="1" applyAlignment="1">
      <alignment horizontal="right" vertical="top"/>
    </xf>
    <xf numFmtId="0" fontId="5" fillId="0" borderId="0" xfId="0" applyFont="1" applyBorder="1" applyAlignment="1">
      <alignment horizontal="right" vertical="center"/>
    </xf>
    <xf numFmtId="44" fontId="9" fillId="0" borderId="3" xfId="1" applyFont="1" applyBorder="1" applyAlignment="1">
      <alignment vertical="center"/>
    </xf>
    <xf numFmtId="44" fontId="5" fillId="0" borderId="0" xfId="1" applyFont="1" applyAlignment="1">
      <alignment horizontal="center"/>
    </xf>
    <xf numFmtId="0" fontId="3" fillId="0" borderId="0" xfId="0" applyFont="1" applyAlignment="1">
      <alignment wrapText="1"/>
    </xf>
    <xf numFmtId="44" fontId="3" fillId="0" borderId="1" xfId="1" applyFont="1" applyBorder="1" applyAlignment="1">
      <alignment horizontal="center"/>
    </xf>
    <xf numFmtId="44" fontId="4" fillId="0" borderId="0" xfId="0" applyNumberFormat="1" applyFont="1"/>
    <xf numFmtId="44" fontId="5" fillId="0" borderId="0" xfId="1" applyFont="1" applyBorder="1"/>
    <xf numFmtId="0" fontId="5" fillId="0" borderId="0" xfId="0" applyFont="1" applyAlignment="1">
      <alignment horizontal="center"/>
    </xf>
    <xf numFmtId="0" fontId="11" fillId="0" borderId="0" xfId="0" applyFont="1" applyAlignment="1">
      <alignment horizontal="right" vertical="center" wrapText="1"/>
    </xf>
    <xf numFmtId="0" fontId="13" fillId="0" borderId="0" xfId="3" applyFont="1"/>
    <xf numFmtId="0" fontId="5" fillId="0" borderId="1" xfId="0" applyFont="1" applyFill="1" applyBorder="1" applyAlignment="1">
      <alignment horizontal="right"/>
    </xf>
    <xf numFmtId="44" fontId="5" fillId="0" borderId="1" xfId="1" applyFont="1" applyFill="1" applyBorder="1"/>
    <xf numFmtId="0" fontId="3" fillId="0" borderId="0" xfId="0" applyFont="1" applyFill="1"/>
    <xf numFmtId="44" fontId="3" fillId="0" borderId="0" xfId="1" applyFont="1" applyFill="1"/>
    <xf numFmtId="0" fontId="5" fillId="0" borderId="0" xfId="0" applyFont="1" applyFill="1"/>
    <xf numFmtId="0" fontId="3" fillId="0" borderId="0" xfId="0" applyFont="1" applyFill="1" applyAlignment="1">
      <alignment wrapText="1"/>
    </xf>
    <xf numFmtId="44" fontId="3" fillId="0" borderId="0" xfId="1" applyFont="1" applyFill="1" applyAlignment="1">
      <alignment horizontal="left" wrapText="1"/>
    </xf>
    <xf numFmtId="0" fontId="15" fillId="0" borderId="0" xfId="0" applyFont="1"/>
    <xf numFmtId="9" fontId="3" fillId="0" borderId="0" xfId="2" applyFont="1" applyFill="1"/>
    <xf numFmtId="164" fontId="3" fillId="0" borderId="0" xfId="1" applyNumberFormat="1" applyFont="1" applyFill="1"/>
    <xf numFmtId="0" fontId="11" fillId="0" borderId="0" xfId="0" applyFont="1" applyAlignment="1">
      <alignment horizontal="left" vertical="center" wrapText="1" indent="1"/>
    </xf>
    <xf numFmtId="0" fontId="8" fillId="0" borderId="2" xfId="0" applyFont="1" applyBorder="1" applyAlignment="1">
      <alignment horizontal="left" vertical="top" wrapText="1"/>
    </xf>
    <xf numFmtId="44" fontId="3" fillId="0" borderId="0" xfId="1" applyFont="1" applyFill="1" applyBorder="1" applyAlignment="1">
      <alignment horizontal="left" wrapText="1"/>
    </xf>
    <xf numFmtId="44" fontId="3" fillId="0" borderId="1" xfId="1" applyFont="1" applyFill="1" applyBorder="1" applyAlignment="1">
      <alignment horizontal="left" wrapText="1"/>
    </xf>
    <xf numFmtId="9" fontId="3" fillId="0" borderId="0" xfId="2" applyFont="1" applyFill="1" applyAlignment="1">
      <alignment vertical="center"/>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66675</xdr:rowOff>
    </xdr:from>
    <xdr:to>
      <xdr:col>0</xdr:col>
      <xdr:colOff>3469261</xdr:colOff>
      <xdr:row>0</xdr:row>
      <xdr:rowOff>819150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66675"/>
          <a:ext cx="3364486" cy="752475"/>
        </a:xfrm>
        <a:prstGeom prst="rect">
          <a:avLst/>
        </a:prstGeom>
      </xdr:spPr>
    </xdr:pic>
    <xdr:clientData/>
  </xdr:twoCellAnchor>
  <xdr:twoCellAnchor editAs="oneCell">
    <xdr:from>
      <xdr:col>0</xdr:col>
      <xdr:colOff>1590675</xdr:colOff>
      <xdr:row>50</xdr:row>
      <xdr:rowOff>85725</xdr:rowOff>
    </xdr:from>
    <xdr:to>
      <xdr:col>2</xdr:col>
      <xdr:colOff>168910</xdr:colOff>
      <xdr:row>51</xdr:row>
      <xdr:rowOff>168910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90675" y="8934450"/>
          <a:ext cx="4352290" cy="2832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oprals.state.gov/Web920/hardship.asp" TargetMode="External"/><Relationship Id="rId1" Type="http://schemas.openxmlformats.org/officeDocument/2006/relationships/hyperlink" Target="https://aoprals.state.gov/Web920/cola.asp"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50"/>
  <sheetViews>
    <sheetView tabSelected="1" topLeftCell="A16" zoomScaleNormal="100" workbookViewId="0">
      <selection activeCell="F24" sqref="F24"/>
    </sheetView>
  </sheetViews>
  <sheetFormatPr defaultColWidth="9.1015625" defaultRowHeight="15.6" x14ac:dyDescent="0.6"/>
  <cols>
    <col min="1" max="1" width="75.5234375" style="2" customWidth="1"/>
    <col min="2" max="2" width="10.47265625" style="2" customWidth="1"/>
    <col min="3" max="3" width="24.5234375" style="3" customWidth="1"/>
    <col min="4" max="4" width="9.5234375" style="4" bestFit="1" customWidth="1"/>
    <col min="5" max="16384" width="9.1015625" style="4"/>
  </cols>
  <sheetData>
    <row r="1" spans="1:4" ht="72" customHeight="1" x14ac:dyDescent="0.6"/>
    <row r="2" spans="1:4" ht="22.2" x14ac:dyDescent="0.7">
      <c r="A2" s="9" t="s">
        <v>35</v>
      </c>
      <c r="B2" s="9"/>
      <c r="C2" s="10"/>
    </row>
    <row r="3" spans="1:4" ht="42" customHeight="1" x14ac:dyDescent="0.6">
      <c r="A3" s="36" t="s">
        <v>36</v>
      </c>
      <c r="B3" s="36"/>
      <c r="C3" s="36"/>
    </row>
    <row r="4" spans="1:4" x14ac:dyDescent="0.6">
      <c r="C4" s="17" t="s">
        <v>16</v>
      </c>
    </row>
    <row r="5" spans="1:4" x14ac:dyDescent="0.6">
      <c r="C5" s="17" t="s">
        <v>0</v>
      </c>
    </row>
    <row r="7" spans="1:4" x14ac:dyDescent="0.6">
      <c r="A7" s="7"/>
      <c r="B7" s="25" t="s">
        <v>8</v>
      </c>
      <c r="C7" s="26">
        <v>100000</v>
      </c>
    </row>
    <row r="8" spans="1:4" x14ac:dyDescent="0.6">
      <c r="B8" s="27"/>
      <c r="C8" s="28"/>
    </row>
    <row r="9" spans="1:4" x14ac:dyDescent="0.6">
      <c r="A9" s="6" t="s">
        <v>1</v>
      </c>
      <c r="B9" s="29"/>
      <c r="C9" s="28"/>
    </row>
    <row r="10" spans="1:4" x14ac:dyDescent="0.6">
      <c r="A10" s="18" t="s">
        <v>21</v>
      </c>
      <c r="B10" s="30"/>
      <c r="C10" s="31">
        <f>750*12</f>
        <v>9000</v>
      </c>
    </row>
    <row r="11" spans="1:4" x14ac:dyDescent="0.6">
      <c r="A11" s="18" t="s">
        <v>22</v>
      </c>
      <c r="B11" s="30"/>
      <c r="C11" s="31">
        <f>50*12</f>
        <v>600</v>
      </c>
    </row>
    <row r="12" spans="1:4" ht="21" x14ac:dyDescent="0.6">
      <c r="A12" s="35" t="s">
        <v>26</v>
      </c>
      <c r="B12" s="30"/>
      <c r="C12" s="31"/>
    </row>
    <row r="13" spans="1:4" x14ac:dyDescent="0.6">
      <c r="A13" s="2" t="s">
        <v>2</v>
      </c>
      <c r="B13" s="27"/>
      <c r="C13" s="28">
        <f>C7*0.0015</f>
        <v>150</v>
      </c>
      <c r="D13" s="20"/>
    </row>
    <row r="14" spans="1:4" x14ac:dyDescent="0.6">
      <c r="A14" s="2" t="s">
        <v>25</v>
      </c>
      <c r="B14" s="27"/>
      <c r="C14" s="28">
        <f>(9*12)+(1.5*12)</f>
        <v>126</v>
      </c>
      <c r="D14" s="20"/>
    </row>
    <row r="15" spans="1:4" x14ac:dyDescent="0.6">
      <c r="A15" s="2" t="s">
        <v>23</v>
      </c>
      <c r="B15" s="39">
        <v>0.1</v>
      </c>
      <c r="C15" s="37">
        <f>B15*$C$7</f>
        <v>10000</v>
      </c>
    </row>
    <row r="16" spans="1:4" ht="21" x14ac:dyDescent="0.6">
      <c r="A16" s="35" t="s">
        <v>24</v>
      </c>
      <c r="B16" s="39"/>
      <c r="C16" s="38"/>
    </row>
    <row r="17" spans="1:3" x14ac:dyDescent="0.6">
      <c r="A17" s="7"/>
      <c r="B17" s="25" t="s">
        <v>18</v>
      </c>
      <c r="C17" s="26">
        <f>SUM(C10:C16)</f>
        <v>19876</v>
      </c>
    </row>
    <row r="19" spans="1:3" x14ac:dyDescent="0.6">
      <c r="A19" s="6" t="s">
        <v>3</v>
      </c>
      <c r="B19" s="6"/>
    </row>
    <row r="20" spans="1:3" x14ac:dyDescent="0.6">
      <c r="A20" s="2" t="s">
        <v>37</v>
      </c>
      <c r="B20" s="32">
        <f>10*8</f>
        <v>80</v>
      </c>
      <c r="C20" s="3">
        <f>($C$7/2080)*B20</f>
        <v>3846.1538461538466</v>
      </c>
    </row>
    <row r="21" spans="1:3" x14ac:dyDescent="0.6">
      <c r="A21" s="2" t="s">
        <v>14</v>
      </c>
      <c r="B21" s="32">
        <f>15*8</f>
        <v>120</v>
      </c>
      <c r="C21" s="3">
        <f>($C$7/2080)*B21</f>
        <v>5769.2307692307695</v>
      </c>
    </row>
    <row r="22" spans="1:3" x14ac:dyDescent="0.6">
      <c r="A22" s="35" t="s">
        <v>30</v>
      </c>
      <c r="B22" s="1"/>
    </row>
    <row r="23" spans="1:3" x14ac:dyDescent="0.6">
      <c r="A23" s="2" t="s">
        <v>13</v>
      </c>
      <c r="B23" s="32">
        <f>13*8</f>
        <v>104</v>
      </c>
      <c r="C23" s="3">
        <f>($C$7/2080)*B23</f>
        <v>5000</v>
      </c>
    </row>
    <row r="24" spans="1:3" x14ac:dyDescent="0.6">
      <c r="A24" s="2" t="s">
        <v>33</v>
      </c>
      <c r="B24" s="32">
        <f>10*8</f>
        <v>80</v>
      </c>
      <c r="C24" s="3">
        <f>($C$7/2080)*B24</f>
        <v>3846.1538461538466</v>
      </c>
    </row>
    <row r="25" spans="1:3" x14ac:dyDescent="0.6">
      <c r="A25" s="35" t="s">
        <v>34</v>
      </c>
    </row>
    <row r="26" spans="1:3" x14ac:dyDescent="0.6">
      <c r="A26" s="2" t="s">
        <v>9</v>
      </c>
      <c r="C26" s="19" t="s">
        <v>10</v>
      </c>
    </row>
    <row r="27" spans="1:3" x14ac:dyDescent="0.6">
      <c r="A27" s="7"/>
      <c r="B27" s="7" t="s">
        <v>18</v>
      </c>
      <c r="C27" s="5">
        <f>SUM(C20:C26)</f>
        <v>18461.538461538465</v>
      </c>
    </row>
    <row r="28" spans="1:3" x14ac:dyDescent="0.6">
      <c r="A28" s="8"/>
      <c r="B28" s="8"/>
      <c r="C28" s="21"/>
    </row>
    <row r="29" spans="1:3" x14ac:dyDescent="0.6">
      <c r="A29" s="6" t="s">
        <v>27</v>
      </c>
      <c r="B29" s="22" t="s">
        <v>20</v>
      </c>
    </row>
    <row r="30" spans="1:3" x14ac:dyDescent="0.6">
      <c r="A30" s="24" t="s">
        <v>32</v>
      </c>
      <c r="B30" s="33">
        <v>0</v>
      </c>
      <c r="C30" s="3">
        <f>$B$30*$C$7</f>
        <v>0</v>
      </c>
    </row>
    <row r="31" spans="1:3" x14ac:dyDescent="0.6">
      <c r="A31" s="24" t="s">
        <v>28</v>
      </c>
      <c r="B31" s="33">
        <v>0</v>
      </c>
      <c r="C31" s="3">
        <f>$B$31*$C$7</f>
        <v>0</v>
      </c>
    </row>
    <row r="32" spans="1:3" x14ac:dyDescent="0.6">
      <c r="A32" s="2" t="s">
        <v>39</v>
      </c>
      <c r="B32" s="34">
        <v>0</v>
      </c>
      <c r="C32" s="3">
        <f>$B$32*12</f>
        <v>0</v>
      </c>
    </row>
    <row r="33" spans="1:4" x14ac:dyDescent="0.6">
      <c r="A33" s="2" t="s">
        <v>40</v>
      </c>
      <c r="B33" s="34">
        <v>0</v>
      </c>
      <c r="C33" s="3">
        <f>B33*12</f>
        <v>0</v>
      </c>
    </row>
    <row r="34" spans="1:4" x14ac:dyDescent="0.6">
      <c r="A34" s="2" t="s">
        <v>38</v>
      </c>
      <c r="C34" s="3">
        <v>20000</v>
      </c>
    </row>
    <row r="35" spans="1:4" x14ac:dyDescent="0.6">
      <c r="A35" s="2" t="s">
        <v>31</v>
      </c>
      <c r="C35" s="19">
        <v>1000</v>
      </c>
    </row>
    <row r="36" spans="1:4" x14ac:dyDescent="0.6">
      <c r="A36" s="35" t="s">
        <v>41</v>
      </c>
      <c r="B36" s="7" t="s">
        <v>18</v>
      </c>
      <c r="C36" s="5">
        <f>SUM(C30:C35)</f>
        <v>21000</v>
      </c>
    </row>
    <row r="38" spans="1:4" x14ac:dyDescent="0.6">
      <c r="A38" s="6" t="s">
        <v>17</v>
      </c>
      <c r="B38" s="6"/>
    </row>
    <row r="39" spans="1:4" ht="23.25" customHeight="1" x14ac:dyDescent="0.6">
      <c r="A39" s="35" t="s">
        <v>29</v>
      </c>
      <c r="B39" s="13"/>
    </row>
    <row r="40" spans="1:4" x14ac:dyDescent="0.6">
      <c r="A40" s="2" t="s">
        <v>4</v>
      </c>
      <c r="C40" s="3">
        <f>($C$7+$C$30)*0.062</f>
        <v>6200</v>
      </c>
    </row>
    <row r="41" spans="1:4" x14ac:dyDescent="0.6">
      <c r="A41" s="2" t="s">
        <v>5</v>
      </c>
      <c r="C41" s="3">
        <f>($C$7+$C$30)*0.0145</f>
        <v>1450</v>
      </c>
    </row>
    <row r="42" spans="1:4" x14ac:dyDescent="0.6">
      <c r="A42" s="2" t="s">
        <v>11</v>
      </c>
      <c r="C42" s="3">
        <f>($C$7+$C$30)*0.018</f>
        <v>1799.9999999999998</v>
      </c>
    </row>
    <row r="43" spans="1:4" x14ac:dyDescent="0.6">
      <c r="A43" s="2" t="s">
        <v>6</v>
      </c>
      <c r="C43" s="3">
        <f>($C$7+$C$30)*0.0015</f>
        <v>150</v>
      </c>
    </row>
    <row r="44" spans="1:4" x14ac:dyDescent="0.6">
      <c r="A44" s="2" t="s">
        <v>19</v>
      </c>
      <c r="C44" s="3">
        <f>($C$7+$C$30)*0.0062</f>
        <v>620</v>
      </c>
    </row>
    <row r="45" spans="1:4" x14ac:dyDescent="0.6">
      <c r="A45" s="7"/>
      <c r="B45" s="7" t="s">
        <v>18</v>
      </c>
      <c r="C45" s="5">
        <f>SUM(C40:C44)</f>
        <v>10220</v>
      </c>
      <c r="D45" s="20"/>
    </row>
    <row r="47" spans="1:4" ht="16.8" x14ac:dyDescent="0.8">
      <c r="A47" s="8" t="s">
        <v>7</v>
      </c>
      <c r="B47" s="8"/>
      <c r="C47" s="11">
        <f>C17+C27+C36+C45</f>
        <v>69557.538461538468</v>
      </c>
      <c r="D47" s="12"/>
    </row>
    <row r="48" spans="1:4" ht="15.9" thickBot="1" x14ac:dyDescent="0.65"/>
    <row r="49" spans="1:3" ht="27.75" customHeight="1" thickBot="1" x14ac:dyDescent="0.65">
      <c r="A49" s="15" t="s">
        <v>15</v>
      </c>
      <c r="B49" s="15"/>
      <c r="C49" s="16">
        <f>C7+C17+C36+C45</f>
        <v>151096</v>
      </c>
    </row>
    <row r="50" spans="1:3" x14ac:dyDescent="0.6">
      <c r="A50" s="23" t="s">
        <v>12</v>
      </c>
      <c r="B50" s="14"/>
    </row>
  </sheetData>
  <mergeCells count="3">
    <mergeCell ref="A3:C3"/>
    <mergeCell ref="C15:C16"/>
    <mergeCell ref="B15:B16"/>
  </mergeCells>
  <hyperlinks>
    <hyperlink ref="A31" r:id="rId1" location="CABO%20VERDE" xr:uid="{2687488E-4924-4D44-BDB9-27DF7182AE8F}"/>
    <hyperlink ref="A30" r:id="rId2" xr:uid="{A7C5A62C-98A1-47FA-8E9F-4509BBEAAA8B}"/>
  </hyperlinks>
  <pageMargins left="0.7" right="0.7" top="0.75" bottom="0.75" header="0.3" footer="0.3"/>
  <pageSetup scale="73"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5500000000000000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550000000000000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C021BD-A0C8-40DD-854E-8C3C91FEAC0C}">
  <ds:schemaRefs>
    <ds:schemaRef ds:uri="http://schemas.microsoft.com/sharepoint/v3/contenttype/forms"/>
  </ds:schemaRefs>
</ds:datastoreItem>
</file>

<file path=customXml/itemProps2.xml><?xml version="1.0" encoding="utf-8"?>
<ds:datastoreItem xmlns:ds="http://schemas.openxmlformats.org/officeDocument/2006/customXml" ds:itemID="{F1FAD020-723E-42CD-A1ED-49C77DF5EE61}">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documentManagement/types"/>
    <ds:schemaRef ds:uri="41b6ea9f-a3e8-403c-841e-02950e8e8bbc"/>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501C44FC-8B60-481C-B136-3D48486FE9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Danielle Martin</cp:lastModifiedBy>
  <cp:lastPrinted>2021-01-08T18:24:01Z</cp:lastPrinted>
  <dcterms:created xsi:type="dcterms:W3CDTF">2012-01-19T14:05:20Z</dcterms:created>
  <dcterms:modified xsi:type="dcterms:W3CDTF">2021-01-10T02:39:18Z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525400</vt:r8>
  </property>
</Properties>
</file>