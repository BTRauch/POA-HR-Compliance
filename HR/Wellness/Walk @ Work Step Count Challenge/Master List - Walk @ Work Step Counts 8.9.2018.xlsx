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mar\Documents\Work From Home\Wellness\"/>
    </mc:Choice>
  </mc:AlternateContent>
  <xr:revisionPtr revIDLastSave="0" documentId="10_ncr:100000_{3323416D-C599-45F5-AFC0-630CD761B797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Week 1" sheetId="8" r:id="rId1"/>
    <sheet name="Week 2" sheetId="1" r:id="rId2"/>
    <sheet name="Week 3" sheetId="7" r:id="rId3"/>
    <sheet name="Week 4 " sheetId="6" r:id="rId4"/>
    <sheet name="Final Results" sheetId="5" r:id="rId5"/>
    <sheet name="Avgs SL + AL" sheetId="9" r:id="rId6"/>
  </sheets>
  <definedNames>
    <definedName name="_xlnm._FilterDatabase" localSheetId="0" hidden="1">'Week 1'!$B$9:$K$9</definedName>
    <definedName name="_xlnm._FilterDatabase" localSheetId="1" hidden="1">'Week 2'!$B$9:$J$9</definedName>
    <definedName name="_xlnm._FilterDatabase" localSheetId="2" hidden="1">'Week 3'!$B$9:$M$9</definedName>
    <definedName name="_xlnm._FilterDatabase" localSheetId="3" hidden="1">'Week 4 '!$B$9:$J$9</definedName>
  </definedNames>
  <calcPr calcId="179017"/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10" i="6"/>
  <c r="M12" i="7" l="1"/>
  <c r="J21" i="7"/>
  <c r="M21" i="7" s="1"/>
  <c r="J20" i="7"/>
  <c r="M20" i="7" s="1"/>
  <c r="J23" i="7"/>
  <c r="J31" i="7"/>
  <c r="M31" i="7" s="1"/>
  <c r="J24" i="7"/>
  <c r="M24" i="7" s="1"/>
  <c r="J28" i="7"/>
  <c r="M28" i="7" s="1"/>
  <c r="J29" i="7"/>
  <c r="M29" i="7" s="1"/>
  <c r="J16" i="7"/>
  <c r="M16" i="7" s="1"/>
  <c r="J27" i="7"/>
  <c r="M27" i="7" s="1"/>
  <c r="J22" i="7"/>
  <c r="M22" i="7" s="1"/>
  <c r="J26" i="7"/>
  <c r="J18" i="7"/>
  <c r="M18" i="7" s="1"/>
  <c r="J30" i="7"/>
  <c r="M30" i="7" s="1"/>
  <c r="J13" i="7"/>
  <c r="M13" i="7" s="1"/>
  <c r="J19" i="7"/>
  <c r="J17" i="7"/>
  <c r="M17" i="7" s="1"/>
  <c r="J15" i="7"/>
  <c r="M15" i="7" s="1"/>
  <c r="J10" i="7"/>
  <c r="M10" i="7" s="1"/>
  <c r="J14" i="7"/>
  <c r="J25" i="7"/>
  <c r="M25" i="7" l="1"/>
  <c r="M11" i="7"/>
  <c r="M14" i="7"/>
  <c r="M19" i="7"/>
  <c r="M26" i="7"/>
  <c r="M23" i="7"/>
  <c r="E15" i="1"/>
  <c r="I15" i="1" l="1"/>
  <c r="H15" i="1"/>
  <c r="F15" i="1"/>
  <c r="I15" i="8" l="1"/>
  <c r="H15" i="8"/>
  <c r="G15" i="8"/>
  <c r="E15" i="8"/>
  <c r="J12" i="8" l="1"/>
  <c r="J13" i="8"/>
  <c r="J14" i="8"/>
  <c r="J15" i="8"/>
  <c r="J16" i="8"/>
  <c r="J29" i="8"/>
  <c r="J31" i="8"/>
  <c r="J10" i="8"/>
  <c r="J17" i="8"/>
  <c r="J18" i="8"/>
  <c r="J19" i="8"/>
  <c r="J20" i="8"/>
  <c r="J21" i="8"/>
  <c r="J22" i="8"/>
  <c r="J23" i="8"/>
  <c r="J24" i="8"/>
  <c r="J25" i="8"/>
  <c r="J26" i="8"/>
  <c r="J27" i="8"/>
  <c r="J28" i="8"/>
  <c r="J30" i="8"/>
  <c r="J11" i="8"/>
  <c r="J31" i="6" l="1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Summar Lyons</author>
  </authors>
  <commentList>
    <comment ref="I1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Summar Lyons:</t>
        </r>
        <r>
          <rPr>
            <sz val="9"/>
            <color indexed="81"/>
            <rFont val="Tahoma"/>
            <charset val="1"/>
          </rPr>
          <t xml:space="preserve">
Out Sick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Summar Lyons</author>
  </authors>
  <commentList>
    <comment ref="H14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Summar Lyons:</t>
        </r>
        <r>
          <rPr>
            <sz val="9"/>
            <color indexed="81"/>
            <rFont val="Tahoma"/>
            <charset val="1"/>
          </rPr>
          <t xml:space="preserve">
WFH/Sick</t>
        </r>
      </text>
    </comment>
    <comment ref="I14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Summar Lyons:</t>
        </r>
        <r>
          <rPr>
            <sz val="9"/>
            <color indexed="81"/>
            <rFont val="Tahoma"/>
            <charset val="1"/>
          </rPr>
          <t xml:space="preserve">
Out Sick</t>
        </r>
      </text>
    </comment>
    <comment ref="E20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Summar Lyons:</t>
        </r>
        <r>
          <rPr>
            <sz val="9"/>
            <color indexed="81"/>
            <rFont val="Tahoma"/>
            <charset val="1"/>
          </rPr>
          <t xml:space="preserve">
On AL this day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Summar Lyons</author>
  </authors>
  <commentList>
    <comment ref="E2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Summar Lyons:</t>
        </r>
        <r>
          <rPr>
            <sz val="9"/>
            <color indexed="81"/>
            <rFont val="Tahoma"/>
            <family val="2"/>
          </rPr>
          <t xml:space="preserve">
Check if on SL</t>
        </r>
      </text>
    </comment>
  </commentList>
</comments>
</file>

<file path=xl/sharedStrings.xml><?xml version="1.0" encoding="utf-8"?>
<sst xmlns="http://schemas.openxmlformats.org/spreadsheetml/2006/main" count="299" uniqueCount="90">
  <si>
    <t>Tuesday, July 17th</t>
  </si>
  <si>
    <t>Wednesday, July 18th</t>
  </si>
  <si>
    <t xml:space="preserve">Thursday, July 19th </t>
  </si>
  <si>
    <t xml:space="preserve">Friday, July 20th </t>
  </si>
  <si>
    <t>Walk @ Work Step Count Challenge (July 16th - August 10th, 2018)</t>
  </si>
  <si>
    <t xml:space="preserve">Name </t>
  </si>
  <si>
    <t xml:space="preserve">Team </t>
  </si>
  <si>
    <t xml:space="preserve">Name of Pedometor App </t>
  </si>
  <si>
    <t xml:space="preserve">Monday, July 16th </t>
  </si>
  <si>
    <t xml:space="preserve">Ukiah </t>
  </si>
  <si>
    <t>Sergey</t>
  </si>
  <si>
    <t>Aiyanna</t>
  </si>
  <si>
    <t>Taylor</t>
  </si>
  <si>
    <t>Summar</t>
  </si>
  <si>
    <t>Morgan</t>
  </si>
  <si>
    <t>Stephanie</t>
  </si>
  <si>
    <t>Rachel</t>
  </si>
  <si>
    <t>Penelope</t>
  </si>
  <si>
    <t>Yohana</t>
  </si>
  <si>
    <t>John</t>
  </si>
  <si>
    <t>Susie</t>
  </si>
  <si>
    <t>Janira</t>
  </si>
  <si>
    <t>Diana</t>
  </si>
  <si>
    <t>A</t>
  </si>
  <si>
    <t>B</t>
  </si>
  <si>
    <t>C</t>
  </si>
  <si>
    <t xml:space="preserve">Anthony </t>
  </si>
  <si>
    <t>D</t>
  </si>
  <si>
    <t>Barbara</t>
  </si>
  <si>
    <t>Hanyu</t>
  </si>
  <si>
    <t xml:space="preserve">Renata </t>
  </si>
  <si>
    <t xml:space="preserve">Javiera </t>
  </si>
  <si>
    <t>E</t>
  </si>
  <si>
    <t xml:space="preserve">Melissa </t>
  </si>
  <si>
    <t xml:space="preserve">Clarissa </t>
  </si>
  <si>
    <t xml:space="preserve">Adriano </t>
  </si>
  <si>
    <t>Week 1 Results</t>
  </si>
  <si>
    <t xml:space="preserve">Week 1 Totals </t>
  </si>
  <si>
    <t>Week 2 Results</t>
  </si>
  <si>
    <t xml:space="preserve">Step Counter </t>
  </si>
  <si>
    <t xml:space="preserve">iWatch </t>
  </si>
  <si>
    <t xml:space="preserve">StepUp </t>
  </si>
  <si>
    <t xml:space="preserve">Health App, then FitBit </t>
  </si>
  <si>
    <t xml:space="preserve">Apple iWatch </t>
  </si>
  <si>
    <t xml:space="preserve">iPhone </t>
  </si>
  <si>
    <t xml:space="preserve">Apple Health </t>
  </si>
  <si>
    <t xml:space="preserve">Smart Bracelet </t>
  </si>
  <si>
    <t xml:space="preserve">FitBit </t>
  </si>
  <si>
    <t>Tuesday, July 24th</t>
  </si>
  <si>
    <t>Wednesday, July 25th</t>
  </si>
  <si>
    <t>Thursday, July 26th</t>
  </si>
  <si>
    <t xml:space="preserve">Friday, July 27th </t>
  </si>
  <si>
    <t xml:space="preserve">Week 2 Totals </t>
  </si>
  <si>
    <t xml:space="preserve">Samsung Health App </t>
  </si>
  <si>
    <t>Unknown</t>
  </si>
  <si>
    <t>StepUp</t>
  </si>
  <si>
    <t>FitBit</t>
  </si>
  <si>
    <t xml:space="preserve">Apple Watch </t>
  </si>
  <si>
    <t xml:space="preserve">iPhone Health App </t>
  </si>
  <si>
    <t xml:space="preserve">Average </t>
  </si>
  <si>
    <t>Apple Health &amp; StepUp</t>
  </si>
  <si>
    <t xml:space="preserve">Apple Health, StepUp </t>
  </si>
  <si>
    <t xml:space="preserve">Step Up </t>
  </si>
  <si>
    <t xml:space="preserve">Samsung Health </t>
  </si>
  <si>
    <t>Week 3 Results</t>
  </si>
  <si>
    <t xml:space="preserve">Health </t>
  </si>
  <si>
    <t xml:space="preserve">Week 3 Totals </t>
  </si>
  <si>
    <t>Current Standings</t>
  </si>
  <si>
    <t>Wk 1 + Wk 2 + Wk 3</t>
  </si>
  <si>
    <t>Wk 1</t>
  </si>
  <si>
    <t>Wk 2</t>
  </si>
  <si>
    <t>Monday, July 23rd</t>
  </si>
  <si>
    <t>Monday, July 30th</t>
  </si>
  <si>
    <t>Tuesday, July 31st</t>
  </si>
  <si>
    <t>Wednesday, Aug. 1</t>
  </si>
  <si>
    <t xml:space="preserve">Thursday, Aug 2nd </t>
  </si>
  <si>
    <t>Friday, Aug. 3rd</t>
  </si>
  <si>
    <t>Week 4 Results</t>
  </si>
  <si>
    <t>Monday, Aug 6</t>
  </si>
  <si>
    <t>Tuesday, Aug 7</t>
  </si>
  <si>
    <t>Wednesday, Aug 8</t>
  </si>
  <si>
    <t>Thursday, Aug 9</t>
  </si>
  <si>
    <t>Friday, Aug 10</t>
  </si>
  <si>
    <t xml:space="preserve">Barbara </t>
  </si>
  <si>
    <t xml:space="preserve">Avg </t>
  </si>
  <si>
    <t>Clarissa</t>
  </si>
  <si>
    <t>Avg</t>
  </si>
  <si>
    <t xml:space="preserve">Morgan </t>
  </si>
  <si>
    <t>Melissa</t>
  </si>
  <si>
    <t xml:space="preserve">Penelope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</si>
</sst>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1" fillId="0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1" fillId="0" borderId="0" xfId="0" applyFont="1" applyFill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0" fillId="6" borderId="0" xfId="0" applyFill="1"/>
    <xf numFmtId="1" fontId="0" fillId="0" borderId="0" xfId="0" applyNumberFormat="1"/>
    <xf numFmtId="1" fontId="0" fillId="2" borderId="1" xfId="0" applyNumberFormat="1" applyFill="1" applyBorder="1"/>
    <xf numFmtId="0" fontId="0" fillId="8" borderId="1" xfId="0" applyFill="1" applyBorder="1"/>
    <xf numFmtId="0" fontId="1" fillId="0" borderId="0" xfId="0" applyFont="1" applyFill="1" applyBorder="1" applyAlignment="1">
      <alignment horizontal="center"/>
    </xf>
    <xf numFmtId="0" fontId="1" fillId="10" borderId="2" xfId="0" applyFont="1" applyFill="1" applyBorder="1"/>
    <xf numFmtId="0" fontId="1" fillId="10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/>
    </xf>
    <xf numFmtId="0" fontId="0" fillId="10" borderId="0" xfId="0" applyFill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left" vertical="center" wrapText="1"/>
    </xf>
    <xf numFmtId="0" fontId="0" fillId="9" borderId="1" xfId="0" applyFill="1" applyBorder="1"/>
    <xf numFmtId="0" fontId="1" fillId="3" borderId="6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/>
    </xf>
    <xf numFmtId="0" fontId="0" fillId="12" borderId="1" xfId="0" applyFill="1" applyBorder="1"/>
    <xf numFmtId="0" fontId="1" fillId="0" borderId="0" xfId="0" applyFont="1"/>
    <xf numFmtId="0" fontId="1" fillId="11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2" fillId="11" borderId="0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/>
    </xf>
    <xf numFmtId="0" fontId="2" fillId="13" borderId="0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" xfId="0" applyFont="1" applyFill="1" applyBorder="1"/>
    <xf numFmtId="0" fontId="1" fillId="13" borderId="2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0" borderId="7" xfId="0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384809</xdr:colOff>
      <xdr:row>3</xdr:row>
      <xdr:rowOff>115619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182880"/>
          <a:ext cx="304418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384809</xdr:colOff>
      <xdr:row>3</xdr:row>
      <xdr:rowOff>115619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04799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1420653</xdr:colOff>
      <xdr:row>3</xdr:row>
      <xdr:rowOff>115619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182880"/>
          <a:ext cx="304418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384809</xdr:colOff>
      <xdr:row>3</xdr:row>
      <xdr:rowOff>115619</xdr:rowOff>
    </xdr:to>
    <xdr:pic>
      <xdr:nvPicPr>
        <xdr:cNvPr id="2" name="Picture 1" descr="POA_English Slogan BLAC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182880"/>
          <a:ext cx="304418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L39"/>
  <sheetViews>
    <sheetView tabSelected="1" topLeftCell="A4" zoomScale="80" zoomScaleNormal="80" workbookViewId="0">
      <selection activeCell="G24" sqref="G24"/>
    </sheetView>
  </sheetViews>
  <sheetFormatPr defaultRowHeight="15" x14ac:dyDescent="0.25"/>
  <cols>
    <col min="1" max="1" width="3" customWidth="1"/>
    <col min="2" max="2" width="28" customWidth="1"/>
    <col min="3" max="3" width="10.7109375" customWidth="1"/>
    <col min="4" max="4" width="23.28515625" customWidth="1"/>
    <col min="5" max="9" width="24.7109375" customWidth="1"/>
    <col min="10" max="10" width="25.85546875" customWidth="1"/>
  </cols>
  <sheetData>
    <row r="5" spans="1:12" ht="31.15" customHeight="1" x14ac:dyDescent="0.25">
      <c r="B5" s="49" t="s">
        <v>4</v>
      </c>
      <c r="C5" s="49"/>
      <c r="D5" s="49"/>
      <c r="E5" s="49"/>
    </row>
    <row r="6" spans="1:12" ht="15.75" thickBot="1" x14ac:dyDescent="0.3"/>
    <row r="7" spans="1:12" ht="15.75" thickBot="1" x14ac:dyDescent="0.3">
      <c r="B7" s="50" t="s">
        <v>36</v>
      </c>
      <c r="C7" s="51"/>
      <c r="D7" s="51"/>
      <c r="E7" s="51"/>
      <c r="F7" s="51"/>
      <c r="G7" s="51"/>
      <c r="H7" s="51"/>
      <c r="I7" s="51"/>
      <c r="J7" s="52"/>
    </row>
    <row r="9" spans="1:12" ht="13.15" customHeight="1" x14ac:dyDescent="0.25">
      <c r="B9" s="4" t="s">
        <v>5</v>
      </c>
      <c r="C9" s="5" t="s">
        <v>6</v>
      </c>
      <c r="D9" s="5" t="s">
        <v>7</v>
      </c>
      <c r="E9" s="10" t="s">
        <v>8</v>
      </c>
      <c r="F9" s="5" t="s">
        <v>0</v>
      </c>
      <c r="G9" s="5" t="s">
        <v>1</v>
      </c>
      <c r="H9" s="5" t="s">
        <v>2</v>
      </c>
      <c r="I9" s="2" t="s">
        <v>3</v>
      </c>
      <c r="J9" s="14" t="s">
        <v>37</v>
      </c>
      <c r="K9" s="38" t="s">
        <v>59</v>
      </c>
    </row>
    <row r="10" spans="1:12" ht="14.45" customHeight="1" x14ac:dyDescent="0.25">
      <c r="B10" s="3" t="s">
        <v>35</v>
      </c>
      <c r="C10" s="12" t="s">
        <v>32</v>
      </c>
      <c r="D10" s="16" t="s">
        <v>40</v>
      </c>
      <c r="E10" s="61">
        <v>1716</v>
      </c>
      <c r="F10" s="61">
        <v>1577</v>
      </c>
      <c r="G10" s="61">
        <v>1499</v>
      </c>
      <c r="H10" s="61">
        <v>1246</v>
      </c>
      <c r="I10" s="1">
        <v>2752</v>
      </c>
      <c r="J10" s="16">
        <f>E10+F10+G10+H10+I10</f>
        <v>8790</v>
      </c>
    </row>
    <row r="11" spans="1:12" ht="14.45" customHeight="1" x14ac:dyDescent="0.25">
      <c r="B11" s="11" t="s">
        <v>11</v>
      </c>
      <c r="C11" s="13" t="s">
        <v>23</v>
      </c>
      <c r="D11" s="16" t="s">
        <v>45</v>
      </c>
      <c r="E11" s="61">
        <v>943</v>
      </c>
      <c r="F11" s="61">
        <v>691</v>
      </c>
      <c r="G11" s="62">
        <v>6222</v>
      </c>
      <c r="H11" s="62">
        <v>1644</v>
      </c>
      <c r="I11" s="1">
        <v>2472</v>
      </c>
      <c r="J11" s="16">
        <f>E11+F11+G11+H11+I11</f>
        <v>11972</v>
      </c>
    </row>
    <row r="12" spans="1:12" ht="14.45" customHeight="1" x14ac:dyDescent="0.25">
      <c r="B12" s="3" t="s">
        <v>26</v>
      </c>
      <c r="C12" s="12" t="s">
        <v>27</v>
      </c>
      <c r="D12" s="16" t="s">
        <v>46</v>
      </c>
      <c r="E12" s="61">
        <v>1600</v>
      </c>
      <c r="F12" s="61">
        <v>1702</v>
      </c>
      <c r="G12" s="61">
        <v>1763</v>
      </c>
      <c r="H12" s="62">
        <v>4205</v>
      </c>
      <c r="I12" s="1">
        <v>2526</v>
      </c>
      <c r="J12" s="16">
        <f>E12+F12+G12+H12+I12</f>
        <v>11796</v>
      </c>
    </row>
    <row r="13" spans="1:12" ht="14.45" customHeight="1" x14ac:dyDescent="0.25">
      <c r="B13" s="11" t="s">
        <v>28</v>
      </c>
      <c r="C13" s="12" t="s">
        <v>27</v>
      </c>
      <c r="D13" s="16" t="s">
        <v>44</v>
      </c>
      <c r="E13" s="63">
        <v>654</v>
      </c>
      <c r="F13" s="63">
        <v>1990</v>
      </c>
      <c r="G13" s="66">
        <v>1328</v>
      </c>
      <c r="H13" s="61">
        <v>1097</v>
      </c>
      <c r="I13" s="20">
        <v>1328</v>
      </c>
      <c r="J13" s="16">
        <f>E13+F13+G13+H13+I13</f>
        <v>6397</v>
      </c>
    </row>
    <row r="14" spans="1:12" ht="14.45" customHeight="1" x14ac:dyDescent="0.25">
      <c r="A14" s="24"/>
      <c r="B14" s="11" t="s">
        <v>34</v>
      </c>
      <c r="C14" s="12" t="s">
        <v>32</v>
      </c>
      <c r="D14" s="15" t="s">
        <v>58</v>
      </c>
      <c r="E14" s="62">
        <v>1992</v>
      </c>
      <c r="F14" s="62">
        <v>3402</v>
      </c>
      <c r="G14" s="62">
        <v>1743</v>
      </c>
      <c r="H14" s="62">
        <v>2421</v>
      </c>
      <c r="I14" s="37">
        <v>2586</v>
      </c>
      <c r="J14" s="15">
        <f>E14+F14+G14+H14+I14</f>
        <v>12144</v>
      </c>
    </row>
    <row r="15" spans="1:12" ht="14.45" customHeight="1" x14ac:dyDescent="0.25">
      <c r="B15" s="11" t="s">
        <v>22</v>
      </c>
      <c r="C15" s="12" t="s">
        <v>25</v>
      </c>
      <c r="D15" s="16" t="s">
        <v>41</v>
      </c>
      <c r="E15" s="61">
        <f>1653-467</f>
        <v>1186</v>
      </c>
      <c r="F15" s="65">
        <v>1730</v>
      </c>
      <c r="G15" s="61">
        <f>2000-465</f>
        <v>1535</v>
      </c>
      <c r="H15" s="61">
        <f>1959-460</f>
        <v>1499</v>
      </c>
      <c r="I15" s="1">
        <f>2105-460</f>
        <v>1645</v>
      </c>
      <c r="J15" s="16">
        <f>E15+F15+G15+H15+I15</f>
        <v>7595</v>
      </c>
      <c r="L15" s="25"/>
    </row>
    <row r="16" spans="1:12" ht="14.45" customHeight="1" x14ac:dyDescent="0.25">
      <c r="B16" s="11" t="s">
        <v>29</v>
      </c>
      <c r="C16" s="12" t="s">
        <v>27</v>
      </c>
      <c r="D16" s="16" t="s">
        <v>45</v>
      </c>
      <c r="E16" s="63">
        <v>2697</v>
      </c>
      <c r="F16" s="66">
        <v>1619</v>
      </c>
      <c r="G16" s="63">
        <v>618</v>
      </c>
      <c r="H16" s="66">
        <v>1619</v>
      </c>
      <c r="I16" s="27">
        <v>682</v>
      </c>
      <c r="J16" s="16">
        <f>E16+F16+G16+H16+I16</f>
        <v>7235</v>
      </c>
    </row>
    <row r="17" spans="1:10" ht="14.45" customHeight="1" x14ac:dyDescent="0.25">
      <c r="B17" s="3" t="s">
        <v>21</v>
      </c>
      <c r="C17" s="12" t="s">
        <v>25</v>
      </c>
      <c r="D17" s="16" t="s">
        <v>41</v>
      </c>
      <c r="E17" s="61">
        <v>281</v>
      </c>
      <c r="F17" s="61">
        <v>247</v>
      </c>
      <c r="G17" s="61">
        <v>1168</v>
      </c>
      <c r="H17" s="61">
        <v>2847</v>
      </c>
      <c r="I17" s="21">
        <v>1136</v>
      </c>
      <c r="J17" s="16">
        <f>E17+F17+G17+H17+I17</f>
        <v>5679</v>
      </c>
    </row>
    <row r="18" spans="1:10" ht="14.45" customHeight="1" x14ac:dyDescent="0.25">
      <c r="B18" s="3" t="s">
        <v>31</v>
      </c>
      <c r="C18" s="12" t="s">
        <v>32</v>
      </c>
      <c r="D18" s="16" t="s">
        <v>41</v>
      </c>
      <c r="E18" s="61">
        <v>950</v>
      </c>
      <c r="F18" s="61">
        <v>454</v>
      </c>
      <c r="G18" s="61">
        <v>203</v>
      </c>
      <c r="H18" s="61">
        <v>2691</v>
      </c>
      <c r="I18" s="1">
        <v>1626</v>
      </c>
      <c r="J18" s="16">
        <f>E18+F18+G18+H18+I18</f>
        <v>5924</v>
      </c>
    </row>
    <row r="19" spans="1:10" ht="14.45" customHeight="1" x14ac:dyDescent="0.25">
      <c r="B19" s="3" t="s">
        <v>19</v>
      </c>
      <c r="C19" s="12" t="s">
        <v>25</v>
      </c>
      <c r="D19" s="16" t="s">
        <v>53</v>
      </c>
      <c r="E19" s="61">
        <v>5114</v>
      </c>
      <c r="F19" s="61">
        <v>4061</v>
      </c>
      <c r="G19" s="61">
        <v>5212</v>
      </c>
      <c r="H19" s="61">
        <v>3481</v>
      </c>
      <c r="I19" s="1">
        <v>6222</v>
      </c>
      <c r="J19" s="16">
        <f>E19+F19+G19+H19+I19</f>
        <v>24090</v>
      </c>
    </row>
    <row r="20" spans="1:10" ht="14.45" customHeight="1" x14ac:dyDescent="0.25">
      <c r="B20" s="3" t="s">
        <v>33</v>
      </c>
      <c r="C20" s="12" t="s">
        <v>32</v>
      </c>
      <c r="D20" s="16" t="s">
        <v>40</v>
      </c>
      <c r="E20" s="61">
        <v>2065</v>
      </c>
      <c r="F20" s="61">
        <v>2958</v>
      </c>
      <c r="G20" s="61">
        <v>3361</v>
      </c>
      <c r="H20" s="62">
        <v>3318</v>
      </c>
      <c r="I20" s="1">
        <v>1983</v>
      </c>
      <c r="J20" s="16">
        <f>E20+F20+G20+H20+I20</f>
        <v>13685</v>
      </c>
    </row>
    <row r="21" spans="1:10" ht="14.45" customHeight="1" x14ac:dyDescent="0.25">
      <c r="B21" s="3" t="s">
        <v>14</v>
      </c>
      <c r="C21" s="13" t="s">
        <v>23</v>
      </c>
      <c r="D21" s="16" t="s">
        <v>54</v>
      </c>
      <c r="E21" s="64">
        <v>1551</v>
      </c>
      <c r="F21" s="61">
        <v>200</v>
      </c>
      <c r="G21" s="61">
        <v>2003</v>
      </c>
      <c r="H21" s="61">
        <v>239</v>
      </c>
      <c r="I21" s="1">
        <v>1948</v>
      </c>
      <c r="J21" s="16">
        <f>E21+F21+G21+H21+I21</f>
        <v>5941</v>
      </c>
    </row>
    <row r="22" spans="1:10" ht="14.45" customHeight="1" x14ac:dyDescent="0.25">
      <c r="B22" s="3" t="s">
        <v>17</v>
      </c>
      <c r="C22" s="12" t="s">
        <v>24</v>
      </c>
      <c r="D22" s="16" t="s">
        <v>42</v>
      </c>
      <c r="E22" s="61">
        <v>870</v>
      </c>
      <c r="F22" s="61">
        <v>456</v>
      </c>
      <c r="G22" s="61">
        <v>1338</v>
      </c>
      <c r="H22" s="61">
        <v>3028</v>
      </c>
      <c r="I22" s="1">
        <v>923</v>
      </c>
      <c r="J22" s="16">
        <f>E22+F22+G22+H22+I22</f>
        <v>6615</v>
      </c>
    </row>
    <row r="23" spans="1:10" ht="14.45" customHeight="1" x14ac:dyDescent="0.25">
      <c r="B23" s="3" t="s">
        <v>16</v>
      </c>
      <c r="C23" s="12" t="s">
        <v>24</v>
      </c>
      <c r="D23" s="15" t="s">
        <v>41</v>
      </c>
      <c r="E23" s="62">
        <v>1627</v>
      </c>
      <c r="F23" s="61">
        <v>1768</v>
      </c>
      <c r="G23" s="61">
        <v>1002</v>
      </c>
      <c r="H23" s="61">
        <v>561</v>
      </c>
      <c r="I23" s="1">
        <v>2184</v>
      </c>
      <c r="J23" s="16">
        <f>E23+F23+G23+H23+I23</f>
        <v>7142</v>
      </c>
    </row>
    <row r="24" spans="1:10" ht="14.45" customHeight="1" x14ac:dyDescent="0.25">
      <c r="A24" s="24"/>
      <c r="B24" s="3" t="s">
        <v>30</v>
      </c>
      <c r="C24" s="12" t="s">
        <v>27</v>
      </c>
      <c r="D24" s="15" t="s">
        <v>61</v>
      </c>
      <c r="E24" s="62">
        <v>3335</v>
      </c>
      <c r="F24" s="62">
        <v>4429</v>
      </c>
      <c r="G24" s="62">
        <v>4156</v>
      </c>
      <c r="H24" s="62">
        <v>4246</v>
      </c>
      <c r="I24" s="8">
        <v>4565</v>
      </c>
      <c r="J24" s="15">
        <f>E24+F24+G24+H24+I24</f>
        <v>20731</v>
      </c>
    </row>
    <row r="25" spans="1:10" ht="14.45" customHeight="1" x14ac:dyDescent="0.25">
      <c r="B25" s="6" t="s">
        <v>10</v>
      </c>
      <c r="C25" s="7" t="s">
        <v>23</v>
      </c>
      <c r="D25" s="7" t="s">
        <v>39</v>
      </c>
      <c r="E25" s="7">
        <v>250</v>
      </c>
      <c r="F25" s="61">
        <v>350</v>
      </c>
      <c r="G25" s="61">
        <v>250</v>
      </c>
      <c r="H25" s="61">
        <v>1745</v>
      </c>
      <c r="I25" s="1">
        <v>965</v>
      </c>
      <c r="J25" s="16">
        <f>E25+F25+G25+H25+I25</f>
        <v>3560</v>
      </c>
    </row>
    <row r="26" spans="1:10" ht="14.45" customHeight="1" x14ac:dyDescent="0.25">
      <c r="B26" s="3" t="s">
        <v>15</v>
      </c>
      <c r="C26" s="13" t="s">
        <v>24</v>
      </c>
      <c r="D26" s="16" t="s">
        <v>43</v>
      </c>
      <c r="E26" s="61">
        <v>4046</v>
      </c>
      <c r="F26" s="61">
        <v>2747</v>
      </c>
      <c r="G26" s="61">
        <v>2569</v>
      </c>
      <c r="H26" s="61">
        <v>2663</v>
      </c>
      <c r="I26" s="1">
        <v>5398</v>
      </c>
      <c r="J26" s="16">
        <f>E26+F26+G26+H26+I26</f>
        <v>17423</v>
      </c>
    </row>
    <row r="27" spans="1:10" ht="14.45" customHeight="1" x14ac:dyDescent="0.25">
      <c r="B27" s="3" t="s">
        <v>13</v>
      </c>
      <c r="C27" s="13" t="s">
        <v>23</v>
      </c>
      <c r="D27" s="16" t="s">
        <v>41</v>
      </c>
      <c r="E27" s="61">
        <v>2022</v>
      </c>
      <c r="F27" s="61">
        <v>1745</v>
      </c>
      <c r="G27" s="61">
        <v>3614</v>
      </c>
      <c r="H27" s="61">
        <v>1282</v>
      </c>
      <c r="I27" s="1">
        <v>2321</v>
      </c>
      <c r="J27" s="16">
        <f>E27+F27+G27+H27+I27</f>
        <v>10984</v>
      </c>
    </row>
    <row r="28" spans="1:10" ht="14.45" customHeight="1" x14ac:dyDescent="0.25">
      <c r="A28" s="24"/>
      <c r="B28" s="3" t="s">
        <v>20</v>
      </c>
      <c r="C28" s="12" t="s">
        <v>25</v>
      </c>
      <c r="D28" s="15" t="s">
        <v>45</v>
      </c>
      <c r="E28" s="62">
        <v>3803</v>
      </c>
      <c r="F28" s="62">
        <v>2869</v>
      </c>
      <c r="G28" s="62">
        <v>2366</v>
      </c>
      <c r="H28" s="62">
        <v>2444</v>
      </c>
      <c r="I28" s="8">
        <v>2626</v>
      </c>
      <c r="J28" s="15">
        <f>E28+F28+G28+H28+I28</f>
        <v>14108</v>
      </c>
    </row>
    <row r="29" spans="1:10" ht="14.45" customHeight="1" x14ac:dyDescent="0.25">
      <c r="B29" s="11" t="s">
        <v>12</v>
      </c>
      <c r="C29" s="13" t="s">
        <v>23</v>
      </c>
      <c r="D29" s="16" t="s">
        <v>47</v>
      </c>
      <c r="E29" s="61">
        <v>1723</v>
      </c>
      <c r="F29" s="61">
        <v>2123</v>
      </c>
      <c r="G29" s="61">
        <v>2476</v>
      </c>
      <c r="H29" s="62">
        <v>7125</v>
      </c>
      <c r="I29" s="26">
        <v>3362</v>
      </c>
      <c r="J29" s="23">
        <f>E29+F29+G29+H29+I29</f>
        <v>16809</v>
      </c>
    </row>
    <row r="30" spans="1:10" ht="14.45" customHeight="1" x14ac:dyDescent="0.25">
      <c r="B30" s="6" t="s">
        <v>9</v>
      </c>
      <c r="C30" s="7" t="s">
        <v>23</v>
      </c>
      <c r="D30" s="7" t="s">
        <v>41</v>
      </c>
      <c r="E30" s="7">
        <v>2302</v>
      </c>
      <c r="F30" s="61">
        <v>1471</v>
      </c>
      <c r="G30" s="61">
        <v>1663</v>
      </c>
      <c r="H30" s="61">
        <v>1054</v>
      </c>
      <c r="I30" s="1">
        <v>1571</v>
      </c>
      <c r="J30" s="16">
        <f>E30+F30+G30+H30+I30</f>
        <v>8061</v>
      </c>
    </row>
    <row r="31" spans="1:10" ht="14.45" customHeight="1" x14ac:dyDescent="0.25">
      <c r="B31" s="3" t="s">
        <v>18</v>
      </c>
      <c r="C31" s="12" t="s">
        <v>24</v>
      </c>
      <c r="D31" s="16" t="s">
        <v>45</v>
      </c>
      <c r="E31" s="61">
        <v>1451</v>
      </c>
      <c r="F31" s="61">
        <v>2367</v>
      </c>
      <c r="G31" s="61">
        <v>516</v>
      </c>
      <c r="H31" s="61">
        <v>2106</v>
      </c>
      <c r="I31" s="1">
        <v>1634</v>
      </c>
      <c r="J31" s="16">
        <f>E31+F31+G31+H31+I31</f>
        <v>8074</v>
      </c>
    </row>
    <row r="32" spans="1:10" x14ac:dyDescent="0.25">
      <c r="J32" s="19"/>
    </row>
    <row r="33" spans="2:10" x14ac:dyDescent="0.25">
      <c r="B33" s="22"/>
      <c r="C33" s="17"/>
      <c r="D33" s="17"/>
      <c r="E33" s="17"/>
      <c r="J33" s="28"/>
    </row>
    <row r="34" spans="2:10" x14ac:dyDescent="0.25">
      <c r="C34" s="17"/>
      <c r="D34" s="17"/>
      <c r="E34" s="17"/>
    </row>
    <row r="35" spans="2:10" x14ac:dyDescent="0.25">
      <c r="C35" s="17"/>
      <c r="D35" s="17"/>
      <c r="E35" s="17"/>
    </row>
    <row r="36" spans="2:10" x14ac:dyDescent="0.25">
      <c r="C36" s="17"/>
      <c r="D36" s="17"/>
      <c r="E36" s="17"/>
    </row>
    <row r="37" spans="2:10" x14ac:dyDescent="0.25">
      <c r="C37" s="17"/>
      <c r="D37" s="17"/>
      <c r="E37" s="17"/>
    </row>
    <row r="38" spans="2:10" x14ac:dyDescent="0.25">
      <c r="C38" s="17"/>
      <c r="D38" s="18"/>
      <c r="E38" s="17"/>
    </row>
    <row r="39" spans="2:10" x14ac:dyDescent="0.25">
      <c r="C39" s="17"/>
      <c r="D39" s="17"/>
      <c r="E39" s="17"/>
    </row>
  </sheetData>
  <autoFilter ref="B9:K9" xr:uid="{00000000-0009-0000-0000-000000000000}">
    <sortState ref="B10:K31">
      <sortCondition ref="B9"/>
    </sortState>
  </autoFilter>
  <mergeCells count="2">
    <mergeCell ref="B5:E5"/>
    <mergeCell ref="B7:J7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J31"/>
  <sheetViews>
    <sheetView topLeftCell="A7" zoomScale="80" zoomScaleNormal="80" workbookViewId="0">
      <selection activeCell="J10" sqref="J10:J31"/>
    </sheetView>
  </sheetViews>
  <sheetFormatPr defaultRowHeight="15" x14ac:dyDescent="0.25"/>
  <cols>
    <col min="1" max="1" width="3" customWidth="1"/>
    <col min="2" max="2" width="28" customWidth="1"/>
    <col min="3" max="3" width="10.7109375" customWidth="1"/>
    <col min="4" max="4" width="23.28515625" customWidth="1"/>
    <col min="5" max="9" width="24.7109375" customWidth="1"/>
    <col min="10" max="10" width="25.85546875" customWidth="1"/>
  </cols>
  <sheetData>
    <row r="5" spans="1:10" ht="31.15" customHeight="1" x14ac:dyDescent="0.25">
      <c r="B5" s="53" t="s">
        <v>4</v>
      </c>
      <c r="C5" s="53"/>
      <c r="D5" s="53"/>
      <c r="E5" s="53"/>
    </row>
    <row r="6" spans="1:10" ht="15.75" thickBot="1" x14ac:dyDescent="0.3"/>
    <row r="7" spans="1:10" ht="15.75" thickBot="1" x14ac:dyDescent="0.3">
      <c r="B7" s="54" t="s">
        <v>38</v>
      </c>
      <c r="C7" s="55"/>
      <c r="D7" s="55"/>
      <c r="E7" s="55"/>
      <c r="F7" s="55"/>
      <c r="G7" s="55"/>
      <c r="H7" s="55"/>
      <c r="I7" s="55"/>
      <c r="J7" s="56"/>
    </row>
    <row r="9" spans="1:10" ht="13.15" customHeight="1" x14ac:dyDescent="0.25">
      <c r="B9" s="29" t="s">
        <v>5</v>
      </c>
      <c r="C9" s="30" t="s">
        <v>6</v>
      </c>
      <c r="D9" s="30" t="s">
        <v>7</v>
      </c>
      <c r="E9" s="31" t="s">
        <v>71</v>
      </c>
      <c r="F9" s="30" t="s">
        <v>48</v>
      </c>
      <c r="G9" s="30" t="s">
        <v>49</v>
      </c>
      <c r="H9" s="30" t="s">
        <v>50</v>
      </c>
      <c r="I9" s="32" t="s">
        <v>51</v>
      </c>
      <c r="J9" s="14" t="s">
        <v>52</v>
      </c>
    </row>
    <row r="10" spans="1:10" ht="14.45" customHeight="1" x14ac:dyDescent="0.25">
      <c r="A10" s="33"/>
      <c r="B10" s="3" t="s">
        <v>35</v>
      </c>
      <c r="C10" s="12" t="s">
        <v>32</v>
      </c>
      <c r="D10" s="8" t="s">
        <v>58</v>
      </c>
      <c r="E10" s="62">
        <v>1348</v>
      </c>
      <c r="F10" s="62">
        <v>3273</v>
      </c>
      <c r="G10" s="62">
        <v>1841</v>
      </c>
      <c r="H10" s="62">
        <v>2452</v>
      </c>
      <c r="I10" s="62">
        <v>3454</v>
      </c>
      <c r="J10" s="15">
        <f>E10+F10+G10+H10+I10</f>
        <v>12368</v>
      </c>
    </row>
    <row r="11" spans="1:10" ht="14.45" customHeight="1" x14ac:dyDescent="0.25">
      <c r="A11" s="33"/>
      <c r="B11" s="11" t="s">
        <v>11</v>
      </c>
      <c r="C11" s="13" t="s">
        <v>23</v>
      </c>
      <c r="D11" s="1" t="s">
        <v>45</v>
      </c>
      <c r="E11" s="61">
        <v>3463</v>
      </c>
      <c r="F11" s="61">
        <v>804</v>
      </c>
      <c r="G11" s="61">
        <v>1902</v>
      </c>
      <c r="H11" s="61">
        <v>3770</v>
      </c>
      <c r="I11" s="61">
        <v>6030</v>
      </c>
      <c r="J11" s="16">
        <f>E11+F11+G11+H11+I11+600</f>
        <v>16569</v>
      </c>
    </row>
    <row r="12" spans="1:10" ht="14.45" customHeight="1" x14ac:dyDescent="0.25">
      <c r="B12" s="11" t="s">
        <v>26</v>
      </c>
      <c r="C12" s="12" t="s">
        <v>27</v>
      </c>
      <c r="D12" s="1" t="s">
        <v>41</v>
      </c>
      <c r="E12" s="61">
        <v>2139</v>
      </c>
      <c r="F12" s="61">
        <v>2600</v>
      </c>
      <c r="G12" s="61">
        <v>2089</v>
      </c>
      <c r="H12" s="61">
        <v>1863</v>
      </c>
      <c r="I12" s="61">
        <v>2110</v>
      </c>
      <c r="J12" s="16">
        <f>E12+F12+G12+H12+I12</f>
        <v>10801</v>
      </c>
    </row>
    <row r="13" spans="1:10" ht="14.45" customHeight="1" x14ac:dyDescent="0.25">
      <c r="B13" s="11" t="s">
        <v>28</v>
      </c>
      <c r="C13" s="12" t="s">
        <v>27</v>
      </c>
      <c r="D13" s="8" t="s">
        <v>58</v>
      </c>
      <c r="E13" s="62">
        <v>567</v>
      </c>
      <c r="F13" s="62">
        <v>2480</v>
      </c>
      <c r="G13" s="62">
        <v>1920</v>
      </c>
      <c r="H13" s="62">
        <v>475</v>
      </c>
      <c r="I13" s="62">
        <v>600</v>
      </c>
      <c r="J13" s="15">
        <f>E13+F13+G13+H13+I13</f>
        <v>6042</v>
      </c>
    </row>
    <row r="14" spans="1:10" ht="14.45" customHeight="1" x14ac:dyDescent="0.25">
      <c r="B14" s="11" t="s">
        <v>34</v>
      </c>
      <c r="C14" s="12" t="s">
        <v>32</v>
      </c>
      <c r="D14" s="8" t="s">
        <v>58</v>
      </c>
      <c r="E14" s="62">
        <v>2529</v>
      </c>
      <c r="F14" s="62">
        <v>4539</v>
      </c>
      <c r="G14" s="62">
        <v>2308</v>
      </c>
      <c r="H14" s="69">
        <v>2586</v>
      </c>
      <c r="I14" s="69">
        <v>2586</v>
      </c>
      <c r="J14" s="15">
        <f>E14+F14+G14+H14+I14+600</f>
        <v>15148</v>
      </c>
    </row>
    <row r="15" spans="1:10" ht="14.45" customHeight="1" x14ac:dyDescent="0.25">
      <c r="B15" s="11" t="s">
        <v>22</v>
      </c>
      <c r="C15" s="12" t="s">
        <v>25</v>
      </c>
      <c r="D15" s="1" t="s">
        <v>41</v>
      </c>
      <c r="E15" s="61">
        <f>1910-460</f>
        <v>1450</v>
      </c>
      <c r="F15" s="61">
        <f>1589-465</f>
        <v>1124</v>
      </c>
      <c r="G15" s="66">
        <v>1730</v>
      </c>
      <c r="H15" s="61">
        <f>1789-501</f>
        <v>1288</v>
      </c>
      <c r="I15" s="61">
        <f>3220-493</f>
        <v>2727</v>
      </c>
      <c r="J15" s="16">
        <f>E15+F15+G15+H15+I15</f>
        <v>8319</v>
      </c>
    </row>
    <row r="16" spans="1:10" ht="14.45" customHeight="1" x14ac:dyDescent="0.25">
      <c r="A16" s="33"/>
      <c r="B16" s="11" t="s">
        <v>29</v>
      </c>
      <c r="C16" s="12" t="s">
        <v>27</v>
      </c>
      <c r="D16" s="1"/>
      <c r="E16" s="61">
        <v>1170</v>
      </c>
      <c r="F16" s="61">
        <v>2125</v>
      </c>
      <c r="G16" s="69">
        <v>1619</v>
      </c>
      <c r="H16" s="69">
        <v>1619</v>
      </c>
      <c r="I16" s="61">
        <v>1008</v>
      </c>
      <c r="J16" s="16">
        <f>E16+F16+G16+H16+I16</f>
        <v>7541</v>
      </c>
    </row>
    <row r="17" spans="1:10" ht="14.45" customHeight="1" x14ac:dyDescent="0.25">
      <c r="B17" s="3" t="s">
        <v>21</v>
      </c>
      <c r="C17" s="12" t="s">
        <v>25</v>
      </c>
      <c r="D17" s="8" t="s">
        <v>62</v>
      </c>
      <c r="E17" s="62">
        <v>506</v>
      </c>
      <c r="F17" s="62">
        <v>546</v>
      </c>
      <c r="G17" s="62">
        <v>669</v>
      </c>
      <c r="H17" s="62">
        <v>865</v>
      </c>
      <c r="I17" s="62">
        <v>1364</v>
      </c>
      <c r="J17" s="15">
        <f>E17+F17+G17+H17+I17+600</f>
        <v>4550</v>
      </c>
    </row>
    <row r="18" spans="1:10" ht="14.45" customHeight="1" x14ac:dyDescent="0.25">
      <c r="A18" s="33"/>
      <c r="B18" s="3" t="s">
        <v>31</v>
      </c>
      <c r="C18" s="12" t="s">
        <v>32</v>
      </c>
      <c r="D18" s="1" t="s">
        <v>41</v>
      </c>
      <c r="E18" s="61">
        <v>745</v>
      </c>
      <c r="F18" s="61">
        <v>3329</v>
      </c>
      <c r="G18" s="61">
        <v>2550</v>
      </c>
      <c r="H18" s="61">
        <v>1249</v>
      </c>
      <c r="I18" s="61">
        <v>3115</v>
      </c>
      <c r="J18" s="16">
        <f>E18+F18+G18+H18+I18+600</f>
        <v>11588</v>
      </c>
    </row>
    <row r="19" spans="1:10" ht="14.45" customHeight="1" x14ac:dyDescent="0.25">
      <c r="B19" s="3" t="s">
        <v>19</v>
      </c>
      <c r="C19" s="12" t="s">
        <v>25</v>
      </c>
      <c r="D19" s="8" t="s">
        <v>63</v>
      </c>
      <c r="E19" s="62">
        <v>7559</v>
      </c>
      <c r="F19" s="62">
        <v>4161</v>
      </c>
      <c r="G19" s="62">
        <v>6018</v>
      </c>
      <c r="H19" s="62">
        <v>8077</v>
      </c>
      <c r="I19" s="62">
        <v>6402</v>
      </c>
      <c r="J19" s="15">
        <f>E19+F19+G19+H19+I19</f>
        <v>32217</v>
      </c>
    </row>
    <row r="20" spans="1:10" ht="14.45" customHeight="1" x14ac:dyDescent="0.25">
      <c r="B20" s="3" t="s">
        <v>33</v>
      </c>
      <c r="C20" s="12" t="s">
        <v>32</v>
      </c>
      <c r="D20" s="1" t="s">
        <v>57</v>
      </c>
      <c r="E20" s="66">
        <v>3294</v>
      </c>
      <c r="F20" s="66">
        <v>3294</v>
      </c>
      <c r="G20" s="61">
        <v>4550</v>
      </c>
      <c r="H20" s="61">
        <v>6034</v>
      </c>
      <c r="I20" s="61">
        <v>3491</v>
      </c>
      <c r="J20" s="16">
        <f>E20+F20+G20+H20+I20+600</f>
        <v>21263</v>
      </c>
    </row>
    <row r="21" spans="1:10" ht="14.45" customHeight="1" x14ac:dyDescent="0.25">
      <c r="A21" s="33"/>
      <c r="B21" s="3" t="s">
        <v>14</v>
      </c>
      <c r="C21" s="13" t="s">
        <v>23</v>
      </c>
      <c r="D21" s="1" t="s">
        <v>45</v>
      </c>
      <c r="E21" s="61">
        <v>561</v>
      </c>
      <c r="F21" s="61">
        <v>1631</v>
      </c>
      <c r="G21" s="61">
        <v>2111</v>
      </c>
      <c r="H21" s="61">
        <v>1801</v>
      </c>
      <c r="I21" s="61">
        <v>463</v>
      </c>
      <c r="J21" s="16">
        <f>E21+F21+G21+H21+I21</f>
        <v>6567</v>
      </c>
    </row>
    <row r="22" spans="1:10" ht="14.45" customHeight="1" x14ac:dyDescent="0.25">
      <c r="B22" s="3" t="s">
        <v>17</v>
      </c>
      <c r="C22" s="12" t="s">
        <v>24</v>
      </c>
      <c r="D22" s="1" t="s">
        <v>56</v>
      </c>
      <c r="E22" s="61">
        <v>1396</v>
      </c>
      <c r="F22" s="61">
        <v>1756</v>
      </c>
      <c r="G22" s="61">
        <v>1559</v>
      </c>
      <c r="H22" s="61">
        <v>1414</v>
      </c>
      <c r="I22" s="61">
        <v>1645</v>
      </c>
      <c r="J22" s="16">
        <f>E22+F22+G22+H22+I22</f>
        <v>7770</v>
      </c>
    </row>
    <row r="23" spans="1:10" ht="14.45" customHeight="1" x14ac:dyDescent="0.25">
      <c r="A23" s="33"/>
      <c r="B23" s="3" t="s">
        <v>16</v>
      </c>
      <c r="C23" s="12" t="s">
        <v>24</v>
      </c>
      <c r="D23" s="39" t="s">
        <v>41</v>
      </c>
      <c r="E23" s="62">
        <v>1725</v>
      </c>
      <c r="F23" s="61">
        <v>1459</v>
      </c>
      <c r="G23" s="61">
        <v>1866</v>
      </c>
      <c r="H23" s="61">
        <v>465</v>
      </c>
      <c r="I23" s="61">
        <v>1248</v>
      </c>
      <c r="J23" s="16">
        <f>E23+F23+G23+H23+I23+600</f>
        <v>7363</v>
      </c>
    </row>
    <row r="24" spans="1:10" ht="14.45" customHeight="1" x14ac:dyDescent="0.25">
      <c r="B24" s="3" t="s">
        <v>30</v>
      </c>
      <c r="C24" s="12" t="s">
        <v>27</v>
      </c>
      <c r="D24" s="8" t="s">
        <v>60</v>
      </c>
      <c r="E24" s="62">
        <v>6761</v>
      </c>
      <c r="F24" s="62">
        <v>4165</v>
      </c>
      <c r="G24" s="62">
        <v>1514</v>
      </c>
      <c r="H24" s="62">
        <v>7205</v>
      </c>
      <c r="I24" s="62">
        <v>5410</v>
      </c>
      <c r="J24" s="15">
        <f>E24+F24+G24+H24+I24</f>
        <v>25055</v>
      </c>
    </row>
    <row r="25" spans="1:10" ht="14.45" customHeight="1" x14ac:dyDescent="0.25">
      <c r="B25" s="6" t="s">
        <v>10</v>
      </c>
      <c r="C25" s="7" t="s">
        <v>23</v>
      </c>
      <c r="D25" s="34"/>
      <c r="E25" s="34">
        <v>1012</v>
      </c>
      <c r="F25" s="61">
        <v>1123</v>
      </c>
      <c r="G25" s="61">
        <v>604</v>
      </c>
      <c r="H25" s="61">
        <v>801</v>
      </c>
      <c r="I25" s="61">
        <v>400</v>
      </c>
      <c r="J25" s="16">
        <f>E25+F25+G25+H25+I25</f>
        <v>3940</v>
      </c>
    </row>
    <row r="26" spans="1:10" ht="14.45" customHeight="1" x14ac:dyDescent="0.25">
      <c r="B26" s="3" t="s">
        <v>15</v>
      </c>
      <c r="C26" s="13" t="s">
        <v>24</v>
      </c>
      <c r="D26" s="8" t="s">
        <v>45</v>
      </c>
      <c r="E26" s="62">
        <v>2045</v>
      </c>
      <c r="F26" s="62">
        <v>2761</v>
      </c>
      <c r="G26" s="62">
        <v>3723</v>
      </c>
      <c r="H26" s="62">
        <v>5265</v>
      </c>
      <c r="I26" s="62">
        <v>5268</v>
      </c>
      <c r="J26" s="15">
        <f>E26+F26+G26+H26+I26</f>
        <v>19062</v>
      </c>
    </row>
    <row r="27" spans="1:10" ht="14.45" customHeight="1" x14ac:dyDescent="0.25">
      <c r="B27" s="3" t="s">
        <v>13</v>
      </c>
      <c r="C27" s="13" t="s">
        <v>23</v>
      </c>
      <c r="D27" s="35" t="s">
        <v>55</v>
      </c>
      <c r="E27" s="68">
        <v>4790</v>
      </c>
      <c r="F27" s="61">
        <v>862</v>
      </c>
      <c r="G27" s="61">
        <v>1680</v>
      </c>
      <c r="H27" s="61">
        <v>4544</v>
      </c>
      <c r="I27" s="61">
        <v>1303</v>
      </c>
      <c r="J27" s="16">
        <f>E27+F27+G27+H27+I27</f>
        <v>13179</v>
      </c>
    </row>
    <row r="28" spans="1:10" ht="14.45" customHeight="1" x14ac:dyDescent="0.25">
      <c r="A28" s="33"/>
      <c r="B28" s="3" t="s">
        <v>20</v>
      </c>
      <c r="C28" s="12" t="s">
        <v>25</v>
      </c>
      <c r="D28" s="8" t="s">
        <v>45</v>
      </c>
      <c r="E28" s="62">
        <v>2588</v>
      </c>
      <c r="F28" s="62">
        <v>1041</v>
      </c>
      <c r="G28" s="62">
        <v>3238</v>
      </c>
      <c r="H28" s="62">
        <v>2810</v>
      </c>
      <c r="I28" s="62">
        <v>5203</v>
      </c>
      <c r="J28" s="15">
        <f>E28+F28+G28+H28+I28+600</f>
        <v>15480</v>
      </c>
    </row>
    <row r="29" spans="1:10" ht="14.45" customHeight="1" x14ac:dyDescent="0.25">
      <c r="B29" s="11" t="s">
        <v>12</v>
      </c>
      <c r="C29" s="13" t="s">
        <v>23</v>
      </c>
      <c r="D29" s="1"/>
      <c r="E29" s="61">
        <v>1020</v>
      </c>
      <c r="F29" s="61">
        <v>1060</v>
      </c>
      <c r="G29" s="61">
        <v>1410</v>
      </c>
      <c r="H29" s="61">
        <v>6597</v>
      </c>
      <c r="I29" s="61">
        <v>876</v>
      </c>
      <c r="J29" s="16">
        <f>E29+F29+G29+H29+I29+600</f>
        <v>11563</v>
      </c>
    </row>
    <row r="30" spans="1:10" ht="14.45" customHeight="1" x14ac:dyDescent="0.25">
      <c r="A30" s="33"/>
      <c r="B30" s="6" t="s">
        <v>9</v>
      </c>
      <c r="C30" s="7" t="s">
        <v>23</v>
      </c>
      <c r="D30" s="36" t="s">
        <v>55</v>
      </c>
      <c r="E30" s="34">
        <v>621</v>
      </c>
      <c r="F30" s="61">
        <v>1888</v>
      </c>
      <c r="G30" s="61">
        <v>1783</v>
      </c>
      <c r="H30" s="61">
        <v>1829</v>
      </c>
      <c r="I30" s="61">
        <v>1603</v>
      </c>
      <c r="J30" s="16">
        <f>E30+F30+G30+H30+I30</f>
        <v>7724</v>
      </c>
    </row>
    <row r="31" spans="1:10" ht="14.45" customHeight="1" x14ac:dyDescent="0.25">
      <c r="A31" s="33"/>
      <c r="B31" s="11" t="s">
        <v>18</v>
      </c>
      <c r="C31" s="12" t="s">
        <v>24</v>
      </c>
      <c r="D31" s="8"/>
      <c r="E31" s="62">
        <v>1054</v>
      </c>
      <c r="F31" s="62">
        <v>1150</v>
      </c>
      <c r="G31" s="62">
        <v>1722</v>
      </c>
      <c r="H31" s="62">
        <v>2141</v>
      </c>
      <c r="I31" s="62">
        <v>3398</v>
      </c>
      <c r="J31" s="15">
        <f>E31+F31+G31+H31+I31+600</f>
        <v>10065</v>
      </c>
    </row>
  </sheetData>
  <autoFilter ref="B9:J9" xr:uid="{00000000-0009-0000-0000-000001000000}">
    <sortState ref="B10:J31">
      <sortCondition ref="B9"/>
    </sortState>
  </autoFilter>
  <mergeCells count="2">
    <mergeCell ref="B5:E5"/>
    <mergeCell ref="B7:J7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M31"/>
  <sheetViews>
    <sheetView topLeftCell="B7" zoomScale="80" zoomScaleNormal="80" workbookViewId="0">
      <selection activeCell="J34" sqref="J34"/>
    </sheetView>
  </sheetViews>
  <sheetFormatPr defaultRowHeight="15" x14ac:dyDescent="0.25"/>
  <cols>
    <col min="1" max="1" width="3" customWidth="1"/>
    <col min="2" max="2" width="12.42578125" customWidth="1"/>
    <col min="3" max="3" width="10.7109375" customWidth="1"/>
    <col min="4" max="4" width="23.28515625" customWidth="1"/>
    <col min="5" max="9" width="24.7109375" customWidth="1"/>
    <col min="10" max="10" width="25.85546875" customWidth="1"/>
    <col min="11" max="11" width="12.5703125" customWidth="1"/>
    <col min="12" max="12" width="8.7109375" customWidth="1"/>
    <col min="13" max="13" width="17.7109375" customWidth="1"/>
  </cols>
  <sheetData>
    <row r="5" spans="2:13" ht="31.15" customHeight="1" x14ac:dyDescent="0.25">
      <c r="B5" s="57" t="s">
        <v>4</v>
      </c>
      <c r="C5" s="57"/>
      <c r="D5" s="57"/>
      <c r="E5" s="57"/>
    </row>
    <row r="6" spans="2:13" ht="15.75" thickBot="1" x14ac:dyDescent="0.3"/>
    <row r="7" spans="2:13" ht="15.75" thickBot="1" x14ac:dyDescent="0.3">
      <c r="B7" s="58" t="s">
        <v>64</v>
      </c>
      <c r="C7" s="59"/>
      <c r="D7" s="59"/>
      <c r="E7" s="59"/>
      <c r="F7" s="59"/>
      <c r="G7" s="59"/>
      <c r="H7" s="59"/>
      <c r="I7" s="59"/>
      <c r="J7" s="60"/>
    </row>
    <row r="8" spans="2:13" x14ac:dyDescent="0.25">
      <c r="K8" s="45"/>
      <c r="M8" t="s">
        <v>67</v>
      </c>
    </row>
    <row r="9" spans="2:13" ht="13.15" customHeight="1" x14ac:dyDescent="0.25">
      <c r="B9" s="40" t="s">
        <v>5</v>
      </c>
      <c r="C9" s="41" t="s">
        <v>6</v>
      </c>
      <c r="D9" s="41" t="s">
        <v>7</v>
      </c>
      <c r="E9" s="42" t="s">
        <v>72</v>
      </c>
      <c r="F9" s="41" t="s">
        <v>73</v>
      </c>
      <c r="G9" s="41" t="s">
        <v>74</v>
      </c>
      <c r="H9" s="41" t="s">
        <v>75</v>
      </c>
      <c r="I9" s="43" t="s">
        <v>76</v>
      </c>
      <c r="J9" s="14" t="s">
        <v>66</v>
      </c>
      <c r="K9" s="46" t="s">
        <v>69</v>
      </c>
      <c r="L9" s="46" t="s">
        <v>70</v>
      </c>
      <c r="M9" s="46" t="s">
        <v>68</v>
      </c>
    </row>
    <row r="10" spans="2:13" ht="14.45" customHeight="1" x14ac:dyDescent="0.25">
      <c r="B10" s="3" t="s">
        <v>13</v>
      </c>
      <c r="C10" s="13" t="s">
        <v>23</v>
      </c>
      <c r="D10" s="61" t="s">
        <v>41</v>
      </c>
      <c r="E10" s="68">
        <v>3668</v>
      </c>
      <c r="F10" s="61">
        <v>3901</v>
      </c>
      <c r="G10" s="61">
        <v>4119</v>
      </c>
      <c r="H10" s="61">
        <v>2239</v>
      </c>
      <c r="I10" s="61">
        <v>1833</v>
      </c>
      <c r="J10" s="1">
        <f>E10+F10+G10+H10+I10</f>
        <v>15760</v>
      </c>
      <c r="K10">
        <v>10984</v>
      </c>
      <c r="L10">
        <v>13179</v>
      </c>
      <c r="M10" s="47">
        <f>J10+K10+L10</f>
        <v>39923</v>
      </c>
    </row>
    <row r="11" spans="2:13" ht="14.45" customHeight="1" x14ac:dyDescent="0.25">
      <c r="B11" s="3" t="s">
        <v>11</v>
      </c>
      <c r="C11" s="12" t="s">
        <v>23</v>
      </c>
      <c r="D11" s="44"/>
      <c r="E11" s="74"/>
      <c r="F11" s="70"/>
      <c r="G11" s="70"/>
      <c r="H11" s="70"/>
      <c r="I11" s="70"/>
      <c r="J11" s="44"/>
      <c r="K11">
        <v>11972</v>
      </c>
      <c r="L11">
        <v>16569</v>
      </c>
      <c r="M11" s="47">
        <f>J11+K11+L11</f>
        <v>28541</v>
      </c>
    </row>
    <row r="12" spans="2:13" ht="14.45" customHeight="1" x14ac:dyDescent="0.25">
      <c r="B12" s="3" t="s">
        <v>12</v>
      </c>
      <c r="C12" s="12" t="s">
        <v>23</v>
      </c>
      <c r="D12" s="44"/>
      <c r="E12" s="74"/>
      <c r="F12" s="70"/>
      <c r="G12" s="70"/>
      <c r="H12" s="70"/>
      <c r="I12" s="70"/>
      <c r="J12" s="44"/>
      <c r="K12">
        <v>16809</v>
      </c>
      <c r="L12">
        <v>11563</v>
      </c>
      <c r="M12" s="47">
        <f>J12+K12+L12</f>
        <v>28372</v>
      </c>
    </row>
    <row r="13" spans="2:13" ht="14.45" customHeight="1" x14ac:dyDescent="0.25">
      <c r="B13" s="3" t="s">
        <v>14</v>
      </c>
      <c r="C13" s="13" t="s">
        <v>23</v>
      </c>
      <c r="D13" s="61" t="s">
        <v>45</v>
      </c>
      <c r="E13" s="68">
        <v>1117</v>
      </c>
      <c r="F13" s="61">
        <v>2364</v>
      </c>
      <c r="G13" s="61">
        <v>2250</v>
      </c>
      <c r="H13" s="61">
        <v>2560</v>
      </c>
      <c r="I13" s="61">
        <v>2466</v>
      </c>
      <c r="J13" s="1">
        <f>E13+F13+G13+H13+I13</f>
        <v>10757</v>
      </c>
      <c r="K13">
        <v>5941</v>
      </c>
      <c r="L13">
        <v>6567</v>
      </c>
      <c r="M13" s="47">
        <f>J13+K13+L13</f>
        <v>23265</v>
      </c>
    </row>
    <row r="14" spans="2:13" ht="14.45" customHeight="1" x14ac:dyDescent="0.25">
      <c r="B14" s="6" t="s">
        <v>9</v>
      </c>
      <c r="C14" s="7" t="s">
        <v>23</v>
      </c>
      <c r="D14" s="48" t="s">
        <v>41</v>
      </c>
      <c r="E14" s="75">
        <v>1588</v>
      </c>
      <c r="F14" s="62">
        <v>1646</v>
      </c>
      <c r="G14" s="62">
        <v>1129</v>
      </c>
      <c r="H14" s="62">
        <v>1923</v>
      </c>
      <c r="I14" s="62">
        <v>1113</v>
      </c>
      <c r="J14" s="8">
        <f>E14+F14+G14+H14+I14</f>
        <v>7399</v>
      </c>
      <c r="K14">
        <v>8061</v>
      </c>
      <c r="L14">
        <v>7724</v>
      </c>
      <c r="M14" s="47">
        <f>J14+K14+L14</f>
        <v>23184</v>
      </c>
    </row>
    <row r="15" spans="2:13" ht="14.45" customHeight="1" x14ac:dyDescent="0.25">
      <c r="B15" s="6" t="s">
        <v>10</v>
      </c>
      <c r="C15" s="7" t="s">
        <v>23</v>
      </c>
      <c r="D15" s="7" t="s">
        <v>41</v>
      </c>
      <c r="E15" s="34">
        <v>1620</v>
      </c>
      <c r="F15" s="61">
        <v>700</v>
      </c>
      <c r="G15" s="61">
        <v>451</v>
      </c>
      <c r="H15" s="61">
        <v>231</v>
      </c>
      <c r="I15" s="61">
        <v>1353</v>
      </c>
      <c r="J15" s="1">
        <f>E15+F15+G15+H15+I15</f>
        <v>4355</v>
      </c>
      <c r="K15">
        <v>3560</v>
      </c>
      <c r="L15">
        <v>3940</v>
      </c>
      <c r="M15" s="47">
        <f>J15+K15+L15</f>
        <v>11855</v>
      </c>
    </row>
    <row r="16" spans="2:13" ht="14.45" customHeight="1" x14ac:dyDescent="0.25">
      <c r="B16" s="3" t="s">
        <v>15</v>
      </c>
      <c r="C16" s="13" t="s">
        <v>24</v>
      </c>
      <c r="D16" s="61" t="s">
        <v>41</v>
      </c>
      <c r="E16" s="68">
        <v>2357</v>
      </c>
      <c r="F16" s="61">
        <v>1449</v>
      </c>
      <c r="G16" s="61">
        <v>2783</v>
      </c>
      <c r="H16" s="61">
        <v>2430</v>
      </c>
      <c r="I16" s="61">
        <v>1368</v>
      </c>
      <c r="J16" s="1">
        <f>E16+F16+G16+H16+I16+650</f>
        <v>11037</v>
      </c>
      <c r="K16">
        <v>17423</v>
      </c>
      <c r="L16">
        <v>19062</v>
      </c>
      <c r="M16" s="47">
        <f>J16+K16+L16</f>
        <v>47522</v>
      </c>
    </row>
    <row r="17" spans="2:13" ht="14.45" customHeight="1" x14ac:dyDescent="0.25">
      <c r="B17" s="3" t="s">
        <v>16</v>
      </c>
      <c r="C17" s="12" t="s">
        <v>24</v>
      </c>
      <c r="D17" s="15" t="s">
        <v>41</v>
      </c>
      <c r="E17" s="72">
        <v>1744</v>
      </c>
      <c r="F17" s="61">
        <v>3831</v>
      </c>
      <c r="G17" s="61">
        <v>4444</v>
      </c>
      <c r="H17" s="61">
        <v>2551</v>
      </c>
      <c r="I17" s="61">
        <v>2027</v>
      </c>
      <c r="J17" s="1">
        <f>E17+F17+G17+H17+I17</f>
        <v>14597</v>
      </c>
      <c r="K17">
        <v>7142</v>
      </c>
      <c r="L17">
        <v>7363</v>
      </c>
      <c r="M17" s="47">
        <f>J17+K17+L17</f>
        <v>29102</v>
      </c>
    </row>
    <row r="18" spans="2:13" ht="14.45" customHeight="1" x14ac:dyDescent="0.25">
      <c r="B18" s="11" t="s">
        <v>18</v>
      </c>
      <c r="C18" s="12" t="s">
        <v>24</v>
      </c>
      <c r="D18" s="62"/>
      <c r="E18" s="76">
        <v>1754</v>
      </c>
      <c r="F18" s="71">
        <v>1754</v>
      </c>
      <c r="G18" s="71">
        <v>1754</v>
      </c>
      <c r="H18" s="71">
        <v>1754</v>
      </c>
      <c r="I18" s="62">
        <v>2912</v>
      </c>
      <c r="J18" s="8">
        <f>E18+F18+G18+H18+I18</f>
        <v>9928</v>
      </c>
      <c r="K18">
        <v>8074</v>
      </c>
      <c r="L18">
        <v>10065</v>
      </c>
      <c r="M18" s="47">
        <f>J18+K18+L18</f>
        <v>28067</v>
      </c>
    </row>
    <row r="19" spans="2:13" ht="14.45" customHeight="1" x14ac:dyDescent="0.25">
      <c r="B19" s="3" t="s">
        <v>17</v>
      </c>
      <c r="C19" s="12" t="s">
        <v>24</v>
      </c>
      <c r="D19" s="85"/>
      <c r="E19" s="76">
        <v>1439</v>
      </c>
      <c r="F19" s="71">
        <v>1439</v>
      </c>
      <c r="G19" s="71">
        <v>1439</v>
      </c>
      <c r="H19" s="71">
        <v>1439</v>
      </c>
      <c r="I19" s="71">
        <v>1439</v>
      </c>
      <c r="J19" s="8">
        <f>E19+F19+G19+H19+I19</f>
        <v>7195</v>
      </c>
      <c r="K19">
        <v>6615</v>
      </c>
      <c r="L19">
        <v>7770</v>
      </c>
      <c r="M19" s="47">
        <f>J19+K19+L19</f>
        <v>21580</v>
      </c>
    </row>
    <row r="20" spans="2:13" ht="14.45" customHeight="1" x14ac:dyDescent="0.25">
      <c r="B20" s="3" t="s">
        <v>19</v>
      </c>
      <c r="C20" s="12" t="s">
        <v>25</v>
      </c>
      <c r="D20" s="62" t="s">
        <v>63</v>
      </c>
      <c r="E20" s="72">
        <v>3009</v>
      </c>
      <c r="F20" s="62">
        <v>8306</v>
      </c>
      <c r="G20" s="62">
        <v>6123</v>
      </c>
      <c r="H20" s="62">
        <v>3524</v>
      </c>
      <c r="I20" s="62">
        <v>5643</v>
      </c>
      <c r="J20" s="8">
        <f>E20+F20+G20+H20+I20+650</f>
        <v>27255</v>
      </c>
      <c r="K20">
        <v>24090</v>
      </c>
      <c r="L20">
        <v>32217</v>
      </c>
      <c r="M20" s="47">
        <f>J20+K20+L20</f>
        <v>83562</v>
      </c>
    </row>
    <row r="21" spans="2:13" ht="14.45" customHeight="1" x14ac:dyDescent="0.25">
      <c r="B21" s="3" t="s">
        <v>20</v>
      </c>
      <c r="C21" s="12" t="s">
        <v>25</v>
      </c>
      <c r="D21" s="21"/>
      <c r="E21" s="73"/>
      <c r="F21" s="67"/>
      <c r="G21" s="67"/>
      <c r="H21" s="67"/>
      <c r="I21" s="67"/>
      <c r="J21" s="21">
        <f>E21+F21+G21+H21+I21+650</f>
        <v>650</v>
      </c>
      <c r="K21">
        <v>14108</v>
      </c>
      <c r="L21">
        <v>15480</v>
      </c>
      <c r="M21" s="47">
        <f>J21+K21+L21</f>
        <v>30238</v>
      </c>
    </row>
    <row r="22" spans="2:13" ht="14.45" customHeight="1" x14ac:dyDescent="0.25">
      <c r="B22" s="11" t="s">
        <v>22</v>
      </c>
      <c r="C22" s="12" t="s">
        <v>25</v>
      </c>
      <c r="D22" s="61" t="s">
        <v>41</v>
      </c>
      <c r="E22" s="68">
        <v>1116</v>
      </c>
      <c r="F22" s="61">
        <v>2739</v>
      </c>
      <c r="G22" s="69">
        <v>1730</v>
      </c>
      <c r="H22" s="61">
        <v>2711</v>
      </c>
      <c r="I22" s="61">
        <v>1740</v>
      </c>
      <c r="J22" s="1">
        <f>E22+F22+G22+H22+I22</f>
        <v>10036</v>
      </c>
      <c r="K22">
        <v>7595</v>
      </c>
      <c r="L22">
        <v>8319</v>
      </c>
      <c r="M22" s="47">
        <f>J22+K22+L22</f>
        <v>25950</v>
      </c>
    </row>
    <row r="23" spans="2:13" ht="14.45" customHeight="1" x14ac:dyDescent="0.25">
      <c r="B23" s="3" t="s">
        <v>21</v>
      </c>
      <c r="C23" s="12" t="s">
        <v>25</v>
      </c>
      <c r="D23" s="61" t="s">
        <v>41</v>
      </c>
      <c r="E23" s="68">
        <v>561</v>
      </c>
      <c r="F23" s="61">
        <v>478</v>
      </c>
      <c r="G23" s="61">
        <v>3797</v>
      </c>
      <c r="H23" s="61">
        <v>2047</v>
      </c>
      <c r="I23" s="61">
        <v>836</v>
      </c>
      <c r="J23" s="1">
        <f>E23+F23+G23+H23+I23+650</f>
        <v>8369</v>
      </c>
      <c r="K23">
        <v>5679</v>
      </c>
      <c r="L23">
        <v>4550</v>
      </c>
      <c r="M23" s="47">
        <f>J23+K23+L23</f>
        <v>18598</v>
      </c>
    </row>
    <row r="24" spans="2:13" ht="14.45" customHeight="1" x14ac:dyDescent="0.25">
      <c r="B24" s="3" t="s">
        <v>30</v>
      </c>
      <c r="C24" s="12" t="s">
        <v>27</v>
      </c>
      <c r="D24" s="61" t="s">
        <v>41</v>
      </c>
      <c r="E24" s="68">
        <v>1905</v>
      </c>
      <c r="F24" s="61">
        <v>2658</v>
      </c>
      <c r="G24" s="61">
        <v>5275</v>
      </c>
      <c r="H24" s="61">
        <v>4817</v>
      </c>
      <c r="I24" s="61">
        <v>1796</v>
      </c>
      <c r="J24" s="1">
        <f>E24+F24+G24+H24+I24+650</f>
        <v>17101</v>
      </c>
      <c r="K24">
        <v>20731</v>
      </c>
      <c r="L24">
        <v>25055</v>
      </c>
      <c r="M24" s="47">
        <f>J24+K24+L24</f>
        <v>62887</v>
      </c>
    </row>
    <row r="25" spans="2:13" ht="14.45" customHeight="1" x14ac:dyDescent="0.25">
      <c r="B25" s="11" t="s">
        <v>26</v>
      </c>
      <c r="C25" s="12" t="s">
        <v>27</v>
      </c>
      <c r="D25" s="61" t="s">
        <v>41</v>
      </c>
      <c r="E25" s="68">
        <v>1669</v>
      </c>
      <c r="F25" s="61">
        <v>1883</v>
      </c>
      <c r="G25" s="61">
        <v>2198</v>
      </c>
      <c r="H25" s="61">
        <v>2196</v>
      </c>
      <c r="I25" s="61">
        <v>2274</v>
      </c>
      <c r="J25" s="1">
        <f>E25+F25+G25+H25+I25</f>
        <v>10220</v>
      </c>
      <c r="K25">
        <v>11796</v>
      </c>
      <c r="L25">
        <v>10801</v>
      </c>
      <c r="M25" s="47">
        <f>J25+K25+L25</f>
        <v>32817</v>
      </c>
    </row>
    <row r="26" spans="2:13" ht="14.45" customHeight="1" x14ac:dyDescent="0.25">
      <c r="B26" s="11" t="s">
        <v>29</v>
      </c>
      <c r="C26" s="12" t="s">
        <v>27</v>
      </c>
      <c r="D26" s="61" t="s">
        <v>65</v>
      </c>
      <c r="E26" s="86">
        <v>1619</v>
      </c>
      <c r="F26" s="69">
        <v>1619</v>
      </c>
      <c r="G26" s="69">
        <v>1619</v>
      </c>
      <c r="H26" s="61">
        <v>2042</v>
      </c>
      <c r="I26" s="61">
        <v>2137</v>
      </c>
      <c r="J26" s="1">
        <f>E26+F26+G26+H26+I26</f>
        <v>9036</v>
      </c>
      <c r="K26">
        <v>7235</v>
      </c>
      <c r="L26">
        <v>7541</v>
      </c>
      <c r="M26" s="47">
        <f>J26+K26+L26</f>
        <v>23812</v>
      </c>
    </row>
    <row r="27" spans="2:13" ht="14.45" customHeight="1" x14ac:dyDescent="0.25">
      <c r="B27" s="11" t="s">
        <v>28</v>
      </c>
      <c r="C27" s="12" t="s">
        <v>27</v>
      </c>
      <c r="D27" s="61" t="s">
        <v>58</v>
      </c>
      <c r="E27" s="68">
        <v>1383</v>
      </c>
      <c r="F27" s="61">
        <v>1024</v>
      </c>
      <c r="G27" s="61">
        <v>2500</v>
      </c>
      <c r="H27" s="61">
        <v>1079</v>
      </c>
      <c r="I27" s="61">
        <v>1500</v>
      </c>
      <c r="J27" s="1">
        <f>E27+F27+G27+H27+I27</f>
        <v>7486</v>
      </c>
      <c r="K27">
        <v>6397</v>
      </c>
      <c r="L27">
        <v>6042</v>
      </c>
      <c r="M27" s="47">
        <f>J27+K27+L27</f>
        <v>19925</v>
      </c>
    </row>
    <row r="28" spans="2:13" ht="14.45" customHeight="1" x14ac:dyDescent="0.25">
      <c r="B28" s="3" t="s">
        <v>33</v>
      </c>
      <c r="C28" s="12" t="s">
        <v>32</v>
      </c>
      <c r="D28" s="61" t="s">
        <v>45</v>
      </c>
      <c r="E28" s="68">
        <v>3099</v>
      </c>
      <c r="F28" s="61">
        <v>1920</v>
      </c>
      <c r="G28" s="61">
        <v>1579</v>
      </c>
      <c r="H28" s="61">
        <v>2982</v>
      </c>
      <c r="I28" s="61">
        <v>5488</v>
      </c>
      <c r="J28" s="1">
        <f>E28+F28+G28+H28+I28+650</f>
        <v>15718</v>
      </c>
      <c r="K28">
        <v>13685</v>
      </c>
      <c r="L28">
        <v>21263</v>
      </c>
      <c r="M28" s="47">
        <f>J28+K28+L28</f>
        <v>50666</v>
      </c>
    </row>
    <row r="29" spans="2:13" ht="14.45" customHeight="1" x14ac:dyDescent="0.25">
      <c r="B29" s="11" t="s">
        <v>34</v>
      </c>
      <c r="C29" s="12" t="s">
        <v>32</v>
      </c>
      <c r="D29" s="61" t="s">
        <v>58</v>
      </c>
      <c r="E29" s="68">
        <v>1796</v>
      </c>
      <c r="F29" s="61">
        <v>4317</v>
      </c>
      <c r="G29" s="61">
        <v>2333</v>
      </c>
      <c r="H29" s="61">
        <v>1141</v>
      </c>
      <c r="I29" s="61">
        <v>2505</v>
      </c>
      <c r="J29" s="1">
        <f>E29+F29+G29+H29+I29+650</f>
        <v>12742</v>
      </c>
      <c r="K29">
        <v>12144</v>
      </c>
      <c r="L29">
        <v>15148</v>
      </c>
      <c r="M29" s="47">
        <f>J29+K29+L29</f>
        <v>40034</v>
      </c>
    </row>
    <row r="30" spans="2:13" ht="14.45" customHeight="1" x14ac:dyDescent="0.25">
      <c r="B30" s="3" t="s">
        <v>35</v>
      </c>
      <c r="C30" s="12" t="s">
        <v>32</v>
      </c>
      <c r="D30" s="62"/>
      <c r="E30" s="72">
        <v>2213</v>
      </c>
      <c r="F30" s="62">
        <v>6181</v>
      </c>
      <c r="G30" s="62">
        <v>3556</v>
      </c>
      <c r="H30" s="62">
        <v>2016</v>
      </c>
      <c r="I30" s="62">
        <v>3470</v>
      </c>
      <c r="J30" s="8">
        <f>E30+F30+G30+H30+I30</f>
        <v>17436</v>
      </c>
      <c r="K30">
        <v>8790</v>
      </c>
      <c r="L30">
        <v>12368</v>
      </c>
      <c r="M30" s="47">
        <f>J30+K30+L30</f>
        <v>38594</v>
      </c>
    </row>
    <row r="31" spans="2:13" ht="14.45" customHeight="1" x14ac:dyDescent="0.25">
      <c r="B31" s="3" t="s">
        <v>31</v>
      </c>
      <c r="C31" s="12" t="s">
        <v>32</v>
      </c>
      <c r="D31" s="61" t="s">
        <v>41</v>
      </c>
      <c r="E31" s="68">
        <v>1919</v>
      </c>
      <c r="F31" s="61">
        <v>524</v>
      </c>
      <c r="G31" s="61">
        <v>3296</v>
      </c>
      <c r="H31" s="61">
        <v>1231</v>
      </c>
      <c r="I31" s="61">
        <v>1293</v>
      </c>
      <c r="J31" s="1">
        <f>E31+F31+G31+H31+I31+650</f>
        <v>8913</v>
      </c>
      <c r="K31">
        <v>5924</v>
      </c>
      <c r="L31">
        <v>11588</v>
      </c>
      <c r="M31" s="47">
        <f>J31+K31+L31</f>
        <v>26425</v>
      </c>
    </row>
  </sheetData>
  <autoFilter ref="B9:M9" xr:uid="{00000000-0009-0000-0000-000002000000}">
    <sortState ref="B10:M31">
      <sortCondition ref="C9"/>
    </sortState>
  </autoFilter>
  <mergeCells count="2">
    <mergeCell ref="B5:E5"/>
    <mergeCell ref="B7:J7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J31"/>
  <sheetViews>
    <sheetView topLeftCell="A4" zoomScale="80" zoomScaleNormal="80" workbookViewId="0">
      <selection activeCell="J16" sqref="J16"/>
    </sheetView>
  </sheetViews>
  <sheetFormatPr defaultRowHeight="15" x14ac:dyDescent="0.25"/>
  <cols>
    <col min="1" max="1" width="3" customWidth="1"/>
    <col min="2" max="2" width="28" customWidth="1"/>
    <col min="3" max="3" width="10.7109375" customWidth="1"/>
    <col min="4" max="4" width="23.28515625" customWidth="1"/>
    <col min="5" max="9" width="24.7109375" customWidth="1"/>
    <col min="10" max="10" width="25.85546875" customWidth="1"/>
  </cols>
  <sheetData>
    <row r="5" spans="2:10" ht="31.15" customHeight="1" x14ac:dyDescent="0.25">
      <c r="B5" s="77" t="s">
        <v>4</v>
      </c>
      <c r="C5" s="77"/>
      <c r="D5" s="77"/>
      <c r="E5" s="77"/>
    </row>
    <row r="6" spans="2:10" ht="15.75" thickBot="1" x14ac:dyDescent="0.3"/>
    <row r="7" spans="2:10" ht="15.75" thickBot="1" x14ac:dyDescent="0.3">
      <c r="B7" s="78" t="s">
        <v>77</v>
      </c>
      <c r="C7" s="79"/>
      <c r="D7" s="79"/>
      <c r="E7" s="79"/>
      <c r="F7" s="79"/>
      <c r="G7" s="79"/>
      <c r="H7" s="79"/>
      <c r="I7" s="79"/>
      <c r="J7" s="80"/>
    </row>
    <row r="9" spans="2:10" ht="13.15" customHeight="1" x14ac:dyDescent="0.25">
      <c r="B9" s="81" t="s">
        <v>5</v>
      </c>
      <c r="C9" s="82" t="s">
        <v>6</v>
      </c>
      <c r="D9" s="82" t="s">
        <v>7</v>
      </c>
      <c r="E9" s="83" t="s">
        <v>78</v>
      </c>
      <c r="F9" s="82" t="s">
        <v>79</v>
      </c>
      <c r="G9" s="82" t="s">
        <v>80</v>
      </c>
      <c r="H9" s="82" t="s">
        <v>81</v>
      </c>
      <c r="I9" s="84" t="s">
        <v>82</v>
      </c>
      <c r="J9" s="14" t="s">
        <v>37</v>
      </c>
    </row>
    <row r="10" spans="2:10" ht="14.45" customHeight="1" x14ac:dyDescent="0.25">
      <c r="B10" s="11" t="s">
        <v>11</v>
      </c>
      <c r="C10" s="13" t="s">
        <v>23</v>
      </c>
      <c r="D10" s="1"/>
      <c r="E10" s="1"/>
      <c r="F10" s="1"/>
      <c r="G10" s="1"/>
      <c r="H10" s="1"/>
      <c r="I10" s="1"/>
      <c r="J10" s="1">
        <f>E10+F10+G10+H10+I10</f>
        <v>0</v>
      </c>
    </row>
    <row r="11" spans="2:10" ht="14.45" customHeight="1" x14ac:dyDescent="0.25">
      <c r="B11" s="11" t="s">
        <v>26</v>
      </c>
      <c r="C11" s="12" t="s">
        <v>27</v>
      </c>
      <c r="D11" s="1"/>
      <c r="E11" s="1"/>
      <c r="F11" s="1"/>
      <c r="G11" s="1"/>
      <c r="H11" s="1"/>
      <c r="I11" s="1"/>
      <c r="J11" s="1">
        <f t="shared" ref="J11:J31" si="0">D11+E11+F11+G11+H11+I11</f>
        <v>0</v>
      </c>
    </row>
    <row r="12" spans="2:10" ht="14.45" customHeight="1" x14ac:dyDescent="0.25">
      <c r="B12" s="11" t="s">
        <v>28</v>
      </c>
      <c r="C12" s="12" t="s">
        <v>27</v>
      </c>
      <c r="D12" s="1"/>
      <c r="E12" s="1"/>
      <c r="F12" s="1"/>
      <c r="G12" s="1"/>
      <c r="H12" s="1"/>
      <c r="I12" s="1"/>
      <c r="J12" s="1">
        <f t="shared" si="0"/>
        <v>0</v>
      </c>
    </row>
    <row r="13" spans="2:10" ht="14.45" customHeight="1" x14ac:dyDescent="0.25">
      <c r="B13" s="11" t="s">
        <v>34</v>
      </c>
      <c r="C13" s="12" t="s">
        <v>32</v>
      </c>
      <c r="D13" s="1"/>
      <c r="E13" s="1"/>
      <c r="F13" s="1"/>
      <c r="G13" s="1"/>
      <c r="H13" s="1"/>
      <c r="I13" s="1"/>
      <c r="J13" s="1">
        <f t="shared" si="0"/>
        <v>0</v>
      </c>
    </row>
    <row r="14" spans="2:10" ht="14.45" customHeight="1" x14ac:dyDescent="0.25">
      <c r="B14" s="11" t="s">
        <v>22</v>
      </c>
      <c r="C14" s="12" t="s">
        <v>25</v>
      </c>
      <c r="D14" s="1"/>
      <c r="E14" s="1"/>
      <c r="F14" s="1"/>
      <c r="G14" s="8"/>
      <c r="H14" s="1"/>
      <c r="I14" s="1"/>
      <c r="J14" s="1">
        <f t="shared" si="0"/>
        <v>0</v>
      </c>
    </row>
    <row r="15" spans="2:10" ht="14.45" customHeight="1" x14ac:dyDescent="0.25">
      <c r="B15" s="11" t="s">
        <v>29</v>
      </c>
      <c r="C15" s="12" t="s">
        <v>27</v>
      </c>
      <c r="D15" s="1"/>
      <c r="E15" s="1"/>
      <c r="F15" s="1"/>
      <c r="G15" s="1"/>
      <c r="H15" s="1"/>
      <c r="I15" s="1"/>
      <c r="J15" s="1">
        <f t="shared" si="0"/>
        <v>0</v>
      </c>
    </row>
    <row r="16" spans="2:10" ht="14.45" customHeight="1" x14ac:dyDescent="0.25">
      <c r="B16" s="11" t="s">
        <v>12</v>
      </c>
      <c r="C16" s="13" t="s">
        <v>23</v>
      </c>
      <c r="D16" s="1"/>
      <c r="E16" s="1"/>
      <c r="F16" s="1"/>
      <c r="G16" s="1"/>
      <c r="H16" s="1"/>
      <c r="I16" s="1"/>
      <c r="J16" s="1">
        <f t="shared" si="0"/>
        <v>0</v>
      </c>
    </row>
    <row r="17" spans="2:10" ht="14.45" customHeight="1" x14ac:dyDescent="0.25">
      <c r="B17" s="11" t="s">
        <v>18</v>
      </c>
      <c r="C17" s="12" t="s">
        <v>24</v>
      </c>
      <c r="D17" s="1"/>
      <c r="E17" s="1"/>
      <c r="F17" s="1"/>
      <c r="G17" s="1"/>
      <c r="H17" s="1"/>
      <c r="I17" s="1"/>
      <c r="J17" s="1">
        <f t="shared" si="0"/>
        <v>0</v>
      </c>
    </row>
    <row r="18" spans="2:10" ht="14.45" customHeight="1" x14ac:dyDescent="0.25">
      <c r="B18" s="3" t="s">
        <v>35</v>
      </c>
      <c r="C18" s="12" t="s">
        <v>32</v>
      </c>
      <c r="D18" s="1"/>
      <c r="E18" s="1"/>
      <c r="F18" s="1"/>
      <c r="G18" s="1"/>
      <c r="H18" s="1"/>
      <c r="I18" s="1"/>
      <c r="J18" s="1">
        <f t="shared" si="0"/>
        <v>0</v>
      </c>
    </row>
    <row r="19" spans="2:10" ht="14.45" customHeight="1" x14ac:dyDescent="0.25">
      <c r="B19" s="3" t="s">
        <v>21</v>
      </c>
      <c r="C19" s="12" t="s">
        <v>25</v>
      </c>
      <c r="D19" s="1"/>
      <c r="E19" s="1"/>
      <c r="F19" s="1"/>
      <c r="G19" s="1"/>
      <c r="H19" s="1"/>
      <c r="I19" s="1"/>
      <c r="J19" s="1">
        <f t="shared" si="0"/>
        <v>0</v>
      </c>
    </row>
    <row r="20" spans="2:10" ht="14.45" customHeight="1" x14ac:dyDescent="0.25">
      <c r="B20" s="3" t="s">
        <v>31</v>
      </c>
      <c r="C20" s="12" t="s">
        <v>32</v>
      </c>
      <c r="D20" s="1"/>
      <c r="E20" s="1"/>
      <c r="F20" s="1"/>
      <c r="G20" s="1"/>
      <c r="H20" s="1"/>
      <c r="I20" s="1"/>
      <c r="J20" s="1">
        <f t="shared" si="0"/>
        <v>0</v>
      </c>
    </row>
    <row r="21" spans="2:10" ht="14.45" customHeight="1" x14ac:dyDescent="0.25">
      <c r="B21" s="3" t="s">
        <v>19</v>
      </c>
      <c r="C21" s="12" t="s">
        <v>25</v>
      </c>
      <c r="D21" s="1"/>
      <c r="E21" s="1"/>
      <c r="F21" s="1"/>
      <c r="G21" s="1"/>
      <c r="H21" s="1"/>
      <c r="I21" s="1"/>
      <c r="J21" s="1">
        <f t="shared" si="0"/>
        <v>0</v>
      </c>
    </row>
    <row r="22" spans="2:10" ht="14.45" customHeight="1" x14ac:dyDescent="0.25">
      <c r="B22" s="3" t="s">
        <v>33</v>
      </c>
      <c r="C22" s="12" t="s">
        <v>32</v>
      </c>
      <c r="D22" s="1"/>
      <c r="E22" s="1"/>
      <c r="F22" s="1"/>
      <c r="G22" s="1"/>
      <c r="H22" s="1"/>
      <c r="I22" s="1"/>
      <c r="J22" s="1">
        <f t="shared" si="0"/>
        <v>0</v>
      </c>
    </row>
    <row r="23" spans="2:10" ht="14.45" customHeight="1" x14ac:dyDescent="0.25">
      <c r="B23" s="3" t="s">
        <v>14</v>
      </c>
      <c r="C23" s="13" t="s">
        <v>23</v>
      </c>
      <c r="D23" s="1"/>
      <c r="E23" s="1"/>
      <c r="F23" s="1"/>
      <c r="G23" s="1"/>
      <c r="H23" s="1"/>
      <c r="I23" s="1"/>
      <c r="J23" s="1">
        <f t="shared" si="0"/>
        <v>0</v>
      </c>
    </row>
    <row r="24" spans="2:10" ht="14.45" customHeight="1" x14ac:dyDescent="0.25">
      <c r="B24" s="3" t="s">
        <v>17</v>
      </c>
      <c r="C24" s="12" t="s">
        <v>24</v>
      </c>
      <c r="D24" s="1"/>
      <c r="E24" s="1"/>
      <c r="F24" s="1"/>
      <c r="G24" s="1"/>
      <c r="H24" s="1"/>
      <c r="I24" s="1"/>
      <c r="J24" s="1">
        <f t="shared" si="0"/>
        <v>0</v>
      </c>
    </row>
    <row r="25" spans="2:10" ht="14.45" customHeight="1" x14ac:dyDescent="0.25">
      <c r="B25" s="3" t="s">
        <v>16</v>
      </c>
      <c r="C25" s="12" t="s">
        <v>24</v>
      </c>
      <c r="D25" s="9"/>
      <c r="E25" s="8"/>
      <c r="F25" s="1"/>
      <c r="G25" s="1"/>
      <c r="H25" s="1"/>
      <c r="I25" s="1"/>
      <c r="J25" s="1">
        <f t="shared" si="0"/>
        <v>0</v>
      </c>
    </row>
    <row r="26" spans="2:10" ht="14.45" customHeight="1" x14ac:dyDescent="0.25">
      <c r="B26" s="3" t="s">
        <v>30</v>
      </c>
      <c r="C26" s="12" t="s">
        <v>27</v>
      </c>
      <c r="D26" s="1"/>
      <c r="E26" s="1"/>
      <c r="F26" s="1"/>
      <c r="G26" s="1"/>
      <c r="H26" s="1"/>
      <c r="I26" s="1"/>
      <c r="J26" s="1">
        <f t="shared" si="0"/>
        <v>0</v>
      </c>
    </row>
    <row r="27" spans="2:10" ht="14.45" customHeight="1" x14ac:dyDescent="0.25">
      <c r="B27" s="6" t="s">
        <v>10</v>
      </c>
      <c r="C27" s="7" t="s">
        <v>23</v>
      </c>
      <c r="D27" s="7"/>
      <c r="E27" s="7"/>
      <c r="F27" s="1"/>
      <c r="G27" s="1"/>
      <c r="H27" s="1"/>
      <c r="I27" s="1"/>
      <c r="J27" s="1">
        <f t="shared" si="0"/>
        <v>0</v>
      </c>
    </row>
    <row r="28" spans="2:10" ht="14.45" customHeight="1" x14ac:dyDescent="0.25">
      <c r="B28" s="3" t="s">
        <v>15</v>
      </c>
      <c r="C28" s="13" t="s">
        <v>24</v>
      </c>
      <c r="D28" s="1"/>
      <c r="E28" s="1"/>
      <c r="F28" s="1"/>
      <c r="G28" s="1"/>
      <c r="H28" s="1"/>
      <c r="I28" s="1"/>
      <c r="J28" s="1">
        <f t="shared" si="0"/>
        <v>0</v>
      </c>
    </row>
    <row r="29" spans="2:10" ht="14.45" customHeight="1" x14ac:dyDescent="0.25">
      <c r="B29" s="3" t="s">
        <v>13</v>
      </c>
      <c r="C29" s="13" t="s">
        <v>23</v>
      </c>
      <c r="D29" s="1"/>
      <c r="E29" s="1"/>
      <c r="F29" s="1"/>
      <c r="G29" s="1"/>
      <c r="H29" s="1"/>
      <c r="I29" s="1"/>
      <c r="J29" s="1">
        <f t="shared" si="0"/>
        <v>0</v>
      </c>
    </row>
    <row r="30" spans="2:10" ht="14.45" customHeight="1" x14ac:dyDescent="0.25">
      <c r="B30" s="3" t="s">
        <v>20</v>
      </c>
      <c r="C30" s="12" t="s">
        <v>25</v>
      </c>
      <c r="D30" s="1"/>
      <c r="E30" s="1"/>
      <c r="F30" s="1"/>
      <c r="G30" s="1"/>
      <c r="H30" s="1"/>
      <c r="I30" s="1"/>
      <c r="J30" s="1">
        <f t="shared" si="0"/>
        <v>0</v>
      </c>
    </row>
    <row r="31" spans="2:10" ht="14.45" customHeight="1" x14ac:dyDescent="0.25">
      <c r="B31" s="6" t="s">
        <v>9</v>
      </c>
      <c r="C31" s="7" t="s">
        <v>23</v>
      </c>
      <c r="D31" s="7"/>
      <c r="E31" s="7"/>
      <c r="F31" s="1"/>
      <c r="G31" s="1"/>
      <c r="H31" s="1"/>
      <c r="I31" s="1"/>
      <c r="J31" s="1">
        <f t="shared" si="0"/>
        <v>0</v>
      </c>
    </row>
  </sheetData>
  <autoFilter ref="B9:J9" xr:uid="{00000000-0009-0000-0000-000003000000}"/>
  <mergeCells count="2">
    <mergeCell ref="B5:E5"/>
    <mergeCell ref="B7:J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C26" sqref="C2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3CFD-12A4-4F3E-A29B-8C810F037C37}">
  <dimension ref="A2:Z16"/>
  <sheetViews>
    <sheetView topLeftCell="G1" workbookViewId="0">
      <selection activeCell="Q19" sqref="Q19"/>
    </sheetView>
  </sheetViews>
  <sheetFormatPr defaultRowHeight="15" x14ac:dyDescent="0.25"/>
  <sheetData>
    <row r="2" spans="1:26" x14ac:dyDescent="0.25">
      <c r="A2" t="s">
        <v>83</v>
      </c>
      <c r="B2">
        <v>654</v>
      </c>
      <c r="D2" t="s">
        <v>85</v>
      </c>
      <c r="E2">
        <v>1992</v>
      </c>
      <c r="G2" t="s">
        <v>22</v>
      </c>
      <c r="H2">
        <v>1186</v>
      </c>
      <c r="J2" t="s">
        <v>29</v>
      </c>
      <c r="K2">
        <v>2697</v>
      </c>
      <c r="M2" t="s">
        <v>87</v>
      </c>
      <c r="N2">
        <v>200</v>
      </c>
      <c r="P2" t="s">
        <v>88</v>
      </c>
      <c r="Q2">
        <v>2065</v>
      </c>
      <c r="S2" t="s">
        <v>89</v>
      </c>
      <c r="T2">
        <v>870</v>
      </c>
      <c r="V2" t="s">
        <v>18</v>
      </c>
      <c r="W2">
        <v>1451</v>
      </c>
      <c r="Y2" t="s">
        <v>21</v>
      </c>
      <c r="Z2">
        <v>281</v>
      </c>
    </row>
    <row r="3" spans="1:26" x14ac:dyDescent="0.25">
      <c r="B3">
        <v>1990</v>
      </c>
      <c r="E3">
        <v>3402</v>
      </c>
      <c r="H3">
        <v>1535</v>
      </c>
      <c r="K3">
        <v>618</v>
      </c>
      <c r="N3">
        <v>2003</v>
      </c>
      <c r="Q3">
        <v>2958</v>
      </c>
      <c r="T3">
        <v>456</v>
      </c>
      <c r="W3">
        <v>2367</v>
      </c>
      <c r="Z3">
        <v>247</v>
      </c>
    </row>
    <row r="4" spans="1:26" x14ac:dyDescent="0.25">
      <c r="B4">
        <v>1097</v>
      </c>
      <c r="E4">
        <v>1743</v>
      </c>
      <c r="H4">
        <v>1499</v>
      </c>
      <c r="K4">
        <v>682</v>
      </c>
      <c r="N4">
        <v>239</v>
      </c>
      <c r="Q4">
        <v>3361</v>
      </c>
      <c r="T4">
        <v>1338</v>
      </c>
      <c r="W4">
        <v>516</v>
      </c>
      <c r="Z4">
        <v>1168</v>
      </c>
    </row>
    <row r="5" spans="1:26" x14ac:dyDescent="0.25">
      <c r="B5">
        <v>567</v>
      </c>
      <c r="E5">
        <v>2421</v>
      </c>
      <c r="H5">
        <v>1645</v>
      </c>
      <c r="K5">
        <v>1170</v>
      </c>
      <c r="N5">
        <v>1948</v>
      </c>
      <c r="Q5">
        <v>3318</v>
      </c>
      <c r="T5">
        <v>3028</v>
      </c>
      <c r="W5">
        <v>2106</v>
      </c>
      <c r="Z5">
        <v>2847</v>
      </c>
    </row>
    <row r="6" spans="1:26" x14ac:dyDescent="0.25">
      <c r="B6">
        <v>2480</v>
      </c>
      <c r="E6">
        <v>2529</v>
      </c>
      <c r="H6">
        <v>1450</v>
      </c>
      <c r="K6">
        <v>2125</v>
      </c>
      <c r="N6">
        <v>561</v>
      </c>
      <c r="Q6">
        <v>1983</v>
      </c>
      <c r="T6">
        <v>923</v>
      </c>
      <c r="W6">
        <v>1054</v>
      </c>
      <c r="Z6">
        <v>506</v>
      </c>
    </row>
    <row r="7" spans="1:26" x14ac:dyDescent="0.25">
      <c r="B7">
        <v>1920</v>
      </c>
      <c r="E7">
        <v>4539</v>
      </c>
      <c r="H7">
        <v>1124</v>
      </c>
      <c r="K7">
        <v>1008</v>
      </c>
      <c r="N7">
        <v>1631</v>
      </c>
      <c r="Q7">
        <v>4550</v>
      </c>
      <c r="T7">
        <v>1396</v>
      </c>
      <c r="W7">
        <v>1150</v>
      </c>
      <c r="Z7">
        <v>546</v>
      </c>
    </row>
    <row r="8" spans="1:26" x14ac:dyDescent="0.25">
      <c r="B8">
        <v>475</v>
      </c>
      <c r="E8">
        <v>2308</v>
      </c>
      <c r="H8">
        <v>1288</v>
      </c>
      <c r="K8">
        <v>2090</v>
      </c>
      <c r="N8">
        <v>2111</v>
      </c>
      <c r="Q8">
        <v>6034</v>
      </c>
      <c r="T8">
        <v>1756</v>
      </c>
      <c r="W8">
        <v>1722</v>
      </c>
      <c r="Z8">
        <v>669</v>
      </c>
    </row>
    <row r="9" spans="1:26" x14ac:dyDescent="0.25">
      <c r="B9">
        <v>600</v>
      </c>
      <c r="E9">
        <v>1796</v>
      </c>
      <c r="H9">
        <v>2727</v>
      </c>
      <c r="K9">
        <v>2042</v>
      </c>
      <c r="N9">
        <v>1801</v>
      </c>
      <c r="Q9">
        <v>3491</v>
      </c>
      <c r="T9">
        <v>1559</v>
      </c>
      <c r="W9">
        <v>2141</v>
      </c>
      <c r="Z9">
        <v>865</v>
      </c>
    </row>
    <row r="10" spans="1:26" x14ac:dyDescent="0.25">
      <c r="B10">
        <v>1383</v>
      </c>
      <c r="E10">
        <v>4317</v>
      </c>
      <c r="H10">
        <v>1116</v>
      </c>
      <c r="K10">
        <v>2137</v>
      </c>
      <c r="N10">
        <v>463</v>
      </c>
      <c r="Q10">
        <v>3099</v>
      </c>
      <c r="T10">
        <v>1414</v>
      </c>
      <c r="W10">
        <v>3398</v>
      </c>
      <c r="Z10">
        <v>1364</v>
      </c>
    </row>
    <row r="11" spans="1:26" x14ac:dyDescent="0.25">
      <c r="B11">
        <v>1024</v>
      </c>
      <c r="E11">
        <v>2333</v>
      </c>
      <c r="H11">
        <v>2739</v>
      </c>
      <c r="N11">
        <v>1117</v>
      </c>
      <c r="Q11">
        <v>1920</v>
      </c>
      <c r="T11">
        <v>1645</v>
      </c>
      <c r="W11">
        <v>1634</v>
      </c>
      <c r="Z11">
        <v>561</v>
      </c>
    </row>
    <row r="12" spans="1:26" x14ac:dyDescent="0.25">
      <c r="B12">
        <v>2500</v>
      </c>
      <c r="E12">
        <v>1141</v>
      </c>
      <c r="H12">
        <v>2711</v>
      </c>
      <c r="N12">
        <v>2364</v>
      </c>
      <c r="Q12">
        <v>1579</v>
      </c>
      <c r="Z12">
        <v>478</v>
      </c>
    </row>
    <row r="13" spans="1:26" x14ac:dyDescent="0.25">
      <c r="B13">
        <v>1079</v>
      </c>
      <c r="E13">
        <v>2505</v>
      </c>
      <c r="H13">
        <v>1740</v>
      </c>
      <c r="N13">
        <v>2250</v>
      </c>
      <c r="Q13">
        <v>2982</v>
      </c>
      <c r="Z13">
        <v>3797</v>
      </c>
    </row>
    <row r="14" spans="1:26" x14ac:dyDescent="0.25">
      <c r="B14">
        <v>1500</v>
      </c>
      <c r="N14">
        <v>2560</v>
      </c>
      <c r="Q14">
        <v>5488</v>
      </c>
      <c r="Z14">
        <v>2047</v>
      </c>
    </row>
    <row r="15" spans="1:26" x14ac:dyDescent="0.25">
      <c r="A15" s="87"/>
      <c r="B15" s="88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>
        <v>2466</v>
      </c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>
        <v>836</v>
      </c>
    </row>
    <row r="16" spans="1:26" x14ac:dyDescent="0.25">
      <c r="A16" t="s">
        <v>84</v>
      </c>
      <c r="B16">
        <v>1328</v>
      </c>
      <c r="D16" t="s">
        <v>86</v>
      </c>
      <c r="E16">
        <v>2586</v>
      </c>
      <c r="G16" t="s">
        <v>86</v>
      </c>
      <c r="H16">
        <v>1730</v>
      </c>
      <c r="J16" t="s">
        <v>86</v>
      </c>
      <c r="K16">
        <v>1619</v>
      </c>
      <c r="M16" t="s">
        <v>86</v>
      </c>
      <c r="N16">
        <v>1551</v>
      </c>
      <c r="P16" t="s">
        <v>84</v>
      </c>
      <c r="Q16" s="18">
        <v>3294</v>
      </c>
      <c r="S16" t="s">
        <v>86</v>
      </c>
      <c r="T16">
        <v>1439</v>
      </c>
      <c r="V16" t="s">
        <v>86</v>
      </c>
      <c r="W16">
        <v>1754</v>
      </c>
      <c r="Y16" t="s">
        <v>84</v>
      </c>
      <c r="Z16">
        <v>1158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FCB367-0FE7-4C72-BEC9-F97E9908AE4D}"/>
</file>

<file path=customXml/itemProps2.xml><?xml version="1.0" encoding="utf-8"?>
<ds:datastoreItem xmlns:ds="http://schemas.openxmlformats.org/officeDocument/2006/customXml" ds:itemID="{4FB60A72-9314-4695-93D5-893C14911916}"/>
</file>

<file path=customXml/itemProps3.xml><?xml version="1.0" encoding="utf-8"?>
<ds:datastoreItem xmlns:ds="http://schemas.openxmlformats.org/officeDocument/2006/customXml" ds:itemID="{BA14CB3D-A62C-4E61-9187-8AC08D2A4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 1</vt:lpstr>
      <vt:lpstr>Week 2</vt:lpstr>
      <vt:lpstr>Week 3</vt:lpstr>
      <vt:lpstr>Week 4 </vt:lpstr>
      <vt:lpstr>Final Results</vt:lpstr>
      <vt:lpstr>Avgs SL + AL</vt:lpstr>
    </vt:vector>
  </TitlesOfParts>
  <Company>Partners of the Americas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Summar Lyons</dc:creator>
  <cp:lastModifiedBy>summar</cp:lastModifiedBy>
  <dcterms:created xsi:type="dcterms:W3CDTF">2018-07-06T20:28:08Z</dcterms:created>
  <dcterms:modified xsi:type="dcterms:W3CDTF">2018-08-10T00:42:17Z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189800</vt:r8>
  </property>
</Properties>
</file>