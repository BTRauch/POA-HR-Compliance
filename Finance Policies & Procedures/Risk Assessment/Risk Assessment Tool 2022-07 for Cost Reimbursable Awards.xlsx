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Risk Assessment/"/>
    </mc:Choice>
  </mc:AlternateContent>
  <xr:revisionPtr revIDLastSave="1160" documentId="11_3245843D2492C3DFCDFC061E8634EB64BD3839E1" xr6:coauthVersionLast="47" xr6:coauthVersionMax="47" xr10:uidLastSave="{195D4756-1254-4C9F-B82E-7F892E3676D4}"/>
  <bookViews>
    <workbookView xWindow="37320" yWindow="8625" windowWidth="29040" windowHeight="15720" xr2:uid="{00000000-000D-0000-FFFF-FFFF00000000}"/>
  </bookViews>
  <sheets>
    <sheet name="Subrecipient Checklist 1st Time" sheetId="8" r:id="rId1"/>
    <sheet name="Subrecipient CheckList Reoccur." sheetId="1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0" i="11" l="1"/>
  <c r="G100" i="11"/>
  <c r="G52" i="11"/>
  <c r="G40" i="11"/>
  <c r="G117" i="8" l="1"/>
  <c r="G98" i="8"/>
  <c r="G60" i="8"/>
  <c r="G48" i="8"/>
  <c r="G119" i="8" l="1"/>
  <c r="E7" i="8" s="1"/>
  <c r="G122" i="11" l="1"/>
  <c r="E8" i="11" s="1"/>
</calcChain>
</file>

<file path=xl/sharedStrings.xml><?xml version="1.0" encoding="utf-8"?>
<sst xmlns="http://schemas.openxmlformats.org/spreadsheetml/2006/main" count="353" uniqueCount="234">
  <si>
    <t>FIRST TIME RISK ASSESSMENT FOR COST REIMBURSABLE AWARDS</t>
  </si>
  <si>
    <t>Subrecipient Monitoring &amp; Evaluation Check List</t>
  </si>
  <si>
    <t>Name of Project &amp; Grant Number:</t>
  </si>
  <si>
    <t xml:space="preserve">Subrecipient Name: </t>
  </si>
  <si>
    <t>Fixed Obligation Grant/Contract:</t>
  </si>
  <si>
    <t>Yes or No</t>
  </si>
  <si>
    <t>Overall Score</t>
  </si>
  <si>
    <t>Cost Reimbursable Grant/Contract:</t>
  </si>
  <si>
    <t>Staff Name Completing Form:</t>
  </si>
  <si>
    <t>High Risk</t>
  </si>
  <si>
    <t>Medium Risk</t>
  </si>
  <si>
    <t>Low Risk</t>
  </si>
  <si>
    <t>Date Completed:</t>
  </si>
  <si>
    <t>121-180</t>
  </si>
  <si>
    <t>61-120</t>
  </si>
  <si>
    <t>0-60</t>
  </si>
  <si>
    <t>Grading Legend:</t>
  </si>
  <si>
    <t>Not Applicable</t>
  </si>
  <si>
    <t>Explanation of risk levels:</t>
  </si>
  <si>
    <r>
      <t xml:space="preserve">HIGH </t>
    </r>
    <r>
      <rPr>
        <sz val="12"/>
        <color rgb="FF000000"/>
        <rFont val="Times New Roman"/>
        <family val="1"/>
      </rPr>
      <t xml:space="preserve">– The risk associated with engaging the sub-recipient could compromise the project’s goals, objectives, or compliance the prime sponsor’s terms and conditions.  </t>
    </r>
  </si>
  <si>
    <r>
      <t>MEDIUM</t>
    </r>
    <r>
      <rPr>
        <sz val="12"/>
        <color rgb="FF000000"/>
        <rFont val="Times New Roman"/>
        <family val="1"/>
      </rPr>
      <t xml:space="preserve"> – The risk associated with engaging the sub-recipient could result in Partners operating inefficiently and/or expending unplanned resources to meet the project’s goals and objectives.</t>
    </r>
  </si>
  <si>
    <r>
      <t xml:space="preserve">LOW </t>
    </r>
    <r>
      <rPr>
        <sz val="12"/>
        <color rgb="FF000000"/>
        <rFont val="Times New Roman"/>
        <family val="1"/>
      </rPr>
      <t>– The risk associated with engaging the sub-recipient has no anticipated measurable effect on the achievement of the project’s goals and objectives.</t>
    </r>
  </si>
  <si>
    <t>No.</t>
  </si>
  <si>
    <t>Description</t>
  </si>
  <si>
    <t>``</t>
  </si>
  <si>
    <t>Review Areas/ Action Required</t>
  </si>
  <si>
    <t>Answers to Questions</t>
  </si>
  <si>
    <t>Rating Risk</t>
  </si>
  <si>
    <t>Organization, Administration and Human Resources</t>
  </si>
  <si>
    <t>Entity Details and Registration Compliance</t>
  </si>
  <si>
    <t>Is the organization U.S. based or foreign?</t>
  </si>
  <si>
    <t xml:space="preserve">Is the organization legally registered in country? </t>
  </si>
  <si>
    <t>Ex. Registration documents</t>
  </si>
  <si>
    <t>Does the organization have a UEI number</t>
  </si>
  <si>
    <t>UEI number must be obtain prior to award</t>
  </si>
  <si>
    <t>Business Structure</t>
  </si>
  <si>
    <t>What type of organization is the subrecipient? Grassroots, NGO, LLC, Corporation, Sole-Proprietorship, etc.?</t>
  </si>
  <si>
    <t>Who is ultimately responsible for business liabilities, debts and actions?</t>
  </si>
  <si>
    <t>How long has the subrecipient been in business? Over 10 years?</t>
  </si>
  <si>
    <t>Funding</t>
  </si>
  <si>
    <t xml:space="preserve">In the preceding fiscal year, did the subrecipient received 50% or more of its annual gross revenues from US federal contracts? </t>
  </si>
  <si>
    <t xml:space="preserve">If majority of funding from USG, shows experience managing USG funding. </t>
  </si>
  <si>
    <t>Project Operations</t>
  </si>
  <si>
    <t xml:space="preserve">Is there an organizational chart? Is it updated? </t>
  </si>
  <si>
    <t>Are staff aware of reporting structures?</t>
  </si>
  <si>
    <t>Are there sufficient internal controls in place to protect against waste, fraud and abuse of Federal funds? Is there segregation of duties?</t>
  </si>
  <si>
    <t>Ex. Responsible person for financial reporting, cash management, procurement, invoices, payroll, general accounts, property management</t>
  </si>
  <si>
    <t>Does the organization have an Operations Manual?</t>
  </si>
  <si>
    <t>Are the key elements of an Operations Manual present? 1) Project definition and scope 2) Project objectives 3) Mgmt. standards &amp; procedures 4) Organizational chart 5) Financial &amp; HR procedures 6) Staffing requirements 7) Record Retention policy 9) Procurement procedures 10) Travel Policy 11) Capitalization/depreciation 12) Risk assessment policy (if second-tier subrecipients) 13) Protection from Sexual Exploitation and Abuse (PSEA) 14) Child Protection Policy (if working with children) 15) Suspension &amp; Debarment</t>
  </si>
  <si>
    <t xml:space="preserve">Review key sections to ensure compliance with 2 CFR 200 Uniform Guidance: </t>
  </si>
  <si>
    <t>Do the organization's policies meet or exceed the Federal retention requirements?</t>
  </si>
  <si>
    <t>Review record retention policy</t>
  </si>
  <si>
    <t>Human Resources and Personnel</t>
  </si>
  <si>
    <t>Are there Personnel Files? Do they have proper backup and filing systems?</t>
  </si>
  <si>
    <t>Is there a CV or Bio-data, offer letter or employee contract? Is there a job description? Is signed copy of contract ? Test: Random check of each personnel file to verify documentation. How are salary distributions made? Are they properly documented?</t>
  </si>
  <si>
    <t>Is there a written HR Policy? Is it being followed?</t>
  </si>
  <si>
    <t>Review HR policy</t>
  </si>
  <si>
    <t>Does the subrecipient have a written conflict of interest policy for their employees and contractors? How often is it signed?</t>
  </si>
  <si>
    <t>Spot check and confirm conflict of interest policies are being signed by employees</t>
  </si>
  <si>
    <t>Is there a clear delineation of roles and responsibilities?</t>
  </si>
  <si>
    <t>Are employees benefit plans readily available (medical, insurances, allowances, bonus policies etc.)? Are fringe benefits paid in accordance with local laws and organizational policy?</t>
  </si>
  <si>
    <t>Evidence (health plan, workplace insurance, overtime register, training policy, etc.)</t>
  </si>
  <si>
    <t>Are personnel and consultants contracts available in hard or soft copy? Or both?</t>
  </si>
  <si>
    <t xml:space="preserve">If only hard copy, what mitigation efforts are taken to ensure their safety </t>
  </si>
  <si>
    <t>Organization, Administration, and Human Resources Scoring</t>
  </si>
  <si>
    <t>Total score for Organization, Administration and Human Resources</t>
  </si>
  <si>
    <t>39-57</t>
  </si>
  <si>
    <t>20-38</t>
  </si>
  <si>
    <t>0-19</t>
  </si>
  <si>
    <t>Risk Management</t>
  </si>
  <si>
    <t>Anti-corruption / Sanctions Lists / Counter Terrorism</t>
  </si>
  <si>
    <t>Has POA conducted a screening of the organization and people working for a project? Ex. Visual Compliance Check</t>
  </si>
  <si>
    <t>Conduct Visual Compliance checks</t>
  </si>
  <si>
    <t>Is there a Project Filing System?</t>
  </si>
  <si>
    <t>Filing list, hard and soft copy files, compliance with SharePoint filing system</t>
  </si>
  <si>
    <t>Does the subrecipient have a procedures to identify and account for federal property and equipment purchased with grant funds?</t>
  </si>
  <si>
    <t>Does the subrecipient have adequate safeguards for preventing loss, damage, or theft of property held (inventory control, etc.)?</t>
  </si>
  <si>
    <t>Safety and Security Plan</t>
  </si>
  <si>
    <t>Is there a Safety and Security Plan on file with up-to-date emergency contact information?</t>
  </si>
  <si>
    <t>Risk Management Scoring</t>
  </si>
  <si>
    <t>Total score for Risk Management</t>
  </si>
  <si>
    <t>11-15</t>
  </si>
  <si>
    <t>6-10</t>
  </si>
  <si>
    <t>0-5</t>
  </si>
  <si>
    <t>Finance and Procurement</t>
  </si>
  <si>
    <t>Financial Operations</t>
  </si>
  <si>
    <t>Are there financial management procedures?</t>
  </si>
  <si>
    <t>Spot check; Review key sections to ensure compliance with 2 CFR 200 Uniform Guidance and GAAP</t>
  </si>
  <si>
    <t>Are staff aware of the financial management procedures?</t>
  </si>
  <si>
    <t>Are trainings done regularly?</t>
  </si>
  <si>
    <t xml:space="preserve">Do records show correct signatures in line with delegated authority? Are invoices or vouchers approved in advance by authorized officials? </t>
  </si>
  <si>
    <t>Spot check 10 items</t>
  </si>
  <si>
    <t xml:space="preserve">Are payment vouchers or supporting documents identified by grant number, date(s) and expense classification? </t>
  </si>
  <si>
    <t>Is there evidence of proper financial documentation?</t>
  </si>
  <si>
    <t>Payment ,receipt, journal entry, petty chase, invoices, payroll slips, bank statements, bank reconciliations</t>
  </si>
  <si>
    <t>Are financial records being kept in hard or soft copy? Or both?</t>
  </si>
  <si>
    <t>Does the subrecipient have a cash forecasting process which will minimize the time elapsed between the drawing down of funds and the disbursement of those funds?</t>
  </si>
  <si>
    <t>Payroll</t>
  </si>
  <si>
    <t>Is payroll calculated each month?</t>
  </si>
  <si>
    <t>By whom and how?</t>
  </si>
  <si>
    <t>Are all applicable taxes being withheld?</t>
  </si>
  <si>
    <t>Ex. Income tax, PAYE</t>
  </si>
  <si>
    <t>Are individual timesheets or time and effort reports for each staff member available?</t>
  </si>
  <si>
    <t>Spot check documentation and ensure duly signed</t>
  </si>
  <si>
    <t xml:space="preserve">Does payroll documentation detail other benefits and percentage allocation? </t>
  </si>
  <si>
    <t>Audit</t>
  </si>
  <si>
    <t>Have Subrecipient’s annual financial statements been audited by an independent audit firm? If yes, provide a copy of the statements for the last year.</t>
  </si>
  <si>
    <t>Review audit report</t>
  </si>
  <si>
    <t>Is the organizations currently subject to audit requirements set forth in section § 200.501 for spending $750,000 in USG funding?</t>
  </si>
  <si>
    <t>If the subrecipient had an external audit, where there any findings? If so, have the findings been resolved?</t>
  </si>
  <si>
    <t>Has the subrecipient currently or previously been involved in any litigation concerning performance or financial management under United States Government federal award or subaward?</t>
  </si>
  <si>
    <t>Procurements</t>
  </si>
  <si>
    <t>Are formal procurement policies and procedures in place and being followed?</t>
  </si>
  <si>
    <t>Test procurement documentation</t>
  </si>
  <si>
    <t>Accounting System</t>
  </si>
  <si>
    <t>What type of financial management/accounting system does the subrecipient utilize?</t>
  </si>
  <si>
    <t xml:space="preserve">Is there adequate reporting and tracking of funds? Are sources of non-Federal funds identified and tracked separately in the accounting
system? </t>
  </si>
  <si>
    <t>Does Subrecipient’s financial system provide for the effective control over and accountability for all funds, property, and other assets (including but not limited to: (1) comparison of expenditures with budget amounts for each award; and (2) recording of each grant/contract by the budget cost categories shown in the approved budget)?</t>
  </si>
  <si>
    <t>Is there a chart of accounts?</t>
  </si>
  <si>
    <t>Does the system provide for prompt and timely recording and reporting
of all financial transactions?</t>
  </si>
  <si>
    <t>Does the organization keep a separate bank account for POA/USG funds?</t>
  </si>
  <si>
    <t>Cost Share</t>
  </si>
  <si>
    <t>Has the organization worked with cost share requirements before? Does Subrecipient have a system in place to determine that it has met its cost sharing goals, if applicable?</t>
  </si>
  <si>
    <t>Inventory Systems</t>
  </si>
  <si>
    <t>Does the subrecipient periodically check its detailed property and equipment records against physical inventory?</t>
  </si>
  <si>
    <t>Travel</t>
  </si>
  <si>
    <t>Does the organization have its own travel policy and is the policy being followed?</t>
  </si>
  <si>
    <t>Review travel policy</t>
  </si>
  <si>
    <t>Organization and Administration Scoring</t>
  </si>
  <si>
    <t>Finance and Procurement Scoring</t>
  </si>
  <si>
    <t>Total score for Finance and Procurement</t>
  </si>
  <si>
    <t>51-75</t>
  </si>
  <si>
    <t>26-50</t>
  </si>
  <si>
    <t>0-25</t>
  </si>
  <si>
    <t>Technical Capacities</t>
  </si>
  <si>
    <t>Experience</t>
  </si>
  <si>
    <t>Has the subrecipient worked on projects related to or with POA's in the past? If so, when?</t>
  </si>
  <si>
    <t>Has the subrecipient worked with USG funding past? If so, when?</t>
  </si>
  <si>
    <t>Are the activities of the subrecipient aligned with the mission and the values of the organization?</t>
  </si>
  <si>
    <t>Leadership</t>
  </si>
  <si>
    <t>Is the subrecipient well known because of its leadership in relevant topics related to the goals of the subaward?</t>
  </si>
  <si>
    <t>Are the senior staff members of the company leaders that can facilitate project implementation?</t>
  </si>
  <si>
    <t>During the last year has been a change in leadership?</t>
  </si>
  <si>
    <t>Personnel and Consultants</t>
  </si>
  <si>
    <t>Are the technical staff of the organization qualified and have the necessary experience?</t>
  </si>
  <si>
    <t>What is the turnover of the technical staff?</t>
  </si>
  <si>
    <t>Does the organization have the ability to hire a short-term consultant quickly?</t>
  </si>
  <si>
    <t>Monitoring and Evaluation</t>
  </si>
  <si>
    <t>Does the organization have mechanisms (monitoring and evaluations tools) to ensure good quality of the products?</t>
  </si>
  <si>
    <t>Is there a database or other platform to accurately enter, store, and download M&amp;E data?</t>
  </si>
  <si>
    <t>Technical Capacities Scoring</t>
  </si>
  <si>
    <t>`</t>
  </si>
  <si>
    <t>Total score for Technical Capacities</t>
  </si>
  <si>
    <t>23-33</t>
  </si>
  <si>
    <t xml:space="preserve"> 12-22</t>
  </si>
  <si>
    <t>0-11</t>
  </si>
  <si>
    <t>Total Score in All Categories</t>
  </si>
  <si>
    <t>REOCCURING RISK ASSESSMENT FOR COST REIMBURSABLE AWARDS</t>
  </si>
  <si>
    <t>Recurring Policy (Subrecipient Monitoring)</t>
  </si>
  <si>
    <t>129-192</t>
  </si>
  <si>
    <t>65-128</t>
  </si>
  <si>
    <t>0-64</t>
  </si>
  <si>
    <t>Action Required</t>
  </si>
  <si>
    <t>Are there sufficient internal controls in place to protect against waste,
fraud and abuse of Federal funds? Is there segregation of duties?</t>
  </si>
  <si>
    <t>Has the Operations Manual been updated?</t>
  </si>
  <si>
    <t>If there were policy changes in the past year, are the key elements of an Operations Manual still present?1) Project definition and scope 2) Project objectives 3) Mgmt. standards &amp; procedures 4) Organizational chart 5) Financial &amp; HR procedures 6) Staffing requirements 7) Record Retention policy 9) Procurement procedures 10) Travel Policy 11) Capitalization/depreciation 12) Risk assessment policy (if second-tier subrecipients) 13) Protection from Sexual Exploitation and Abuse (PSEA) 14) Child Protection Policy (if working with children) 15) Suspension &amp; Debarment</t>
  </si>
  <si>
    <t>If there are project vehicles, is there a vehicle usage log? Is it maintained and reviewed on a regular basis? Is there an office policy on vehicle usage? If there is no vehicle, is mileage reimbursement done correctly in the past year?</t>
  </si>
  <si>
    <t>Are the Personnel Files up-to-date? Do they have proper backup and filing systems?</t>
  </si>
  <si>
    <t>Has the written HR Policy been updated? If so, is it being followed?</t>
  </si>
  <si>
    <t>Review updated HR policy</t>
  </si>
  <si>
    <t>Is the conflict of interest policy being followed? How often is the certification signed by staff?</t>
  </si>
  <si>
    <t>Is there an up-to-date list of project employees and consultants?</t>
  </si>
  <si>
    <t>Are employee salary and consultant payments in accordance with the approved budget and authorized level of effort?</t>
  </si>
  <si>
    <t>25-36</t>
  </si>
  <si>
    <t>13-24</t>
  </si>
  <si>
    <t>0-12</t>
  </si>
  <si>
    <t>Has POA conducted an updated screening of the organization and people working for a project? Ex. Visual Compliance Check</t>
  </si>
  <si>
    <t>Has the subrecipient been conducting SAM checks prior to payments on their vendors?</t>
  </si>
  <si>
    <t>Are local contract templates being checked regularly (at least every two years) to make sure they are in line with country workplace laws?</t>
  </si>
  <si>
    <t>Evidence of local legal advice</t>
  </si>
  <si>
    <t>Is the a Project Filing System being followed? Are files requested by Partners easily available?</t>
  </si>
  <si>
    <t>Is the Safety and Security Plan being followed and updated regularly? Has there been any major security concerns in the past year?</t>
  </si>
  <si>
    <t xml:space="preserve"> 11-15</t>
  </si>
  <si>
    <t>Are there updated financial management procedures?</t>
  </si>
  <si>
    <t>Are project invoices/financial reports being submitted to Partners on time?</t>
  </si>
  <si>
    <t xml:space="preserve">Spot check last 3 invoices </t>
  </si>
  <si>
    <t>Are the expenses reasonable, allowable and allocable?</t>
  </si>
  <si>
    <t xml:space="preserve">Has the financial documentation been complete? Accurate? Does supporting documents identify grant number, date(s) and expense classification? </t>
  </si>
  <si>
    <t xml:space="preserve">Is there a budget variance greater than 10% of the total award value in any budget category? </t>
  </si>
  <si>
    <t>Has cash flow projections been reasonable and accurate? Has effort been made to minimize the time elapsed between the drawing down of funds and the disbursement of those funds?</t>
  </si>
  <si>
    <t>Review cash flow projections against financial reports/invoices.</t>
  </si>
  <si>
    <t>Has payroll been calculated correctly each month?</t>
  </si>
  <si>
    <t>Does payroll documentation detail other benefits and percentage allocation? Are funding and staffing resource estimates sufficiently detailed and documented for use in planning and tracking the grant?</t>
  </si>
  <si>
    <t>Are annual audits being undertaken either internally or externally?</t>
  </si>
  <si>
    <t>Annual audit reports</t>
  </si>
  <si>
    <t>Are project audits stipulated per the grant? Or is the organizations currently subject to audit requirements set forth in section § 200.501 for spending $750,000 in USG funding?</t>
  </si>
  <si>
    <t>Check contract/grant</t>
  </si>
  <si>
    <t>If yes, are audits being conducted and copies sent to Partners?</t>
  </si>
  <si>
    <t>If the subrecipient had an audit, where there any findings or questioned costs? If so, have the findings and/or questioned costs been resolved? Who is responsible for handling the findings and/or questioned costs?</t>
  </si>
  <si>
    <t xml:space="preserve">If applicable, did the subrecipient submit a timely response to the auditors, including a plan for correcting any findings? </t>
  </si>
  <si>
    <t>Are formal procurement policies and procedures being followed? Any issues with procurement and its documentation in the past year?</t>
  </si>
  <si>
    <t>If applicable, have all special conditions of the award been met? Ex. Prior approval for travel, consultants, second tier subawards, etc.</t>
  </si>
  <si>
    <t xml:space="preserve">Has there been adequate reporting and tracking of funds? Are sources of non-Federal funds identified and tracked separately in the accounting
system? </t>
  </si>
  <si>
    <t>If required, has cost share been reported correctly and properly documented?</t>
  </si>
  <si>
    <t>Are the items reported as cost share reasonable, allocable and allowable?</t>
  </si>
  <si>
    <t>Inventory System</t>
  </si>
  <si>
    <t>Has the subrecipient periodically check its detailed property and equipment records against physical inventory?</t>
  </si>
  <si>
    <t>Are inventory items for the project labeled, marked and entered into a log/register?</t>
  </si>
  <si>
    <t>Are inventory registers for the project being updated regularly and checked at least annually?</t>
  </si>
  <si>
    <t>Spot check inventory or inventory registers</t>
  </si>
  <si>
    <t>Is there authorized travel by POA?</t>
  </si>
  <si>
    <t>Check approved budget and other documentation</t>
  </si>
  <si>
    <t>If travel is authorized, has the subrecipient followed its own travel policy?</t>
  </si>
  <si>
    <t>Ensure policy is compliant with 2 CFR 200.</t>
  </si>
  <si>
    <t>Are Travel Expense Reports submitted correctly, on time, and with appropriate approvals?</t>
  </si>
  <si>
    <t>Spot check</t>
  </si>
  <si>
    <t>Is the correct M&amp;IE rate being used? Confirm it does not exceed the government rate.</t>
  </si>
  <si>
    <t>Are itemized receipts attached to the travel expense reports?</t>
  </si>
  <si>
    <t>Are only allowable expenses being reimbursed?</t>
  </si>
  <si>
    <t>If travel advances are allowed, are they being cleared according to the organization's policy?</t>
  </si>
  <si>
    <t>If conferences are part of travel, is there proof that funds went to specific conferences cited in deliverables?</t>
  </si>
  <si>
    <t>Check for participants list, hotel reservations, receipts, and other documentation</t>
  </si>
  <si>
    <t>73-108</t>
  </si>
  <si>
    <t>37-72</t>
  </si>
  <si>
    <t>0-36</t>
  </si>
  <si>
    <t>In the past year, has the subrecipient provide the expected experience and technical knowledge?</t>
  </si>
  <si>
    <t>Personnel and/or Consultants</t>
  </si>
  <si>
    <t>Has the M&amp;E reporting been accurate and complete?</t>
  </si>
  <si>
    <t>Programmatic Reporting</t>
  </si>
  <si>
    <t>Have technical reports been submitted timely?</t>
  </si>
  <si>
    <t>Have the reports been accurate? Have there been errors?</t>
  </si>
  <si>
    <t>Is the project functioning as described in application? Are target dates as established by the contractual agreement for each milestone/deliverable being met?</t>
  </si>
  <si>
    <t>Is data/information provided to support project "goals/outcomes"?</t>
  </si>
  <si>
    <t>Are project deliverables clearly understood by project staff?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</si>
</sst>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i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</font>
    <font>
      <i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5" borderId="3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5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vertical="top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0" borderId="4" xfId="0" applyFont="1" applyBorder="1" applyAlignment="1">
      <alignment horizontal="center" vertical="top" wrapText="1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right" vertical="center"/>
    </xf>
    <xf numFmtId="0" fontId="5" fillId="0" borderId="1" xfId="0" quotePrefix="1" applyFont="1" applyBorder="1" applyAlignment="1">
      <alignment horizontal="right" vertical="center"/>
    </xf>
    <xf numFmtId="0" fontId="5" fillId="3" borderId="1" xfId="0" quotePrefix="1" applyFont="1" applyFill="1" applyBorder="1" applyAlignment="1">
      <alignment horizontal="right" vertical="center"/>
    </xf>
    <xf numFmtId="0" fontId="5" fillId="4" borderId="1" xfId="0" quotePrefix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49" fontId="5" fillId="0" borderId="1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top"/>
    </xf>
    <xf numFmtId="0" fontId="14" fillId="0" borderId="5" xfId="0" applyFont="1" applyBorder="1" applyAlignment="1">
      <alignment horizontal="center" vertical="top"/>
    </xf>
    <xf numFmtId="0" fontId="13" fillId="0" borderId="5" xfId="0" applyFont="1" applyBorder="1" applyAlignment="1">
      <alignment horizontal="center" vertical="top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14" fillId="0" borderId="0" xfId="0" applyNumberFormat="1" applyFont="1" applyAlignment="1">
      <alignment horizontal="center" vertical="top"/>
    </xf>
    <xf numFmtId="0" fontId="17" fillId="0" borderId="0" xfId="0" applyFont="1" applyAlignment="1">
      <alignment vertical="center"/>
    </xf>
    <xf numFmtId="16" fontId="5" fillId="0" borderId="13" xfId="0" applyNumberFormat="1" applyFont="1" applyBorder="1" applyAlignment="1">
      <alignment horizontal="center" vertical="center"/>
    </xf>
    <xf numFmtId="16" fontId="5" fillId="0" borderId="1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9" fillId="3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 wrapText="1"/>
    </xf>
    <xf numFmtId="0" fontId="12" fillId="2" borderId="1" xfId="0" applyFont="1" applyFill="1" applyBorder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5" fillId="3" borderId="1" xfId="0" applyFont="1" applyFill="1" applyBorder="1" applyAlignment="1">
      <alignment horizontal="right" vertical="top"/>
    </xf>
    <xf numFmtId="0" fontId="5" fillId="4" borderId="1" xfId="0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right" vertical="top"/>
    </xf>
    <xf numFmtId="0" fontId="5" fillId="0" borderId="1" xfId="0" applyFont="1" applyBorder="1" applyAlignment="1">
      <alignment horizontal="right" vertical="top" wrapText="1"/>
    </xf>
    <xf numFmtId="0" fontId="19" fillId="5" borderId="1" xfId="0" applyFont="1" applyFill="1" applyBorder="1" applyAlignment="1">
      <alignment horizontal="center" vertical="top" wrapText="1"/>
    </xf>
    <xf numFmtId="0" fontId="20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13" fillId="0" borderId="1" xfId="0" applyFont="1" applyBorder="1" applyAlignment="1">
      <alignment horizontal="center" vertical="center" wrapText="1"/>
    </xf>
    <xf numFmtId="16" fontId="13" fillId="0" borderId="0" xfId="0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16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" fontId="1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26095</xdr:colOff>
      <xdr:row>0</xdr:row>
      <xdr:rowOff>39687</xdr:rowOff>
    </xdr:from>
    <xdr:to>
      <xdr:col>3</xdr:col>
      <xdr:colOff>1318825</xdr:colOff>
      <xdr:row>2</xdr:row>
      <xdr:rowOff>3261</xdr:rowOff>
    </xdr:to>
    <xdr:pic>
      <xdr:nvPicPr>
        <xdr:cNvPr id="2" name="Picture 1" descr="POA_English Slogan BLAC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95" y="39687"/>
          <a:ext cx="4079926" cy="59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26095</xdr:colOff>
      <xdr:row>0</xdr:row>
      <xdr:rowOff>39687</xdr:rowOff>
    </xdr:from>
    <xdr:to>
      <xdr:col>3</xdr:col>
      <xdr:colOff>1318825</xdr:colOff>
      <xdr:row>2</xdr:row>
      <xdr:rowOff>3261</xdr:rowOff>
    </xdr:to>
    <xdr:pic>
      <xdr:nvPicPr>
        <xdr:cNvPr id="3" name="Picture 2" descr="POA_English Slogan BLACK">
          <a:extLst>
            <a:ext uri="{FF2B5EF4-FFF2-40B4-BE49-F238E27FC236}">
              <a16:creationId xmlns:a16="http://schemas.microsoft.com/office/drawing/2014/main" id="{2D597526-6B89-4E7D-A7DE-7AEF5EF33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175" y="39687"/>
          <a:ext cx="4115940" cy="59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73720</xdr:colOff>
      <xdr:row>0</xdr:row>
      <xdr:rowOff>230187</xdr:rowOff>
    </xdr:from>
    <xdr:to>
      <xdr:col>3</xdr:col>
      <xdr:colOff>1128325</xdr:colOff>
      <xdr:row>1</xdr:row>
      <xdr:rowOff>469986</xdr:rowOff>
    </xdr:to>
    <xdr:pic>
      <xdr:nvPicPr>
        <xdr:cNvPr id="2" name="Picture 1" descr="POA_English Slogan BLACK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0" y="230187"/>
          <a:ext cx="3893055" cy="59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123"/>
  <sheetViews>
    <sheetView showGridLines="0" tabSelected="1" topLeftCell="A38" zoomScale="80" zoomScaleNormal="70" workbookViewId="0">
      <selection activeCell="D41" sqref="D41"/>
    </sheetView>
  </sheetViews>
  <sheetFormatPr defaultColWidth="9.140625" defaultRowHeight="13.9"/>
  <cols>
    <col min="1" max="1" width="3.5703125" style="11" customWidth="1"/>
    <col min="2" max="2" width="14.42578125" style="21" customWidth="1"/>
    <col min="3" max="3" width="24.5703125" style="11" customWidth="1"/>
    <col min="4" max="4" width="57.42578125" style="10" customWidth="1"/>
    <col min="5" max="5" width="39.42578125" style="10" customWidth="1"/>
    <col min="6" max="6" width="43.5703125" style="11" customWidth="1"/>
    <col min="7" max="7" width="16.5703125" style="11" customWidth="1"/>
    <col min="8" max="8" width="9.5703125" style="29" bestFit="1" customWidth="1"/>
    <col min="9" max="9" width="12.5703125" style="29" bestFit="1" customWidth="1"/>
    <col min="10" max="10" width="9" style="29" customWidth="1"/>
    <col min="11" max="11" width="16.28515625" style="29" customWidth="1"/>
    <col min="12" max="12" width="12.42578125" style="11" customWidth="1"/>
    <col min="13" max="16384" width="9.140625" style="11"/>
  </cols>
  <sheetData>
    <row r="1" spans="2:11" ht="27.95" customHeight="1">
      <c r="B1" s="122" t="s">
        <v>0</v>
      </c>
      <c r="C1" s="122"/>
      <c r="D1" s="122"/>
      <c r="E1" s="122"/>
      <c r="F1" s="122"/>
      <c r="G1" s="122"/>
      <c r="H1" s="115"/>
      <c r="I1" s="115"/>
      <c r="J1" s="115"/>
    </row>
    <row r="2" spans="2:11" ht="21.75" customHeight="1">
      <c r="B2" s="123" t="s">
        <v>1</v>
      </c>
      <c r="C2" s="123"/>
      <c r="D2" s="123"/>
      <c r="E2" s="123"/>
      <c r="F2" s="123"/>
      <c r="G2" s="123"/>
    </row>
    <row r="3" spans="2:11" s="50" customFormat="1" ht="15.4">
      <c r="B3" s="44"/>
      <c r="C3" s="44"/>
      <c r="D3" s="44"/>
      <c r="E3" s="44"/>
      <c r="F3" s="44"/>
      <c r="G3" s="44"/>
      <c r="H3" s="126"/>
      <c r="I3" s="127"/>
      <c r="J3" s="126"/>
      <c r="K3" s="51"/>
    </row>
    <row r="4" spans="2:11" s="50" customFormat="1" ht="15.4">
      <c r="B4" s="48" t="s">
        <v>2</v>
      </c>
      <c r="C4" s="48"/>
      <c r="D4" s="46"/>
      <c r="E4" s="45"/>
      <c r="F4" s="45"/>
      <c r="G4" s="45"/>
      <c r="H4" s="126"/>
      <c r="I4" s="127"/>
      <c r="J4" s="126"/>
      <c r="K4" s="51"/>
    </row>
    <row r="5" spans="2:11" s="50" customFormat="1" ht="15.4">
      <c r="B5" s="48" t="s">
        <v>3</v>
      </c>
      <c r="C5" s="48"/>
      <c r="D5" s="46"/>
      <c r="E5" s="45"/>
      <c r="F5" s="45"/>
      <c r="G5" s="45"/>
      <c r="H5" s="51"/>
      <c r="I5" s="112"/>
      <c r="J5" s="51"/>
      <c r="K5" s="51"/>
    </row>
    <row r="6" spans="2:11" s="50" customFormat="1" ht="15.4">
      <c r="B6" s="48" t="s">
        <v>4</v>
      </c>
      <c r="C6" s="48"/>
      <c r="D6" s="47" t="s">
        <v>5</v>
      </c>
      <c r="E6" s="124" t="s">
        <v>6</v>
      </c>
      <c r="F6" s="124"/>
      <c r="G6" s="124"/>
      <c r="H6" s="52"/>
      <c r="I6" s="51"/>
      <c r="J6" s="51"/>
      <c r="K6" s="51"/>
    </row>
    <row r="7" spans="2:11" s="50" customFormat="1" ht="15.4">
      <c r="B7" s="48" t="s">
        <v>7</v>
      </c>
      <c r="C7" s="48"/>
      <c r="D7" s="47" t="s">
        <v>5</v>
      </c>
      <c r="E7" s="125">
        <f>G119</f>
        <v>0</v>
      </c>
      <c r="F7" s="125"/>
      <c r="G7" s="125"/>
      <c r="H7" s="51"/>
      <c r="I7" s="51"/>
      <c r="J7" s="51"/>
      <c r="K7" s="51"/>
    </row>
    <row r="8" spans="2:11" s="50" customFormat="1" ht="15.4">
      <c r="B8" s="48" t="s">
        <v>8</v>
      </c>
      <c r="C8" s="48"/>
      <c r="D8" s="46"/>
      <c r="E8" s="111" t="s">
        <v>9</v>
      </c>
      <c r="F8" s="53" t="s">
        <v>10</v>
      </c>
      <c r="G8" s="111" t="s">
        <v>11</v>
      </c>
      <c r="H8" s="51"/>
      <c r="I8" s="51"/>
      <c r="J8" s="51"/>
      <c r="K8" s="51"/>
    </row>
    <row r="9" spans="2:11" s="50" customFormat="1" ht="15.4">
      <c r="B9" s="48" t="s">
        <v>12</v>
      </c>
      <c r="C9" s="48"/>
      <c r="D9" s="46"/>
      <c r="E9" s="53" t="s">
        <v>13</v>
      </c>
      <c r="F9" s="53" t="s">
        <v>14</v>
      </c>
      <c r="G9" s="53" t="s">
        <v>15</v>
      </c>
      <c r="H9" s="51"/>
      <c r="I9" s="51"/>
      <c r="J9" s="51"/>
      <c r="K9" s="51"/>
    </row>
    <row r="10" spans="2:11" s="50" customFormat="1" ht="15.4">
      <c r="B10" s="49"/>
      <c r="D10" s="45"/>
      <c r="E10" s="45"/>
      <c r="H10" s="51"/>
      <c r="I10" s="77"/>
      <c r="J10" s="51"/>
      <c r="K10" s="51"/>
    </row>
    <row r="11" spans="2:11" s="50" customFormat="1" ht="15.4">
      <c r="E11" s="45"/>
      <c r="H11" s="51"/>
      <c r="I11" s="77"/>
      <c r="J11" s="51"/>
      <c r="K11" s="51"/>
    </row>
    <row r="12" spans="2:11" s="50" customFormat="1" ht="15.75" thickBot="1">
      <c r="B12" s="48" t="s">
        <v>16</v>
      </c>
      <c r="E12" s="45"/>
      <c r="H12" s="51"/>
      <c r="I12" s="77"/>
      <c r="J12" s="51"/>
      <c r="K12" s="51"/>
    </row>
    <row r="13" spans="2:11" s="50" customFormat="1" ht="16.149999999999999" thickTop="1" thickBot="1">
      <c r="B13" s="74" t="s">
        <v>17</v>
      </c>
      <c r="C13" s="74" t="s">
        <v>11</v>
      </c>
      <c r="D13" s="76" t="s">
        <v>10</v>
      </c>
      <c r="E13" s="74" t="s">
        <v>9</v>
      </c>
      <c r="H13" s="51"/>
      <c r="I13" s="77"/>
      <c r="J13" s="51"/>
      <c r="K13" s="51"/>
    </row>
    <row r="14" spans="2:11" s="50" customFormat="1" ht="16.149999999999999" thickTop="1" thickBot="1">
      <c r="B14" s="75">
        <v>0</v>
      </c>
      <c r="C14" s="75">
        <v>1</v>
      </c>
      <c r="D14" s="75">
        <v>2</v>
      </c>
      <c r="E14" s="75">
        <v>3</v>
      </c>
      <c r="H14" s="51"/>
      <c r="I14" s="77"/>
      <c r="J14" s="51"/>
      <c r="K14" s="51"/>
    </row>
    <row r="15" spans="2:11" s="50" customFormat="1" ht="15.75" thickTop="1">
      <c r="B15" s="44"/>
      <c r="C15" s="44"/>
      <c r="D15" s="44"/>
      <c r="E15" s="79"/>
      <c r="H15" s="51"/>
      <c r="I15" s="77"/>
      <c r="J15" s="51"/>
      <c r="K15" s="51"/>
    </row>
    <row r="16" spans="2:11" s="50" customFormat="1" ht="15.4">
      <c r="B16" s="80" t="s">
        <v>18</v>
      </c>
      <c r="C16" s="44"/>
      <c r="D16" s="44"/>
      <c r="E16" s="79"/>
      <c r="H16" s="51"/>
      <c r="I16" s="77"/>
      <c r="J16" s="51"/>
      <c r="K16" s="51"/>
    </row>
    <row r="17" spans="2:14" s="50" customFormat="1" ht="15.4">
      <c r="B17" s="80" t="s">
        <v>19</v>
      </c>
      <c r="C17" s="44"/>
      <c r="D17" s="44"/>
      <c r="E17" s="79"/>
      <c r="H17" s="51"/>
      <c r="I17" s="77"/>
      <c r="J17" s="51"/>
      <c r="K17" s="51"/>
    </row>
    <row r="18" spans="2:14" s="50" customFormat="1" ht="15.4">
      <c r="B18" s="80" t="s">
        <v>20</v>
      </c>
      <c r="C18" s="44"/>
      <c r="D18" s="44"/>
      <c r="E18" s="79"/>
      <c r="H18" s="51"/>
      <c r="I18" s="77"/>
      <c r="J18" s="51"/>
      <c r="K18" s="51"/>
    </row>
    <row r="19" spans="2:14" s="50" customFormat="1" ht="15.4">
      <c r="B19" s="80" t="s">
        <v>21</v>
      </c>
      <c r="E19" s="45"/>
      <c r="H19" s="51"/>
      <c r="I19" s="78"/>
      <c r="J19" s="51"/>
      <c r="K19" s="51"/>
    </row>
    <row r="20" spans="2:14" s="50" customFormat="1" ht="15.4">
      <c r="B20" s="77"/>
      <c r="E20" s="45"/>
      <c r="H20" s="51"/>
      <c r="I20" s="78"/>
      <c r="J20" s="51"/>
      <c r="K20" s="51"/>
    </row>
    <row r="21" spans="2:14" s="12" customFormat="1" ht="19.899999999999999">
      <c r="B21" s="37" t="s">
        <v>22</v>
      </c>
      <c r="C21" s="1" t="s">
        <v>23</v>
      </c>
      <c r="D21" s="107" t="s">
        <v>24</v>
      </c>
      <c r="E21" s="2" t="s">
        <v>25</v>
      </c>
      <c r="F21" s="2" t="s">
        <v>26</v>
      </c>
      <c r="G21" s="23" t="s">
        <v>27</v>
      </c>
      <c r="H21" s="30"/>
      <c r="I21" s="78"/>
      <c r="J21" s="30"/>
      <c r="K21" s="30"/>
      <c r="L21" s="110"/>
      <c r="M21" s="110"/>
      <c r="N21" s="119"/>
    </row>
    <row r="22" spans="2:14" ht="17.649999999999999">
      <c r="B22" s="38">
        <v>1</v>
      </c>
      <c r="C22" s="35" t="s">
        <v>28</v>
      </c>
      <c r="D22" s="36"/>
      <c r="E22" s="3"/>
      <c r="F22" s="4"/>
      <c r="G22" s="24"/>
      <c r="N22" s="119"/>
    </row>
    <row r="23" spans="2:14">
      <c r="B23" s="39"/>
      <c r="C23" s="54">
        <v>1.1000000000000001</v>
      </c>
      <c r="D23" s="64" t="s">
        <v>29</v>
      </c>
      <c r="E23" s="73"/>
      <c r="F23" s="6"/>
      <c r="G23" s="6"/>
      <c r="H23" s="115"/>
      <c r="I23" s="115"/>
      <c r="J23" s="115"/>
      <c r="L23" s="115"/>
      <c r="M23" s="115"/>
      <c r="N23" s="115"/>
    </row>
    <row r="24" spans="2:14">
      <c r="B24" s="39"/>
      <c r="C24" s="54"/>
      <c r="D24" s="83" t="s">
        <v>30</v>
      </c>
      <c r="E24" s="73"/>
      <c r="F24" s="6"/>
      <c r="G24" s="6"/>
      <c r="H24" s="109"/>
      <c r="I24" s="109"/>
      <c r="J24" s="109"/>
      <c r="L24" s="109"/>
      <c r="M24" s="109"/>
      <c r="N24" s="109"/>
    </row>
    <row r="25" spans="2:14">
      <c r="B25" s="39"/>
      <c r="C25" s="55"/>
      <c r="D25" s="83" t="s">
        <v>31</v>
      </c>
      <c r="E25" s="95" t="s">
        <v>32</v>
      </c>
      <c r="F25" s="6"/>
      <c r="G25" s="6"/>
      <c r="L25" s="29"/>
      <c r="M25" s="29"/>
      <c r="N25" s="29"/>
    </row>
    <row r="26" spans="2:14">
      <c r="B26" s="39"/>
      <c r="C26" s="55"/>
      <c r="D26" s="83" t="s">
        <v>33</v>
      </c>
      <c r="E26" s="95" t="s">
        <v>34</v>
      </c>
      <c r="F26" s="6"/>
      <c r="G26" s="6"/>
      <c r="L26" s="29"/>
      <c r="M26" s="29"/>
      <c r="N26" s="29"/>
    </row>
    <row r="27" spans="2:14">
      <c r="B27" s="39"/>
      <c r="C27" s="54">
        <v>1.2</v>
      </c>
      <c r="D27" s="8" t="s">
        <v>35</v>
      </c>
      <c r="E27" s="95"/>
      <c r="F27" s="6"/>
      <c r="G27" s="6"/>
      <c r="H27" s="119"/>
      <c r="I27" s="119"/>
      <c r="J27" s="119"/>
      <c r="L27" s="29"/>
      <c r="M27" s="29"/>
      <c r="N27" s="29"/>
    </row>
    <row r="28" spans="2:14" ht="27.75">
      <c r="B28" s="39"/>
      <c r="C28" s="55"/>
      <c r="D28" s="83" t="s">
        <v>36</v>
      </c>
      <c r="E28" s="95"/>
      <c r="F28" s="6"/>
      <c r="G28" s="6"/>
      <c r="H28" s="119"/>
      <c r="I28" s="119"/>
      <c r="J28" s="119"/>
      <c r="N28" s="29"/>
    </row>
    <row r="29" spans="2:14" ht="27.75">
      <c r="B29" s="39"/>
      <c r="C29" s="55"/>
      <c r="D29" s="83" t="s">
        <v>37</v>
      </c>
      <c r="E29" s="95"/>
      <c r="F29" s="6"/>
      <c r="G29" s="6"/>
    </row>
    <row r="30" spans="2:14">
      <c r="B30" s="39"/>
      <c r="C30" s="55"/>
      <c r="D30" s="83" t="s">
        <v>38</v>
      </c>
      <c r="E30" s="95"/>
      <c r="F30" s="6"/>
      <c r="G30" s="6"/>
    </row>
    <row r="31" spans="2:14">
      <c r="B31" s="39"/>
      <c r="C31" s="54">
        <v>1.3</v>
      </c>
      <c r="D31" s="8" t="s">
        <v>39</v>
      </c>
      <c r="E31" s="95"/>
      <c r="F31" s="6"/>
      <c r="G31" s="6"/>
    </row>
    <row r="32" spans="2:14" ht="27.75">
      <c r="B32" s="70"/>
      <c r="C32" s="71"/>
      <c r="D32" s="83" t="s">
        <v>40</v>
      </c>
      <c r="E32" s="95" t="s">
        <v>41</v>
      </c>
      <c r="F32" s="69"/>
      <c r="G32" s="6"/>
    </row>
    <row r="33" spans="2:21">
      <c r="B33" s="39"/>
      <c r="C33" s="54">
        <v>1.4</v>
      </c>
      <c r="D33" s="8" t="s">
        <v>42</v>
      </c>
      <c r="E33" s="95"/>
      <c r="F33" s="6"/>
      <c r="G33" s="6"/>
      <c r="J33" s="119"/>
      <c r="K33" s="119"/>
      <c r="L33" s="120"/>
    </row>
    <row r="34" spans="2:21">
      <c r="B34" s="39"/>
      <c r="C34" s="55"/>
      <c r="D34" s="84" t="s">
        <v>43</v>
      </c>
      <c r="E34" s="95"/>
      <c r="F34" s="6"/>
      <c r="G34" s="6"/>
      <c r="J34" s="119"/>
      <c r="K34" s="119"/>
      <c r="L34" s="120"/>
    </row>
    <row r="35" spans="2:21">
      <c r="B35" s="39"/>
      <c r="C35" s="72"/>
      <c r="D35" s="83" t="s">
        <v>44</v>
      </c>
      <c r="E35" s="95"/>
      <c r="F35" s="6"/>
      <c r="G35" s="6"/>
    </row>
    <row r="36" spans="2:21" s="7" customFormat="1" ht="41.65">
      <c r="B36" s="40"/>
      <c r="C36" s="54"/>
      <c r="D36" s="83" t="s">
        <v>45</v>
      </c>
      <c r="E36" s="95" t="s">
        <v>46</v>
      </c>
      <c r="F36" s="9"/>
      <c r="G36" s="6"/>
      <c r="H36" s="30"/>
      <c r="I36" s="30"/>
      <c r="J36" s="30"/>
      <c r="K36" s="30"/>
    </row>
    <row r="37" spans="2:21" s="7" customFormat="1">
      <c r="B37" s="40"/>
      <c r="C37" s="54"/>
      <c r="D37" s="83" t="s">
        <v>47</v>
      </c>
      <c r="E37" s="95"/>
      <c r="F37" s="9"/>
      <c r="G37" s="6"/>
      <c r="H37" s="30"/>
      <c r="I37" s="30"/>
      <c r="J37" s="30"/>
      <c r="K37" s="30"/>
    </row>
    <row r="38" spans="2:21" s="13" customFormat="1" ht="136.5">
      <c r="B38" s="41"/>
      <c r="C38" s="56"/>
      <c r="D38" s="108" t="s">
        <v>48</v>
      </c>
      <c r="E38" s="96" t="s">
        <v>49</v>
      </c>
      <c r="F38" s="8"/>
      <c r="G38" s="6"/>
      <c r="H38" s="31"/>
      <c r="I38" s="31"/>
      <c r="J38" s="31"/>
      <c r="K38" s="31"/>
    </row>
    <row r="39" spans="2:21" s="13" customFormat="1" ht="27.75">
      <c r="B39" s="41"/>
      <c r="C39" s="56"/>
      <c r="D39" s="83" t="s">
        <v>50</v>
      </c>
      <c r="E39" s="96" t="s">
        <v>51</v>
      </c>
      <c r="F39" s="8"/>
      <c r="G39" s="6"/>
      <c r="H39" s="31"/>
      <c r="I39" s="31"/>
      <c r="J39" s="31"/>
      <c r="K39" s="31"/>
    </row>
    <row r="40" spans="2:21">
      <c r="B40" s="39"/>
      <c r="C40" s="54">
        <v>1.5</v>
      </c>
      <c r="D40" s="8" t="s">
        <v>52</v>
      </c>
      <c r="E40" s="95"/>
      <c r="F40" s="6"/>
      <c r="G40" s="6"/>
    </row>
    <row r="41" spans="2:21" ht="83.25">
      <c r="B41" s="39"/>
      <c r="C41" s="54"/>
      <c r="D41" s="83" t="s">
        <v>53</v>
      </c>
      <c r="E41" s="95" t="s">
        <v>54</v>
      </c>
      <c r="F41" s="6"/>
      <c r="G41" s="6"/>
    </row>
    <row r="42" spans="2:21">
      <c r="B42" s="39"/>
      <c r="C42" s="57"/>
      <c r="D42" s="83" t="s">
        <v>55</v>
      </c>
      <c r="E42" s="95" t="s">
        <v>56</v>
      </c>
      <c r="F42" s="6"/>
      <c r="G42" s="6"/>
      <c r="S42" s="119"/>
      <c r="T42" s="119"/>
      <c r="U42" s="119"/>
    </row>
    <row r="43" spans="2:21" ht="27.75">
      <c r="B43" s="39"/>
      <c r="C43" s="57"/>
      <c r="D43" s="83" t="s">
        <v>57</v>
      </c>
      <c r="E43" s="95" t="s">
        <v>58</v>
      </c>
      <c r="F43" s="6"/>
      <c r="G43" s="6"/>
      <c r="S43" s="119"/>
      <c r="T43" s="119"/>
      <c r="U43" s="119"/>
    </row>
    <row r="44" spans="2:21">
      <c r="B44" s="39"/>
      <c r="C44" s="57"/>
      <c r="D44" s="83" t="s">
        <v>59</v>
      </c>
      <c r="E44" s="95"/>
      <c r="F44" s="6"/>
      <c r="G44" s="6"/>
      <c r="S44" s="119"/>
      <c r="T44" s="119"/>
      <c r="U44" s="119"/>
    </row>
    <row r="45" spans="2:21" ht="42" thickBot="1">
      <c r="B45" s="39"/>
      <c r="C45" s="55"/>
      <c r="D45" s="83" t="s">
        <v>60</v>
      </c>
      <c r="E45" s="95" t="s">
        <v>61</v>
      </c>
      <c r="F45" s="6"/>
      <c r="G45" s="6"/>
    </row>
    <row r="46" spans="2:21" ht="28.15" thickBot="1">
      <c r="B46" s="39"/>
      <c r="C46" s="58"/>
      <c r="D46" s="83" t="s">
        <v>62</v>
      </c>
      <c r="E46" s="95" t="s">
        <v>63</v>
      </c>
      <c r="F46" s="6"/>
      <c r="G46" s="6"/>
      <c r="H46" s="116" t="s">
        <v>64</v>
      </c>
      <c r="I46" s="116"/>
      <c r="J46" s="117"/>
    </row>
    <row r="47" spans="2:21" ht="14.65" thickTop="1" thickBot="1">
      <c r="B47" s="42"/>
      <c r="C47" s="59"/>
      <c r="D47" s="85"/>
      <c r="E47" s="97"/>
      <c r="F47" s="15"/>
      <c r="G47" s="15"/>
      <c r="H47" s="26" t="s">
        <v>9</v>
      </c>
      <c r="I47" s="22" t="s">
        <v>10</v>
      </c>
      <c r="J47" s="27" t="s">
        <v>11</v>
      </c>
    </row>
    <row r="48" spans="2:21" ht="14.65" thickTop="1" thickBot="1">
      <c r="B48" s="43"/>
      <c r="C48" s="60"/>
      <c r="D48" s="86" t="s">
        <v>65</v>
      </c>
      <c r="E48" s="98"/>
      <c r="F48" s="17"/>
      <c r="G48" s="17">
        <f>SUM(G23:G46)</f>
        <v>0</v>
      </c>
      <c r="H48" s="33" t="s">
        <v>66</v>
      </c>
      <c r="I48" s="32" t="s">
        <v>67</v>
      </c>
      <c r="J48" s="28" t="s">
        <v>68</v>
      </c>
      <c r="P48" s="115"/>
      <c r="Q48" s="115"/>
      <c r="R48" s="115"/>
    </row>
    <row r="49" spans="2:21">
      <c r="B49" s="39"/>
      <c r="C49" s="58"/>
      <c r="D49" s="83"/>
      <c r="E49" s="95"/>
      <c r="F49" s="6"/>
      <c r="G49" s="6"/>
      <c r="P49" s="29"/>
      <c r="Q49" s="29"/>
      <c r="R49" s="29"/>
    </row>
    <row r="50" spans="2:21" ht="17.649999999999999">
      <c r="B50" s="38">
        <v>2</v>
      </c>
      <c r="C50" s="35" t="s">
        <v>69</v>
      </c>
      <c r="D50" s="87"/>
      <c r="E50" s="99"/>
      <c r="F50" s="18"/>
      <c r="G50" s="18"/>
      <c r="P50" s="119"/>
      <c r="Q50" s="121"/>
      <c r="R50" s="119"/>
    </row>
    <row r="51" spans="2:21">
      <c r="B51" s="39"/>
      <c r="C51" s="54">
        <v>2.1</v>
      </c>
      <c r="D51" s="8" t="s">
        <v>70</v>
      </c>
      <c r="E51" s="95"/>
      <c r="F51" s="6"/>
      <c r="G51" s="6"/>
      <c r="H51" s="115"/>
      <c r="I51" s="115"/>
      <c r="J51" s="115"/>
      <c r="P51" s="119"/>
      <c r="Q51" s="121"/>
      <c r="R51" s="119"/>
    </row>
    <row r="52" spans="2:21" ht="27.75">
      <c r="B52" s="39"/>
      <c r="C52" s="55"/>
      <c r="D52" s="83" t="s">
        <v>71</v>
      </c>
      <c r="E52" s="95" t="s">
        <v>72</v>
      </c>
      <c r="F52" s="6"/>
      <c r="G52" s="6"/>
      <c r="K52" s="109"/>
      <c r="L52" s="10"/>
      <c r="S52" s="114"/>
      <c r="T52" s="114"/>
      <c r="U52" s="114"/>
    </row>
    <row r="53" spans="2:21">
      <c r="B53" s="39"/>
      <c r="C53" s="54">
        <v>2.2000000000000002</v>
      </c>
      <c r="D53" s="8" t="s">
        <v>69</v>
      </c>
      <c r="E53" s="95"/>
      <c r="F53" s="6"/>
      <c r="G53" s="6"/>
      <c r="H53" s="115"/>
      <c r="I53" s="115"/>
      <c r="J53" s="115"/>
    </row>
    <row r="54" spans="2:21" ht="27.75">
      <c r="B54" s="39"/>
      <c r="C54" s="55"/>
      <c r="D54" s="83" t="s">
        <v>73</v>
      </c>
      <c r="E54" s="95" t="s">
        <v>74</v>
      </c>
      <c r="F54" s="6"/>
      <c r="G54" s="6"/>
      <c r="H54" s="115"/>
      <c r="I54" s="115"/>
      <c r="J54" s="115"/>
      <c r="K54" s="113"/>
      <c r="S54" s="21"/>
      <c r="T54" s="21"/>
      <c r="U54" s="21"/>
    </row>
    <row r="55" spans="2:21" ht="27.75">
      <c r="B55" s="39"/>
      <c r="C55" s="55"/>
      <c r="D55" s="83" t="s">
        <v>75</v>
      </c>
      <c r="E55" s="95"/>
      <c r="F55" s="6"/>
      <c r="G55" s="6"/>
      <c r="H55" s="109"/>
      <c r="I55" s="109"/>
      <c r="J55" s="109"/>
      <c r="K55" s="113"/>
      <c r="S55" s="21"/>
      <c r="T55" s="21"/>
      <c r="U55" s="21"/>
    </row>
    <row r="56" spans="2:21" ht="27.75">
      <c r="B56" s="39"/>
      <c r="C56" s="55"/>
      <c r="D56" s="83" t="s">
        <v>76</v>
      </c>
      <c r="E56" s="95"/>
      <c r="F56" s="6"/>
      <c r="G56" s="6"/>
      <c r="H56" s="109"/>
      <c r="I56" s="109"/>
      <c r="J56" s="109"/>
      <c r="K56" s="113"/>
      <c r="S56" s="21"/>
      <c r="T56" s="21"/>
      <c r="U56" s="21"/>
    </row>
    <row r="57" spans="2:21" ht="14.25" thickBot="1">
      <c r="B57" s="39"/>
      <c r="C57" s="54">
        <v>2.2999999999999998</v>
      </c>
      <c r="D57" s="8" t="s">
        <v>77</v>
      </c>
      <c r="E57" s="95"/>
      <c r="F57" s="6"/>
      <c r="G57" s="6"/>
    </row>
    <row r="58" spans="2:21" s="13" customFormat="1" ht="27.75">
      <c r="B58" s="41"/>
      <c r="C58" s="56"/>
      <c r="D58" s="83" t="s">
        <v>78</v>
      </c>
      <c r="E58" s="95"/>
      <c r="F58" s="5"/>
      <c r="G58" s="5"/>
      <c r="H58" s="116" t="s">
        <v>79</v>
      </c>
      <c r="I58" s="116"/>
      <c r="J58" s="117"/>
      <c r="K58" s="31"/>
    </row>
    <row r="59" spans="2:21" ht="14.65" thickTop="1" thickBot="1">
      <c r="B59" s="42"/>
      <c r="C59" s="61"/>
      <c r="D59" s="85"/>
      <c r="E59" s="97"/>
      <c r="F59" s="15"/>
      <c r="G59" s="15"/>
      <c r="H59" s="26" t="s">
        <v>9</v>
      </c>
      <c r="I59" s="22" t="s">
        <v>10</v>
      </c>
      <c r="J59" s="27" t="s">
        <v>11</v>
      </c>
      <c r="S59" s="21"/>
      <c r="T59" s="21"/>
      <c r="U59" s="21"/>
    </row>
    <row r="60" spans="2:21" ht="14.65" thickTop="1" thickBot="1">
      <c r="B60" s="43"/>
      <c r="C60" s="60"/>
      <c r="D60" s="86" t="s">
        <v>80</v>
      </c>
      <c r="E60" s="98"/>
      <c r="F60" s="17"/>
      <c r="G60" s="17">
        <f>SUM(G51:G58)</f>
        <v>0</v>
      </c>
      <c r="H60" s="63" t="s">
        <v>81</v>
      </c>
      <c r="I60" s="63" t="s">
        <v>82</v>
      </c>
      <c r="J60" s="28" t="s">
        <v>83</v>
      </c>
    </row>
    <row r="61" spans="2:21">
      <c r="B61" s="39"/>
      <c r="C61" s="55"/>
      <c r="D61" s="8"/>
      <c r="E61" s="95"/>
      <c r="F61" s="6"/>
      <c r="G61" s="6"/>
      <c r="I61" s="113"/>
    </row>
    <row r="62" spans="2:21" ht="17.649999999999999">
      <c r="B62" s="38">
        <v>3</v>
      </c>
      <c r="C62" s="35" t="s">
        <v>84</v>
      </c>
      <c r="D62" s="88"/>
      <c r="E62" s="99"/>
      <c r="F62" s="18"/>
      <c r="G62" s="18"/>
    </row>
    <row r="63" spans="2:21">
      <c r="B63" s="39"/>
      <c r="C63" s="54">
        <v>3.1</v>
      </c>
      <c r="D63" s="8" t="s">
        <v>85</v>
      </c>
      <c r="E63" s="95"/>
      <c r="F63" s="6"/>
      <c r="G63" s="6"/>
      <c r="H63" s="115"/>
      <c r="I63" s="115"/>
      <c r="J63" s="115"/>
    </row>
    <row r="64" spans="2:21" ht="41.65">
      <c r="B64" s="39"/>
      <c r="C64" s="55"/>
      <c r="D64" s="83" t="s">
        <v>86</v>
      </c>
      <c r="E64" s="95" t="s">
        <v>87</v>
      </c>
      <c r="F64" s="6"/>
      <c r="G64" s="6"/>
    </row>
    <row r="65" spans="2:12">
      <c r="B65" s="39"/>
      <c r="C65" s="55"/>
      <c r="D65" s="83" t="s">
        <v>88</v>
      </c>
      <c r="E65" s="95" t="s">
        <v>89</v>
      </c>
      <c r="F65" s="6"/>
      <c r="G65" s="6"/>
    </row>
    <row r="66" spans="2:12" ht="27.75">
      <c r="B66" s="39"/>
      <c r="C66" s="55"/>
      <c r="D66" s="83" t="s">
        <v>90</v>
      </c>
      <c r="E66" s="95" t="s">
        <v>91</v>
      </c>
      <c r="F66" s="6"/>
      <c r="G66" s="6"/>
      <c r="K66" s="109"/>
      <c r="L66" s="114"/>
    </row>
    <row r="67" spans="2:12" ht="27.75">
      <c r="B67" s="39"/>
      <c r="C67" s="55"/>
      <c r="D67" s="83" t="s">
        <v>92</v>
      </c>
      <c r="E67" s="95" t="s">
        <v>91</v>
      </c>
      <c r="F67" s="6"/>
      <c r="G67" s="6"/>
      <c r="K67" s="109"/>
      <c r="L67" s="114"/>
    </row>
    <row r="68" spans="2:12" ht="41.65">
      <c r="B68" s="39"/>
      <c r="C68" s="55"/>
      <c r="D68" s="83" t="s">
        <v>93</v>
      </c>
      <c r="E68" s="95" t="s">
        <v>94</v>
      </c>
      <c r="F68" s="6"/>
      <c r="G68" s="6"/>
    </row>
    <row r="69" spans="2:12">
      <c r="B69" s="39"/>
      <c r="C69" s="55"/>
      <c r="D69" s="83" t="s">
        <v>95</v>
      </c>
      <c r="E69" s="95"/>
      <c r="F69" s="6"/>
      <c r="G69" s="6"/>
    </row>
    <row r="70" spans="2:12" ht="41.65">
      <c r="B70" s="39"/>
      <c r="C70" s="55"/>
      <c r="D70" s="83" t="s">
        <v>96</v>
      </c>
      <c r="E70" s="95"/>
      <c r="F70" s="6"/>
      <c r="G70" s="6"/>
    </row>
    <row r="71" spans="2:12">
      <c r="B71" s="39"/>
      <c r="C71" s="57">
        <v>3.2</v>
      </c>
      <c r="D71" s="8" t="s">
        <v>97</v>
      </c>
      <c r="E71" s="95"/>
      <c r="F71" s="6"/>
      <c r="G71" s="6"/>
      <c r="L71" s="21"/>
    </row>
    <row r="72" spans="2:12">
      <c r="B72" s="39"/>
      <c r="C72" s="57"/>
      <c r="D72" s="83" t="s">
        <v>98</v>
      </c>
      <c r="E72" s="95" t="s">
        <v>99</v>
      </c>
      <c r="F72" s="6"/>
      <c r="G72" s="6"/>
    </row>
    <row r="73" spans="2:12">
      <c r="B73" s="39"/>
      <c r="C73" s="57"/>
      <c r="D73" s="83" t="s">
        <v>100</v>
      </c>
      <c r="E73" s="95" t="s">
        <v>101</v>
      </c>
      <c r="F73" s="6"/>
      <c r="G73" s="6"/>
    </row>
    <row r="74" spans="2:12" ht="27.75">
      <c r="B74" s="39"/>
      <c r="C74" s="57"/>
      <c r="D74" s="83" t="s">
        <v>102</v>
      </c>
      <c r="E74" s="95" t="s">
        <v>103</v>
      </c>
      <c r="F74" s="6"/>
      <c r="G74" s="6"/>
    </row>
    <row r="75" spans="2:12" ht="27.75">
      <c r="B75" s="39"/>
      <c r="C75" s="57"/>
      <c r="D75" s="83" t="s">
        <v>104</v>
      </c>
      <c r="E75" s="95"/>
      <c r="F75" s="6"/>
      <c r="G75" s="6"/>
    </row>
    <row r="76" spans="2:12">
      <c r="B76" s="39"/>
      <c r="C76" s="57">
        <v>3.3</v>
      </c>
      <c r="D76" s="8" t="s">
        <v>105</v>
      </c>
      <c r="E76" s="95"/>
      <c r="F76" s="6"/>
      <c r="G76" s="6"/>
    </row>
    <row r="77" spans="2:12" ht="41.65">
      <c r="B77" s="39"/>
      <c r="C77" s="58"/>
      <c r="D77" s="83" t="s">
        <v>106</v>
      </c>
      <c r="E77" s="95" t="s">
        <v>107</v>
      </c>
      <c r="F77" s="6"/>
      <c r="G77" s="6"/>
    </row>
    <row r="78" spans="2:12" ht="27.75">
      <c r="B78" s="39"/>
      <c r="C78" s="58"/>
      <c r="D78" s="83" t="s">
        <v>108</v>
      </c>
      <c r="E78" s="95" t="s">
        <v>107</v>
      </c>
      <c r="F78" s="6"/>
      <c r="G78" s="6"/>
    </row>
    <row r="79" spans="2:12" ht="27.75">
      <c r="B79" s="39"/>
      <c r="C79" s="58"/>
      <c r="D79" s="83" t="s">
        <v>109</v>
      </c>
      <c r="E79" s="95"/>
      <c r="F79" s="6"/>
      <c r="G79" s="6"/>
    </row>
    <row r="80" spans="2:12" ht="41.65">
      <c r="B80" s="39"/>
      <c r="C80" s="57"/>
      <c r="D80" s="83" t="s">
        <v>110</v>
      </c>
      <c r="E80" s="95"/>
      <c r="F80" s="6"/>
      <c r="G80" s="6"/>
    </row>
    <row r="81" spans="2:21">
      <c r="B81" s="39"/>
      <c r="C81" s="54">
        <v>3.4</v>
      </c>
      <c r="D81" s="8" t="s">
        <v>111</v>
      </c>
      <c r="E81" s="95"/>
      <c r="F81" s="6"/>
      <c r="G81" s="6"/>
    </row>
    <row r="82" spans="2:21" ht="27.75">
      <c r="B82" s="39"/>
      <c r="C82" s="54"/>
      <c r="D82" s="83" t="s">
        <v>112</v>
      </c>
      <c r="E82" s="95" t="s">
        <v>113</v>
      </c>
      <c r="F82" s="6"/>
      <c r="G82" s="6"/>
    </row>
    <row r="83" spans="2:21">
      <c r="B83" s="39"/>
      <c r="C83" s="54">
        <v>3.5</v>
      </c>
      <c r="D83" s="8" t="s">
        <v>114</v>
      </c>
      <c r="E83" s="95"/>
      <c r="F83" s="6"/>
      <c r="G83" s="6"/>
    </row>
    <row r="84" spans="2:21" ht="27.75">
      <c r="B84" s="39"/>
      <c r="C84" s="54"/>
      <c r="D84" s="83" t="s">
        <v>115</v>
      </c>
      <c r="E84" s="95"/>
      <c r="F84" s="6"/>
      <c r="G84" s="6"/>
    </row>
    <row r="85" spans="2:21" ht="41.65">
      <c r="B85" s="39"/>
      <c r="C85" s="55"/>
      <c r="D85" s="83" t="s">
        <v>116</v>
      </c>
      <c r="E85" s="95"/>
      <c r="F85" s="6"/>
      <c r="G85" s="6"/>
    </row>
    <row r="86" spans="2:21" ht="83.25">
      <c r="B86" s="39"/>
      <c r="C86" s="55"/>
      <c r="D86" s="83" t="s">
        <v>117</v>
      </c>
      <c r="E86" s="95"/>
      <c r="F86" s="6"/>
      <c r="G86" s="6"/>
    </row>
    <row r="87" spans="2:21">
      <c r="B87" s="39"/>
      <c r="C87" s="55"/>
      <c r="D87" s="83" t="s">
        <v>118</v>
      </c>
      <c r="E87" s="95"/>
      <c r="F87" s="6"/>
      <c r="G87" s="6"/>
    </row>
    <row r="88" spans="2:21" ht="41.65">
      <c r="B88" s="39"/>
      <c r="C88" s="55"/>
      <c r="D88" s="83" t="s">
        <v>119</v>
      </c>
      <c r="E88" s="95"/>
      <c r="F88" s="6"/>
      <c r="G88" s="6"/>
    </row>
    <row r="89" spans="2:21" ht="27.75">
      <c r="B89" s="39"/>
      <c r="C89" s="55"/>
      <c r="D89" s="83" t="s">
        <v>120</v>
      </c>
      <c r="E89" s="95"/>
      <c r="F89" s="6"/>
      <c r="G89" s="6"/>
      <c r="Q89" s="118"/>
      <c r="R89" s="118"/>
      <c r="S89" s="118"/>
    </row>
    <row r="90" spans="2:21">
      <c r="B90" s="39"/>
      <c r="C90" s="54">
        <v>3.6</v>
      </c>
      <c r="D90" s="8" t="s">
        <v>121</v>
      </c>
      <c r="E90" s="95"/>
      <c r="F90" s="6"/>
      <c r="G90" s="6"/>
      <c r="Q90" s="114"/>
      <c r="R90" s="114"/>
      <c r="S90" s="114"/>
    </row>
    <row r="91" spans="2:21" ht="41.65">
      <c r="B91" s="39"/>
      <c r="C91" s="55"/>
      <c r="D91" s="83" t="s">
        <v>122</v>
      </c>
      <c r="E91" s="95"/>
      <c r="F91" s="6"/>
      <c r="G91" s="6"/>
      <c r="Q91" s="114"/>
      <c r="R91" s="114"/>
      <c r="S91" s="114"/>
    </row>
    <row r="92" spans="2:21">
      <c r="B92" s="39"/>
      <c r="C92" s="54">
        <v>3.7</v>
      </c>
      <c r="D92" s="8" t="s">
        <v>123</v>
      </c>
      <c r="E92" s="95"/>
      <c r="F92" s="6"/>
      <c r="G92" s="6"/>
    </row>
    <row r="93" spans="2:21" ht="27.75">
      <c r="B93" s="39"/>
      <c r="C93" s="54"/>
      <c r="D93" s="83" t="s">
        <v>124</v>
      </c>
      <c r="E93" s="95"/>
      <c r="F93" s="6"/>
      <c r="G93" s="6"/>
      <c r="S93" s="115"/>
      <c r="T93" s="115"/>
      <c r="U93" s="115"/>
    </row>
    <row r="94" spans="2:21" ht="14.25" thickBot="1">
      <c r="B94" s="39"/>
      <c r="C94" s="54">
        <v>3.8</v>
      </c>
      <c r="D94" s="8" t="s">
        <v>125</v>
      </c>
      <c r="E94" s="95"/>
      <c r="F94" s="6"/>
      <c r="G94" s="6"/>
    </row>
    <row r="95" spans="2:21" ht="28.15" thickBot="1">
      <c r="B95" s="39"/>
      <c r="C95" s="57"/>
      <c r="D95" s="83" t="s">
        <v>126</v>
      </c>
      <c r="E95" s="95" t="s">
        <v>127</v>
      </c>
      <c r="F95" s="6"/>
      <c r="G95" s="6"/>
      <c r="H95" s="116" t="s">
        <v>128</v>
      </c>
      <c r="I95" s="116"/>
      <c r="J95" s="117"/>
    </row>
    <row r="96" spans="2:21" ht="14.65" thickTop="1" thickBot="1">
      <c r="B96" s="39"/>
      <c r="C96" s="54"/>
      <c r="D96" s="83"/>
      <c r="E96" s="95"/>
      <c r="F96" s="6"/>
      <c r="G96" s="6"/>
      <c r="H96" s="116" t="s">
        <v>129</v>
      </c>
      <c r="I96" s="116"/>
      <c r="J96" s="117"/>
    </row>
    <row r="97" spans="2:22" ht="14.65" thickTop="1" thickBot="1">
      <c r="B97" s="42"/>
      <c r="C97" s="61"/>
      <c r="D97" s="85"/>
      <c r="E97" s="97"/>
      <c r="F97" s="15"/>
      <c r="G97" s="15"/>
      <c r="H97" s="26" t="s">
        <v>9</v>
      </c>
      <c r="I97" s="22" t="s">
        <v>10</v>
      </c>
      <c r="J97" s="27" t="s">
        <v>11</v>
      </c>
    </row>
    <row r="98" spans="2:22" ht="14.65" thickTop="1" thickBot="1">
      <c r="B98" s="43"/>
      <c r="C98" s="60"/>
      <c r="D98" s="86" t="s">
        <v>130</v>
      </c>
      <c r="E98" s="98"/>
      <c r="F98" s="17"/>
      <c r="G98" s="17">
        <f>SUM(G63:G96)</f>
        <v>0</v>
      </c>
      <c r="H98" s="33" t="s">
        <v>131</v>
      </c>
      <c r="I98" s="32" t="s">
        <v>132</v>
      </c>
      <c r="J98" s="28" t="s">
        <v>133</v>
      </c>
      <c r="T98" s="118"/>
      <c r="U98" s="118"/>
      <c r="V98" s="118"/>
    </row>
    <row r="99" spans="2:22">
      <c r="B99" s="39"/>
      <c r="C99" s="54"/>
      <c r="D99" s="83"/>
      <c r="E99" s="95"/>
      <c r="F99" s="6"/>
      <c r="G99" s="6"/>
    </row>
    <row r="100" spans="2:22" ht="17.649999999999999">
      <c r="B100" s="38">
        <v>4</v>
      </c>
      <c r="C100" s="34" t="s">
        <v>134</v>
      </c>
      <c r="D100" s="88"/>
      <c r="E100" s="99"/>
      <c r="F100" s="18"/>
      <c r="G100" s="18"/>
      <c r="T100" s="120"/>
      <c r="U100" s="120"/>
      <c r="V100" s="120"/>
    </row>
    <row r="101" spans="2:22">
      <c r="B101" s="39"/>
      <c r="C101" s="54">
        <v>4.0999999999999996</v>
      </c>
      <c r="D101" s="8" t="s">
        <v>135</v>
      </c>
      <c r="E101" s="95"/>
      <c r="F101" s="6"/>
      <c r="G101" s="6"/>
      <c r="H101" s="115"/>
      <c r="I101" s="115"/>
      <c r="J101" s="115"/>
      <c r="T101" s="120"/>
      <c r="U101" s="120"/>
      <c r="V101" s="120"/>
    </row>
    <row r="102" spans="2:22" ht="27.75">
      <c r="B102" s="39"/>
      <c r="C102" s="54"/>
      <c r="D102" s="83" t="s">
        <v>136</v>
      </c>
      <c r="E102" s="95"/>
      <c r="F102" s="6"/>
      <c r="G102" s="6"/>
    </row>
    <row r="103" spans="2:22">
      <c r="B103" s="39"/>
      <c r="C103" s="54"/>
      <c r="D103" s="83" t="s">
        <v>137</v>
      </c>
      <c r="E103" s="95"/>
      <c r="F103" s="6"/>
      <c r="G103" s="6"/>
    </row>
    <row r="104" spans="2:22" ht="27.75">
      <c r="B104" s="39"/>
      <c r="C104" s="54"/>
      <c r="D104" s="83" t="s">
        <v>138</v>
      </c>
      <c r="E104" s="95"/>
      <c r="F104" s="6"/>
      <c r="G104" s="6"/>
    </row>
    <row r="105" spans="2:22">
      <c r="B105" s="39"/>
      <c r="C105" s="54">
        <v>4.2</v>
      </c>
      <c r="D105" s="8" t="s">
        <v>139</v>
      </c>
      <c r="E105" s="95"/>
      <c r="F105" s="6"/>
      <c r="G105" s="6"/>
    </row>
    <row r="106" spans="2:22" ht="27.75">
      <c r="B106" s="39"/>
      <c r="C106" s="54"/>
      <c r="D106" s="83" t="s">
        <v>140</v>
      </c>
      <c r="E106" s="95"/>
      <c r="F106" s="6"/>
      <c r="G106" s="6"/>
    </row>
    <row r="107" spans="2:22" ht="27.75">
      <c r="B107" s="39"/>
      <c r="C107" s="54"/>
      <c r="D107" s="83" t="s">
        <v>141</v>
      </c>
      <c r="E107" s="95"/>
      <c r="F107" s="6"/>
      <c r="G107" s="6"/>
    </row>
    <row r="108" spans="2:22">
      <c r="B108" s="39"/>
      <c r="C108" s="54"/>
      <c r="D108" s="83" t="s">
        <v>142</v>
      </c>
      <c r="E108" s="95"/>
      <c r="F108" s="6"/>
      <c r="G108" s="6"/>
    </row>
    <row r="109" spans="2:22">
      <c r="B109" s="39"/>
      <c r="C109" s="54">
        <v>4.3</v>
      </c>
      <c r="D109" s="8" t="s">
        <v>143</v>
      </c>
      <c r="E109" s="95"/>
      <c r="F109" s="6"/>
      <c r="G109" s="6"/>
      <c r="J109" s="118"/>
      <c r="K109" s="118"/>
      <c r="L109" s="118"/>
    </row>
    <row r="110" spans="2:22" ht="27.75">
      <c r="B110" s="39"/>
      <c r="C110" s="54"/>
      <c r="D110" s="83" t="s">
        <v>144</v>
      </c>
      <c r="E110" s="95"/>
      <c r="F110" s="6"/>
      <c r="G110" s="6"/>
    </row>
    <row r="111" spans="2:22">
      <c r="B111" s="39"/>
      <c r="C111" s="54"/>
      <c r="D111" s="83" t="s">
        <v>145</v>
      </c>
      <c r="E111" s="95"/>
      <c r="F111" s="6"/>
      <c r="G111" s="6"/>
      <c r="J111" s="119"/>
      <c r="K111" s="119"/>
      <c r="L111" s="120"/>
    </row>
    <row r="112" spans="2:22" ht="27.75">
      <c r="B112" s="39"/>
      <c r="C112" s="54"/>
      <c r="D112" s="83" t="s">
        <v>146</v>
      </c>
      <c r="E112" s="95"/>
      <c r="F112" s="6"/>
      <c r="G112" s="6"/>
      <c r="J112" s="119"/>
      <c r="K112" s="119"/>
      <c r="L112" s="120"/>
    </row>
    <row r="113" spans="2:10">
      <c r="B113" s="39"/>
      <c r="C113" s="54">
        <v>4.4000000000000004</v>
      </c>
      <c r="D113" s="8" t="s">
        <v>147</v>
      </c>
      <c r="E113" s="95"/>
      <c r="F113" s="6"/>
      <c r="G113" s="6"/>
    </row>
    <row r="114" spans="2:10" ht="28.15" thickBot="1">
      <c r="B114" s="39"/>
      <c r="C114" s="54"/>
      <c r="D114" s="83" t="s">
        <v>148</v>
      </c>
      <c r="E114" s="95"/>
      <c r="F114" s="6"/>
      <c r="G114" s="6"/>
      <c r="H114" s="115"/>
      <c r="I114" s="115"/>
      <c r="J114" s="115"/>
    </row>
    <row r="115" spans="2:10" ht="28.15" thickBot="1">
      <c r="B115" s="39"/>
      <c r="C115" s="54"/>
      <c r="D115" s="83" t="s">
        <v>149</v>
      </c>
      <c r="E115" s="95"/>
      <c r="F115" s="6"/>
      <c r="G115" s="6"/>
      <c r="H115" s="116" t="s">
        <v>150</v>
      </c>
      <c r="I115" s="116"/>
      <c r="J115" s="117"/>
    </row>
    <row r="116" spans="2:10" ht="14.65" thickTop="1" thickBot="1">
      <c r="B116" s="14"/>
      <c r="C116" s="61"/>
      <c r="D116" s="65"/>
      <c r="E116" s="97"/>
      <c r="F116" s="15"/>
      <c r="G116" s="15"/>
      <c r="H116" s="26" t="s">
        <v>9</v>
      </c>
      <c r="I116" s="22" t="s">
        <v>10</v>
      </c>
      <c r="J116" s="27" t="s">
        <v>11</v>
      </c>
    </row>
    <row r="117" spans="2:10" ht="14.65" thickTop="1" thickBot="1">
      <c r="B117" s="16" t="s">
        <v>151</v>
      </c>
      <c r="C117" s="60"/>
      <c r="D117" s="66" t="s">
        <v>152</v>
      </c>
      <c r="E117" s="98"/>
      <c r="F117" s="17"/>
      <c r="G117" s="17">
        <f>SUM(G101:G115)</f>
        <v>0</v>
      </c>
      <c r="H117" s="33" t="s">
        <v>153</v>
      </c>
      <c r="I117" s="28" t="s">
        <v>154</v>
      </c>
      <c r="J117" s="28" t="s">
        <v>155</v>
      </c>
    </row>
    <row r="118" spans="2:10">
      <c r="B118" s="14"/>
      <c r="C118" s="61"/>
      <c r="D118" s="65"/>
      <c r="E118" s="97"/>
      <c r="F118" s="15"/>
      <c r="G118" s="15"/>
    </row>
    <row r="119" spans="2:10">
      <c r="B119" s="19"/>
      <c r="C119" s="62"/>
      <c r="D119" s="67" t="s">
        <v>156</v>
      </c>
      <c r="E119" s="100"/>
      <c r="F119" s="20"/>
      <c r="G119" s="20">
        <f>SUM(G117+G98+G60+G48)</f>
        <v>0</v>
      </c>
    </row>
    <row r="120" spans="2:10">
      <c r="C120" s="25"/>
      <c r="D120" s="68"/>
      <c r="E120" s="89"/>
    </row>
    <row r="121" spans="2:10">
      <c r="C121" s="25"/>
      <c r="D121" s="68"/>
      <c r="E121" s="89"/>
    </row>
    <row r="122" spans="2:10">
      <c r="B122" s="12"/>
      <c r="C122" s="25"/>
      <c r="D122" s="68"/>
      <c r="E122" s="89"/>
    </row>
    <row r="123" spans="2:10">
      <c r="C123" s="25"/>
      <c r="D123" s="68"/>
      <c r="E123" s="89"/>
    </row>
  </sheetData>
  <mergeCells count="45">
    <mergeCell ref="H96:J96"/>
    <mergeCell ref="H53:J53"/>
    <mergeCell ref="H63:J63"/>
    <mergeCell ref="H27:H28"/>
    <mergeCell ref="I27:I28"/>
    <mergeCell ref="J27:J28"/>
    <mergeCell ref="B1:G1"/>
    <mergeCell ref="B2:G2"/>
    <mergeCell ref="E6:G6"/>
    <mergeCell ref="E7:G7"/>
    <mergeCell ref="H1:J1"/>
    <mergeCell ref="H3:H4"/>
    <mergeCell ref="I3:I4"/>
    <mergeCell ref="J3:J4"/>
    <mergeCell ref="S42:S44"/>
    <mergeCell ref="T42:T44"/>
    <mergeCell ref="U42:U44"/>
    <mergeCell ref="P50:P51"/>
    <mergeCell ref="Q50:Q51"/>
    <mergeCell ref="R50:R51"/>
    <mergeCell ref="T98:V98"/>
    <mergeCell ref="H115:J115"/>
    <mergeCell ref="H114:J114"/>
    <mergeCell ref="J111:J112"/>
    <mergeCell ref="T100:T101"/>
    <mergeCell ref="U100:U101"/>
    <mergeCell ref="V100:V101"/>
    <mergeCell ref="H101:J101"/>
    <mergeCell ref="K111:K112"/>
    <mergeCell ref="L111:L112"/>
    <mergeCell ref="J109:L109"/>
    <mergeCell ref="H23:J23"/>
    <mergeCell ref="P48:R48"/>
    <mergeCell ref="N21:N22"/>
    <mergeCell ref="L23:N23"/>
    <mergeCell ref="J33:J34"/>
    <mergeCell ref="K33:K34"/>
    <mergeCell ref="L33:L34"/>
    <mergeCell ref="S93:U93"/>
    <mergeCell ref="H95:J95"/>
    <mergeCell ref="H46:J46"/>
    <mergeCell ref="H58:J58"/>
    <mergeCell ref="Q89:S89"/>
    <mergeCell ref="H51:J51"/>
    <mergeCell ref="H54:J54"/>
  </mergeCells>
  <pageMargins left="0.70866141732283472" right="0.70866141732283472" top="0.74803149606299213" bottom="0.74803149606299213" header="0.31496062992125984" footer="0.31496062992125984"/>
  <pageSetup paperSize="8" scale="66" fitToHeight="0" orientation="landscape" r:id="rId1"/>
  <headerFooter>
    <oddFooter>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V126"/>
  <sheetViews>
    <sheetView showGridLines="0" topLeftCell="A21" zoomScale="80" zoomScaleNormal="80" workbookViewId="0">
      <selection activeCell="D32" sqref="D32"/>
    </sheetView>
  </sheetViews>
  <sheetFormatPr defaultColWidth="9.140625" defaultRowHeight="13.9"/>
  <cols>
    <col min="1" max="1" width="3.5703125" style="11" customWidth="1"/>
    <col min="2" max="2" width="14.42578125" style="21" customWidth="1"/>
    <col min="3" max="3" width="24.5703125" style="11" customWidth="1"/>
    <col min="4" max="4" width="60" style="10" customWidth="1"/>
    <col min="5" max="5" width="39.42578125" style="10" customWidth="1"/>
    <col min="6" max="6" width="43.5703125" style="11" customWidth="1"/>
    <col min="7" max="7" width="16.5703125" style="11" customWidth="1"/>
    <col min="8" max="8" width="9.5703125" style="29" bestFit="1" customWidth="1"/>
    <col min="9" max="9" width="12.5703125" style="29" bestFit="1" customWidth="1"/>
    <col min="10" max="10" width="9" style="29" customWidth="1"/>
    <col min="11" max="11" width="16.28515625" style="29" customWidth="1"/>
    <col min="12" max="12" width="12.42578125" style="11" customWidth="1"/>
    <col min="13" max="16384" width="9.140625" style="11"/>
  </cols>
  <sheetData>
    <row r="1" spans="2:11" ht="27.95" customHeight="1">
      <c r="B1" s="122" t="s">
        <v>157</v>
      </c>
      <c r="C1" s="122"/>
      <c r="D1" s="122"/>
      <c r="E1" s="122"/>
      <c r="F1" s="122"/>
      <c r="G1" s="122"/>
      <c r="H1" s="115"/>
      <c r="I1" s="115"/>
      <c r="J1" s="115"/>
    </row>
    <row r="2" spans="2:11" ht="39" customHeight="1">
      <c r="B2" s="123" t="s">
        <v>1</v>
      </c>
      <c r="C2" s="123"/>
      <c r="D2" s="123"/>
      <c r="E2" s="123"/>
      <c r="F2" s="123"/>
      <c r="G2" s="123"/>
    </row>
    <row r="3" spans="2:11" s="50" customFormat="1" ht="15.4">
      <c r="B3" s="44"/>
      <c r="C3" s="44" t="s">
        <v>158</v>
      </c>
      <c r="D3" s="44"/>
      <c r="E3" s="44"/>
      <c r="F3" s="44"/>
      <c r="G3" s="44"/>
      <c r="H3" s="126"/>
      <c r="I3" s="127"/>
      <c r="J3" s="126"/>
      <c r="K3" s="51"/>
    </row>
    <row r="4" spans="2:11" s="50" customFormat="1" ht="15.4">
      <c r="B4" s="44"/>
      <c r="C4" s="44"/>
      <c r="D4" s="44"/>
      <c r="E4" s="44"/>
      <c r="F4" s="44"/>
      <c r="G4" s="44"/>
      <c r="H4" s="126"/>
      <c r="I4" s="127"/>
      <c r="J4" s="126"/>
      <c r="K4" s="51"/>
    </row>
    <row r="5" spans="2:11" s="50" customFormat="1" ht="15.4">
      <c r="B5" s="48" t="s">
        <v>2</v>
      </c>
      <c r="C5" s="48"/>
      <c r="D5" s="46"/>
      <c r="E5" s="45"/>
      <c r="F5" s="45"/>
      <c r="G5" s="45"/>
      <c r="H5" s="126"/>
      <c r="I5" s="127"/>
      <c r="J5" s="126"/>
      <c r="K5" s="51"/>
    </row>
    <row r="6" spans="2:11" s="50" customFormat="1" ht="15.4">
      <c r="B6" s="48" t="s">
        <v>3</v>
      </c>
      <c r="C6" s="48"/>
      <c r="D6" s="46"/>
      <c r="E6" s="45"/>
      <c r="F6" s="45"/>
      <c r="G6" s="45"/>
      <c r="H6" s="51"/>
      <c r="I6" s="112"/>
      <c r="J6" s="51"/>
      <c r="K6" s="51"/>
    </row>
    <row r="7" spans="2:11" s="50" customFormat="1" ht="15.4">
      <c r="B7" s="48" t="s">
        <v>4</v>
      </c>
      <c r="C7" s="48"/>
      <c r="D7" s="47" t="s">
        <v>5</v>
      </c>
      <c r="E7" s="124" t="s">
        <v>6</v>
      </c>
      <c r="F7" s="124"/>
      <c r="G7" s="124"/>
      <c r="H7" s="52"/>
      <c r="I7" s="51"/>
      <c r="J7" s="51"/>
      <c r="K7" s="51"/>
    </row>
    <row r="8" spans="2:11" s="50" customFormat="1" ht="15.4">
      <c r="B8" s="48" t="s">
        <v>7</v>
      </c>
      <c r="C8" s="48"/>
      <c r="D8" s="47" t="s">
        <v>5</v>
      </c>
      <c r="E8" s="125">
        <f>G122</f>
        <v>0</v>
      </c>
      <c r="F8" s="125"/>
      <c r="G8" s="125"/>
      <c r="H8" s="51"/>
      <c r="I8" s="51"/>
      <c r="J8" s="51"/>
      <c r="K8" s="51"/>
    </row>
    <row r="9" spans="2:11" s="50" customFormat="1" ht="15.4">
      <c r="B9" s="48" t="s">
        <v>8</v>
      </c>
      <c r="C9" s="48"/>
      <c r="D9" s="46"/>
      <c r="E9" s="111" t="s">
        <v>9</v>
      </c>
      <c r="F9" s="53" t="s">
        <v>10</v>
      </c>
      <c r="G9" s="111" t="s">
        <v>11</v>
      </c>
      <c r="H9" s="51"/>
      <c r="I9" s="51"/>
      <c r="J9" s="51"/>
      <c r="K9" s="51"/>
    </row>
    <row r="10" spans="2:11" s="50" customFormat="1" ht="15.4">
      <c r="B10" s="48" t="s">
        <v>12</v>
      </c>
      <c r="C10" s="48"/>
      <c r="D10" s="46"/>
      <c r="E10" s="53" t="s">
        <v>159</v>
      </c>
      <c r="F10" s="53" t="s">
        <v>160</v>
      </c>
      <c r="G10" s="53" t="s">
        <v>161</v>
      </c>
      <c r="H10" s="51"/>
      <c r="I10" s="51"/>
      <c r="J10" s="51"/>
      <c r="K10" s="51"/>
    </row>
    <row r="11" spans="2:11" s="50" customFormat="1" ht="15.4">
      <c r="B11" s="49"/>
      <c r="D11" s="45"/>
      <c r="E11" s="45"/>
      <c r="H11" s="51"/>
      <c r="I11" s="51"/>
      <c r="J11" s="51"/>
      <c r="K11" s="51"/>
    </row>
    <row r="12" spans="2:11" s="50" customFormat="1" ht="15.4">
      <c r="E12" s="45"/>
      <c r="H12" s="51"/>
      <c r="I12" s="51"/>
      <c r="J12" s="51"/>
      <c r="K12" s="51"/>
    </row>
    <row r="13" spans="2:11" s="50" customFormat="1" ht="15.75" thickBot="1">
      <c r="B13" s="48" t="s">
        <v>16</v>
      </c>
      <c r="E13" s="45"/>
      <c r="H13" s="51"/>
      <c r="I13" s="77"/>
      <c r="J13" s="51"/>
      <c r="K13" s="51"/>
    </row>
    <row r="14" spans="2:11" s="50" customFormat="1" ht="16.149999999999999" thickTop="1" thickBot="1">
      <c r="B14" s="74" t="s">
        <v>17</v>
      </c>
      <c r="C14" s="74" t="s">
        <v>11</v>
      </c>
      <c r="D14" s="76" t="s">
        <v>10</v>
      </c>
      <c r="E14" s="74" t="s">
        <v>9</v>
      </c>
      <c r="H14" s="51"/>
      <c r="I14" s="77"/>
      <c r="J14" s="51"/>
      <c r="K14" s="51"/>
    </row>
    <row r="15" spans="2:11" s="50" customFormat="1" ht="16.149999999999999" thickTop="1" thickBot="1">
      <c r="B15" s="75">
        <v>0</v>
      </c>
      <c r="C15" s="75">
        <v>1</v>
      </c>
      <c r="D15" s="75">
        <v>2</v>
      </c>
      <c r="E15" s="75">
        <v>3</v>
      </c>
      <c r="H15" s="51"/>
      <c r="I15" s="77"/>
      <c r="J15" s="51"/>
      <c r="K15" s="51"/>
    </row>
    <row r="16" spans="2:11" s="50" customFormat="1" ht="15.75" thickTop="1">
      <c r="B16" s="44"/>
      <c r="C16" s="44"/>
      <c r="D16" s="44"/>
      <c r="E16" s="79"/>
      <c r="H16" s="51"/>
      <c r="I16" s="77"/>
      <c r="J16" s="51"/>
      <c r="K16" s="51"/>
    </row>
    <row r="17" spans="2:14" s="50" customFormat="1" ht="15.4">
      <c r="B17" s="80" t="s">
        <v>18</v>
      </c>
      <c r="C17" s="44"/>
      <c r="D17" s="44"/>
      <c r="E17" s="79"/>
      <c r="H17" s="51"/>
      <c r="I17" s="77"/>
      <c r="J17" s="51"/>
      <c r="K17" s="51"/>
    </row>
    <row r="18" spans="2:14" s="50" customFormat="1" ht="15.4">
      <c r="B18" s="80" t="s">
        <v>19</v>
      </c>
      <c r="C18" s="44"/>
      <c r="D18" s="44"/>
      <c r="E18" s="79"/>
      <c r="H18" s="51"/>
      <c r="I18" s="77"/>
      <c r="J18" s="51"/>
      <c r="K18" s="51"/>
    </row>
    <row r="19" spans="2:14" s="50" customFormat="1" ht="15.4">
      <c r="B19" s="80" t="s">
        <v>20</v>
      </c>
      <c r="C19" s="44"/>
      <c r="D19" s="44"/>
      <c r="E19" s="79"/>
      <c r="H19" s="51"/>
      <c r="I19" s="77"/>
      <c r="J19" s="51"/>
      <c r="K19" s="51"/>
    </row>
    <row r="20" spans="2:14" s="50" customFormat="1" ht="15.4">
      <c r="B20" s="80" t="s">
        <v>21</v>
      </c>
      <c r="E20" s="45"/>
      <c r="H20" s="51"/>
      <c r="I20" s="78"/>
      <c r="J20" s="51"/>
      <c r="K20" s="51"/>
    </row>
    <row r="21" spans="2:14" s="50" customFormat="1" ht="15.4">
      <c r="E21" s="45"/>
      <c r="H21" s="51"/>
      <c r="I21" s="51"/>
      <c r="J21" s="51"/>
      <c r="K21" s="51"/>
    </row>
    <row r="22" spans="2:14" s="12" customFormat="1" ht="19.899999999999999">
      <c r="B22" s="37" t="s">
        <v>22</v>
      </c>
      <c r="C22" s="1" t="s">
        <v>23</v>
      </c>
      <c r="D22" s="2"/>
      <c r="E22" s="2" t="s">
        <v>25</v>
      </c>
      <c r="F22" s="2" t="s">
        <v>162</v>
      </c>
      <c r="G22" s="23" t="s">
        <v>27</v>
      </c>
      <c r="H22" s="30"/>
      <c r="I22" s="30"/>
      <c r="J22" s="30"/>
      <c r="K22" s="30"/>
      <c r="L22" s="110"/>
      <c r="M22" s="110"/>
      <c r="N22" s="119"/>
    </row>
    <row r="23" spans="2:14" ht="17.649999999999999">
      <c r="B23" s="38">
        <v>1</v>
      </c>
      <c r="C23" s="35" t="s">
        <v>28</v>
      </c>
      <c r="D23" s="36"/>
      <c r="E23" s="3"/>
      <c r="F23" s="4"/>
      <c r="G23" s="24"/>
      <c r="N23" s="119"/>
    </row>
    <row r="24" spans="2:14">
      <c r="B24" s="39"/>
      <c r="C24" s="54">
        <v>1.1000000000000001</v>
      </c>
      <c r="D24" s="8" t="s">
        <v>39</v>
      </c>
      <c r="E24" s="91"/>
      <c r="F24" s="6"/>
      <c r="G24" s="6"/>
    </row>
    <row r="25" spans="2:14" ht="27.75">
      <c r="B25" s="70"/>
      <c r="C25" s="71"/>
      <c r="D25" s="83" t="s">
        <v>40</v>
      </c>
      <c r="E25" s="95" t="s">
        <v>41</v>
      </c>
      <c r="F25" s="69"/>
      <c r="G25" s="101"/>
    </row>
    <row r="26" spans="2:14">
      <c r="B26" s="39"/>
      <c r="C26" s="54">
        <v>1.2</v>
      </c>
      <c r="D26" s="8" t="s">
        <v>42</v>
      </c>
      <c r="E26" s="95"/>
      <c r="F26" s="6"/>
      <c r="G26" s="102"/>
      <c r="J26" s="119"/>
      <c r="K26" s="119"/>
      <c r="L26" s="120"/>
    </row>
    <row r="27" spans="2:14">
      <c r="B27" s="39"/>
      <c r="C27" s="55"/>
      <c r="D27" s="84" t="s">
        <v>43</v>
      </c>
      <c r="E27" s="95"/>
      <c r="F27" s="6"/>
      <c r="G27" s="102"/>
      <c r="J27" s="119"/>
      <c r="K27" s="119"/>
      <c r="L27" s="120"/>
    </row>
    <row r="28" spans="2:14">
      <c r="B28" s="39"/>
      <c r="C28" s="55"/>
      <c r="D28" s="83" t="s">
        <v>44</v>
      </c>
      <c r="E28" s="95"/>
      <c r="F28" s="6"/>
      <c r="G28" s="102"/>
    </row>
    <row r="29" spans="2:14" s="7" customFormat="1" ht="41.65">
      <c r="B29" s="40"/>
      <c r="C29" s="54"/>
      <c r="D29" s="83" t="s">
        <v>163</v>
      </c>
      <c r="E29" s="95" t="s">
        <v>46</v>
      </c>
      <c r="F29" s="9"/>
      <c r="G29" s="102"/>
      <c r="H29" s="30"/>
      <c r="I29" s="30"/>
      <c r="J29" s="30"/>
      <c r="K29" s="30"/>
    </row>
    <row r="30" spans="2:14" s="7" customFormat="1">
      <c r="B30" s="40"/>
      <c r="C30" s="54"/>
      <c r="D30" s="83" t="s">
        <v>164</v>
      </c>
      <c r="E30" s="95"/>
      <c r="F30" s="9"/>
      <c r="G30" s="102"/>
      <c r="H30" s="30"/>
      <c r="I30" s="30"/>
      <c r="J30" s="30"/>
      <c r="K30" s="30"/>
    </row>
    <row r="31" spans="2:14" s="13" customFormat="1" ht="124.9">
      <c r="B31" s="41"/>
      <c r="C31" s="56"/>
      <c r="D31" s="83" t="s">
        <v>165</v>
      </c>
      <c r="E31" s="96" t="s">
        <v>49</v>
      </c>
      <c r="F31" s="8"/>
      <c r="G31" s="106"/>
      <c r="H31" s="31"/>
      <c r="I31" s="31"/>
      <c r="J31" s="31"/>
      <c r="K31" s="31"/>
    </row>
    <row r="32" spans="2:14" s="13" customFormat="1" ht="55.5">
      <c r="B32" s="41"/>
      <c r="C32" s="56"/>
      <c r="D32" s="83" t="s">
        <v>166</v>
      </c>
      <c r="E32" s="96"/>
      <c r="F32" s="8"/>
      <c r="G32" s="106"/>
      <c r="H32" s="31"/>
      <c r="I32" s="31"/>
      <c r="J32" s="31"/>
      <c r="K32" s="31"/>
    </row>
    <row r="33" spans="2:21">
      <c r="B33" s="39"/>
      <c r="C33" s="54">
        <v>1.3</v>
      </c>
      <c r="D33" s="8" t="s">
        <v>52</v>
      </c>
      <c r="E33" s="95"/>
      <c r="F33" s="6"/>
      <c r="G33" s="102"/>
    </row>
    <row r="34" spans="2:21" ht="83.25">
      <c r="B34" s="39"/>
      <c r="C34" s="54"/>
      <c r="D34" s="83" t="s">
        <v>167</v>
      </c>
      <c r="E34" s="95" t="s">
        <v>54</v>
      </c>
      <c r="F34" s="6"/>
      <c r="G34" s="102"/>
    </row>
    <row r="35" spans="2:21">
      <c r="B35" s="39"/>
      <c r="C35" s="54"/>
      <c r="D35" s="83" t="s">
        <v>168</v>
      </c>
      <c r="E35" s="95" t="s">
        <v>169</v>
      </c>
      <c r="F35" s="6"/>
      <c r="G35" s="102"/>
    </row>
    <row r="36" spans="2:21" ht="27.75">
      <c r="B36" s="39"/>
      <c r="C36" s="57"/>
      <c r="D36" s="83" t="s">
        <v>170</v>
      </c>
      <c r="E36" s="95" t="s">
        <v>58</v>
      </c>
      <c r="F36" s="6"/>
      <c r="G36" s="102"/>
    </row>
    <row r="37" spans="2:21" ht="14.25" thickBot="1">
      <c r="B37" s="39"/>
      <c r="C37" s="57"/>
      <c r="D37" s="83" t="s">
        <v>171</v>
      </c>
      <c r="E37" s="95"/>
      <c r="F37" s="6"/>
      <c r="G37" s="102"/>
    </row>
    <row r="38" spans="2:21" ht="28.15" thickBot="1">
      <c r="B38" s="39"/>
      <c r="C38" s="57"/>
      <c r="D38" s="83" t="s">
        <v>172</v>
      </c>
      <c r="E38" s="95"/>
      <c r="F38" s="6"/>
      <c r="G38" s="102"/>
      <c r="H38" s="116" t="s">
        <v>64</v>
      </c>
      <c r="I38" s="116"/>
      <c r="J38" s="117"/>
    </row>
    <row r="39" spans="2:21" ht="14.65" thickTop="1" thickBot="1">
      <c r="B39" s="42"/>
      <c r="C39" s="59"/>
      <c r="D39" s="85"/>
      <c r="E39" s="97"/>
      <c r="F39" s="15"/>
      <c r="G39" s="103"/>
      <c r="H39" s="26" t="s">
        <v>9</v>
      </c>
      <c r="I39" s="22" t="s">
        <v>10</v>
      </c>
      <c r="J39" s="27" t="s">
        <v>11</v>
      </c>
    </row>
    <row r="40" spans="2:21" ht="14.65" thickTop="1" thickBot="1">
      <c r="B40" s="43"/>
      <c r="C40" s="60"/>
      <c r="D40" s="86" t="s">
        <v>65</v>
      </c>
      <c r="E40" s="98"/>
      <c r="F40" s="17"/>
      <c r="G40" s="104">
        <f>SUM(G24:G38)</f>
        <v>0</v>
      </c>
      <c r="H40" s="33" t="s">
        <v>173</v>
      </c>
      <c r="I40" s="32" t="s">
        <v>174</v>
      </c>
      <c r="J40" s="28" t="s">
        <v>175</v>
      </c>
      <c r="P40" s="115"/>
      <c r="Q40" s="115"/>
      <c r="R40" s="115"/>
    </row>
    <row r="41" spans="2:21">
      <c r="B41" s="39"/>
      <c r="C41" s="58"/>
      <c r="D41" s="83"/>
      <c r="E41" s="95"/>
      <c r="F41" s="6"/>
      <c r="G41" s="102"/>
      <c r="P41" s="29"/>
      <c r="Q41" s="29"/>
      <c r="R41" s="29"/>
    </row>
    <row r="42" spans="2:21" ht="17.649999999999999">
      <c r="B42" s="38">
        <v>2</v>
      </c>
      <c r="C42" s="35" t="s">
        <v>69</v>
      </c>
      <c r="D42" s="87"/>
      <c r="E42" s="99"/>
      <c r="F42" s="18"/>
      <c r="G42" s="105"/>
      <c r="P42" s="119"/>
      <c r="Q42" s="121"/>
      <c r="R42" s="119"/>
    </row>
    <row r="43" spans="2:21">
      <c r="B43" s="39"/>
      <c r="C43" s="54">
        <v>2.1</v>
      </c>
      <c r="D43" s="8" t="s">
        <v>70</v>
      </c>
      <c r="E43" s="95"/>
      <c r="F43" s="6"/>
      <c r="G43" s="102"/>
      <c r="H43" s="115"/>
      <c r="I43" s="115"/>
      <c r="J43" s="115"/>
      <c r="P43" s="119"/>
      <c r="Q43" s="121"/>
      <c r="R43" s="119"/>
    </row>
    <row r="44" spans="2:21" ht="27.75">
      <c r="B44" s="39"/>
      <c r="C44" s="55"/>
      <c r="D44" s="83" t="s">
        <v>176</v>
      </c>
      <c r="E44" s="95" t="s">
        <v>72</v>
      </c>
      <c r="F44" s="6"/>
      <c r="G44" s="102"/>
      <c r="K44" s="109"/>
      <c r="L44" s="10"/>
      <c r="S44" s="114"/>
      <c r="T44" s="114"/>
      <c r="U44" s="114"/>
    </row>
    <row r="45" spans="2:21" ht="27.75">
      <c r="B45" s="39"/>
      <c r="C45" s="55"/>
      <c r="D45" s="83" t="s">
        <v>177</v>
      </c>
      <c r="E45" s="95"/>
      <c r="F45" s="6"/>
      <c r="G45" s="102"/>
      <c r="K45" s="109"/>
      <c r="L45" s="10"/>
      <c r="S45" s="114"/>
      <c r="T45" s="114"/>
      <c r="U45" s="114"/>
    </row>
    <row r="46" spans="2:21">
      <c r="B46" s="39"/>
      <c r="C46" s="54">
        <v>2.2000000000000002</v>
      </c>
      <c r="D46" s="8" t="s">
        <v>69</v>
      </c>
      <c r="E46" s="95"/>
      <c r="F46" s="6"/>
      <c r="G46" s="102"/>
      <c r="K46" s="109"/>
      <c r="L46" s="10"/>
      <c r="S46" s="114"/>
      <c r="T46" s="114"/>
      <c r="U46" s="114"/>
    </row>
    <row r="47" spans="2:21" ht="27.75">
      <c r="B47" s="39"/>
      <c r="C47" s="54"/>
      <c r="D47" s="83" t="s">
        <v>178</v>
      </c>
      <c r="E47" s="95" t="s">
        <v>179</v>
      </c>
      <c r="F47" s="6"/>
      <c r="G47" s="102"/>
      <c r="K47" s="109"/>
      <c r="L47" s="10"/>
      <c r="S47" s="114"/>
      <c r="T47" s="114"/>
      <c r="U47" s="114"/>
    </row>
    <row r="48" spans="2:21" ht="27.75">
      <c r="B48" s="39"/>
      <c r="C48" s="55"/>
      <c r="D48" s="83" t="s">
        <v>180</v>
      </c>
      <c r="E48" s="95"/>
      <c r="F48" s="6"/>
      <c r="G48" s="102"/>
      <c r="K48" s="109"/>
      <c r="L48" s="10"/>
      <c r="S48" s="114"/>
      <c r="T48" s="114"/>
      <c r="U48" s="114"/>
    </row>
    <row r="49" spans="2:21" ht="14.25" thickBot="1">
      <c r="B49" s="39"/>
      <c r="C49" s="54">
        <v>2.2999999999999998</v>
      </c>
      <c r="D49" s="8" t="s">
        <v>77</v>
      </c>
      <c r="E49" s="95"/>
      <c r="F49" s="6"/>
      <c r="G49" s="102"/>
      <c r="K49" s="109"/>
      <c r="L49" s="10"/>
      <c r="S49" s="114"/>
      <c r="T49" s="114"/>
      <c r="U49" s="114"/>
    </row>
    <row r="50" spans="2:21" ht="28.15" thickBot="1">
      <c r="B50" s="39"/>
      <c r="C50" s="56"/>
      <c r="D50" s="83" t="s">
        <v>181</v>
      </c>
      <c r="E50" s="95"/>
      <c r="F50" s="6"/>
      <c r="G50" s="102"/>
      <c r="H50" s="116" t="s">
        <v>79</v>
      </c>
      <c r="I50" s="116"/>
      <c r="J50" s="117"/>
      <c r="K50" s="113"/>
      <c r="S50" s="21"/>
      <c r="T50" s="21"/>
      <c r="U50" s="21"/>
    </row>
    <row r="51" spans="2:21" ht="14.65" thickTop="1" thickBot="1">
      <c r="B51" s="42"/>
      <c r="C51" s="61"/>
      <c r="D51" s="85"/>
      <c r="E51" s="97"/>
      <c r="F51" s="15"/>
      <c r="G51" s="103"/>
      <c r="H51" s="26" t="s">
        <v>9</v>
      </c>
      <c r="I51" s="22" t="s">
        <v>10</v>
      </c>
      <c r="J51" s="27" t="s">
        <v>11</v>
      </c>
      <c r="S51" s="21"/>
      <c r="T51" s="21"/>
      <c r="U51" s="21"/>
    </row>
    <row r="52" spans="2:21" ht="14.65" thickTop="1" thickBot="1">
      <c r="B52" s="43"/>
      <c r="C52" s="60"/>
      <c r="D52" s="86" t="s">
        <v>80</v>
      </c>
      <c r="E52" s="98"/>
      <c r="F52" s="17"/>
      <c r="G52" s="104">
        <f>SUM(G43:G50)</f>
        <v>0</v>
      </c>
      <c r="H52" s="81" t="s">
        <v>182</v>
      </c>
      <c r="I52" s="63" t="s">
        <v>82</v>
      </c>
      <c r="J52" s="28" t="s">
        <v>83</v>
      </c>
    </row>
    <row r="53" spans="2:21">
      <c r="B53" s="39"/>
      <c r="C53" s="55"/>
      <c r="D53" s="8"/>
      <c r="E53" s="95"/>
      <c r="F53" s="6"/>
      <c r="G53" s="102"/>
      <c r="I53" s="113"/>
    </row>
    <row r="54" spans="2:21" ht="17.649999999999999">
      <c r="B54" s="38">
        <v>3</v>
      </c>
      <c r="C54" s="35" t="s">
        <v>84</v>
      </c>
      <c r="D54" s="88"/>
      <c r="E54" s="99"/>
      <c r="F54" s="18"/>
      <c r="G54" s="105"/>
    </row>
    <row r="55" spans="2:21">
      <c r="B55" s="39"/>
      <c r="C55" s="54">
        <v>3.1</v>
      </c>
      <c r="D55" s="8" t="s">
        <v>85</v>
      </c>
      <c r="E55" s="95"/>
      <c r="F55" s="6"/>
      <c r="G55" s="102"/>
      <c r="H55" s="115"/>
      <c r="I55" s="115"/>
      <c r="J55" s="115"/>
    </row>
    <row r="56" spans="2:21" ht="41.65">
      <c r="B56" s="39"/>
      <c r="C56" s="55"/>
      <c r="D56" s="83" t="s">
        <v>183</v>
      </c>
      <c r="E56" s="95" t="s">
        <v>87</v>
      </c>
      <c r="F56" s="6"/>
      <c r="G56" s="102"/>
    </row>
    <row r="57" spans="2:21">
      <c r="B57" s="39"/>
      <c r="C57" s="55"/>
      <c r="D57" s="83" t="s">
        <v>88</v>
      </c>
      <c r="E57" s="95" t="s">
        <v>89</v>
      </c>
      <c r="F57" s="6"/>
      <c r="G57" s="102"/>
    </row>
    <row r="58" spans="2:21" ht="27.75">
      <c r="B58" s="39"/>
      <c r="C58" s="55"/>
      <c r="D58" s="83" t="s">
        <v>184</v>
      </c>
      <c r="E58" s="95" t="s">
        <v>185</v>
      </c>
      <c r="F58" s="6"/>
      <c r="G58" s="102"/>
    </row>
    <row r="59" spans="2:21" ht="27.75">
      <c r="B59" s="39"/>
      <c r="C59" s="55"/>
      <c r="D59" s="83" t="s">
        <v>90</v>
      </c>
      <c r="E59" s="95" t="s">
        <v>91</v>
      </c>
      <c r="F59" s="6"/>
      <c r="G59" s="102"/>
      <c r="K59" s="109"/>
      <c r="L59" s="114"/>
    </row>
    <row r="60" spans="2:21">
      <c r="B60" s="39"/>
      <c r="C60" s="55"/>
      <c r="D60" s="83" t="s">
        <v>186</v>
      </c>
      <c r="E60" s="95" t="s">
        <v>91</v>
      </c>
      <c r="F60" s="6"/>
      <c r="G60" s="102"/>
      <c r="K60" s="109"/>
      <c r="L60" s="114"/>
    </row>
    <row r="61" spans="2:21" ht="41.65">
      <c r="B61" s="39"/>
      <c r="C61" s="55"/>
      <c r="D61" s="83" t="s">
        <v>187</v>
      </c>
      <c r="E61" s="95" t="s">
        <v>94</v>
      </c>
      <c r="F61" s="6"/>
      <c r="G61" s="102"/>
      <c r="L61" s="21"/>
    </row>
    <row r="62" spans="2:21" ht="27.75">
      <c r="B62" s="39"/>
      <c r="C62" s="55"/>
      <c r="D62" s="83" t="s">
        <v>188</v>
      </c>
      <c r="E62" s="95"/>
      <c r="F62" s="6"/>
      <c r="G62" s="102"/>
      <c r="L62" s="21"/>
    </row>
    <row r="63" spans="2:21" ht="41.65">
      <c r="B63" s="39"/>
      <c r="C63" s="55"/>
      <c r="D63" s="83" t="s">
        <v>189</v>
      </c>
      <c r="E63" s="95" t="s">
        <v>190</v>
      </c>
      <c r="F63" s="6"/>
      <c r="G63" s="102"/>
      <c r="L63" s="21"/>
    </row>
    <row r="64" spans="2:21">
      <c r="B64" s="39"/>
      <c r="C64" s="55"/>
      <c r="D64" s="83" t="s">
        <v>95</v>
      </c>
      <c r="E64" s="95"/>
      <c r="F64" s="6"/>
      <c r="G64" s="102"/>
      <c r="L64" s="21"/>
    </row>
    <row r="65" spans="2:12">
      <c r="B65" s="39"/>
      <c r="C65" s="57">
        <v>3.2</v>
      </c>
      <c r="D65" s="8" t="s">
        <v>97</v>
      </c>
      <c r="E65" s="95"/>
      <c r="F65" s="6"/>
      <c r="G65" s="102"/>
      <c r="L65" s="21"/>
    </row>
    <row r="66" spans="2:12">
      <c r="B66" s="39"/>
      <c r="C66" s="57"/>
      <c r="D66" s="83" t="s">
        <v>191</v>
      </c>
      <c r="E66" s="95"/>
      <c r="F66" s="6"/>
      <c r="G66" s="102"/>
    </row>
    <row r="67" spans="2:12">
      <c r="B67" s="39"/>
      <c r="C67" s="57"/>
      <c r="D67" s="83" t="s">
        <v>100</v>
      </c>
      <c r="E67" s="95" t="s">
        <v>101</v>
      </c>
      <c r="F67" s="6"/>
      <c r="G67" s="102"/>
    </row>
    <row r="68" spans="2:12" ht="27.75">
      <c r="B68" s="39"/>
      <c r="C68" s="57"/>
      <c r="D68" s="83" t="s">
        <v>102</v>
      </c>
      <c r="E68" s="95" t="s">
        <v>103</v>
      </c>
      <c r="F68" s="6"/>
      <c r="G68" s="102"/>
    </row>
    <row r="69" spans="2:12" ht="41.65">
      <c r="B69" s="39"/>
      <c r="C69" s="57"/>
      <c r="D69" s="83" t="s">
        <v>192</v>
      </c>
      <c r="E69" s="95"/>
      <c r="F69" s="6"/>
      <c r="G69" s="102"/>
    </row>
    <row r="70" spans="2:12">
      <c r="B70" s="39"/>
      <c r="C70" s="57">
        <v>3.3</v>
      </c>
      <c r="D70" s="8" t="s">
        <v>105</v>
      </c>
      <c r="E70" s="95"/>
      <c r="F70" s="6"/>
      <c r="G70" s="102"/>
    </row>
    <row r="71" spans="2:12">
      <c r="B71" s="39"/>
      <c r="C71" s="58"/>
      <c r="D71" s="83" t="s">
        <v>193</v>
      </c>
      <c r="E71" s="95" t="s">
        <v>194</v>
      </c>
      <c r="F71" s="6"/>
      <c r="G71" s="102"/>
    </row>
    <row r="72" spans="2:12" ht="41.65">
      <c r="B72" s="39"/>
      <c r="C72" s="58"/>
      <c r="D72" s="83" t="s">
        <v>195</v>
      </c>
      <c r="E72" s="95" t="s">
        <v>196</v>
      </c>
      <c r="F72" s="6"/>
      <c r="G72" s="102"/>
    </row>
    <row r="73" spans="2:12">
      <c r="B73" s="39"/>
      <c r="C73" s="58"/>
      <c r="D73" s="83" t="s">
        <v>197</v>
      </c>
      <c r="E73" s="95"/>
      <c r="F73" s="6"/>
      <c r="G73" s="102"/>
    </row>
    <row r="74" spans="2:12" ht="41.65">
      <c r="B74" s="39"/>
      <c r="C74" s="58"/>
      <c r="D74" s="83" t="s">
        <v>198</v>
      </c>
      <c r="E74" s="95"/>
      <c r="F74" s="6"/>
      <c r="G74" s="102"/>
    </row>
    <row r="75" spans="2:12" ht="27.75">
      <c r="B75" s="39"/>
      <c r="C75" s="58"/>
      <c r="D75" s="83" t="s">
        <v>199</v>
      </c>
      <c r="E75" s="95"/>
      <c r="F75" s="6"/>
      <c r="G75" s="102"/>
    </row>
    <row r="76" spans="2:12" ht="41.65">
      <c r="B76" s="39"/>
      <c r="C76" s="57"/>
      <c r="D76" s="83" t="s">
        <v>110</v>
      </c>
      <c r="E76" s="95"/>
      <c r="F76" s="6"/>
      <c r="G76" s="102"/>
    </row>
    <row r="77" spans="2:12">
      <c r="B77" s="39"/>
      <c r="C77" s="54">
        <v>3.4</v>
      </c>
      <c r="D77" s="8" t="s">
        <v>111</v>
      </c>
      <c r="E77" s="95"/>
      <c r="F77" s="6"/>
      <c r="G77" s="102"/>
    </row>
    <row r="78" spans="2:12" ht="27.75">
      <c r="B78" s="39"/>
      <c r="C78" s="54"/>
      <c r="D78" s="83" t="s">
        <v>200</v>
      </c>
      <c r="E78" s="95"/>
      <c r="F78" s="6"/>
      <c r="G78" s="102"/>
    </row>
    <row r="79" spans="2:12" ht="27.75">
      <c r="B79" s="39"/>
      <c r="C79" s="54"/>
      <c r="D79" s="83" t="s">
        <v>201</v>
      </c>
      <c r="E79" s="95"/>
      <c r="F79" s="6"/>
      <c r="G79" s="102"/>
    </row>
    <row r="80" spans="2:12">
      <c r="B80" s="39"/>
      <c r="C80" s="54">
        <v>3.5</v>
      </c>
      <c r="D80" s="8" t="s">
        <v>114</v>
      </c>
      <c r="E80" s="95"/>
      <c r="F80" s="6"/>
      <c r="G80" s="102"/>
    </row>
    <row r="81" spans="2:12" ht="41.65">
      <c r="B81" s="39"/>
      <c r="C81" s="54"/>
      <c r="D81" s="83" t="s">
        <v>202</v>
      </c>
      <c r="E81" s="95"/>
      <c r="F81" s="6"/>
      <c r="G81" s="102"/>
    </row>
    <row r="82" spans="2:12" ht="27.75">
      <c r="B82" s="39"/>
      <c r="C82" s="54"/>
      <c r="D82" s="83" t="s">
        <v>119</v>
      </c>
      <c r="E82" s="95"/>
      <c r="F82" s="6"/>
      <c r="G82" s="102"/>
    </row>
    <row r="83" spans="2:12">
      <c r="B83" s="39"/>
      <c r="C83" s="54">
        <v>3.6</v>
      </c>
      <c r="D83" s="8" t="s">
        <v>121</v>
      </c>
      <c r="E83" s="95"/>
      <c r="F83" s="6"/>
      <c r="G83" s="102"/>
    </row>
    <row r="84" spans="2:12" ht="27.75">
      <c r="B84" s="39"/>
      <c r="C84" s="54"/>
      <c r="D84" s="83" t="s">
        <v>203</v>
      </c>
      <c r="E84" s="95"/>
      <c r="F84" s="6"/>
      <c r="G84" s="102"/>
    </row>
    <row r="85" spans="2:12">
      <c r="B85" s="39"/>
      <c r="C85" s="54"/>
      <c r="D85" s="83" t="s">
        <v>204</v>
      </c>
      <c r="E85" s="95"/>
      <c r="F85" s="6"/>
      <c r="G85" s="102"/>
    </row>
    <row r="86" spans="2:12">
      <c r="B86" s="39"/>
      <c r="C86" s="54">
        <v>3.7</v>
      </c>
      <c r="D86" s="8" t="s">
        <v>205</v>
      </c>
      <c r="E86" s="95"/>
      <c r="F86" s="6"/>
      <c r="G86" s="102"/>
    </row>
    <row r="87" spans="2:12" ht="27.75">
      <c r="B87" s="39"/>
      <c r="C87" s="55"/>
      <c r="D87" s="83" t="s">
        <v>206</v>
      </c>
      <c r="E87" s="95"/>
      <c r="F87" s="6"/>
      <c r="G87" s="102"/>
      <c r="L87" s="21"/>
    </row>
    <row r="88" spans="2:12" s="13" customFormat="1" ht="27.75">
      <c r="B88" s="41"/>
      <c r="C88" s="56"/>
      <c r="D88" s="83" t="s">
        <v>207</v>
      </c>
      <c r="E88" s="96"/>
      <c r="F88" s="8"/>
      <c r="G88" s="106"/>
      <c r="H88" s="31"/>
      <c r="I88" s="31"/>
      <c r="J88" s="31"/>
      <c r="K88" s="31"/>
    </row>
    <row r="89" spans="2:12" s="13" customFormat="1" ht="27.75">
      <c r="B89" s="41"/>
      <c r="C89" s="56"/>
      <c r="D89" s="83" t="s">
        <v>208</v>
      </c>
      <c r="E89" s="96" t="s">
        <v>209</v>
      </c>
      <c r="F89" s="8"/>
      <c r="G89" s="106"/>
      <c r="H89" s="31"/>
      <c r="I89" s="31"/>
      <c r="J89" s="31"/>
      <c r="K89" s="31"/>
    </row>
    <row r="90" spans="2:12">
      <c r="B90" s="39"/>
      <c r="C90" s="54">
        <v>3.8</v>
      </c>
      <c r="D90" s="8" t="s">
        <v>125</v>
      </c>
      <c r="E90" s="95"/>
      <c r="F90" s="6"/>
      <c r="G90" s="102"/>
    </row>
    <row r="91" spans="2:12">
      <c r="B91" s="39"/>
      <c r="C91" s="54"/>
      <c r="D91" s="83" t="s">
        <v>210</v>
      </c>
      <c r="E91" s="95" t="s">
        <v>211</v>
      </c>
      <c r="F91" s="6"/>
      <c r="G91" s="102"/>
    </row>
    <row r="92" spans="2:12">
      <c r="B92" s="39"/>
      <c r="C92" s="57"/>
      <c r="D92" s="83" t="s">
        <v>212</v>
      </c>
      <c r="E92" s="95" t="s">
        <v>213</v>
      </c>
      <c r="F92" s="6"/>
      <c r="G92" s="102"/>
    </row>
    <row r="93" spans="2:12" ht="27.75">
      <c r="B93" s="39"/>
      <c r="C93" s="57"/>
      <c r="D93" s="83" t="s">
        <v>214</v>
      </c>
      <c r="E93" s="95" t="s">
        <v>215</v>
      </c>
      <c r="F93" s="6"/>
      <c r="G93" s="102"/>
    </row>
    <row r="94" spans="2:12" ht="27.75">
      <c r="B94" s="39"/>
      <c r="C94" s="57"/>
      <c r="D94" s="83" t="s">
        <v>216</v>
      </c>
      <c r="E94" s="95"/>
      <c r="F94" s="6"/>
      <c r="G94" s="102"/>
    </row>
    <row r="95" spans="2:12">
      <c r="B95" s="39"/>
      <c r="C95" s="57"/>
      <c r="D95" s="83" t="s">
        <v>217</v>
      </c>
      <c r="E95" s="95"/>
      <c r="F95" s="6"/>
      <c r="G95" s="102"/>
    </row>
    <row r="96" spans="2:12">
      <c r="B96" s="39"/>
      <c r="C96" s="57"/>
      <c r="D96" s="83" t="s">
        <v>218</v>
      </c>
      <c r="E96" s="95"/>
      <c r="F96" s="6"/>
      <c r="G96" s="102"/>
    </row>
    <row r="97" spans="2:22" ht="28.15" thickBot="1">
      <c r="B97" s="39"/>
      <c r="C97" s="57"/>
      <c r="D97" s="83" t="s">
        <v>219</v>
      </c>
      <c r="E97" s="95"/>
      <c r="F97" s="6"/>
      <c r="G97" s="102"/>
    </row>
    <row r="98" spans="2:22" ht="28.15" thickBot="1">
      <c r="B98" s="39"/>
      <c r="C98" s="57"/>
      <c r="D98" s="83" t="s">
        <v>220</v>
      </c>
      <c r="E98" s="95" t="s">
        <v>221</v>
      </c>
      <c r="F98" s="6"/>
      <c r="G98" s="102"/>
      <c r="H98" s="116" t="s">
        <v>129</v>
      </c>
      <c r="I98" s="116"/>
      <c r="J98" s="117"/>
    </row>
    <row r="99" spans="2:22" ht="14.65" thickTop="1" thickBot="1">
      <c r="B99" s="42"/>
      <c r="C99" s="61"/>
      <c r="D99" s="85"/>
      <c r="E99" s="97"/>
      <c r="F99" s="15"/>
      <c r="G99" s="103"/>
      <c r="H99" s="26" t="s">
        <v>9</v>
      </c>
      <c r="I99" s="22" t="s">
        <v>10</v>
      </c>
      <c r="J99" s="27" t="s">
        <v>11</v>
      </c>
    </row>
    <row r="100" spans="2:22" ht="14.65" thickTop="1" thickBot="1">
      <c r="B100" s="43"/>
      <c r="C100" s="60"/>
      <c r="D100" s="86" t="s">
        <v>130</v>
      </c>
      <c r="E100" s="98"/>
      <c r="F100" s="17"/>
      <c r="G100" s="104">
        <f>SUM(G55:G98)</f>
        <v>0</v>
      </c>
      <c r="H100" s="33" t="s">
        <v>222</v>
      </c>
      <c r="I100" s="32" t="s">
        <v>223</v>
      </c>
      <c r="J100" s="28" t="s">
        <v>224</v>
      </c>
      <c r="T100" s="118"/>
      <c r="U100" s="118"/>
      <c r="V100" s="118"/>
    </row>
    <row r="101" spans="2:22">
      <c r="B101" s="39"/>
      <c r="C101" s="54"/>
      <c r="D101" s="83"/>
      <c r="E101" s="95"/>
      <c r="F101" s="6"/>
      <c r="G101" s="102"/>
    </row>
    <row r="102" spans="2:22" ht="17.649999999999999">
      <c r="B102" s="38">
        <v>4</v>
      </c>
      <c r="C102" s="34" t="s">
        <v>134</v>
      </c>
      <c r="D102" s="88"/>
      <c r="E102" s="99"/>
      <c r="F102" s="18"/>
      <c r="G102" s="105"/>
      <c r="T102" s="120"/>
      <c r="U102" s="120"/>
      <c r="V102" s="120"/>
    </row>
    <row r="103" spans="2:22">
      <c r="B103" s="39"/>
      <c r="C103" s="54">
        <v>4.0999999999999996</v>
      </c>
      <c r="D103" s="8" t="s">
        <v>135</v>
      </c>
      <c r="E103" s="95"/>
      <c r="F103" s="6"/>
      <c r="G103" s="102"/>
      <c r="H103" s="115"/>
      <c r="I103" s="115"/>
      <c r="J103" s="115"/>
      <c r="T103" s="120"/>
      <c r="U103" s="120"/>
      <c r="V103" s="120"/>
    </row>
    <row r="104" spans="2:22" ht="27.75">
      <c r="B104" s="39"/>
      <c r="C104" s="54"/>
      <c r="D104" s="83" t="s">
        <v>225</v>
      </c>
      <c r="E104" s="95"/>
      <c r="F104" s="6"/>
      <c r="G104" s="102"/>
    </row>
    <row r="105" spans="2:22">
      <c r="B105" s="39"/>
      <c r="C105" s="54">
        <v>4.2</v>
      </c>
      <c r="D105" s="8" t="s">
        <v>139</v>
      </c>
      <c r="E105" s="95"/>
      <c r="F105" s="6"/>
      <c r="G105" s="102"/>
    </row>
    <row r="106" spans="2:22">
      <c r="B106" s="39"/>
      <c r="C106" s="54"/>
      <c r="D106" s="83" t="s">
        <v>142</v>
      </c>
      <c r="E106" s="95"/>
      <c r="F106" s="6"/>
      <c r="G106" s="102"/>
    </row>
    <row r="107" spans="2:22">
      <c r="B107" s="39"/>
      <c r="C107" s="54">
        <v>4.3</v>
      </c>
      <c r="D107" s="8" t="s">
        <v>226</v>
      </c>
      <c r="E107" s="95"/>
      <c r="F107" s="6"/>
      <c r="G107" s="102"/>
      <c r="J107" s="118"/>
      <c r="K107" s="118"/>
      <c r="L107" s="118"/>
    </row>
    <row r="108" spans="2:22" ht="27.75">
      <c r="B108" s="39"/>
      <c r="C108" s="54"/>
      <c r="D108" s="83" t="s">
        <v>144</v>
      </c>
      <c r="E108" s="95"/>
      <c r="F108" s="6"/>
      <c r="G108" s="102"/>
    </row>
    <row r="109" spans="2:22">
      <c r="B109" s="39"/>
      <c r="C109" s="54"/>
      <c r="D109" s="83" t="s">
        <v>145</v>
      </c>
      <c r="E109" s="95"/>
      <c r="F109" s="6"/>
      <c r="G109" s="102"/>
      <c r="L109" s="21"/>
    </row>
    <row r="110" spans="2:22">
      <c r="B110" s="39"/>
      <c r="C110" s="54">
        <v>4.4000000000000004</v>
      </c>
      <c r="D110" s="8" t="s">
        <v>147</v>
      </c>
      <c r="E110" s="95"/>
      <c r="F110" s="6"/>
      <c r="G110" s="102"/>
      <c r="L110" s="21"/>
    </row>
    <row r="111" spans="2:22" ht="27.75">
      <c r="B111" s="39"/>
      <c r="C111" s="54"/>
      <c r="D111" s="83" t="s">
        <v>148</v>
      </c>
      <c r="E111" s="95"/>
      <c r="F111" s="6"/>
      <c r="G111" s="102"/>
      <c r="L111" s="21"/>
    </row>
    <row r="112" spans="2:22">
      <c r="B112" s="39"/>
      <c r="C112" s="54"/>
      <c r="D112" s="83" t="s">
        <v>227</v>
      </c>
      <c r="E112" s="95"/>
      <c r="F112" s="6"/>
      <c r="G112" s="102"/>
      <c r="L112" s="21"/>
    </row>
    <row r="113" spans="2:10">
      <c r="B113" s="39"/>
      <c r="C113" s="54">
        <v>4.5</v>
      </c>
      <c r="D113" s="8" t="s">
        <v>228</v>
      </c>
      <c r="E113" s="95"/>
      <c r="F113" s="6"/>
      <c r="G113" s="102"/>
    </row>
    <row r="114" spans="2:10">
      <c r="B114" s="39"/>
      <c r="C114" s="54"/>
      <c r="D114" s="83" t="s">
        <v>229</v>
      </c>
      <c r="E114" s="95"/>
      <c r="F114" s="6"/>
      <c r="G114" s="102"/>
    </row>
    <row r="115" spans="2:10">
      <c r="B115" s="39"/>
      <c r="C115" s="54"/>
      <c r="D115" s="83" t="s">
        <v>230</v>
      </c>
      <c r="E115" s="95"/>
      <c r="F115" s="6"/>
      <c r="G115" s="102"/>
      <c r="H115" s="115"/>
      <c r="I115" s="115"/>
      <c r="J115" s="115"/>
    </row>
    <row r="116" spans="2:10" ht="41.65">
      <c r="B116" s="39"/>
      <c r="C116" s="54"/>
      <c r="D116" s="83" t="s">
        <v>231</v>
      </c>
      <c r="E116" s="95"/>
      <c r="F116" s="6"/>
      <c r="G116" s="102"/>
      <c r="J116" s="109"/>
    </row>
    <row r="117" spans="2:10" ht="14.25" thickBot="1">
      <c r="B117" s="39"/>
      <c r="C117" s="54"/>
      <c r="D117" s="83" t="s">
        <v>232</v>
      </c>
      <c r="E117" s="95"/>
      <c r="F117" s="6"/>
      <c r="G117" s="102"/>
      <c r="J117" s="109"/>
    </row>
    <row r="118" spans="2:10" ht="14.25" thickBot="1">
      <c r="B118" s="39"/>
      <c r="C118" s="54"/>
      <c r="D118" s="83" t="s">
        <v>233</v>
      </c>
      <c r="E118" s="95"/>
      <c r="F118" s="6"/>
      <c r="G118" s="102"/>
      <c r="H118" s="116" t="s">
        <v>150</v>
      </c>
      <c r="I118" s="116"/>
      <c r="J118" s="117"/>
    </row>
    <row r="119" spans="2:10" ht="14.65" thickTop="1" thickBot="1">
      <c r="B119" s="14"/>
      <c r="C119" s="61"/>
      <c r="D119" s="85"/>
      <c r="E119" s="97"/>
      <c r="F119" s="15"/>
      <c r="G119" s="103"/>
      <c r="H119" s="26" t="s">
        <v>9</v>
      </c>
      <c r="I119" s="22" t="s">
        <v>10</v>
      </c>
      <c r="J119" s="27" t="s">
        <v>11</v>
      </c>
    </row>
    <row r="120" spans="2:10" ht="14.65" thickTop="1" thickBot="1">
      <c r="B120" s="16" t="s">
        <v>151</v>
      </c>
      <c r="C120" s="60"/>
      <c r="D120" s="86" t="s">
        <v>152</v>
      </c>
      <c r="E120" s="93"/>
      <c r="F120" s="17"/>
      <c r="G120" s="104">
        <f>SUM(G103:G118)</f>
        <v>0</v>
      </c>
      <c r="H120" s="33" t="s">
        <v>153</v>
      </c>
      <c r="I120" s="82" t="s">
        <v>154</v>
      </c>
      <c r="J120" s="28" t="s">
        <v>155</v>
      </c>
    </row>
    <row r="121" spans="2:10">
      <c r="B121" s="14"/>
      <c r="C121" s="61"/>
      <c r="D121" s="85"/>
      <c r="E121" s="92"/>
      <c r="F121" s="15"/>
      <c r="G121" s="15"/>
    </row>
    <row r="122" spans="2:10">
      <c r="B122" s="19"/>
      <c r="C122" s="62"/>
      <c r="D122" s="90" t="s">
        <v>156</v>
      </c>
      <c r="E122" s="94"/>
      <c r="F122" s="20"/>
      <c r="G122" s="20">
        <f>SUM(G120+G100+G52+G40)</f>
        <v>0</v>
      </c>
    </row>
    <row r="123" spans="2:10">
      <c r="C123" s="25"/>
      <c r="E123" s="68"/>
    </row>
    <row r="124" spans="2:10">
      <c r="C124" s="25"/>
      <c r="D124" s="68"/>
      <c r="E124" s="68"/>
    </row>
    <row r="125" spans="2:10">
      <c r="B125" s="12"/>
      <c r="C125" s="25"/>
    </row>
    <row r="126" spans="2:10">
      <c r="C126" s="25"/>
    </row>
  </sheetData>
  <mergeCells count="29">
    <mergeCell ref="N22:N23"/>
    <mergeCell ref="B1:G1"/>
    <mergeCell ref="H1:J1"/>
    <mergeCell ref="B2:G2"/>
    <mergeCell ref="H3:H5"/>
    <mergeCell ref="I3:I5"/>
    <mergeCell ref="J3:J5"/>
    <mergeCell ref="J26:J27"/>
    <mergeCell ref="K26:K27"/>
    <mergeCell ref="L26:L27"/>
    <mergeCell ref="E7:G7"/>
    <mergeCell ref="E8:G8"/>
    <mergeCell ref="V102:V103"/>
    <mergeCell ref="H103:J103"/>
    <mergeCell ref="H38:J38"/>
    <mergeCell ref="P40:R40"/>
    <mergeCell ref="P42:P43"/>
    <mergeCell ref="Q42:Q43"/>
    <mergeCell ref="R42:R43"/>
    <mergeCell ref="H43:J43"/>
    <mergeCell ref="H50:J50"/>
    <mergeCell ref="H55:J55"/>
    <mergeCell ref="T100:V100"/>
    <mergeCell ref="H98:J98"/>
    <mergeCell ref="H118:J118"/>
    <mergeCell ref="J107:L107"/>
    <mergeCell ref="H115:J115"/>
    <mergeCell ref="T102:T103"/>
    <mergeCell ref="U102:U103"/>
  </mergeCells>
  <pageMargins left="0.70866141732283472" right="0.70866141732283472" top="0.74803149606299213" bottom="0.74803149606299213" header="0.31496062992125984" footer="0.31496062992125984"/>
  <pageSetup paperSize="8" scale="66" fitToHeight="0" orientation="landscape" r:id="rId1"/>
  <headerFooter>
    <oddFooter>&amp;F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7" ma:contentTypeDescription="Crear nuevo documento." ma:contentTypeScope="" ma:versionID="d54a39fddb24ec0829a7ae74849d1377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536a10614e6e2aee2a6e56e4af1d1ce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45BE541C-BD72-4CEA-BD88-F1A8ACDCE63F}"/>
</file>

<file path=customXml/itemProps2.xml><?xml version="1.0" encoding="utf-8"?>
<ds:datastoreItem xmlns:ds="http://schemas.openxmlformats.org/officeDocument/2006/customXml" ds:itemID="{EAE04035-1EC9-4449-8D06-3463D85830D1}"/>
</file>

<file path=customXml/itemProps3.xml><?xml version="1.0" encoding="utf-8"?>
<ds:datastoreItem xmlns:ds="http://schemas.openxmlformats.org/officeDocument/2006/customXml" ds:itemID="{E492D8D3-6170-49A8-97C8-129148505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GRM International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Marshall</dc:creator>
  <cp:keywords/>
  <dc:description/>
  <cp:lastModifiedBy>Lizeth Gómez</cp:lastModifiedBy>
  <cp:revision/>
  <dcterms:created xsi:type="dcterms:W3CDTF">2013-07-22T23:29:14Z</dcterms:created>
  <dcterms:modified xsi:type="dcterms:W3CDTF">2022-09-14T17:57:16Z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1123400</vt:r8>
  </property>
  <property fmtid="{D5CDD505-2E9C-101B-9397-08002B2CF9AE}" pid="4" name="MediaServiceImageTags">
    <vt:lpwstr/>
  </property>
</Properties>
</file>