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partnersnet107.sharepoint.com/sites/FA/Organizational FA/Finance Policies &amp; Procedures/_Policy Tracker/"/>
    </mc:Choice>
  </mc:AlternateContent>
  <xr:revisionPtr revIDLastSave="820" documentId="13_ncr:1_{EDF7120D-7772-41FA-8484-7D657C6D991A}" xr6:coauthVersionLast="47" xr6:coauthVersionMax="47" xr10:uidLastSave="{03704D46-3EB1-4ADB-B62A-DE1C461CB689}"/>
  <bookViews>
    <workbookView xWindow="-96" yWindow="-96" windowWidth="23232" windowHeight="12552" xr2:uid="{EA019B0E-6CC5-4D55-8B91-BDAC9DCBDCA5}"/>
  </bookViews>
  <sheets>
    <sheet name="Action Plan" sheetId="1" r:id="rId1"/>
    <sheet name="DM Summary" sheetId="5" r:id="rId2"/>
    <sheet name="List" sheetId="4"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0" i="1" l="1"/>
  <c r="I10" i="1" s="1"/>
  <c r="I54" i="5"/>
  <c r="H53" i="5"/>
  <c r="I53" i="5" s="1"/>
  <c r="H52" i="5"/>
  <c r="I52" i="5" s="1"/>
  <c r="H51" i="5"/>
  <c r="I51" i="5" s="1"/>
  <c r="H50" i="5"/>
  <c r="I50" i="5" s="1"/>
  <c r="H49" i="5"/>
  <c r="I49" i="5" s="1"/>
  <c r="O48" i="5"/>
  <c r="H48" i="5"/>
  <c r="I48" i="5" s="1"/>
  <c r="H45" i="5"/>
  <c r="I45" i="5" s="1"/>
  <c r="H44" i="5"/>
  <c r="I44" i="5" s="1"/>
  <c r="H43" i="5"/>
  <c r="I43" i="5" s="1"/>
  <c r="H42" i="5"/>
  <c r="I42" i="5" s="1"/>
  <c r="O41" i="5"/>
  <c r="H41" i="5"/>
  <c r="I41" i="5" s="1"/>
  <c r="H40" i="5"/>
  <c r="I40" i="5" s="1"/>
  <c r="O39" i="5"/>
  <c r="H39" i="5"/>
  <c r="I39" i="5" s="1"/>
  <c r="H38" i="5"/>
  <c r="I38" i="5" s="1"/>
  <c r="H37" i="5"/>
  <c r="I37" i="5" s="1"/>
  <c r="H36" i="5"/>
  <c r="I36" i="5" s="1"/>
  <c r="H35" i="5"/>
  <c r="I35" i="5" s="1"/>
  <c r="I34" i="5"/>
  <c r="H34" i="5"/>
  <c r="H33" i="5"/>
  <c r="I33" i="5" s="1"/>
  <c r="O32" i="5"/>
  <c r="H32" i="5"/>
  <c r="I32" i="5" s="1"/>
  <c r="H31" i="5"/>
  <c r="I31" i="5" s="1"/>
  <c r="H28" i="5"/>
  <c r="I28" i="5" s="1"/>
  <c r="H27" i="5"/>
  <c r="I27" i="5" s="1"/>
  <c r="H26" i="5"/>
  <c r="I26" i="5" s="1"/>
  <c r="H25" i="5"/>
  <c r="I25" i="5" s="1"/>
  <c r="O24" i="5"/>
  <c r="H24" i="5"/>
  <c r="I24" i="5" s="1"/>
  <c r="O23" i="5"/>
  <c r="H23" i="5"/>
  <c r="I23" i="5" s="1"/>
  <c r="H22" i="5"/>
  <c r="I22" i="5" s="1"/>
  <c r="H19" i="5"/>
  <c r="I19" i="5" s="1"/>
  <c r="O18" i="5"/>
  <c r="H18" i="5"/>
  <c r="I18" i="5" s="1"/>
  <c r="O17" i="5"/>
  <c r="H17" i="5"/>
  <c r="I17" i="5" s="1"/>
  <c r="H16" i="5"/>
  <c r="I16" i="5" s="1"/>
  <c r="O15" i="5"/>
  <c r="H15" i="5"/>
  <c r="I15" i="5" s="1"/>
  <c r="O14" i="5"/>
  <c r="H14" i="5"/>
  <c r="I14" i="5" s="1"/>
  <c r="H13" i="5"/>
  <c r="I13" i="5" s="1"/>
  <c r="H12" i="5"/>
  <c r="I12" i="5" s="1"/>
  <c r="H11" i="5"/>
  <c r="I11" i="5" s="1"/>
  <c r="H10" i="5"/>
  <c r="I10" i="5" s="1"/>
  <c r="O7" i="5"/>
  <c r="H7" i="5"/>
  <c r="I7" i="5" s="1"/>
  <c r="O6" i="5"/>
  <c r="H6" i="5"/>
  <c r="I6" i="5" s="1"/>
  <c r="O40" i="1"/>
  <c r="O42" i="1"/>
  <c r="O19" i="1"/>
  <c r="O33" i="1"/>
  <c r="H33" i="1"/>
  <c r="I33" i="1" s="1"/>
  <c r="O49" i="1"/>
  <c r="H49" i="1"/>
  <c r="I49" i="1" s="1"/>
  <c r="H51" i="1"/>
  <c r="H7" i="1"/>
  <c r="H6" i="1"/>
  <c r="O7" i="1"/>
  <c r="O6" i="1"/>
  <c r="O16" i="1"/>
  <c r="O15" i="1"/>
  <c r="O25" i="1"/>
  <c r="O24" i="1"/>
  <c r="O18" i="1"/>
  <c r="H20" i="1"/>
  <c r="I20" i="1" s="1"/>
  <c r="H52" i="1"/>
  <c r="H53" i="1"/>
  <c r="H54" i="1"/>
  <c r="H50" i="1"/>
  <c r="H34" i="1"/>
  <c r="I34" i="1" s="1"/>
  <c r="H35" i="1"/>
  <c r="I35" i="1" s="1"/>
  <c r="H36" i="1"/>
  <c r="H37" i="1"/>
  <c r="H38" i="1"/>
  <c r="H39" i="1"/>
  <c r="H40" i="1"/>
  <c r="H41" i="1"/>
  <c r="H42" i="1"/>
  <c r="H43" i="1"/>
  <c r="H44" i="1"/>
  <c r="H45" i="1"/>
  <c r="H46" i="1"/>
  <c r="H32" i="1"/>
  <c r="I32" i="1" s="1"/>
  <c r="H24" i="1"/>
  <c r="H25" i="1"/>
  <c r="H26" i="1"/>
  <c r="H27" i="1"/>
  <c r="H28" i="1"/>
  <c r="H29" i="1"/>
  <c r="H23" i="1"/>
  <c r="H12" i="1"/>
  <c r="H13" i="1"/>
  <c r="H14" i="1"/>
  <c r="H15" i="1"/>
  <c r="H16" i="1"/>
  <c r="H17" i="1"/>
  <c r="H18" i="1"/>
  <c r="H19" i="1"/>
  <c r="H11" i="1"/>
  <c r="I36" i="1" l="1"/>
  <c r="I19" i="1"/>
  <c r="I18" i="1"/>
  <c r="I55" i="1"/>
  <c r="I54" i="1"/>
  <c r="I52" i="1"/>
  <c r="I53" i="1"/>
  <c r="I51" i="1"/>
  <c r="I50" i="1"/>
  <c r="I16" i="1"/>
  <c r="I15" i="1"/>
  <c r="I17" i="1"/>
  <c r="I14" i="1"/>
  <c r="I13" i="1"/>
  <c r="I25" i="1"/>
  <c r="I24" i="1"/>
  <c r="I29" i="1"/>
  <c r="I26" i="1"/>
  <c r="I27" i="1"/>
  <c r="I28" i="1"/>
  <c r="I37" i="1"/>
  <c r="I38" i="1"/>
  <c r="I39" i="1"/>
  <c r="I40" i="1"/>
  <c r="I41" i="1"/>
  <c r="I42" i="1"/>
  <c r="I43" i="1"/>
  <c r="I44" i="1"/>
  <c r="I45" i="1"/>
  <c r="I46" i="1"/>
  <c r="I23" i="1"/>
  <c r="I12" i="1"/>
  <c r="I7" i="1"/>
  <c r="I6" i="1"/>
  <c r="I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tc={8F3AD38D-1B40-4418-AF82-86E58DF081DC}</author>
    <author>tc={C7221B2B-EEDD-43F0-B074-5015C4B6EEB6}</author>
    <author>tc={D1AA5874-9B4E-4373-87BF-A42E4DE06B90}</author>
    <author>tc={06443BAE-8802-468D-B5A9-7EFB43C1FE71}</author>
  </authors>
  <commentList>
    <comment ref="O23" authorId="0" shapeId="0" xr:uid="{8F3AD38D-1B40-4418-AF82-86E58DF081DC}">
      <text>
        <t>[Threaded comment]
Your version of Excel allows you to read this threaded comment; however, any edits to it will get removed if the file is opened in a newer version of Excel. Learn more: https://go.microsoft.com/fwlink/?linkid=870924
Comment:
    sent again in October</t>
      </text>
    </comment>
    <comment ref="B26" authorId="1" shapeId="0" xr:uid="{C7221B2B-EEDD-43F0-B074-5015C4B6EEB6}">
      <text>
        <t>[Threaded comment]
Your version of Excel allows you to read this threaded comment; however, any edits to it will get removed if the file is opened in a newer version of Excel. Learn more: https://go.microsoft.com/fwlink/?linkid=870924
Comment:
    which covers:
a.	Protecting information assets from unauthorized access, use, disclosure, disruption, modification, or destruction
b.	Data backup (frequency and where is it stored)
c.	Outlines disaster recovery plans and procedures to ensure business continuity
d.	Encryption 
e.	Accessibility (Information and Communication Technology Accessibility (April 2018) (Deviation No. M-OAA-DEV-AIDAR-22-06c) (also known as Section 508 compliance), 
f.	Protection of information (Media and Information Handling and Protection (April 2018) (Deviation No. M-OAA-DEV-AIDAR-22-06c), 
g.	Handling of sensitive information (Privacy and Security Information Technology Systems Incident Reporting (April 2018) (Deviation No. M-OAA-DEV-AIDAR-22-06c), and
h.	Cloud computing (Cloud Computing (April 2018) (Deviation No. M-OAA-DEV-AIDAR-22- 06c)</t>
      </text>
    </comment>
    <comment ref="B27" authorId="2" shapeId="0" xr:uid="{D1AA5874-9B4E-4373-87BF-A42E4DE06B90}">
      <text>
        <t>[Threaded comment]
Your version of Excel allows you to read this threaded comment; however, any edits to it will get removed if the file is opened in a newer version of Excel. Learn more: https://go.microsoft.com/fwlink/?linkid=870924
Comment:
    a.	Establishes measures to protect the organization's network infrastructure from unauthorized access, attacks, and intrusions.
b.	Outlines firewall rules, intrusion detection/prevention systems, and network segmentation practices.
a.	Establishes measures to protect the organization's network infrastructure from unauthorized access, attacks, and intrusions.
b.	Outlines firewall rules, intrusion detection/prevention systems, and network segmentation practices.</t>
      </text>
    </comment>
    <comment ref="B29" authorId="3" shapeId="0" xr:uid="{06443BAE-8802-468D-B5A9-7EFB43C1FE71}">
      <text>
        <t>[Threaded comment]
Your version of Excel allows you to read this threaded comment; however, any edits to it will get removed if the file is opened in a newer version of Excel. Learn more: https://go.microsoft.com/fwlink/?linkid=870924
Comment:
    a.	Sets guidelines for the appropriate use of IT resources, including computers, networks, and software
b.	Addresses the prohibition of activities such as unauthorized access, software piracy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tc={828E9F0C-85CC-4474-9C1B-FE36E29EE2C1}</author>
    <author>tc={17102D8A-BF6B-416D-990A-32A1F58E217E}</author>
    <author>tc={C8726525-4691-419E-B874-8036A411F254}</author>
    <author>tc={35258780-AA52-4020-A5BE-3EFEA8E913EF}</author>
  </authors>
  <commentList>
    <comment ref="O22" authorId="0" shapeId="0" xr:uid="{828E9F0C-85CC-4474-9C1B-FE36E29EE2C1}">
      <text>
        <t>[Threaded comment]
Your version of Excel allows you to read this threaded comment; however, any edits to it will get removed if the file is opened in a newer version of Excel. Learn more: https://go.microsoft.com/fwlink/?linkid=870924
Comment:
    sent again in October</t>
      </text>
    </comment>
    <comment ref="B25" authorId="1" shapeId="0" xr:uid="{17102D8A-BF6B-416D-990A-32A1F58E217E}">
      <text>
        <t>[Threaded comment]
Your version of Excel allows you to read this threaded comment; however, any edits to it will get removed if the file is opened in a newer version of Excel. Learn more: https://go.microsoft.com/fwlink/?linkid=870924
Comment:
    which covers:
a.	Protecting information assets from unauthorized access, use, disclosure, disruption, modification, or destruction
b.	Data backup (frequency and where is it stored)
c.	Outlines disaster recovery plans and procedures to ensure business continuity
d.	Encryption 
e.	Accessibility (Information and Communication Technology Accessibility (April 2018) (Deviation No. M-OAA-DEV-AIDAR-22-06c) (also known as Section 508 compliance), 
f.	Protection of information (Media and Information Handling and Protection (April 2018) (Deviation No. M-OAA-DEV-AIDAR-22-06c), 
g.	Handling of sensitive information (Privacy and Security Information Technology Systems Incident Reporting (April 2018) (Deviation No. M-OAA-DEV-AIDAR-22-06c), and
h.	Cloud computing (Cloud Computing (April 2018) (Deviation No. M-OAA-DEV-AIDAR-22- 06c)</t>
      </text>
    </comment>
    <comment ref="B26" authorId="2" shapeId="0" xr:uid="{C8726525-4691-419E-B874-8036A411F254}">
      <text>
        <t>[Threaded comment]
Your version of Excel allows you to read this threaded comment; however, any edits to it will get removed if the file is opened in a newer version of Excel. Learn more: https://go.microsoft.com/fwlink/?linkid=870924
Comment:
    a.	Establishes measures to protect the organization's network infrastructure from unauthorized access, attacks, and intrusions.
b.	Outlines firewall rules, intrusion detection/prevention systems, and network segmentation practices.
a.	Establishes measures to protect the organization's network infrastructure from unauthorized access, attacks, and intrusions.
b.	Outlines firewall rules, intrusion detection/prevention systems, and network segmentation practices.</t>
      </text>
    </comment>
    <comment ref="B28" authorId="3" shapeId="0" xr:uid="{35258780-AA52-4020-A5BE-3EFEA8E913EF}">
      <text>
        <t>[Threaded comment]
Your version of Excel allows you to read this threaded comment; however, any edits to it will get removed if the file is opened in a newer version of Excel. Learn more: https://go.microsoft.com/fwlink/?linkid=870924
Comment:
    a.	Sets guidelines for the appropriate use of IT resources, including computers, networks, and software
b.	Addresses the prohibition of activities such as unauthorized access, software piracy</t>
      </text>
    </comment>
  </commentList>
</comments>
</file>

<file path=xl/sharedStrings.xml><?xml version="1.0" encoding="utf-8"?>
<sst xmlns="http://schemas.openxmlformats.org/spreadsheetml/2006/main" count="586" uniqueCount="106">
  <si>
    <t>POA Policies Update/Creation Timeline</t>
  </si>
  <si>
    <t>Step 1: Create/Update Policies</t>
  </si>
  <si>
    <t>Overall Policy Timeline</t>
  </si>
  <si>
    <t>Timeline for Internal Due Dates</t>
  </si>
  <si>
    <t>Priority</t>
  </si>
  <si>
    <t>Task (Action Item)</t>
  </si>
  <si>
    <t>Action Needed</t>
  </si>
  <si>
    <t>Status</t>
  </si>
  <si>
    <t>Assigned</t>
  </si>
  <si>
    <t>Start Date</t>
  </si>
  <si>
    <t>Due Date</t>
  </si>
  <si>
    <t>Planned Weeks</t>
  </si>
  <si>
    <t>Send for ELT Feedback By</t>
  </si>
  <si>
    <t>Date Sent</t>
  </si>
  <si>
    <t>Receive ELT Feedback By</t>
  </si>
  <si>
    <t>Date Received</t>
  </si>
  <si>
    <t>Incorporated Feedback By</t>
  </si>
  <si>
    <t>Send for John's Approval By</t>
  </si>
  <si>
    <t>Receive Final Approval By</t>
  </si>
  <si>
    <t>Date Approval Received</t>
  </si>
  <si>
    <t>Notes</t>
  </si>
  <si>
    <t>HR Policies</t>
  </si>
  <si>
    <t>High</t>
  </si>
  <si>
    <t>Employee Handbook</t>
  </si>
  <si>
    <t>Update Policy</t>
  </si>
  <si>
    <t>Drafted</t>
  </si>
  <si>
    <t>Danielle, Natalie, &amp; Paola</t>
  </si>
  <si>
    <t>Medium</t>
  </si>
  <si>
    <t>Expat Fringe Benefit Policy</t>
  </si>
  <si>
    <t>Operational Policies</t>
  </si>
  <si>
    <t>Travel Policy</t>
  </si>
  <si>
    <t>Danielle</t>
  </si>
  <si>
    <t>Only Debbie made comments</t>
  </si>
  <si>
    <t>Trafficking in Persons (TIP) Policy</t>
  </si>
  <si>
    <t>Create Policy</t>
  </si>
  <si>
    <t>Procurement Policy</t>
  </si>
  <si>
    <t>Delegation of Authority Policy</t>
  </si>
  <si>
    <t>VAT Reporting Policy</t>
  </si>
  <si>
    <t>In progress</t>
  </si>
  <si>
    <t>Vetting Policy (Visual Compliance)</t>
  </si>
  <si>
    <t>FFATA Policy</t>
  </si>
  <si>
    <t>Vehicle Policy</t>
  </si>
  <si>
    <t>Global Security Policy</t>
  </si>
  <si>
    <t>Danielle &amp; Natalie</t>
  </si>
  <si>
    <t>Country Specific Plans</t>
  </si>
  <si>
    <t>Program staff, with Danielle's Review</t>
  </si>
  <si>
    <t>IT Policies</t>
  </si>
  <si>
    <t>AI Usage Policy</t>
  </si>
  <si>
    <t>Danielle &amp; Abe</t>
  </si>
  <si>
    <t>Policy to address Section 889 of FAR</t>
  </si>
  <si>
    <t>Not Started</t>
  </si>
  <si>
    <t>Policy to address Section 508 of FAR</t>
  </si>
  <si>
    <t>General IT Security Policy</t>
  </si>
  <si>
    <t>IT acceptable use policy</t>
  </si>
  <si>
    <t>Finance Policies</t>
  </si>
  <si>
    <t>Record Retention Policy</t>
  </si>
  <si>
    <t>SharePoint File Structure Policy</t>
  </si>
  <si>
    <t>Inventory Management Policy</t>
  </si>
  <si>
    <t>Credit Card Management Policy</t>
  </si>
  <si>
    <t>Danielle, Debbie, &amp; Sara</t>
  </si>
  <si>
    <t>Request for Funding Policy</t>
  </si>
  <si>
    <t>Revenue Recognition Policy</t>
  </si>
  <si>
    <t>Debbie &amp; Sara w/review Danielle</t>
  </si>
  <si>
    <t>Financial Reporting Policy</t>
  </si>
  <si>
    <t>Foreign Currency Policy</t>
  </si>
  <si>
    <t>Cost Allocation Policy</t>
  </si>
  <si>
    <t>Cost Accounting Standards Policy</t>
  </si>
  <si>
    <t>Allowable Cost Policy</t>
  </si>
  <si>
    <t>Financial Systems Management Policy</t>
  </si>
  <si>
    <t>Cost Monitoring and Control Policy (Includes Reclass Policy)</t>
  </si>
  <si>
    <t>Low</t>
  </si>
  <si>
    <t xml:space="preserve">Global Finance Manual </t>
  </si>
  <si>
    <t>Finance Manual</t>
  </si>
  <si>
    <t>Program &amp; Sub Management Policies</t>
  </si>
  <si>
    <t>Risk Assessments &amp; Contractor/Sub-recipient Monitoring</t>
  </si>
  <si>
    <t>Program Start-Up Policy/Procedure (Use Checklist)</t>
  </si>
  <si>
    <t>Program Implementation/Management (Use Compliance Matrix)</t>
  </si>
  <si>
    <t>Program Closeout Policy/Procedure (Use Checklist)</t>
  </si>
  <si>
    <t>Subaward Manual</t>
  </si>
  <si>
    <t>Danielle, Michael &amp; Operation Officer</t>
  </si>
  <si>
    <t>Subcontract Manual</t>
  </si>
  <si>
    <t>Step 2: Create Cheat Sheets</t>
  </si>
  <si>
    <t>Timeline</t>
  </si>
  <si>
    <t>Resources</t>
  </si>
  <si>
    <t>Phase</t>
  </si>
  <si>
    <t>Planned Hours</t>
  </si>
  <si>
    <t>Department</t>
  </si>
  <si>
    <t>Materials Required</t>
  </si>
  <si>
    <t>Cost</t>
  </si>
  <si>
    <t>Step 3: Create Training Video</t>
  </si>
  <si>
    <t>ELT Review</t>
  </si>
  <si>
    <t>Incorporating ELT Feedback</t>
  </si>
  <si>
    <t>Waiting on John Approval</t>
  </si>
  <si>
    <t>Approved</t>
  </si>
  <si>
    <t>No feedback received</t>
  </si>
  <si>
    <t>Debbie, Carmen, &amp; Juliana provided feedback, most feedback received during ELT presentation</t>
  </si>
  <si>
    <t>N/A</t>
  </si>
  <si>
    <t>Compliance Matrix in Excel</t>
  </si>
  <si>
    <t>No ELT feedback received</t>
  </si>
  <si>
    <t>No ELT feedback received, so scheduled meeting during October ASM to review</t>
  </si>
  <si>
    <t>IT Access control and network security policy</t>
  </si>
  <si>
    <t>Password Policy</t>
  </si>
  <si>
    <t>Only Debbie made comments, no other ELT member</t>
  </si>
  <si>
    <t>No comments from ELT</t>
  </si>
  <si>
    <t>No comments received from ELT</t>
  </si>
  <si>
    <t>Child Safeguarding, Sexual Abuse, etc. Update with new 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</si>
</sst>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sz val="11"/>
      <color rgb="FFFFC000"/>
      <name val="Calibri"/>
      <family val="2"/>
      <scheme val="minor"/>
    </font>
    <font>
      <sz val="11"/>
      <color rgb="FF00B050"/>
      <name val="Calibri"/>
      <family val="2"/>
      <scheme val="minor"/>
    </font>
    <font>
      <b/>
      <sz val="11"/>
      <name val="Calibri"/>
      <family val="2"/>
      <scheme val="minor"/>
    </font>
    <font>
      <b/>
      <sz val="20"/>
      <color theme="1"/>
      <name val="Calibri"/>
      <family val="2"/>
      <scheme val="minor"/>
    </font>
    <font>
      <b/>
      <i/>
      <sz val="11"/>
      <name val="Calibri"/>
      <family val="2"/>
      <scheme val="minor"/>
    </font>
  </fonts>
  <fills count="12">
    <fill>
      <patternFill patternType="none"/>
    </fill>
    <fill>
      <patternFill patternType="gray125"/>
    </fill>
    <fill>
      <patternFill patternType="solid">
        <fgColor theme="8" tint="0.79998168889431442"/>
        <bgColor indexed="65"/>
      </patternFill>
    </fill>
    <fill>
      <patternFill patternType="solid">
        <fgColor theme="0"/>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4" tint="0.39997558519241921"/>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4">
    <xf numFmtId="0" fontId="0" fillId="0" borderId="0" xfId="0"/>
    <xf numFmtId="16" fontId="0" fillId="0" borderId="0" xfId="0" applyNumberFormat="1"/>
    <xf numFmtId="0" fontId="0" fillId="3" borderId="0" xfId="0" applyFill="1"/>
    <xf numFmtId="0" fontId="0" fillId="4" borderId="0" xfId="0" applyFill="1"/>
    <xf numFmtId="0" fontId="2" fillId="5" borderId="2" xfId="1" applyFont="1" applyFill="1" applyBorder="1" applyAlignment="1">
      <alignment horizontal="left"/>
    </xf>
    <xf numFmtId="0" fontId="2" fillId="5" borderId="2" xfId="1" applyFont="1" applyFill="1" applyBorder="1"/>
    <xf numFmtId="0" fontId="4" fillId="0" borderId="0" xfId="0" applyFont="1"/>
    <xf numFmtId="0" fontId="5" fillId="0" borderId="0" xfId="0" applyFont="1"/>
    <xf numFmtId="0" fontId="6" fillId="0" borderId="0" xfId="0" applyFont="1"/>
    <xf numFmtId="9" fontId="0" fillId="0" borderId="0" xfId="0" applyNumberFormat="1"/>
    <xf numFmtId="0" fontId="2" fillId="5" borderId="3" xfId="1" applyFont="1" applyFill="1" applyBorder="1"/>
    <xf numFmtId="0" fontId="2" fillId="3" borderId="0" xfId="1" applyFont="1" applyFill="1" applyBorder="1"/>
    <xf numFmtId="0" fontId="0" fillId="0" borderId="4" xfId="0" applyBorder="1"/>
    <xf numFmtId="0" fontId="2" fillId="0" borderId="0" xfId="0" applyFont="1"/>
    <xf numFmtId="0" fontId="0" fillId="7" borderId="0" xfId="0" applyFill="1"/>
    <xf numFmtId="0" fontId="2" fillId="5" borderId="0" xfId="1" applyFont="1" applyFill="1" applyBorder="1"/>
    <xf numFmtId="0" fontId="4" fillId="0" borderId="2" xfId="0" applyFont="1" applyBorder="1"/>
    <xf numFmtId="0" fontId="0" fillId="0" borderId="2" xfId="0" applyBorder="1"/>
    <xf numFmtId="9" fontId="0" fillId="0" borderId="2" xfId="0" applyNumberFormat="1" applyBorder="1"/>
    <xf numFmtId="14" fontId="0" fillId="0" borderId="2" xfId="0" applyNumberFormat="1" applyBorder="1"/>
    <xf numFmtId="2" fontId="0" fillId="0" borderId="2" xfId="0" applyNumberFormat="1" applyBorder="1"/>
    <xf numFmtId="0" fontId="5" fillId="0" borderId="2" xfId="0" applyFont="1" applyBorder="1"/>
    <xf numFmtId="0" fontId="6" fillId="0" borderId="2" xfId="0" applyFont="1" applyBorder="1"/>
    <xf numFmtId="0" fontId="0" fillId="8" borderId="2" xfId="0" applyFill="1" applyBorder="1"/>
    <xf numFmtId="0" fontId="3" fillId="7" borderId="0" xfId="0" applyFont="1" applyFill="1" applyAlignment="1">
      <alignment horizontal="center"/>
    </xf>
    <xf numFmtId="14" fontId="0" fillId="9" borderId="2" xfId="0" applyNumberFormat="1" applyFill="1" applyBorder="1"/>
    <xf numFmtId="0" fontId="9" fillId="8" borderId="2" xfId="0" applyFont="1" applyFill="1" applyBorder="1"/>
    <xf numFmtId="14" fontId="0" fillId="10" borderId="2" xfId="0" applyNumberFormat="1" applyFill="1" applyBorder="1"/>
    <xf numFmtId="14" fontId="0" fillId="8" borderId="2" xfId="0" applyNumberFormat="1" applyFill="1" applyBorder="1"/>
    <xf numFmtId="0" fontId="0" fillId="11" borderId="2" xfId="0" applyFill="1" applyBorder="1"/>
    <xf numFmtId="0" fontId="8" fillId="3" borderId="0" xfId="0" applyFont="1" applyFill="1" applyAlignment="1">
      <alignment horizontal="center"/>
    </xf>
    <xf numFmtId="0" fontId="7" fillId="6" borderId="1" xfId="0" applyFont="1" applyFill="1" applyBorder="1" applyAlignment="1">
      <alignment horizontal="center" vertical="center"/>
    </xf>
    <xf numFmtId="0" fontId="3" fillId="7" borderId="1" xfId="0" applyFont="1" applyFill="1" applyBorder="1" applyAlignment="1">
      <alignment horizontal="center"/>
    </xf>
    <xf numFmtId="0" fontId="3" fillId="7" borderId="5" xfId="0" applyFont="1" applyFill="1" applyBorder="1" applyAlignment="1">
      <alignment horizontal="center"/>
    </xf>
  </cellXfs>
  <cellStyles count="2">
    <cellStyle name="20% - Accent5" xfId="1" builtinId="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Danielle Martin" id="{D6E6F2DB-6636-4C29-A7B3-88DF46D84B18}" userId="Danielle Marti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3" dT="2023-12-13T00:14:36.26" personId="{D6E6F2DB-6636-4C29-A7B3-88DF46D84B18}" id="{8F3AD38D-1B40-4418-AF82-86E58DF081DC}">
    <text>sent again in October</text>
  </threadedComment>
  <threadedComment ref="B26" dT="2023-09-01T11:48:01.63" personId="{D6E6F2DB-6636-4C29-A7B3-88DF46D84B18}" id="{C7221B2B-EEDD-43F0-B074-5015C4B6EEB6}">
    <text>which covers:
a.	Protecting information assets from unauthorized access, use, disclosure, disruption, modification, or destruction
b.	Data backup (frequency and where is it stored)
c.	Outlines disaster recovery plans and procedures to ensure business continuity
d.	Encryption 
e.	Accessibility (Information and Communication Technology Accessibility (April 2018) (Deviation No. M-OAA-DEV-AIDAR-22-06c) (also known as Section 508 compliance), 
f.	Protection of information (Media and Information Handling and Protection (April 2018) (Deviation No. M-OAA-DEV-AIDAR-22-06c), 
g.	Handling of sensitive information (Privacy and Security Information Technology Systems Incident Reporting (April 2018) (Deviation No. M-OAA-DEV-AIDAR-22-06c), and
h.	Cloud computing (Cloud Computing (April 2018) (Deviation No. M-OAA-DEV-AIDAR-22- 06c)</text>
  </threadedComment>
  <threadedComment ref="B27" dT="2023-09-01T11:48:35.20" personId="{D6E6F2DB-6636-4C29-A7B3-88DF46D84B18}" id="{D1AA5874-9B4E-4373-87BF-A42E4DE06B90}">
    <text>a.	Establishes measures to protect the organization's network infrastructure from unauthorized access, attacks, and intrusions.
b.	Outlines firewall rules, intrusion detection/prevention systems, and network segmentation practices.
a.	Establishes measures to protect the organization's network infrastructure from unauthorized access, attacks, and intrusions.
b.	Outlines firewall rules, intrusion detection/prevention systems, and network segmentation practices.</text>
  </threadedComment>
  <threadedComment ref="B29" dT="2023-09-01T11:49:33.23" personId="{D6E6F2DB-6636-4C29-A7B3-88DF46D84B18}" id="{06443BAE-8802-468D-B5A9-7EFB43C1FE71}">
    <text>a.	Sets guidelines for the appropriate use of IT resources, including computers, networks, and software
b.	Addresses the prohibition of activities such as unauthorized access, software piracy</text>
  </threadedComment>
</ThreadedComments>
</file>

<file path=xl/threadedComments/threadedComment2.xml><?xml version="1.0" encoding="utf-8"?>
<ThreadedComments xmlns="http://schemas.microsoft.com/office/spreadsheetml/2018/threadedcomments" xmlns:x="http://schemas.openxmlformats.org/spreadsheetml/2006/main">
  <threadedComment ref="O22" dT="2023-12-13T00:14:36.26" personId="{D6E6F2DB-6636-4C29-A7B3-88DF46D84B18}" id="{828E9F0C-85CC-4474-9C1B-FE36E29EE2C1}">
    <text>sent again in October</text>
  </threadedComment>
  <threadedComment ref="B25" dT="2023-09-01T11:48:01.63" personId="{D6E6F2DB-6636-4C29-A7B3-88DF46D84B18}" id="{17102D8A-BF6B-416D-990A-32A1F58E217E}">
    <text>which covers:
a.	Protecting information assets from unauthorized access, use, disclosure, disruption, modification, or destruction
b.	Data backup (frequency and where is it stored)
c.	Outlines disaster recovery plans and procedures to ensure business continuity
d.	Encryption 
e.	Accessibility (Information and Communication Technology Accessibility (April 2018) (Deviation No. M-OAA-DEV-AIDAR-22-06c) (also known as Section 508 compliance), 
f.	Protection of information (Media and Information Handling and Protection (April 2018) (Deviation No. M-OAA-DEV-AIDAR-22-06c), 
g.	Handling of sensitive information (Privacy and Security Information Technology Systems Incident Reporting (April 2018) (Deviation No. M-OAA-DEV-AIDAR-22-06c), and
h.	Cloud computing (Cloud Computing (April 2018) (Deviation No. M-OAA-DEV-AIDAR-22- 06c)</text>
  </threadedComment>
  <threadedComment ref="B26" dT="2023-09-01T11:48:35.20" personId="{D6E6F2DB-6636-4C29-A7B3-88DF46D84B18}" id="{C8726525-4691-419E-B874-8036A411F254}">
    <text>a.	Establishes measures to protect the organization's network infrastructure from unauthorized access, attacks, and intrusions.
b.	Outlines firewall rules, intrusion detection/prevention systems, and network segmentation practices.
a.	Establishes measures to protect the organization's network infrastructure from unauthorized access, attacks, and intrusions.
b.	Outlines firewall rules, intrusion detection/prevention systems, and network segmentation practices.</text>
  </threadedComment>
  <threadedComment ref="B28" dT="2023-09-01T11:49:33.23" personId="{D6E6F2DB-6636-4C29-A7B3-88DF46D84B18}" id="{35258780-AA52-4020-A5BE-3EFEA8E913EF}">
    <text>a.	Sets guidelines for the appropriate use of IT resources, including computers, networks, and software
b.	Addresses the prohibition of activities such as unauthorized access, software piracy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A0F57-BF8D-4233-ADBB-2C355EE1E21D}">
  <dimension ref="A1:AX69"/>
  <sheetViews>
    <sheetView tabSelected="1" zoomScaleNormal="100" workbookViewId="0">
      <pane xSplit="2" topLeftCell="C1" activePane="topRight" state="frozen"/>
      <selection activeCell="A4" sqref="A4"/>
      <selection pane="topRight" activeCell="C36" sqref="C36"/>
    </sheetView>
  </sheetViews>
  <sheetFormatPr defaultColWidth="8.83984375" defaultRowHeight="14.4" x14ac:dyDescent="0.55000000000000004"/>
  <cols>
    <col min="1" max="1" width="17.15625" bestFit="1" customWidth="1"/>
    <col min="2" max="2" width="52.26171875" bestFit="1" customWidth="1"/>
    <col min="3" max="3" width="13" bestFit="1" customWidth="1"/>
    <col min="4" max="4" width="21" bestFit="1" customWidth="1"/>
    <col min="5" max="5" width="13.15625" customWidth="1"/>
    <col min="6" max="6" width="26.83984375" bestFit="1" customWidth="1"/>
    <col min="7" max="7" width="15.15625" customWidth="1"/>
    <col min="8" max="8" width="16.68359375" customWidth="1"/>
    <col min="9" max="9" width="16" customWidth="1"/>
    <col min="10" max="10" width="18.41796875" customWidth="1"/>
    <col min="11" max="11" width="14.26171875" customWidth="1"/>
    <col min="12" max="12" width="18.41796875" customWidth="1"/>
    <col min="13" max="13" width="12.26171875" customWidth="1"/>
    <col min="14" max="14" width="23.83984375" customWidth="1"/>
    <col min="15" max="15" width="17.83984375" customWidth="1"/>
    <col min="16" max="16" width="10.15625" bestFit="1" customWidth="1"/>
    <col min="17" max="17" width="25.41796875" customWidth="1"/>
    <col min="18" max="18" width="20.15625" bestFit="1" customWidth="1"/>
    <col min="19" max="19" width="75.734375" bestFit="1" customWidth="1"/>
    <col min="20" max="49" width="8.83984375" style="2"/>
  </cols>
  <sheetData>
    <row r="1" spans="1:50" s="2" customFormat="1" x14ac:dyDescent="0.55000000000000004">
      <c r="A1" s="30" t="s">
        <v>0</v>
      </c>
      <c r="B1" s="30"/>
      <c r="C1" s="30"/>
      <c r="D1" s="30"/>
      <c r="E1" s="30"/>
      <c r="F1" s="30"/>
      <c r="G1" s="30"/>
      <c r="H1" s="30"/>
      <c r="I1" s="30"/>
      <c r="J1" s="30"/>
      <c r="K1" s="30"/>
      <c r="L1" s="30"/>
      <c r="M1" s="30"/>
      <c r="N1" s="30"/>
      <c r="O1" s="30"/>
      <c r="P1" s="30"/>
      <c r="Q1" s="30"/>
      <c r="R1" s="30"/>
      <c r="S1" s="30"/>
    </row>
    <row r="2" spans="1:50" s="2" customFormat="1" x14ac:dyDescent="0.55000000000000004">
      <c r="A2" s="30"/>
      <c r="B2" s="30"/>
      <c r="C2" s="30"/>
      <c r="D2" s="30"/>
      <c r="E2" s="30"/>
      <c r="F2" s="30"/>
      <c r="G2" s="30"/>
      <c r="H2" s="30"/>
      <c r="I2" s="30"/>
      <c r="J2" s="30"/>
      <c r="K2" s="30"/>
      <c r="L2" s="30"/>
      <c r="M2" s="30"/>
      <c r="N2" s="30"/>
      <c r="O2" s="30"/>
      <c r="P2" s="30"/>
      <c r="Q2" s="30"/>
      <c r="R2" s="30"/>
      <c r="S2" s="30"/>
    </row>
    <row r="3" spans="1:50" s="3" customFormat="1" x14ac:dyDescent="0.55000000000000004">
      <c r="A3" s="32" t="s">
        <v>1</v>
      </c>
      <c r="B3" s="32"/>
      <c r="C3" s="32"/>
      <c r="D3" s="32"/>
      <c r="E3" s="32"/>
      <c r="F3" s="32"/>
      <c r="G3" s="31" t="s">
        <v>2</v>
      </c>
      <c r="H3" s="31"/>
      <c r="I3" s="31"/>
      <c r="J3" s="32" t="s">
        <v>3</v>
      </c>
      <c r="K3" s="32"/>
      <c r="L3" s="32"/>
      <c r="M3" s="32"/>
      <c r="N3" s="32"/>
      <c r="O3" s="32"/>
      <c r="P3" s="32"/>
      <c r="Q3" s="33"/>
      <c r="R3" s="24"/>
      <c r="S3" s="14"/>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row>
    <row r="4" spans="1:50" s="5" customFormat="1" x14ac:dyDescent="0.55000000000000004">
      <c r="A4" s="4" t="s">
        <v>4</v>
      </c>
      <c r="B4" s="4" t="s">
        <v>5</v>
      </c>
      <c r="C4" s="4" t="s">
        <v>6</v>
      </c>
      <c r="D4" s="4" t="s">
        <v>7</v>
      </c>
      <c r="E4" s="5" t="s">
        <v>7</v>
      </c>
      <c r="F4" s="5" t="s">
        <v>8</v>
      </c>
      <c r="G4" s="4" t="s">
        <v>9</v>
      </c>
      <c r="H4" s="5" t="s">
        <v>10</v>
      </c>
      <c r="I4" s="5" t="s">
        <v>11</v>
      </c>
      <c r="J4" s="5" t="s">
        <v>12</v>
      </c>
      <c r="K4" s="5" t="s">
        <v>13</v>
      </c>
      <c r="L4" s="5" t="s">
        <v>14</v>
      </c>
      <c r="M4" s="5" t="s">
        <v>15</v>
      </c>
      <c r="N4" s="5" t="s">
        <v>16</v>
      </c>
      <c r="O4" s="5" t="s">
        <v>17</v>
      </c>
      <c r="P4" s="5" t="s">
        <v>13</v>
      </c>
      <c r="Q4" s="5" t="s">
        <v>18</v>
      </c>
      <c r="R4" s="5" t="s">
        <v>19</v>
      </c>
      <c r="S4" s="5" t="s">
        <v>20</v>
      </c>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0"/>
    </row>
    <row r="5" spans="1:50" s="15" customFormat="1" hidden="1" x14ac:dyDescent="0.55000000000000004">
      <c r="A5" s="26" t="s">
        <v>21</v>
      </c>
      <c r="B5" s="17"/>
      <c r="C5" s="17"/>
      <c r="D5" s="17"/>
      <c r="E5" s="18"/>
      <c r="F5" s="17"/>
      <c r="G5" s="19"/>
      <c r="H5" s="19"/>
      <c r="I5" s="20"/>
      <c r="J5" s="19"/>
      <c r="K5" s="19"/>
      <c r="L5" s="19"/>
      <c r="M5" s="19"/>
      <c r="N5" s="19"/>
      <c r="O5" s="19"/>
      <c r="P5" s="19"/>
      <c r="Q5" s="19"/>
      <c r="R5" s="19"/>
      <c r="S5" s="17"/>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row>
    <row r="6" spans="1:50" hidden="1" x14ac:dyDescent="0.55000000000000004">
      <c r="A6" s="16" t="s">
        <v>22</v>
      </c>
      <c r="B6" s="17" t="s">
        <v>23</v>
      </c>
      <c r="C6" s="17" t="s">
        <v>24</v>
      </c>
      <c r="D6" s="17" t="s">
        <v>92</v>
      </c>
      <c r="E6" s="18">
        <v>1</v>
      </c>
      <c r="F6" s="17" t="s">
        <v>26</v>
      </c>
      <c r="G6" s="19">
        <v>45017</v>
      </c>
      <c r="H6" s="19">
        <f>Q6</f>
        <v>45230</v>
      </c>
      <c r="I6" s="20">
        <f>(_xlfn.DAYS(H6,G6)/7)</f>
        <v>30.428571428571427</v>
      </c>
      <c r="J6" s="19">
        <v>45170</v>
      </c>
      <c r="K6" s="25">
        <v>45170</v>
      </c>
      <c r="L6" s="19">
        <v>45183</v>
      </c>
      <c r="M6" s="27">
        <v>45190</v>
      </c>
      <c r="N6" s="19">
        <v>45211</v>
      </c>
      <c r="O6" s="19">
        <f>N6</f>
        <v>45211</v>
      </c>
      <c r="P6" s="27">
        <v>45219</v>
      </c>
      <c r="Q6" s="19">
        <v>45230</v>
      </c>
      <c r="R6" s="28"/>
      <c r="S6" s="17" t="s">
        <v>95</v>
      </c>
    </row>
    <row r="7" spans="1:50" hidden="1" x14ac:dyDescent="0.55000000000000004">
      <c r="A7" s="21" t="s">
        <v>27</v>
      </c>
      <c r="B7" s="17" t="s">
        <v>28</v>
      </c>
      <c r="C7" s="17" t="s">
        <v>24</v>
      </c>
      <c r="D7" s="17" t="s">
        <v>92</v>
      </c>
      <c r="E7" s="18">
        <v>1</v>
      </c>
      <c r="F7" s="17" t="s">
        <v>26</v>
      </c>
      <c r="G7" s="19">
        <v>45017</v>
      </c>
      <c r="H7" s="19">
        <f>Q7</f>
        <v>45230</v>
      </c>
      <c r="I7" s="20">
        <f>(_xlfn.DAYS(H7,G7)/7)</f>
        <v>30.428571428571427</v>
      </c>
      <c r="J7" s="19">
        <v>45170</v>
      </c>
      <c r="K7" s="25">
        <v>45170</v>
      </c>
      <c r="L7" s="19">
        <v>45183</v>
      </c>
      <c r="M7" s="27">
        <v>45190</v>
      </c>
      <c r="N7" s="19">
        <v>45211</v>
      </c>
      <c r="O7" s="19">
        <f>N7</f>
        <v>45211</v>
      </c>
      <c r="P7" s="27">
        <v>45219</v>
      </c>
      <c r="Q7" s="19">
        <v>45230</v>
      </c>
      <c r="R7" s="28"/>
      <c r="S7" s="17" t="s">
        <v>94</v>
      </c>
    </row>
    <row r="8" spans="1:50" hidden="1" x14ac:dyDescent="0.55000000000000004">
      <c r="A8" s="21"/>
      <c r="B8" s="17"/>
      <c r="C8" s="17"/>
      <c r="D8" s="17"/>
      <c r="E8" s="18"/>
      <c r="F8" s="17"/>
      <c r="G8" s="19"/>
      <c r="H8" s="19"/>
      <c r="I8" s="20"/>
      <c r="J8" s="19"/>
      <c r="K8" s="19"/>
      <c r="L8" s="19"/>
      <c r="M8" s="19"/>
      <c r="N8" s="19"/>
      <c r="O8" s="19"/>
      <c r="P8" s="19"/>
      <c r="Q8" s="19"/>
      <c r="R8" s="19"/>
      <c r="S8" s="17"/>
    </row>
    <row r="9" spans="1:50" x14ac:dyDescent="0.55000000000000004">
      <c r="A9" s="26" t="s">
        <v>29</v>
      </c>
      <c r="B9" s="17"/>
      <c r="C9" s="17"/>
      <c r="D9" s="17"/>
      <c r="E9" s="18"/>
      <c r="F9" s="17"/>
      <c r="G9" s="19"/>
      <c r="H9" s="19"/>
      <c r="I9" s="20"/>
      <c r="J9" s="19"/>
      <c r="K9" s="19"/>
      <c r="L9" s="19"/>
      <c r="M9" s="19"/>
      <c r="N9" s="19"/>
      <c r="O9" s="19"/>
      <c r="P9" s="19"/>
      <c r="Q9" s="19"/>
      <c r="R9" s="19"/>
      <c r="S9" s="17"/>
    </row>
    <row r="10" spans="1:50" x14ac:dyDescent="0.55000000000000004">
      <c r="A10" s="16" t="s">
        <v>22</v>
      </c>
      <c r="B10" s="17" t="s">
        <v>105</v>
      </c>
      <c r="C10" s="17" t="s">
        <v>34</v>
      </c>
      <c r="D10" s="17" t="s">
        <v>50</v>
      </c>
      <c r="E10" s="18">
        <v>0</v>
      </c>
      <c r="F10" s="17" t="s">
        <v>31</v>
      </c>
      <c r="G10" s="19">
        <v>45275</v>
      </c>
      <c r="H10" s="19">
        <f t="shared" ref="H10" si="0">Q10</f>
        <v>45226</v>
      </c>
      <c r="I10" s="20">
        <f>(_xlfn.DAYS(H10,G10)/7)</f>
        <v>-7</v>
      </c>
      <c r="J10" s="19">
        <v>45280</v>
      </c>
      <c r="K10" s="19"/>
      <c r="L10" s="19">
        <v>45296</v>
      </c>
      <c r="M10" s="19"/>
      <c r="N10" s="19">
        <v>45300</v>
      </c>
      <c r="O10" s="19">
        <v>45307</v>
      </c>
      <c r="P10" s="19"/>
      <c r="Q10" s="19">
        <v>45226</v>
      </c>
      <c r="R10" s="25">
        <v>45226</v>
      </c>
      <c r="S10" s="17" t="s">
        <v>98</v>
      </c>
    </row>
    <row r="11" spans="1:50" hidden="1" x14ac:dyDescent="0.55000000000000004">
      <c r="A11" s="16" t="s">
        <v>22</v>
      </c>
      <c r="B11" s="17" t="s">
        <v>30</v>
      </c>
      <c r="C11" s="17" t="s">
        <v>24</v>
      </c>
      <c r="D11" s="17" t="s">
        <v>92</v>
      </c>
      <c r="E11" s="18">
        <v>1</v>
      </c>
      <c r="F11" s="17" t="s">
        <v>31</v>
      </c>
      <c r="G11" s="19">
        <v>45139</v>
      </c>
      <c r="H11" s="19">
        <f>Q11</f>
        <v>45195</v>
      </c>
      <c r="I11" s="20">
        <f>(_xlfn.DAYS(H11,G11)/7)</f>
        <v>8</v>
      </c>
      <c r="J11" s="19">
        <v>45170</v>
      </c>
      <c r="K11" s="25">
        <v>45170</v>
      </c>
      <c r="L11" s="19">
        <v>45177</v>
      </c>
      <c r="M11" s="25">
        <v>45177</v>
      </c>
      <c r="N11" s="19">
        <v>45187</v>
      </c>
      <c r="O11" s="19">
        <v>45187</v>
      </c>
      <c r="P11" s="25">
        <v>45181</v>
      </c>
      <c r="Q11" s="19">
        <v>45195</v>
      </c>
      <c r="R11" s="28"/>
      <c r="S11" s="17" t="s">
        <v>32</v>
      </c>
    </row>
    <row r="12" spans="1:50" hidden="1" x14ac:dyDescent="0.55000000000000004">
      <c r="A12" s="16" t="s">
        <v>22</v>
      </c>
      <c r="B12" s="17" t="s">
        <v>33</v>
      </c>
      <c r="C12" s="17" t="s">
        <v>34</v>
      </c>
      <c r="D12" s="17" t="s">
        <v>93</v>
      </c>
      <c r="E12" s="18">
        <v>1</v>
      </c>
      <c r="F12" s="17" t="s">
        <v>31</v>
      </c>
      <c r="G12" s="19">
        <v>45017</v>
      </c>
      <c r="H12" s="19">
        <f t="shared" ref="H12:H20" si="1">Q12</f>
        <v>45226</v>
      </c>
      <c r="I12" s="20">
        <f>(_xlfn.DAYS(H12,G12)/7)</f>
        <v>29.857142857142858</v>
      </c>
      <c r="J12" s="19">
        <v>45180</v>
      </c>
      <c r="K12" s="25">
        <v>45180</v>
      </c>
      <c r="L12" s="19">
        <v>45187</v>
      </c>
      <c r="M12" s="25" t="s">
        <v>96</v>
      </c>
      <c r="N12" s="19">
        <v>45200</v>
      </c>
      <c r="O12" s="19">
        <v>45200</v>
      </c>
      <c r="P12" s="27">
        <v>45219</v>
      </c>
      <c r="Q12" s="19">
        <v>45226</v>
      </c>
      <c r="R12" s="25">
        <v>45226</v>
      </c>
      <c r="S12" s="17" t="s">
        <v>98</v>
      </c>
    </row>
    <row r="13" spans="1:50" hidden="1" x14ac:dyDescent="0.55000000000000004">
      <c r="A13" s="16" t="s">
        <v>22</v>
      </c>
      <c r="B13" s="17" t="s">
        <v>35</v>
      </c>
      <c r="C13" s="17" t="s">
        <v>24</v>
      </c>
      <c r="D13" s="17" t="s">
        <v>92</v>
      </c>
      <c r="E13" s="18">
        <v>1</v>
      </c>
      <c r="F13" s="17" t="s">
        <v>31</v>
      </c>
      <c r="G13" s="19">
        <v>45166</v>
      </c>
      <c r="H13" s="19">
        <f t="shared" si="1"/>
        <v>45226</v>
      </c>
      <c r="I13" s="20">
        <f>(_xlfn.DAYS(H13,G13)/7)</f>
        <v>8.5714285714285712</v>
      </c>
      <c r="J13" s="19">
        <v>45180</v>
      </c>
      <c r="K13" s="25">
        <v>45180</v>
      </c>
      <c r="L13" s="19">
        <v>45187</v>
      </c>
      <c r="M13" s="25" t="s">
        <v>96</v>
      </c>
      <c r="N13" s="19">
        <v>45200</v>
      </c>
      <c r="O13" s="19">
        <v>45200</v>
      </c>
      <c r="P13" s="27">
        <v>45219</v>
      </c>
      <c r="Q13" s="19">
        <v>45226</v>
      </c>
      <c r="R13" s="28"/>
      <c r="S13" s="17" t="s">
        <v>98</v>
      </c>
    </row>
    <row r="14" spans="1:50" hidden="1" x14ac:dyDescent="0.55000000000000004">
      <c r="A14" s="16" t="s">
        <v>22</v>
      </c>
      <c r="B14" s="17" t="s">
        <v>36</v>
      </c>
      <c r="C14" s="17" t="s">
        <v>24</v>
      </c>
      <c r="D14" s="17" t="s">
        <v>93</v>
      </c>
      <c r="E14" s="18">
        <v>1</v>
      </c>
      <c r="F14" s="17" t="s">
        <v>31</v>
      </c>
      <c r="G14" s="19">
        <v>45166</v>
      </c>
      <c r="H14" s="19">
        <f t="shared" si="1"/>
        <v>45230</v>
      </c>
      <c r="I14" s="20">
        <f>(_xlfn.DAYS(H14,G14)/7)</f>
        <v>9.1428571428571423</v>
      </c>
      <c r="J14" s="19">
        <v>45180</v>
      </c>
      <c r="K14" s="25">
        <v>45180</v>
      </c>
      <c r="L14" s="19">
        <v>45187</v>
      </c>
      <c r="M14" s="27">
        <v>45215</v>
      </c>
      <c r="N14" s="19">
        <v>45222</v>
      </c>
      <c r="O14" s="19">
        <v>45222</v>
      </c>
      <c r="P14" s="25">
        <v>45222</v>
      </c>
      <c r="Q14" s="19">
        <v>45230</v>
      </c>
      <c r="R14" s="25">
        <v>45229</v>
      </c>
      <c r="S14" s="17" t="s">
        <v>99</v>
      </c>
    </row>
    <row r="15" spans="1:50" x14ac:dyDescent="0.55000000000000004">
      <c r="A15" s="16" t="s">
        <v>22</v>
      </c>
      <c r="B15" s="17" t="s">
        <v>37</v>
      </c>
      <c r="C15" s="17" t="s">
        <v>34</v>
      </c>
      <c r="D15" s="17" t="s">
        <v>38</v>
      </c>
      <c r="E15" s="18">
        <v>0</v>
      </c>
      <c r="F15" s="17" t="s">
        <v>31</v>
      </c>
      <c r="G15" s="19">
        <v>45174</v>
      </c>
      <c r="H15" s="19">
        <f t="shared" si="1"/>
        <v>45251</v>
      </c>
      <c r="I15" s="20">
        <f t="shared" ref="I15:I16" si="2">(_xlfn.DAYS(H15,G15)/7)</f>
        <v>11</v>
      </c>
      <c r="J15" s="19">
        <v>45230</v>
      </c>
      <c r="K15" s="19"/>
      <c r="L15" s="19">
        <v>45237</v>
      </c>
      <c r="M15" s="19"/>
      <c r="N15" s="19">
        <v>45244</v>
      </c>
      <c r="O15" s="19">
        <f>N15</f>
        <v>45244</v>
      </c>
      <c r="P15" s="19"/>
      <c r="Q15" s="19">
        <v>45251</v>
      </c>
      <c r="R15" s="19"/>
      <c r="S15" s="17"/>
    </row>
    <row r="16" spans="1:50" x14ac:dyDescent="0.55000000000000004">
      <c r="A16" s="16" t="s">
        <v>22</v>
      </c>
      <c r="B16" s="17" t="s">
        <v>39</v>
      </c>
      <c r="C16" s="17" t="s">
        <v>34</v>
      </c>
      <c r="D16" s="17" t="s">
        <v>38</v>
      </c>
      <c r="E16" s="18">
        <v>0</v>
      </c>
      <c r="F16" s="17" t="s">
        <v>31</v>
      </c>
      <c r="G16" s="19">
        <v>45174</v>
      </c>
      <c r="H16" s="19">
        <f t="shared" si="1"/>
        <v>45251</v>
      </c>
      <c r="I16" s="20">
        <f t="shared" si="2"/>
        <v>11</v>
      </c>
      <c r="J16" s="19">
        <v>45230</v>
      </c>
      <c r="K16" s="19"/>
      <c r="L16" s="19">
        <v>45237</v>
      </c>
      <c r="M16" s="19"/>
      <c r="N16" s="19">
        <v>45244</v>
      </c>
      <c r="O16" s="19">
        <f>N16</f>
        <v>45244</v>
      </c>
      <c r="P16" s="19"/>
      <c r="Q16" s="19">
        <v>45251</v>
      </c>
      <c r="R16" s="19"/>
      <c r="S16" s="17"/>
    </row>
    <row r="17" spans="1:19" hidden="1" x14ac:dyDescent="0.55000000000000004">
      <c r="A17" s="16" t="s">
        <v>22</v>
      </c>
      <c r="B17" s="17" t="s">
        <v>40</v>
      </c>
      <c r="C17" s="17" t="s">
        <v>24</v>
      </c>
      <c r="D17" s="17" t="s">
        <v>93</v>
      </c>
      <c r="E17" s="18">
        <v>1</v>
      </c>
      <c r="F17" s="17" t="s">
        <v>31</v>
      </c>
      <c r="G17" s="19">
        <v>45017</v>
      </c>
      <c r="H17" s="19">
        <f t="shared" si="1"/>
        <v>45195</v>
      </c>
      <c r="I17" s="20">
        <f>(_xlfn.DAYS(H17,G17)/7)</f>
        <v>25.428571428571427</v>
      </c>
      <c r="J17" s="19">
        <v>45170</v>
      </c>
      <c r="K17" s="25">
        <v>45170</v>
      </c>
      <c r="L17" s="19">
        <v>45177</v>
      </c>
      <c r="M17" s="25">
        <v>45177</v>
      </c>
      <c r="N17" s="19">
        <v>45187</v>
      </c>
      <c r="O17" s="19">
        <v>45187</v>
      </c>
      <c r="P17" s="25">
        <v>45181</v>
      </c>
      <c r="Q17" s="19">
        <v>45195</v>
      </c>
      <c r="R17" s="27">
        <v>45214</v>
      </c>
      <c r="S17" s="17" t="s">
        <v>32</v>
      </c>
    </row>
    <row r="18" spans="1:19" hidden="1" x14ac:dyDescent="0.55000000000000004">
      <c r="A18" s="16" t="s">
        <v>22</v>
      </c>
      <c r="B18" s="17" t="s">
        <v>41</v>
      </c>
      <c r="C18" s="17" t="s">
        <v>24</v>
      </c>
      <c r="D18" s="17" t="s">
        <v>92</v>
      </c>
      <c r="E18" s="18">
        <v>1</v>
      </c>
      <c r="F18" s="17" t="s">
        <v>31</v>
      </c>
      <c r="G18" s="19">
        <v>45017</v>
      </c>
      <c r="H18" s="19">
        <f t="shared" si="1"/>
        <v>45230</v>
      </c>
      <c r="I18" s="20">
        <f>(_xlfn.DAYS(H18,G18)/7)</f>
        <v>30.428571428571427</v>
      </c>
      <c r="J18" s="19">
        <v>45180</v>
      </c>
      <c r="K18" s="25">
        <v>45180</v>
      </c>
      <c r="L18" s="19">
        <v>45187</v>
      </c>
      <c r="M18" s="25">
        <v>45187</v>
      </c>
      <c r="N18" s="19">
        <v>45211</v>
      </c>
      <c r="O18" s="19">
        <f>N18</f>
        <v>45211</v>
      </c>
      <c r="P18" s="27">
        <v>45219</v>
      </c>
      <c r="Q18" s="19">
        <v>45230</v>
      </c>
      <c r="R18" s="28"/>
      <c r="S18" s="17" t="s">
        <v>32</v>
      </c>
    </row>
    <row r="19" spans="1:19" hidden="1" x14ac:dyDescent="0.55000000000000004">
      <c r="A19" s="16" t="s">
        <v>22</v>
      </c>
      <c r="B19" s="17" t="s">
        <v>42</v>
      </c>
      <c r="C19" s="17" t="s">
        <v>34</v>
      </c>
      <c r="D19" s="17" t="s">
        <v>92</v>
      </c>
      <c r="E19" s="18">
        <v>1</v>
      </c>
      <c r="F19" s="17" t="s">
        <v>43</v>
      </c>
      <c r="G19" s="19">
        <v>45017</v>
      </c>
      <c r="H19" s="19">
        <f t="shared" si="1"/>
        <v>45279</v>
      </c>
      <c r="I19" s="20">
        <f>(_xlfn.DAYS(H19,G19)/7)</f>
        <v>37.428571428571431</v>
      </c>
      <c r="J19" s="19">
        <v>45247</v>
      </c>
      <c r="K19" s="25">
        <v>45247</v>
      </c>
      <c r="L19" s="19">
        <v>45260</v>
      </c>
      <c r="M19" s="25">
        <v>45260</v>
      </c>
      <c r="N19" s="19">
        <v>45267</v>
      </c>
      <c r="O19" s="19">
        <f>N19</f>
        <v>45267</v>
      </c>
      <c r="P19" s="27">
        <v>45272</v>
      </c>
      <c r="Q19" s="19">
        <v>45279</v>
      </c>
      <c r="R19" s="28"/>
      <c r="S19" s="17" t="s">
        <v>104</v>
      </c>
    </row>
    <row r="20" spans="1:19" x14ac:dyDescent="0.55000000000000004">
      <c r="A20" s="21" t="s">
        <v>27</v>
      </c>
      <c r="B20" s="17" t="s">
        <v>44</v>
      </c>
      <c r="C20" s="17" t="s">
        <v>34</v>
      </c>
      <c r="D20" s="17" t="s">
        <v>38</v>
      </c>
      <c r="E20" s="18">
        <v>0.1</v>
      </c>
      <c r="F20" s="17" t="s">
        <v>45</v>
      </c>
      <c r="G20" s="19">
        <v>45078</v>
      </c>
      <c r="H20" s="19">
        <f t="shared" si="1"/>
        <v>45336</v>
      </c>
      <c r="I20" s="20">
        <f>(_xlfn.DAYS(H20,G20)/7)</f>
        <v>36.857142857142854</v>
      </c>
      <c r="J20" s="19">
        <v>45289</v>
      </c>
      <c r="K20" s="19"/>
      <c r="L20" s="19">
        <v>45303</v>
      </c>
      <c r="M20" s="19"/>
      <c r="N20" s="19">
        <v>45322</v>
      </c>
      <c r="O20" s="19">
        <v>45322</v>
      </c>
      <c r="P20" s="19"/>
      <c r="Q20" s="19">
        <v>45336</v>
      </c>
      <c r="R20" s="19"/>
      <c r="S20" s="17"/>
    </row>
    <row r="21" spans="1:19" x14ac:dyDescent="0.55000000000000004">
      <c r="A21" s="16"/>
      <c r="B21" s="17"/>
      <c r="C21" s="17"/>
      <c r="D21" s="17"/>
      <c r="E21" s="18"/>
      <c r="F21" s="17"/>
      <c r="G21" s="19"/>
      <c r="H21" s="19"/>
      <c r="I21" s="20"/>
      <c r="J21" s="19"/>
      <c r="K21" s="19"/>
      <c r="L21" s="19"/>
      <c r="M21" s="19"/>
      <c r="N21" s="19"/>
      <c r="O21" s="19"/>
      <c r="P21" s="19"/>
      <c r="Q21" s="19"/>
      <c r="R21" s="19"/>
      <c r="S21" s="17"/>
    </row>
    <row r="22" spans="1:19" x14ac:dyDescent="0.55000000000000004">
      <c r="A22" s="26" t="s">
        <v>46</v>
      </c>
      <c r="B22" s="17"/>
      <c r="C22" s="17"/>
      <c r="D22" s="17"/>
      <c r="E22" s="18"/>
      <c r="F22" s="17"/>
      <c r="G22" s="19"/>
      <c r="H22" s="19"/>
      <c r="I22" s="20"/>
      <c r="J22" s="19"/>
      <c r="K22" s="19"/>
      <c r="L22" s="19"/>
      <c r="M22" s="19"/>
      <c r="N22" s="19"/>
      <c r="O22" s="19"/>
      <c r="P22" s="19"/>
      <c r="Q22" s="19"/>
      <c r="R22" s="19"/>
      <c r="S22" s="17"/>
    </row>
    <row r="23" spans="1:19" hidden="1" x14ac:dyDescent="0.55000000000000004">
      <c r="A23" s="21" t="s">
        <v>27</v>
      </c>
      <c r="B23" s="17" t="s">
        <v>47</v>
      </c>
      <c r="C23" s="17" t="s">
        <v>34</v>
      </c>
      <c r="D23" s="17" t="s">
        <v>93</v>
      </c>
      <c r="E23" s="18">
        <v>1</v>
      </c>
      <c r="F23" s="17" t="s">
        <v>48</v>
      </c>
      <c r="G23" s="19">
        <v>45097</v>
      </c>
      <c r="H23" s="19">
        <f>Q23</f>
        <v>45226</v>
      </c>
      <c r="I23" s="20">
        <f>(_xlfn.DAYS(H23,G23)/7)</f>
        <v>18.428571428571427</v>
      </c>
      <c r="J23" s="19">
        <v>45117</v>
      </c>
      <c r="K23" s="25">
        <v>45117</v>
      </c>
      <c r="L23" s="19">
        <v>45124</v>
      </c>
      <c r="M23" s="25">
        <v>45124</v>
      </c>
      <c r="N23" s="19">
        <v>45135</v>
      </c>
      <c r="O23" s="19">
        <v>45219</v>
      </c>
      <c r="P23" s="25">
        <v>45219</v>
      </c>
      <c r="Q23" s="19">
        <v>45226</v>
      </c>
      <c r="R23" s="25">
        <v>45226</v>
      </c>
      <c r="S23" s="17"/>
    </row>
    <row r="24" spans="1:19" hidden="1" x14ac:dyDescent="0.55000000000000004">
      <c r="A24" s="21" t="s">
        <v>27</v>
      </c>
      <c r="B24" s="17" t="s">
        <v>49</v>
      </c>
      <c r="C24" s="17" t="s">
        <v>34</v>
      </c>
      <c r="D24" s="17" t="s">
        <v>92</v>
      </c>
      <c r="E24" s="18">
        <v>1</v>
      </c>
      <c r="F24" s="17" t="s">
        <v>31</v>
      </c>
      <c r="G24" s="19">
        <v>45214</v>
      </c>
      <c r="H24" s="19">
        <f t="shared" ref="H24:H29" si="3">Q24</f>
        <v>45279</v>
      </c>
      <c r="I24" s="20">
        <f t="shared" ref="I24:I25" si="4">(_xlfn.DAYS(H24,G24)/7)</f>
        <v>9.2857142857142865</v>
      </c>
      <c r="J24" s="19">
        <v>45245</v>
      </c>
      <c r="K24" s="27">
        <v>45247</v>
      </c>
      <c r="L24" s="19">
        <v>45260</v>
      </c>
      <c r="M24" s="25">
        <v>45260</v>
      </c>
      <c r="N24" s="19">
        <v>45267</v>
      </c>
      <c r="O24" s="19">
        <f>N24</f>
        <v>45267</v>
      </c>
      <c r="P24" s="27">
        <v>45272</v>
      </c>
      <c r="Q24" s="19">
        <v>45279</v>
      </c>
      <c r="R24" s="28"/>
      <c r="S24" s="17" t="s">
        <v>94</v>
      </c>
    </row>
    <row r="25" spans="1:19" hidden="1" x14ac:dyDescent="0.55000000000000004">
      <c r="A25" s="21" t="s">
        <v>27</v>
      </c>
      <c r="B25" s="17" t="s">
        <v>51</v>
      </c>
      <c r="C25" s="17" t="s">
        <v>34</v>
      </c>
      <c r="D25" s="17" t="s">
        <v>92</v>
      </c>
      <c r="E25" s="18">
        <v>1</v>
      </c>
      <c r="F25" s="17" t="s">
        <v>31</v>
      </c>
      <c r="G25" s="19">
        <v>45214</v>
      </c>
      <c r="H25" s="19">
        <f t="shared" si="3"/>
        <v>45279</v>
      </c>
      <c r="I25" s="20">
        <f t="shared" si="4"/>
        <v>9.2857142857142865</v>
      </c>
      <c r="J25" s="19">
        <v>45245</v>
      </c>
      <c r="K25" s="27">
        <v>45247</v>
      </c>
      <c r="L25" s="19">
        <v>45260</v>
      </c>
      <c r="M25" s="25">
        <v>45260</v>
      </c>
      <c r="N25" s="19">
        <v>45267</v>
      </c>
      <c r="O25" s="19">
        <f>N25</f>
        <v>45267</v>
      </c>
      <c r="P25" s="27">
        <v>45272</v>
      </c>
      <c r="Q25" s="19">
        <v>45279</v>
      </c>
      <c r="R25" s="28"/>
      <c r="S25" s="17" t="s">
        <v>94</v>
      </c>
    </row>
    <row r="26" spans="1:19" x14ac:dyDescent="0.55000000000000004">
      <c r="A26" s="21" t="s">
        <v>27</v>
      </c>
      <c r="B26" s="17" t="s">
        <v>52</v>
      </c>
      <c r="C26" s="17" t="s">
        <v>34</v>
      </c>
      <c r="D26" s="17" t="s">
        <v>38</v>
      </c>
      <c r="E26" s="18">
        <v>0</v>
      </c>
      <c r="F26" s="17" t="s">
        <v>31</v>
      </c>
      <c r="G26" s="19">
        <v>45231</v>
      </c>
      <c r="H26" s="19">
        <f t="shared" si="3"/>
        <v>45279</v>
      </c>
      <c r="I26" s="20">
        <f t="shared" ref="I26:I46" si="5">(_xlfn.DAYS(H26,G26)/7)</f>
        <v>6.8571428571428568</v>
      </c>
      <c r="J26" s="19">
        <v>45247</v>
      </c>
      <c r="K26" s="19"/>
      <c r="L26" s="19">
        <v>45260</v>
      </c>
      <c r="M26" s="19"/>
      <c r="N26" s="19">
        <v>45268</v>
      </c>
      <c r="O26" s="19">
        <v>45268</v>
      </c>
      <c r="P26" s="19"/>
      <c r="Q26" s="19">
        <v>45279</v>
      </c>
      <c r="R26" s="19"/>
      <c r="S26" s="17"/>
    </row>
    <row r="27" spans="1:19" x14ac:dyDescent="0.55000000000000004">
      <c r="A27" s="21" t="s">
        <v>27</v>
      </c>
      <c r="B27" s="17" t="s">
        <v>100</v>
      </c>
      <c r="C27" s="17" t="s">
        <v>34</v>
      </c>
      <c r="D27" s="17" t="s">
        <v>38</v>
      </c>
      <c r="E27" s="18">
        <v>0</v>
      </c>
      <c r="F27" s="17" t="s">
        <v>31</v>
      </c>
      <c r="G27" s="19">
        <v>45231</v>
      </c>
      <c r="H27" s="19">
        <f t="shared" si="3"/>
        <v>45279</v>
      </c>
      <c r="I27" s="20">
        <f t="shared" si="5"/>
        <v>6.8571428571428568</v>
      </c>
      <c r="J27" s="19">
        <v>45247</v>
      </c>
      <c r="K27" s="19"/>
      <c r="L27" s="19">
        <v>45260</v>
      </c>
      <c r="M27" s="19"/>
      <c r="N27" s="19">
        <v>45268</v>
      </c>
      <c r="O27" s="19">
        <v>45268</v>
      </c>
      <c r="P27" s="19"/>
      <c r="Q27" s="19">
        <v>45279</v>
      </c>
      <c r="R27" s="19"/>
      <c r="S27" s="17"/>
    </row>
    <row r="28" spans="1:19" hidden="1" x14ac:dyDescent="0.55000000000000004">
      <c r="A28" s="21" t="s">
        <v>27</v>
      </c>
      <c r="B28" s="17" t="s">
        <v>101</v>
      </c>
      <c r="C28" s="17" t="s">
        <v>34</v>
      </c>
      <c r="D28" s="17" t="s">
        <v>92</v>
      </c>
      <c r="E28" s="18">
        <v>1</v>
      </c>
      <c r="F28" s="17" t="s">
        <v>31</v>
      </c>
      <c r="G28" s="19">
        <v>45231</v>
      </c>
      <c r="H28" s="19">
        <f t="shared" si="3"/>
        <v>45279</v>
      </c>
      <c r="I28" s="20">
        <f t="shared" si="5"/>
        <v>6.8571428571428568</v>
      </c>
      <c r="J28" s="19">
        <v>45247</v>
      </c>
      <c r="K28" s="25">
        <v>45247</v>
      </c>
      <c r="L28" s="19">
        <v>45260</v>
      </c>
      <c r="M28" s="25">
        <v>45260</v>
      </c>
      <c r="N28" s="19">
        <v>45268</v>
      </c>
      <c r="O28" s="19">
        <v>45268</v>
      </c>
      <c r="P28" s="27">
        <v>45272</v>
      </c>
      <c r="Q28" s="19">
        <v>45279</v>
      </c>
      <c r="R28" s="28"/>
      <c r="S28" s="17" t="s">
        <v>102</v>
      </c>
    </row>
    <row r="29" spans="1:19" hidden="1" x14ac:dyDescent="0.55000000000000004">
      <c r="A29" s="21" t="s">
        <v>27</v>
      </c>
      <c r="B29" s="17" t="s">
        <v>53</v>
      </c>
      <c r="C29" s="17" t="s">
        <v>34</v>
      </c>
      <c r="D29" s="17" t="s">
        <v>92</v>
      </c>
      <c r="E29" s="18">
        <v>1</v>
      </c>
      <c r="F29" s="17" t="s">
        <v>31</v>
      </c>
      <c r="G29" s="19">
        <v>45231</v>
      </c>
      <c r="H29" s="19">
        <f t="shared" si="3"/>
        <v>45279</v>
      </c>
      <c r="I29" s="20">
        <f t="shared" ref="I29" si="6">(_xlfn.DAYS(H29,G29)/7)</f>
        <v>6.8571428571428568</v>
      </c>
      <c r="J29" s="19">
        <v>45247</v>
      </c>
      <c r="K29" s="25">
        <v>45247</v>
      </c>
      <c r="L29" s="19">
        <v>45260</v>
      </c>
      <c r="M29" s="25">
        <v>45260</v>
      </c>
      <c r="N29" s="19">
        <v>45268</v>
      </c>
      <c r="O29" s="19">
        <v>45268</v>
      </c>
      <c r="P29" s="27">
        <v>45272</v>
      </c>
      <c r="Q29" s="19">
        <v>45279</v>
      </c>
      <c r="R29" s="28"/>
      <c r="S29" s="17" t="s">
        <v>103</v>
      </c>
    </row>
    <row r="30" spans="1:19" x14ac:dyDescent="0.55000000000000004">
      <c r="A30" s="21"/>
      <c r="B30" s="17"/>
      <c r="C30" s="17"/>
      <c r="D30" s="17"/>
      <c r="E30" s="18"/>
      <c r="F30" s="17"/>
      <c r="G30" s="19"/>
      <c r="H30" s="19"/>
      <c r="I30" s="20"/>
      <c r="J30" s="19"/>
      <c r="K30" s="19"/>
      <c r="L30" s="19"/>
      <c r="M30" s="19"/>
      <c r="N30" s="19"/>
      <c r="O30" s="19"/>
      <c r="P30" s="19"/>
      <c r="Q30" s="19"/>
      <c r="R30" s="19"/>
      <c r="S30" s="17"/>
    </row>
    <row r="31" spans="1:19" x14ac:dyDescent="0.55000000000000004">
      <c r="A31" s="26" t="s">
        <v>54</v>
      </c>
      <c r="B31" s="17"/>
      <c r="C31" s="17"/>
      <c r="D31" s="17"/>
      <c r="E31" s="18"/>
      <c r="F31" s="17"/>
      <c r="G31" s="19"/>
      <c r="H31" s="19"/>
      <c r="I31" s="20"/>
      <c r="J31" s="19"/>
      <c r="K31" s="19"/>
      <c r="L31" s="19"/>
      <c r="M31" s="19"/>
      <c r="N31" s="19"/>
      <c r="O31" s="19"/>
      <c r="P31" s="19"/>
      <c r="Q31" s="19"/>
      <c r="R31" s="19"/>
      <c r="S31" s="17"/>
    </row>
    <row r="32" spans="1:19" x14ac:dyDescent="0.55000000000000004">
      <c r="A32" s="16" t="s">
        <v>22</v>
      </c>
      <c r="B32" s="17" t="s">
        <v>55</v>
      </c>
      <c r="C32" s="17" t="s">
        <v>24</v>
      </c>
      <c r="D32" s="17" t="s">
        <v>50</v>
      </c>
      <c r="E32" s="18">
        <v>0</v>
      </c>
      <c r="F32" s="17" t="s">
        <v>31</v>
      </c>
      <c r="G32" s="19">
        <v>45174</v>
      </c>
      <c r="H32" s="19">
        <f>Q32</f>
        <v>45245</v>
      </c>
      <c r="I32" s="20">
        <f>(_xlfn.DAYS(H32,G32)/7)</f>
        <v>10.142857142857142</v>
      </c>
      <c r="J32" s="19">
        <v>45224</v>
      </c>
      <c r="K32" s="19"/>
      <c r="L32" s="19">
        <v>45231</v>
      </c>
      <c r="M32" s="19"/>
      <c r="N32" s="19">
        <v>45238</v>
      </c>
      <c r="O32" s="19">
        <v>45238</v>
      </c>
      <c r="P32" s="19"/>
      <c r="Q32" s="19">
        <v>45245</v>
      </c>
      <c r="R32" s="19"/>
      <c r="S32" s="17"/>
    </row>
    <row r="33" spans="1:19" hidden="1" x14ac:dyDescent="0.55000000000000004">
      <c r="A33" s="16" t="s">
        <v>22</v>
      </c>
      <c r="B33" s="17" t="s">
        <v>56</v>
      </c>
      <c r="C33" s="17" t="s">
        <v>24</v>
      </c>
      <c r="D33" s="17" t="s">
        <v>93</v>
      </c>
      <c r="E33" s="18">
        <v>1</v>
      </c>
      <c r="F33" s="17" t="s">
        <v>31</v>
      </c>
      <c r="G33" s="19">
        <v>45078</v>
      </c>
      <c r="H33" s="19">
        <f>Q33</f>
        <v>45200</v>
      </c>
      <c r="I33" s="20">
        <f t="shared" ref="I33:I35" si="7">(_xlfn.DAYS(H33,G33)/7)</f>
        <v>17.428571428571427</v>
      </c>
      <c r="J33" s="19">
        <v>45103</v>
      </c>
      <c r="K33" s="25">
        <v>45103</v>
      </c>
      <c r="L33" s="19">
        <v>45107</v>
      </c>
      <c r="M33" s="25">
        <v>45107</v>
      </c>
      <c r="N33" s="19">
        <v>45184</v>
      </c>
      <c r="O33" s="19">
        <f>N33</f>
        <v>45184</v>
      </c>
      <c r="P33" s="25" t="s">
        <v>96</v>
      </c>
      <c r="Q33" s="19">
        <v>45200</v>
      </c>
      <c r="R33" s="25">
        <v>45200</v>
      </c>
      <c r="S33" s="17"/>
    </row>
    <row r="34" spans="1:19" x14ac:dyDescent="0.55000000000000004">
      <c r="A34" s="16" t="s">
        <v>22</v>
      </c>
      <c r="B34" s="17" t="s">
        <v>57</v>
      </c>
      <c r="C34" s="17" t="s">
        <v>24</v>
      </c>
      <c r="D34" s="17" t="s">
        <v>50</v>
      </c>
      <c r="E34" s="18">
        <v>0</v>
      </c>
      <c r="F34" s="17" t="s">
        <v>31</v>
      </c>
      <c r="G34" s="19">
        <v>45174</v>
      </c>
      <c r="H34" s="19">
        <f t="shared" ref="H34:H46" si="8">Q34</f>
        <v>45245</v>
      </c>
      <c r="I34" s="20">
        <f t="shared" si="7"/>
        <v>10.142857142857142</v>
      </c>
      <c r="J34" s="19">
        <v>45224</v>
      </c>
      <c r="K34" s="19"/>
      <c r="L34" s="19">
        <v>45231</v>
      </c>
      <c r="M34" s="19"/>
      <c r="N34" s="19">
        <v>45238</v>
      </c>
      <c r="O34" s="19">
        <v>45238</v>
      </c>
      <c r="P34" s="19"/>
      <c r="Q34" s="19">
        <v>45245</v>
      </c>
      <c r="R34" s="19"/>
      <c r="S34" s="17"/>
    </row>
    <row r="35" spans="1:19" x14ac:dyDescent="0.55000000000000004">
      <c r="A35" s="16" t="s">
        <v>22</v>
      </c>
      <c r="B35" s="17" t="s">
        <v>58</v>
      </c>
      <c r="C35" s="17" t="s">
        <v>24</v>
      </c>
      <c r="D35" s="17" t="s">
        <v>38</v>
      </c>
      <c r="E35" s="18">
        <v>0.85</v>
      </c>
      <c r="F35" s="17" t="s">
        <v>59</v>
      </c>
      <c r="G35" s="19">
        <v>45174</v>
      </c>
      <c r="H35" s="19">
        <f t="shared" si="8"/>
        <v>45245</v>
      </c>
      <c r="I35" s="20">
        <f t="shared" si="7"/>
        <v>10.142857142857142</v>
      </c>
      <c r="J35" s="19">
        <v>45224</v>
      </c>
      <c r="K35" s="19"/>
      <c r="L35" s="19">
        <v>45231</v>
      </c>
      <c r="M35" s="19"/>
      <c r="N35" s="19">
        <v>45238</v>
      </c>
      <c r="O35" s="19">
        <v>45238</v>
      </c>
      <c r="P35" s="19"/>
      <c r="Q35" s="19">
        <v>45245</v>
      </c>
      <c r="R35" s="19"/>
      <c r="S35" s="17"/>
    </row>
    <row r="36" spans="1:19" x14ac:dyDescent="0.55000000000000004">
      <c r="A36" s="21" t="s">
        <v>27</v>
      </c>
      <c r="B36" s="17" t="s">
        <v>60</v>
      </c>
      <c r="C36" s="17" t="s">
        <v>34</v>
      </c>
      <c r="D36" s="17" t="s">
        <v>50</v>
      </c>
      <c r="E36" s="18">
        <v>0</v>
      </c>
      <c r="F36" s="17" t="s">
        <v>59</v>
      </c>
      <c r="G36" s="19">
        <v>45180</v>
      </c>
      <c r="H36" s="19">
        <f t="shared" si="8"/>
        <v>45264</v>
      </c>
      <c r="I36" s="20">
        <f t="shared" ref="I36" si="9">(_xlfn.DAYS(H36,G36)/7)</f>
        <v>12</v>
      </c>
      <c r="J36" s="19">
        <v>45245</v>
      </c>
      <c r="K36" s="19"/>
      <c r="L36" s="19">
        <v>45252</v>
      </c>
      <c r="M36" s="19"/>
      <c r="N36" s="19">
        <v>45257</v>
      </c>
      <c r="O36" s="19">
        <v>45257</v>
      </c>
      <c r="P36" s="19"/>
      <c r="Q36" s="19">
        <v>45264</v>
      </c>
      <c r="R36" s="19"/>
      <c r="S36" s="17"/>
    </row>
    <row r="37" spans="1:19" x14ac:dyDescent="0.55000000000000004">
      <c r="A37" s="21" t="s">
        <v>27</v>
      </c>
      <c r="B37" s="17" t="s">
        <v>61</v>
      </c>
      <c r="C37" s="17" t="s">
        <v>24</v>
      </c>
      <c r="D37" s="17" t="s">
        <v>38</v>
      </c>
      <c r="E37" s="18">
        <v>0.1</v>
      </c>
      <c r="F37" s="17" t="s">
        <v>62</v>
      </c>
      <c r="G37" s="19">
        <v>45104</v>
      </c>
      <c r="H37" s="19">
        <f t="shared" si="8"/>
        <v>45258</v>
      </c>
      <c r="I37" s="20">
        <f t="shared" si="5"/>
        <v>22</v>
      </c>
      <c r="J37" s="19">
        <v>45236</v>
      </c>
      <c r="K37" s="19"/>
      <c r="L37" s="19">
        <v>45243</v>
      </c>
      <c r="M37" s="19"/>
      <c r="N37" s="19">
        <v>45247</v>
      </c>
      <c r="O37" s="19">
        <v>45247</v>
      </c>
      <c r="P37" s="19"/>
      <c r="Q37" s="19">
        <v>45258</v>
      </c>
      <c r="R37" s="19"/>
      <c r="S37" s="17"/>
    </row>
    <row r="38" spans="1:19" x14ac:dyDescent="0.55000000000000004">
      <c r="A38" s="16" t="s">
        <v>22</v>
      </c>
      <c r="B38" s="17" t="s">
        <v>63</v>
      </c>
      <c r="C38" s="17" t="s">
        <v>34</v>
      </c>
      <c r="D38" s="17" t="s">
        <v>38</v>
      </c>
      <c r="E38" s="18">
        <v>0.1</v>
      </c>
      <c r="F38" s="17" t="s">
        <v>62</v>
      </c>
      <c r="G38" s="19">
        <v>45104</v>
      </c>
      <c r="H38" s="19">
        <f t="shared" si="8"/>
        <v>45264</v>
      </c>
      <c r="I38" s="20">
        <f t="shared" si="5"/>
        <v>22.857142857142858</v>
      </c>
      <c r="J38" s="19">
        <v>45245</v>
      </c>
      <c r="K38" s="19"/>
      <c r="L38" s="19">
        <v>45252</v>
      </c>
      <c r="M38" s="19"/>
      <c r="N38" s="19">
        <v>45257</v>
      </c>
      <c r="O38" s="19">
        <v>45257</v>
      </c>
      <c r="P38" s="19"/>
      <c r="Q38" s="19">
        <v>45264</v>
      </c>
      <c r="R38" s="19"/>
      <c r="S38" s="17"/>
    </row>
    <row r="39" spans="1:19" x14ac:dyDescent="0.55000000000000004">
      <c r="A39" s="21" t="s">
        <v>27</v>
      </c>
      <c r="B39" s="17" t="s">
        <v>64</v>
      </c>
      <c r="C39" s="17" t="s">
        <v>34</v>
      </c>
      <c r="D39" s="17" t="s">
        <v>38</v>
      </c>
      <c r="E39" s="18">
        <v>0.1</v>
      </c>
      <c r="F39" s="17" t="s">
        <v>62</v>
      </c>
      <c r="G39" s="19">
        <v>45104</v>
      </c>
      <c r="H39" s="19">
        <f t="shared" si="8"/>
        <v>45291</v>
      </c>
      <c r="I39" s="20">
        <f t="shared" si="5"/>
        <v>26.714285714285715</v>
      </c>
      <c r="J39" s="19">
        <v>45260</v>
      </c>
      <c r="K39" s="19"/>
      <c r="L39" s="19">
        <v>45268</v>
      </c>
      <c r="M39" s="19"/>
      <c r="N39" s="19">
        <v>45275</v>
      </c>
      <c r="O39" s="19">
        <v>45275</v>
      </c>
      <c r="P39" s="19"/>
      <c r="Q39" s="19">
        <v>45291</v>
      </c>
      <c r="R39" s="19"/>
      <c r="S39" s="17"/>
    </row>
    <row r="40" spans="1:19" hidden="1" x14ac:dyDescent="0.55000000000000004">
      <c r="A40" s="16" t="s">
        <v>22</v>
      </c>
      <c r="B40" s="17" t="s">
        <v>65</v>
      </c>
      <c r="C40" s="17" t="s">
        <v>34</v>
      </c>
      <c r="D40" s="17" t="s">
        <v>92</v>
      </c>
      <c r="E40" s="18">
        <v>1</v>
      </c>
      <c r="F40" s="17" t="s">
        <v>62</v>
      </c>
      <c r="G40" s="19">
        <v>45104</v>
      </c>
      <c r="H40" s="19">
        <f t="shared" si="8"/>
        <v>45279</v>
      </c>
      <c r="I40" s="20">
        <f t="shared" si="5"/>
        <v>25</v>
      </c>
      <c r="J40" s="19">
        <v>45247</v>
      </c>
      <c r="K40" s="25">
        <v>45247</v>
      </c>
      <c r="L40" s="19">
        <v>45260</v>
      </c>
      <c r="M40" s="25">
        <v>45260</v>
      </c>
      <c r="N40" s="19">
        <v>45267</v>
      </c>
      <c r="O40" s="19">
        <f>N40</f>
        <v>45267</v>
      </c>
      <c r="P40" s="27">
        <v>45272</v>
      </c>
      <c r="Q40" s="19">
        <v>45279</v>
      </c>
      <c r="R40" s="28"/>
      <c r="S40" s="17" t="s">
        <v>104</v>
      </c>
    </row>
    <row r="41" spans="1:19" x14ac:dyDescent="0.55000000000000004">
      <c r="A41" s="21" t="s">
        <v>27</v>
      </c>
      <c r="B41" s="17" t="s">
        <v>66</v>
      </c>
      <c r="C41" s="17" t="s">
        <v>34</v>
      </c>
      <c r="D41" s="17" t="s">
        <v>38</v>
      </c>
      <c r="E41" s="18">
        <v>0.1</v>
      </c>
      <c r="F41" s="17" t="s">
        <v>62</v>
      </c>
      <c r="G41" s="19">
        <v>45104</v>
      </c>
      <c r="H41" s="19">
        <f t="shared" si="8"/>
        <v>45291</v>
      </c>
      <c r="I41" s="20">
        <f t="shared" si="5"/>
        <v>26.714285714285715</v>
      </c>
      <c r="J41" s="19">
        <v>45268</v>
      </c>
      <c r="K41" s="19"/>
      <c r="L41" s="19">
        <v>45275</v>
      </c>
      <c r="M41" s="19"/>
      <c r="N41" s="19">
        <v>45275</v>
      </c>
      <c r="O41" s="19">
        <v>45275</v>
      </c>
      <c r="P41" s="19"/>
      <c r="Q41" s="19">
        <v>45291</v>
      </c>
      <c r="R41" s="19"/>
      <c r="S41" s="17"/>
    </row>
    <row r="42" spans="1:19" hidden="1" x14ac:dyDescent="0.55000000000000004">
      <c r="A42" s="16" t="s">
        <v>22</v>
      </c>
      <c r="B42" s="17" t="s">
        <v>67</v>
      </c>
      <c r="C42" s="17" t="s">
        <v>34</v>
      </c>
      <c r="D42" s="17" t="s">
        <v>92</v>
      </c>
      <c r="E42" s="18">
        <v>1</v>
      </c>
      <c r="F42" s="17" t="s">
        <v>62</v>
      </c>
      <c r="G42" s="19">
        <v>45104</v>
      </c>
      <c r="H42" s="19">
        <f t="shared" si="8"/>
        <v>45279</v>
      </c>
      <c r="I42" s="20">
        <f t="shared" si="5"/>
        <v>25</v>
      </c>
      <c r="J42" s="19">
        <v>45247</v>
      </c>
      <c r="K42" s="25">
        <v>45247</v>
      </c>
      <c r="L42" s="19">
        <v>45260</v>
      </c>
      <c r="M42" s="25">
        <v>45260</v>
      </c>
      <c r="N42" s="19">
        <v>45267</v>
      </c>
      <c r="O42" s="19">
        <f>N42</f>
        <v>45267</v>
      </c>
      <c r="P42" s="27">
        <v>45272</v>
      </c>
      <c r="Q42" s="19">
        <v>45279</v>
      </c>
      <c r="R42" s="28"/>
      <c r="S42" s="17" t="s">
        <v>104</v>
      </c>
    </row>
    <row r="43" spans="1:19" x14ac:dyDescent="0.55000000000000004">
      <c r="A43" s="21" t="s">
        <v>27</v>
      </c>
      <c r="B43" s="17" t="s">
        <v>68</v>
      </c>
      <c r="C43" s="17" t="s">
        <v>34</v>
      </c>
      <c r="D43" s="17" t="s">
        <v>38</v>
      </c>
      <c r="E43" s="18">
        <v>0.1</v>
      </c>
      <c r="F43" s="17" t="s">
        <v>62</v>
      </c>
      <c r="G43" s="19">
        <v>45104</v>
      </c>
      <c r="H43" s="19">
        <f t="shared" si="8"/>
        <v>45291</v>
      </c>
      <c r="I43" s="20">
        <f t="shared" si="5"/>
        <v>26.714285714285715</v>
      </c>
      <c r="J43" s="19">
        <v>45268</v>
      </c>
      <c r="K43" s="19"/>
      <c r="L43" s="19">
        <v>45275</v>
      </c>
      <c r="M43" s="19"/>
      <c r="N43" s="19">
        <v>45275</v>
      </c>
      <c r="O43" s="19">
        <v>45275</v>
      </c>
      <c r="P43" s="19"/>
      <c r="Q43" s="19">
        <v>45291</v>
      </c>
      <c r="R43" s="19"/>
      <c r="S43" s="17"/>
    </row>
    <row r="44" spans="1:19" hidden="1" x14ac:dyDescent="0.55000000000000004">
      <c r="A44" s="21" t="s">
        <v>27</v>
      </c>
      <c r="B44" s="17" t="s">
        <v>69</v>
      </c>
      <c r="C44" s="17" t="s">
        <v>34</v>
      </c>
      <c r="D44" s="17" t="s">
        <v>92</v>
      </c>
      <c r="E44" s="18">
        <v>1</v>
      </c>
      <c r="F44" s="17" t="s">
        <v>62</v>
      </c>
      <c r="G44" s="19">
        <v>45104</v>
      </c>
      <c r="H44" s="19">
        <f t="shared" si="8"/>
        <v>45301</v>
      </c>
      <c r="I44" s="20">
        <f t="shared" si="5"/>
        <v>28.142857142857142</v>
      </c>
      <c r="J44" s="19">
        <v>45641</v>
      </c>
      <c r="K44" s="25">
        <v>45640</v>
      </c>
      <c r="L44" s="19">
        <v>45646</v>
      </c>
      <c r="M44" s="25">
        <v>45646</v>
      </c>
      <c r="N44" s="19">
        <v>45291</v>
      </c>
      <c r="O44" s="19">
        <v>45293</v>
      </c>
      <c r="P44" s="25">
        <v>45293</v>
      </c>
      <c r="Q44" s="19">
        <v>45301</v>
      </c>
      <c r="R44" s="28"/>
      <c r="S44" s="17" t="s">
        <v>98</v>
      </c>
    </row>
    <row r="45" spans="1:19" x14ac:dyDescent="0.55000000000000004">
      <c r="A45" s="22" t="s">
        <v>70</v>
      </c>
      <c r="B45" s="17" t="s">
        <v>71</v>
      </c>
      <c r="C45" s="17" t="s">
        <v>34</v>
      </c>
      <c r="D45" s="17" t="s">
        <v>50</v>
      </c>
      <c r="E45" s="18">
        <v>0</v>
      </c>
      <c r="F45" s="17" t="s">
        <v>62</v>
      </c>
      <c r="G45" s="19">
        <v>45200</v>
      </c>
      <c r="H45" s="19">
        <f t="shared" si="8"/>
        <v>45317</v>
      </c>
      <c r="I45" s="20">
        <f t="shared" si="5"/>
        <v>16.714285714285715</v>
      </c>
      <c r="J45" s="19">
        <v>45293</v>
      </c>
      <c r="K45" s="19"/>
      <c r="L45" s="19">
        <v>45303</v>
      </c>
      <c r="M45" s="19"/>
      <c r="N45" s="19">
        <v>44580</v>
      </c>
      <c r="O45" s="19">
        <v>44580</v>
      </c>
      <c r="P45" s="19"/>
      <c r="Q45" s="19">
        <v>45317</v>
      </c>
      <c r="R45" s="19"/>
      <c r="S45" s="17"/>
    </row>
    <row r="46" spans="1:19" x14ac:dyDescent="0.55000000000000004">
      <c r="A46" s="22" t="s">
        <v>70</v>
      </c>
      <c r="B46" s="17" t="s">
        <v>72</v>
      </c>
      <c r="C46" s="17" t="s">
        <v>24</v>
      </c>
      <c r="D46" s="17" t="s">
        <v>50</v>
      </c>
      <c r="E46" s="18">
        <v>0</v>
      </c>
      <c r="F46" s="17" t="s">
        <v>62</v>
      </c>
      <c r="G46" s="19">
        <v>45200</v>
      </c>
      <c r="H46" s="19">
        <f t="shared" si="8"/>
        <v>45317</v>
      </c>
      <c r="I46" s="20">
        <f t="shared" si="5"/>
        <v>16.714285714285715</v>
      </c>
      <c r="J46" s="19">
        <v>45293</v>
      </c>
      <c r="K46" s="19"/>
      <c r="L46" s="19">
        <v>45303</v>
      </c>
      <c r="M46" s="19"/>
      <c r="N46" s="19">
        <v>44580</v>
      </c>
      <c r="O46" s="19">
        <v>44580</v>
      </c>
      <c r="P46" s="19"/>
      <c r="Q46" s="19">
        <v>45317</v>
      </c>
      <c r="R46" s="19"/>
      <c r="S46" s="17"/>
    </row>
    <row r="47" spans="1:19" x14ac:dyDescent="0.55000000000000004">
      <c r="A47" s="16"/>
      <c r="B47" s="17"/>
      <c r="C47" s="17"/>
      <c r="D47" s="17"/>
      <c r="E47" s="18"/>
      <c r="F47" s="17"/>
      <c r="G47" s="19"/>
      <c r="H47" s="19"/>
      <c r="I47" s="20"/>
      <c r="J47" s="19"/>
      <c r="K47" s="19"/>
      <c r="L47" s="19"/>
      <c r="M47" s="19"/>
      <c r="N47" s="19"/>
      <c r="O47" s="19"/>
      <c r="P47" s="19"/>
      <c r="Q47" s="19"/>
      <c r="R47" s="19"/>
      <c r="S47" s="17"/>
    </row>
    <row r="48" spans="1:19" x14ac:dyDescent="0.55000000000000004">
      <c r="A48" s="26" t="s">
        <v>73</v>
      </c>
      <c r="B48" s="23"/>
      <c r="C48" s="17"/>
      <c r="D48" s="17"/>
      <c r="E48" s="18"/>
      <c r="F48" s="17"/>
      <c r="G48" s="19"/>
      <c r="H48" s="19"/>
      <c r="I48" s="20"/>
      <c r="J48" s="19"/>
      <c r="K48" s="19"/>
      <c r="L48" s="19"/>
      <c r="M48" s="19"/>
      <c r="N48" s="19"/>
      <c r="O48" s="19"/>
      <c r="P48" s="19"/>
      <c r="Q48" s="19"/>
      <c r="R48" s="19"/>
      <c r="S48" s="17"/>
    </row>
    <row r="49" spans="1:50" hidden="1" x14ac:dyDescent="0.55000000000000004">
      <c r="A49" s="21" t="s">
        <v>27</v>
      </c>
      <c r="B49" s="17" t="s">
        <v>97</v>
      </c>
      <c r="C49" s="17" t="s">
        <v>34</v>
      </c>
      <c r="D49" s="17" t="s">
        <v>93</v>
      </c>
      <c r="E49" s="18">
        <v>1</v>
      </c>
      <c r="F49" s="17" t="s">
        <v>31</v>
      </c>
      <c r="G49" s="19">
        <v>45078</v>
      </c>
      <c r="H49" s="19">
        <f>Q49</f>
        <v>45200</v>
      </c>
      <c r="I49" s="20">
        <f t="shared" ref="I49" si="10">(_xlfn.DAYS(H49,G49)/7)</f>
        <v>17.428571428571427</v>
      </c>
      <c r="J49" s="19">
        <v>45100</v>
      </c>
      <c r="K49" s="25">
        <v>45100</v>
      </c>
      <c r="L49" s="19">
        <v>45107</v>
      </c>
      <c r="M49" s="27">
        <v>45113</v>
      </c>
      <c r="N49" s="19">
        <v>45184</v>
      </c>
      <c r="O49" s="19">
        <f>N49</f>
        <v>45184</v>
      </c>
      <c r="P49" s="25" t="s">
        <v>96</v>
      </c>
      <c r="Q49" s="19">
        <v>45200</v>
      </c>
      <c r="R49" s="25">
        <v>45200</v>
      </c>
      <c r="S49" s="17"/>
    </row>
    <row r="50" spans="1:50" x14ac:dyDescent="0.55000000000000004">
      <c r="A50" s="21" t="s">
        <v>27</v>
      </c>
      <c r="B50" s="17" t="s">
        <v>74</v>
      </c>
      <c r="C50" s="17" t="s">
        <v>24</v>
      </c>
      <c r="D50" s="17" t="s">
        <v>50</v>
      </c>
      <c r="E50" s="18">
        <v>0</v>
      </c>
      <c r="F50" s="17" t="s">
        <v>31</v>
      </c>
      <c r="G50" s="19">
        <v>45190</v>
      </c>
      <c r="H50" s="19">
        <f>Q50</f>
        <v>45264</v>
      </c>
      <c r="I50" s="20">
        <f t="shared" ref="I50:I55" si="11">(_xlfn.DAYS(H50,G50)/7)</f>
        <v>10.571428571428571</v>
      </c>
      <c r="J50" s="19">
        <v>45243</v>
      </c>
      <c r="K50" s="19"/>
      <c r="L50" s="19">
        <v>45250</v>
      </c>
      <c r="M50" s="19"/>
      <c r="N50" s="19">
        <v>45257</v>
      </c>
      <c r="O50" s="19">
        <v>45257</v>
      </c>
      <c r="P50" s="19"/>
      <c r="Q50" s="19">
        <v>45264</v>
      </c>
      <c r="R50" s="19"/>
      <c r="S50" s="17"/>
    </row>
    <row r="51" spans="1:50" x14ac:dyDescent="0.55000000000000004">
      <c r="A51" s="21" t="s">
        <v>27</v>
      </c>
      <c r="B51" s="17" t="s">
        <v>75</v>
      </c>
      <c r="C51" s="17" t="s">
        <v>34</v>
      </c>
      <c r="D51" s="17" t="s">
        <v>38</v>
      </c>
      <c r="E51" s="18">
        <v>0.1</v>
      </c>
      <c r="F51" s="17" t="s">
        <v>79</v>
      </c>
      <c r="G51" s="19">
        <v>45231</v>
      </c>
      <c r="H51" s="19">
        <f t="shared" ref="H51:H54" si="12">Q51</f>
        <v>45264</v>
      </c>
      <c r="I51" s="20">
        <f t="shared" si="11"/>
        <v>4.7142857142857144</v>
      </c>
      <c r="J51" s="19">
        <v>45243</v>
      </c>
      <c r="K51" s="19"/>
      <c r="L51" s="19">
        <v>45250</v>
      </c>
      <c r="M51" s="19"/>
      <c r="N51" s="19">
        <v>45257</v>
      </c>
      <c r="O51" s="19">
        <v>45257</v>
      </c>
      <c r="P51" s="19"/>
      <c r="Q51" s="19">
        <v>45264</v>
      </c>
      <c r="R51" s="19"/>
      <c r="S51" s="17"/>
    </row>
    <row r="52" spans="1:50" x14ac:dyDescent="0.55000000000000004">
      <c r="A52" s="21" t="s">
        <v>27</v>
      </c>
      <c r="B52" s="17" t="s">
        <v>76</v>
      </c>
      <c r="C52" s="17" t="s">
        <v>34</v>
      </c>
      <c r="D52" s="17" t="s">
        <v>50</v>
      </c>
      <c r="E52" s="18">
        <v>0</v>
      </c>
      <c r="F52" s="17" t="s">
        <v>79</v>
      </c>
      <c r="G52" s="19">
        <v>45214</v>
      </c>
      <c r="H52" s="19">
        <f t="shared" si="12"/>
        <v>45275</v>
      </c>
      <c r="I52" s="20">
        <f t="shared" si="11"/>
        <v>8.7142857142857135</v>
      </c>
      <c r="J52" s="19">
        <v>45252</v>
      </c>
      <c r="K52" s="19"/>
      <c r="L52" s="19">
        <v>45261</v>
      </c>
      <c r="M52" s="19"/>
      <c r="N52" s="19">
        <v>45268</v>
      </c>
      <c r="O52" s="19">
        <v>45268</v>
      </c>
      <c r="P52" s="19"/>
      <c r="Q52" s="19">
        <v>45275</v>
      </c>
      <c r="R52" s="19"/>
      <c r="S52" s="17"/>
    </row>
    <row r="53" spans="1:50" x14ac:dyDescent="0.55000000000000004">
      <c r="A53" s="21" t="s">
        <v>27</v>
      </c>
      <c r="B53" s="17" t="s">
        <v>77</v>
      </c>
      <c r="C53" s="17" t="s">
        <v>34</v>
      </c>
      <c r="D53" s="17" t="s">
        <v>50</v>
      </c>
      <c r="E53" s="18">
        <v>0</v>
      </c>
      <c r="F53" s="17" t="s">
        <v>79</v>
      </c>
      <c r="G53" s="19">
        <v>45261</v>
      </c>
      <c r="H53" s="19">
        <f t="shared" si="12"/>
        <v>45289</v>
      </c>
      <c r="I53" s="20">
        <f t="shared" si="11"/>
        <v>4</v>
      </c>
      <c r="J53" s="19">
        <v>45268</v>
      </c>
      <c r="K53" s="19"/>
      <c r="L53" s="19">
        <v>45275</v>
      </c>
      <c r="M53" s="19"/>
      <c r="N53" s="19">
        <v>45278</v>
      </c>
      <c r="O53" s="19">
        <v>45278</v>
      </c>
      <c r="P53" s="19"/>
      <c r="Q53" s="19">
        <v>45289</v>
      </c>
      <c r="R53" s="19"/>
      <c r="S53" s="17"/>
    </row>
    <row r="54" spans="1:50" x14ac:dyDescent="0.55000000000000004">
      <c r="A54" s="21" t="s">
        <v>27</v>
      </c>
      <c r="B54" s="17" t="s">
        <v>78</v>
      </c>
      <c r="C54" s="17" t="s">
        <v>34</v>
      </c>
      <c r="D54" s="17" t="s">
        <v>50</v>
      </c>
      <c r="E54" s="18">
        <v>0</v>
      </c>
      <c r="F54" s="17" t="s">
        <v>79</v>
      </c>
      <c r="G54" s="19">
        <v>45261</v>
      </c>
      <c r="H54" s="19">
        <f t="shared" si="12"/>
        <v>45323</v>
      </c>
      <c r="I54" s="20">
        <f t="shared" si="11"/>
        <v>8.8571428571428577</v>
      </c>
      <c r="J54" s="19">
        <v>45299</v>
      </c>
      <c r="K54" s="19"/>
      <c r="L54" s="19">
        <v>45309</v>
      </c>
      <c r="M54" s="19"/>
      <c r="N54" s="19">
        <v>45316</v>
      </c>
      <c r="O54" s="19">
        <v>45316</v>
      </c>
      <c r="P54" s="19"/>
      <c r="Q54" s="19">
        <v>45323</v>
      </c>
      <c r="R54" s="19"/>
      <c r="S54" s="17"/>
    </row>
    <row r="55" spans="1:50" x14ac:dyDescent="0.55000000000000004">
      <c r="A55" s="22" t="s">
        <v>70</v>
      </c>
      <c r="B55" s="17" t="s">
        <v>80</v>
      </c>
      <c r="C55" s="17" t="s">
        <v>34</v>
      </c>
      <c r="D55" s="17" t="s">
        <v>50</v>
      </c>
      <c r="E55" s="18">
        <v>0</v>
      </c>
      <c r="F55" s="17" t="s">
        <v>79</v>
      </c>
      <c r="G55" s="19">
        <v>45352</v>
      </c>
      <c r="H55" s="19">
        <v>45443</v>
      </c>
      <c r="I55" s="20">
        <f t="shared" si="11"/>
        <v>13</v>
      </c>
      <c r="J55" s="19">
        <v>45422</v>
      </c>
      <c r="K55" s="19"/>
      <c r="L55" s="19">
        <v>45429</v>
      </c>
      <c r="M55" s="19"/>
      <c r="N55" s="19">
        <v>45436</v>
      </c>
      <c r="O55" s="19">
        <v>45436</v>
      </c>
      <c r="P55" s="19"/>
      <c r="Q55" s="19">
        <v>45443</v>
      </c>
      <c r="R55" s="19"/>
      <c r="S55" s="17"/>
    </row>
    <row r="56" spans="1:50" x14ac:dyDescent="0.55000000000000004">
      <c r="Q56" s="12"/>
      <c r="R56" s="12"/>
      <c r="S56" s="12"/>
    </row>
    <row r="57" spans="1:50" s="3" customFormat="1" x14ac:dyDescent="0.55000000000000004">
      <c r="A57" s="32" t="s">
        <v>81</v>
      </c>
      <c r="B57" s="32"/>
      <c r="C57" s="32"/>
      <c r="D57" s="32"/>
      <c r="E57" s="32"/>
      <c r="F57" s="32"/>
      <c r="G57" s="31" t="s">
        <v>82</v>
      </c>
      <c r="H57" s="31"/>
      <c r="I57" s="31"/>
      <c r="J57" s="32" t="s">
        <v>83</v>
      </c>
      <c r="K57" s="32"/>
      <c r="L57" s="32"/>
      <c r="M57" s="32"/>
      <c r="N57" s="32"/>
      <c r="O57" s="32"/>
      <c r="P57" s="32"/>
      <c r="Q57" s="33"/>
      <c r="R57" s="24"/>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row>
    <row r="58" spans="1:50" s="5" customFormat="1" x14ac:dyDescent="0.55000000000000004">
      <c r="A58" s="4" t="s">
        <v>4</v>
      </c>
      <c r="B58" s="4" t="s">
        <v>5</v>
      </c>
      <c r="C58" s="4"/>
      <c r="D58" s="4" t="s">
        <v>84</v>
      </c>
      <c r="E58" s="5" t="s">
        <v>7</v>
      </c>
      <c r="F58" s="5" t="s">
        <v>8</v>
      </c>
      <c r="G58" s="4" t="s">
        <v>9</v>
      </c>
      <c r="H58" s="5" t="s">
        <v>10</v>
      </c>
      <c r="I58" s="5" t="s">
        <v>85</v>
      </c>
      <c r="J58" s="5" t="s">
        <v>86</v>
      </c>
      <c r="N58" s="5" t="s">
        <v>87</v>
      </c>
      <c r="O58" s="5" t="s">
        <v>88</v>
      </c>
      <c r="Q58" s="5" t="s">
        <v>20</v>
      </c>
      <c r="S58" s="5" t="s">
        <v>20</v>
      </c>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0"/>
    </row>
    <row r="59" spans="1:50" x14ac:dyDescent="0.55000000000000004">
      <c r="A59" s="6"/>
      <c r="E59" s="9"/>
      <c r="G59" s="1"/>
      <c r="H59" s="1"/>
      <c r="Q59" s="12"/>
      <c r="R59" s="12"/>
      <c r="S59" s="12"/>
    </row>
    <row r="60" spans="1:50" x14ac:dyDescent="0.55000000000000004">
      <c r="A60" s="6"/>
      <c r="E60" s="9"/>
      <c r="G60" s="1"/>
      <c r="H60" s="1"/>
      <c r="Q60" s="12"/>
      <c r="R60" s="12"/>
      <c r="S60" s="12"/>
    </row>
    <row r="61" spans="1:50" x14ac:dyDescent="0.55000000000000004">
      <c r="A61" s="7"/>
      <c r="E61" s="9"/>
      <c r="G61" s="1"/>
      <c r="H61" s="1"/>
      <c r="Q61" s="12"/>
      <c r="R61" s="12"/>
      <c r="S61" s="12"/>
    </row>
    <row r="62" spans="1:50" x14ac:dyDescent="0.55000000000000004">
      <c r="A62" s="8"/>
      <c r="E62" s="9"/>
      <c r="G62" s="1"/>
      <c r="H62" s="1"/>
      <c r="Q62" s="12"/>
      <c r="R62" s="12"/>
      <c r="S62" s="12"/>
    </row>
    <row r="63" spans="1:50" x14ac:dyDescent="0.55000000000000004">
      <c r="Q63" s="12"/>
      <c r="R63" s="12"/>
      <c r="S63" s="12"/>
    </row>
    <row r="64" spans="1:50" x14ac:dyDescent="0.55000000000000004">
      <c r="Q64" s="12"/>
      <c r="R64" s="12"/>
      <c r="S64" s="12"/>
    </row>
    <row r="65" spans="1:50" s="3" customFormat="1" x14ac:dyDescent="0.55000000000000004">
      <c r="A65" s="32" t="s">
        <v>89</v>
      </c>
      <c r="B65" s="32"/>
      <c r="C65" s="32"/>
      <c r="D65" s="32"/>
      <c r="E65" s="32"/>
      <c r="F65" s="32"/>
      <c r="G65" s="31" t="s">
        <v>82</v>
      </c>
      <c r="H65" s="31"/>
      <c r="I65" s="31"/>
      <c r="J65" s="32" t="s">
        <v>83</v>
      </c>
      <c r="K65" s="32"/>
      <c r="L65" s="32"/>
      <c r="M65" s="32"/>
      <c r="N65" s="32"/>
      <c r="O65" s="32"/>
      <c r="P65" s="32"/>
      <c r="Q65" s="33"/>
      <c r="R65" s="24"/>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row>
    <row r="66" spans="1:50" s="5" customFormat="1" x14ac:dyDescent="0.55000000000000004">
      <c r="A66" s="4" t="s">
        <v>4</v>
      </c>
      <c r="B66" s="4" t="s">
        <v>5</v>
      </c>
      <c r="C66" s="4"/>
      <c r="D66" s="4" t="s">
        <v>84</v>
      </c>
      <c r="E66" s="5" t="s">
        <v>7</v>
      </c>
      <c r="F66" s="5" t="s">
        <v>8</v>
      </c>
      <c r="G66" s="4" t="s">
        <v>9</v>
      </c>
      <c r="H66" s="5" t="s">
        <v>10</v>
      </c>
      <c r="I66" s="5" t="s">
        <v>85</v>
      </c>
      <c r="J66" s="5" t="s">
        <v>86</v>
      </c>
      <c r="N66" s="5" t="s">
        <v>87</v>
      </c>
      <c r="O66" s="5" t="s">
        <v>88</v>
      </c>
      <c r="Q66" s="5" t="s">
        <v>20</v>
      </c>
      <c r="S66" s="5" t="s">
        <v>20</v>
      </c>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0"/>
    </row>
    <row r="67" spans="1:50" x14ac:dyDescent="0.55000000000000004">
      <c r="A67" s="6"/>
      <c r="E67" s="9"/>
      <c r="G67" s="1"/>
      <c r="H67" s="1"/>
      <c r="Q67" s="12"/>
      <c r="R67" s="12"/>
      <c r="S67" s="12"/>
    </row>
    <row r="68" spans="1:50" x14ac:dyDescent="0.55000000000000004">
      <c r="A68" s="7"/>
      <c r="E68" s="9"/>
      <c r="G68" s="1"/>
      <c r="H68" s="1"/>
      <c r="Q68" s="12"/>
      <c r="R68" s="12"/>
      <c r="S68" s="12"/>
    </row>
    <row r="69" spans="1:50" x14ac:dyDescent="0.55000000000000004">
      <c r="A69" s="8"/>
      <c r="E69" s="9"/>
      <c r="G69" s="1"/>
      <c r="H69" s="1"/>
      <c r="Q69" s="12"/>
      <c r="R69" s="12"/>
      <c r="S69" s="12"/>
    </row>
  </sheetData>
  <mergeCells count="10">
    <mergeCell ref="A1:S2"/>
    <mergeCell ref="G57:I57"/>
    <mergeCell ref="J57:Q57"/>
    <mergeCell ref="G65:I65"/>
    <mergeCell ref="J65:Q65"/>
    <mergeCell ref="G3:I3"/>
    <mergeCell ref="J3:Q3"/>
    <mergeCell ref="A3:F3"/>
    <mergeCell ref="A57:F57"/>
    <mergeCell ref="A65:F65"/>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C87112C-73D9-411F-8B77-AF341D89E970}">
          <x14:formula1>
            <xm:f>List!$A$2:$A$8</xm:f>
          </x14:formula1>
          <xm:sqref>D5:D55</xm:sqref>
        </x14:dataValidation>
        <x14:dataValidation type="list" allowBlank="1" showInputMessage="1" showErrorMessage="1" xr:uid="{4C1D92CB-A3E0-40B2-9529-0FC2CC786549}">
          <x14:formula1>
            <xm:f>List!$C$2:$C$3</xm:f>
          </x14:formula1>
          <xm:sqref>C5:C55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60ABF-7075-4910-9E76-91CB49423C7C}">
  <dimension ref="A1:AX68"/>
  <sheetViews>
    <sheetView zoomScaleNormal="100" workbookViewId="0">
      <pane xSplit="2" topLeftCell="C1" activePane="topRight" state="frozen"/>
      <selection activeCell="A4" sqref="A4"/>
      <selection pane="topRight" activeCell="B47" sqref="B47"/>
    </sheetView>
  </sheetViews>
  <sheetFormatPr defaultColWidth="8.83984375" defaultRowHeight="14.4" x14ac:dyDescent="0.55000000000000004"/>
  <cols>
    <col min="1" max="1" width="17.15625" bestFit="1" customWidth="1"/>
    <col min="2" max="2" width="52.26171875" bestFit="1" customWidth="1"/>
    <col min="3" max="3" width="13" bestFit="1" customWidth="1"/>
    <col min="4" max="4" width="21" bestFit="1" customWidth="1"/>
    <col min="5" max="5" width="13.15625" customWidth="1"/>
    <col min="6" max="6" width="26.83984375" bestFit="1" customWidth="1"/>
    <col min="7" max="7" width="15.15625" customWidth="1"/>
    <col min="8" max="8" width="16.68359375" customWidth="1"/>
    <col min="9" max="9" width="16" customWidth="1"/>
    <col min="10" max="10" width="18.41796875" customWidth="1"/>
    <col min="11" max="11" width="14.26171875" customWidth="1"/>
    <col min="12" max="12" width="18.41796875" customWidth="1"/>
    <col min="13" max="13" width="12.26171875" customWidth="1"/>
    <col min="14" max="14" width="23.83984375" customWidth="1"/>
    <col min="15" max="15" width="17.83984375" customWidth="1"/>
    <col min="16" max="16" width="10.15625" bestFit="1" customWidth="1"/>
    <col min="17" max="17" width="25.41796875" customWidth="1"/>
    <col min="18" max="18" width="20.15625" bestFit="1" customWidth="1"/>
    <col min="19" max="19" width="75.734375" bestFit="1" customWidth="1"/>
    <col min="20" max="49" width="8.83984375" style="2"/>
  </cols>
  <sheetData>
    <row r="1" spans="1:50" s="2" customFormat="1" x14ac:dyDescent="0.55000000000000004">
      <c r="A1" s="30" t="s">
        <v>0</v>
      </c>
      <c r="B1" s="30"/>
      <c r="C1" s="30"/>
      <c r="D1" s="30"/>
      <c r="E1" s="30"/>
      <c r="F1" s="30"/>
      <c r="G1" s="30"/>
      <c r="H1" s="30"/>
      <c r="I1" s="30"/>
      <c r="J1" s="30"/>
      <c r="K1" s="30"/>
      <c r="L1" s="30"/>
      <c r="M1" s="30"/>
      <c r="N1" s="30"/>
      <c r="O1" s="30"/>
      <c r="P1" s="30"/>
      <c r="Q1" s="30"/>
      <c r="R1" s="30"/>
      <c r="S1" s="30"/>
    </row>
    <row r="2" spans="1:50" s="2" customFormat="1" x14ac:dyDescent="0.55000000000000004">
      <c r="A2" s="30"/>
      <c r="B2" s="30"/>
      <c r="C2" s="30"/>
      <c r="D2" s="30"/>
      <c r="E2" s="30"/>
      <c r="F2" s="30"/>
      <c r="G2" s="30"/>
      <c r="H2" s="30"/>
      <c r="I2" s="30"/>
      <c r="J2" s="30"/>
      <c r="K2" s="30"/>
      <c r="L2" s="30"/>
      <c r="M2" s="30"/>
      <c r="N2" s="30"/>
      <c r="O2" s="30"/>
      <c r="P2" s="30"/>
      <c r="Q2" s="30"/>
      <c r="R2" s="30"/>
      <c r="S2" s="30"/>
    </row>
    <row r="3" spans="1:50" s="3" customFormat="1" x14ac:dyDescent="0.55000000000000004">
      <c r="A3" s="32" t="s">
        <v>1</v>
      </c>
      <c r="B3" s="32"/>
      <c r="C3" s="32"/>
      <c r="D3" s="32"/>
      <c r="E3" s="32"/>
      <c r="F3" s="32"/>
      <c r="G3" s="31" t="s">
        <v>2</v>
      </c>
      <c r="H3" s="31"/>
      <c r="I3" s="31"/>
      <c r="J3" s="32" t="s">
        <v>3</v>
      </c>
      <c r="K3" s="32"/>
      <c r="L3" s="32"/>
      <c r="M3" s="32"/>
      <c r="N3" s="32"/>
      <c r="O3" s="32"/>
      <c r="P3" s="32"/>
      <c r="Q3" s="33"/>
      <c r="R3" s="24"/>
      <c r="S3" s="14"/>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row>
    <row r="4" spans="1:50" s="5" customFormat="1" x14ac:dyDescent="0.55000000000000004">
      <c r="A4" s="4" t="s">
        <v>4</v>
      </c>
      <c r="B4" s="4" t="s">
        <v>5</v>
      </c>
      <c r="C4" s="4" t="s">
        <v>6</v>
      </c>
      <c r="D4" s="4" t="s">
        <v>7</v>
      </c>
      <c r="E4" s="5" t="s">
        <v>7</v>
      </c>
      <c r="F4" s="5" t="s">
        <v>8</v>
      </c>
      <c r="G4" s="4" t="s">
        <v>9</v>
      </c>
      <c r="H4" s="5" t="s">
        <v>10</v>
      </c>
      <c r="I4" s="5" t="s">
        <v>11</v>
      </c>
      <c r="J4" s="5" t="s">
        <v>12</v>
      </c>
      <c r="K4" s="5" t="s">
        <v>13</v>
      </c>
      <c r="L4" s="5" t="s">
        <v>14</v>
      </c>
      <c r="M4" s="5" t="s">
        <v>15</v>
      </c>
      <c r="N4" s="5" t="s">
        <v>16</v>
      </c>
      <c r="O4" s="5" t="s">
        <v>17</v>
      </c>
      <c r="P4" s="5" t="s">
        <v>13</v>
      </c>
      <c r="Q4" s="5" t="s">
        <v>18</v>
      </c>
      <c r="R4" s="5" t="s">
        <v>19</v>
      </c>
      <c r="S4" s="5" t="s">
        <v>20</v>
      </c>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0"/>
    </row>
    <row r="5" spans="1:50" s="15" customFormat="1" hidden="1" x14ac:dyDescent="0.55000000000000004">
      <c r="A5" s="26" t="s">
        <v>21</v>
      </c>
      <c r="B5" s="17"/>
      <c r="C5" s="17"/>
      <c r="D5" s="17"/>
      <c r="E5" s="18"/>
      <c r="F5" s="17"/>
      <c r="G5" s="19"/>
      <c r="H5" s="19"/>
      <c r="I5" s="20"/>
      <c r="J5" s="19"/>
      <c r="K5" s="19"/>
      <c r="L5" s="19"/>
      <c r="M5" s="19"/>
      <c r="N5" s="19"/>
      <c r="O5" s="19"/>
      <c r="P5" s="19"/>
      <c r="Q5" s="19"/>
      <c r="R5" s="19"/>
      <c r="S5" s="17"/>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row>
    <row r="6" spans="1:50" hidden="1" x14ac:dyDescent="0.55000000000000004">
      <c r="A6" s="16" t="s">
        <v>22</v>
      </c>
      <c r="B6" s="17" t="s">
        <v>23</v>
      </c>
      <c r="C6" s="17" t="s">
        <v>24</v>
      </c>
      <c r="D6" s="17" t="s">
        <v>92</v>
      </c>
      <c r="E6" s="18">
        <v>1</v>
      </c>
      <c r="F6" s="17" t="s">
        <v>26</v>
      </c>
      <c r="G6" s="19">
        <v>45017</v>
      </c>
      <c r="H6" s="19">
        <f>Q6</f>
        <v>45230</v>
      </c>
      <c r="I6" s="20">
        <f>(_xlfn.DAYS(H6,G6)/7)</f>
        <v>30.428571428571427</v>
      </c>
      <c r="J6" s="19">
        <v>45170</v>
      </c>
      <c r="K6" s="25">
        <v>45170</v>
      </c>
      <c r="L6" s="19">
        <v>45183</v>
      </c>
      <c r="M6" s="27">
        <v>45190</v>
      </c>
      <c r="N6" s="19">
        <v>45211</v>
      </c>
      <c r="O6" s="19">
        <f>N6</f>
        <v>45211</v>
      </c>
      <c r="P6" s="27">
        <v>45219</v>
      </c>
      <c r="Q6" s="19">
        <v>45230</v>
      </c>
      <c r="R6" s="28"/>
      <c r="S6" s="17" t="s">
        <v>95</v>
      </c>
    </row>
    <row r="7" spans="1:50" hidden="1" x14ac:dyDescent="0.55000000000000004">
      <c r="A7" s="21" t="s">
        <v>27</v>
      </c>
      <c r="B7" s="17" t="s">
        <v>28</v>
      </c>
      <c r="C7" s="17" t="s">
        <v>24</v>
      </c>
      <c r="D7" s="17" t="s">
        <v>92</v>
      </c>
      <c r="E7" s="18">
        <v>1</v>
      </c>
      <c r="F7" s="17" t="s">
        <v>26</v>
      </c>
      <c r="G7" s="19">
        <v>45017</v>
      </c>
      <c r="H7" s="19">
        <f>Q7</f>
        <v>45230</v>
      </c>
      <c r="I7" s="20">
        <f>(_xlfn.DAYS(H7,G7)/7)</f>
        <v>30.428571428571427</v>
      </c>
      <c r="J7" s="19">
        <v>45170</v>
      </c>
      <c r="K7" s="25">
        <v>45170</v>
      </c>
      <c r="L7" s="19">
        <v>45183</v>
      </c>
      <c r="M7" s="27">
        <v>45190</v>
      </c>
      <c r="N7" s="19">
        <v>45211</v>
      </c>
      <c r="O7" s="19">
        <f>N7</f>
        <v>45211</v>
      </c>
      <c r="P7" s="27">
        <v>45219</v>
      </c>
      <c r="Q7" s="19">
        <v>45230</v>
      </c>
      <c r="R7" s="28"/>
      <c r="S7" s="17" t="s">
        <v>94</v>
      </c>
    </row>
    <row r="8" spans="1:50" hidden="1" x14ac:dyDescent="0.55000000000000004">
      <c r="A8" s="21"/>
      <c r="B8" s="17"/>
      <c r="C8" s="17"/>
      <c r="D8" s="17"/>
      <c r="E8" s="18"/>
      <c r="F8" s="17"/>
      <c r="G8" s="19"/>
      <c r="H8" s="19"/>
      <c r="I8" s="20"/>
      <c r="J8" s="19"/>
      <c r="K8" s="19"/>
      <c r="L8" s="19"/>
      <c r="M8" s="19"/>
      <c r="N8" s="19"/>
      <c r="O8" s="19"/>
      <c r="P8" s="19"/>
      <c r="Q8" s="19"/>
      <c r="R8" s="19"/>
      <c r="S8" s="17"/>
    </row>
    <row r="9" spans="1:50" x14ac:dyDescent="0.55000000000000004">
      <c r="A9" s="26" t="s">
        <v>29</v>
      </c>
      <c r="B9" s="17"/>
      <c r="C9" s="17"/>
      <c r="D9" s="17"/>
      <c r="E9" s="18"/>
      <c r="F9" s="17"/>
      <c r="G9" s="19"/>
      <c r="H9" s="19"/>
      <c r="I9" s="20"/>
      <c r="J9" s="19"/>
      <c r="K9" s="19"/>
      <c r="L9" s="19"/>
      <c r="M9" s="19"/>
      <c r="N9" s="19"/>
      <c r="O9" s="19"/>
      <c r="P9" s="19"/>
      <c r="Q9" s="19"/>
      <c r="R9" s="19"/>
      <c r="S9" s="17"/>
    </row>
    <row r="10" spans="1:50" hidden="1" x14ac:dyDescent="0.55000000000000004">
      <c r="A10" s="16" t="s">
        <v>22</v>
      </c>
      <c r="B10" s="17" t="s">
        <v>30</v>
      </c>
      <c r="C10" s="17" t="s">
        <v>24</v>
      </c>
      <c r="D10" s="17" t="s">
        <v>92</v>
      </c>
      <c r="E10" s="18">
        <v>1</v>
      </c>
      <c r="F10" s="17" t="s">
        <v>31</v>
      </c>
      <c r="G10" s="19">
        <v>45139</v>
      </c>
      <c r="H10" s="19">
        <f>Q10</f>
        <v>45195</v>
      </c>
      <c r="I10" s="20">
        <f>(_xlfn.DAYS(H10,G10)/7)</f>
        <v>8</v>
      </c>
      <c r="J10" s="19">
        <v>45170</v>
      </c>
      <c r="K10" s="25">
        <v>45170</v>
      </c>
      <c r="L10" s="19">
        <v>45177</v>
      </c>
      <c r="M10" s="25">
        <v>45177</v>
      </c>
      <c r="N10" s="19">
        <v>45187</v>
      </c>
      <c r="O10" s="19">
        <v>45187</v>
      </c>
      <c r="P10" s="25">
        <v>45181</v>
      </c>
      <c r="Q10" s="19">
        <v>45195</v>
      </c>
      <c r="R10" s="28"/>
      <c r="S10" s="17" t="s">
        <v>32</v>
      </c>
    </row>
    <row r="11" spans="1:50" hidden="1" x14ac:dyDescent="0.55000000000000004">
      <c r="A11" s="16" t="s">
        <v>22</v>
      </c>
      <c r="B11" s="17" t="s">
        <v>33</v>
      </c>
      <c r="C11" s="17" t="s">
        <v>34</v>
      </c>
      <c r="D11" s="17" t="s">
        <v>93</v>
      </c>
      <c r="E11" s="18">
        <v>1</v>
      </c>
      <c r="F11" s="17" t="s">
        <v>31</v>
      </c>
      <c r="G11" s="19">
        <v>45017</v>
      </c>
      <c r="H11" s="19">
        <f t="shared" ref="H11:H19" si="0">Q11</f>
        <v>45226</v>
      </c>
      <c r="I11" s="20">
        <f>(_xlfn.DAYS(H11,G11)/7)</f>
        <v>29.857142857142858</v>
      </c>
      <c r="J11" s="19">
        <v>45180</v>
      </c>
      <c r="K11" s="25">
        <v>45180</v>
      </c>
      <c r="L11" s="19">
        <v>45187</v>
      </c>
      <c r="M11" s="25" t="s">
        <v>96</v>
      </c>
      <c r="N11" s="19">
        <v>45200</v>
      </c>
      <c r="O11" s="19">
        <v>45200</v>
      </c>
      <c r="P11" s="27">
        <v>45219</v>
      </c>
      <c r="Q11" s="19">
        <v>45226</v>
      </c>
      <c r="R11" s="25">
        <v>45226</v>
      </c>
      <c r="S11" s="17" t="s">
        <v>98</v>
      </c>
    </row>
    <row r="12" spans="1:50" hidden="1" x14ac:dyDescent="0.55000000000000004">
      <c r="A12" s="16" t="s">
        <v>22</v>
      </c>
      <c r="B12" s="17" t="s">
        <v>35</v>
      </c>
      <c r="C12" s="17" t="s">
        <v>24</v>
      </c>
      <c r="D12" s="17" t="s">
        <v>92</v>
      </c>
      <c r="E12" s="18">
        <v>1</v>
      </c>
      <c r="F12" s="17" t="s">
        <v>31</v>
      </c>
      <c r="G12" s="19">
        <v>45166</v>
      </c>
      <c r="H12" s="19">
        <f t="shared" si="0"/>
        <v>45226</v>
      </c>
      <c r="I12" s="20">
        <f>(_xlfn.DAYS(H12,G12)/7)</f>
        <v>8.5714285714285712</v>
      </c>
      <c r="J12" s="19">
        <v>45180</v>
      </c>
      <c r="K12" s="25">
        <v>45180</v>
      </c>
      <c r="L12" s="19">
        <v>45187</v>
      </c>
      <c r="M12" s="25" t="s">
        <v>96</v>
      </c>
      <c r="N12" s="19">
        <v>45200</v>
      </c>
      <c r="O12" s="19">
        <v>45200</v>
      </c>
      <c r="P12" s="27">
        <v>45219</v>
      </c>
      <c r="Q12" s="19">
        <v>45226</v>
      </c>
      <c r="R12" s="28"/>
      <c r="S12" s="17" t="s">
        <v>98</v>
      </c>
    </row>
    <row r="13" spans="1:50" hidden="1" x14ac:dyDescent="0.55000000000000004">
      <c r="A13" s="16" t="s">
        <v>22</v>
      </c>
      <c r="B13" s="17" t="s">
        <v>36</v>
      </c>
      <c r="C13" s="17" t="s">
        <v>24</v>
      </c>
      <c r="D13" s="17" t="s">
        <v>93</v>
      </c>
      <c r="E13" s="18">
        <v>1</v>
      </c>
      <c r="F13" s="17" t="s">
        <v>31</v>
      </c>
      <c r="G13" s="19">
        <v>45166</v>
      </c>
      <c r="H13" s="19">
        <f t="shared" si="0"/>
        <v>45230</v>
      </c>
      <c r="I13" s="20">
        <f>(_xlfn.DAYS(H13,G13)/7)</f>
        <v>9.1428571428571423</v>
      </c>
      <c r="J13" s="19">
        <v>45180</v>
      </c>
      <c r="K13" s="25">
        <v>45180</v>
      </c>
      <c r="L13" s="19">
        <v>45187</v>
      </c>
      <c r="M13" s="27">
        <v>45215</v>
      </c>
      <c r="N13" s="19">
        <v>45222</v>
      </c>
      <c r="O13" s="19">
        <v>45222</v>
      </c>
      <c r="P13" s="25">
        <v>45222</v>
      </c>
      <c r="Q13" s="19">
        <v>45230</v>
      </c>
      <c r="R13" s="25">
        <v>45229</v>
      </c>
      <c r="S13" s="17" t="s">
        <v>99</v>
      </c>
    </row>
    <row r="14" spans="1:50" x14ac:dyDescent="0.55000000000000004">
      <c r="A14" s="16" t="s">
        <v>22</v>
      </c>
      <c r="B14" s="29" t="s">
        <v>37</v>
      </c>
      <c r="C14" s="17" t="s">
        <v>34</v>
      </c>
      <c r="D14" s="17" t="s">
        <v>38</v>
      </c>
      <c r="E14" s="18">
        <v>0</v>
      </c>
      <c r="F14" s="17" t="s">
        <v>31</v>
      </c>
      <c r="G14" s="19">
        <v>45174</v>
      </c>
      <c r="H14" s="19">
        <f t="shared" si="0"/>
        <v>45251</v>
      </c>
      <c r="I14" s="20">
        <f t="shared" ref="I14:I15" si="1">(_xlfn.DAYS(H14,G14)/7)</f>
        <v>11</v>
      </c>
      <c r="J14" s="19">
        <v>45230</v>
      </c>
      <c r="K14" s="19"/>
      <c r="L14" s="19">
        <v>45237</v>
      </c>
      <c r="M14" s="19"/>
      <c r="N14" s="19">
        <v>45244</v>
      </c>
      <c r="O14" s="19">
        <f>N14</f>
        <v>45244</v>
      </c>
      <c r="P14" s="19"/>
      <c r="Q14" s="19">
        <v>45251</v>
      </c>
      <c r="R14" s="19"/>
      <c r="S14" s="17"/>
    </row>
    <row r="15" spans="1:50" x14ac:dyDescent="0.55000000000000004">
      <c r="A15" s="16" t="s">
        <v>22</v>
      </c>
      <c r="B15" s="29" t="s">
        <v>39</v>
      </c>
      <c r="C15" s="17" t="s">
        <v>34</v>
      </c>
      <c r="D15" s="17" t="s">
        <v>38</v>
      </c>
      <c r="E15" s="18">
        <v>0</v>
      </c>
      <c r="F15" s="17" t="s">
        <v>31</v>
      </c>
      <c r="G15" s="19">
        <v>45174</v>
      </c>
      <c r="H15" s="19">
        <f t="shared" si="0"/>
        <v>45251</v>
      </c>
      <c r="I15" s="20">
        <f t="shared" si="1"/>
        <v>11</v>
      </c>
      <c r="J15" s="19">
        <v>45230</v>
      </c>
      <c r="K15" s="19"/>
      <c r="L15" s="19">
        <v>45237</v>
      </c>
      <c r="M15" s="19"/>
      <c r="N15" s="19">
        <v>45244</v>
      </c>
      <c r="O15" s="19">
        <f>N15</f>
        <v>45244</v>
      </c>
      <c r="P15" s="19"/>
      <c r="Q15" s="19">
        <v>45251</v>
      </c>
      <c r="R15" s="19"/>
      <c r="S15" s="17"/>
    </row>
    <row r="16" spans="1:50" hidden="1" x14ac:dyDescent="0.55000000000000004">
      <c r="A16" s="16" t="s">
        <v>22</v>
      </c>
      <c r="B16" s="17" t="s">
        <v>40</v>
      </c>
      <c r="C16" s="17" t="s">
        <v>24</v>
      </c>
      <c r="D16" s="17" t="s">
        <v>93</v>
      </c>
      <c r="E16" s="18">
        <v>1</v>
      </c>
      <c r="F16" s="17" t="s">
        <v>31</v>
      </c>
      <c r="G16" s="19">
        <v>45017</v>
      </c>
      <c r="H16" s="19">
        <f t="shared" si="0"/>
        <v>45195</v>
      </c>
      <c r="I16" s="20">
        <f>(_xlfn.DAYS(H16,G16)/7)</f>
        <v>25.428571428571427</v>
      </c>
      <c r="J16" s="19">
        <v>45170</v>
      </c>
      <c r="K16" s="25">
        <v>45170</v>
      </c>
      <c r="L16" s="19">
        <v>45177</v>
      </c>
      <c r="M16" s="25">
        <v>45177</v>
      </c>
      <c r="N16" s="19">
        <v>45187</v>
      </c>
      <c r="O16" s="19">
        <v>45187</v>
      </c>
      <c r="P16" s="25">
        <v>45181</v>
      </c>
      <c r="Q16" s="19">
        <v>45195</v>
      </c>
      <c r="R16" s="27">
        <v>45214</v>
      </c>
      <c r="S16" s="17" t="s">
        <v>32</v>
      </c>
    </row>
    <row r="17" spans="1:19" hidden="1" x14ac:dyDescent="0.55000000000000004">
      <c r="A17" s="16" t="s">
        <v>22</v>
      </c>
      <c r="B17" s="17" t="s">
        <v>41</v>
      </c>
      <c r="C17" s="17" t="s">
        <v>24</v>
      </c>
      <c r="D17" s="17" t="s">
        <v>92</v>
      </c>
      <c r="E17" s="18">
        <v>1</v>
      </c>
      <c r="F17" s="17" t="s">
        <v>31</v>
      </c>
      <c r="G17" s="19">
        <v>45017</v>
      </c>
      <c r="H17" s="19">
        <f t="shared" si="0"/>
        <v>45230</v>
      </c>
      <c r="I17" s="20">
        <f>(_xlfn.DAYS(H17,G17)/7)</f>
        <v>30.428571428571427</v>
      </c>
      <c r="J17" s="19">
        <v>45180</v>
      </c>
      <c r="K17" s="25">
        <v>45180</v>
      </c>
      <c r="L17" s="19">
        <v>45187</v>
      </c>
      <c r="M17" s="25">
        <v>45187</v>
      </c>
      <c r="N17" s="19">
        <v>45211</v>
      </c>
      <c r="O17" s="19">
        <f>N17</f>
        <v>45211</v>
      </c>
      <c r="P17" s="27">
        <v>45219</v>
      </c>
      <c r="Q17" s="19">
        <v>45230</v>
      </c>
      <c r="R17" s="28"/>
      <c r="S17" s="17" t="s">
        <v>32</v>
      </c>
    </row>
    <row r="18" spans="1:19" hidden="1" x14ac:dyDescent="0.55000000000000004">
      <c r="A18" s="16" t="s">
        <v>22</v>
      </c>
      <c r="B18" s="17" t="s">
        <v>42</v>
      </c>
      <c r="C18" s="17" t="s">
        <v>34</v>
      </c>
      <c r="D18" s="17" t="s">
        <v>92</v>
      </c>
      <c r="E18" s="18">
        <v>1</v>
      </c>
      <c r="F18" s="17" t="s">
        <v>43</v>
      </c>
      <c r="G18" s="19">
        <v>45017</v>
      </c>
      <c r="H18" s="19">
        <f t="shared" si="0"/>
        <v>45279</v>
      </c>
      <c r="I18" s="20">
        <f>(_xlfn.DAYS(H18,G18)/7)</f>
        <v>37.428571428571431</v>
      </c>
      <c r="J18" s="19">
        <v>45247</v>
      </c>
      <c r="K18" s="25">
        <v>45247</v>
      </c>
      <c r="L18" s="19">
        <v>45260</v>
      </c>
      <c r="M18" s="25">
        <v>45260</v>
      </c>
      <c r="N18" s="19">
        <v>45267</v>
      </c>
      <c r="O18" s="19">
        <f>N18</f>
        <v>45267</v>
      </c>
      <c r="P18" s="27">
        <v>45272</v>
      </c>
      <c r="Q18" s="19">
        <v>45279</v>
      </c>
      <c r="R18" s="28"/>
      <c r="S18" s="17" t="s">
        <v>104</v>
      </c>
    </row>
    <row r="19" spans="1:19" hidden="1" x14ac:dyDescent="0.55000000000000004">
      <c r="A19" s="21" t="s">
        <v>27</v>
      </c>
      <c r="B19" s="17" t="s">
        <v>44</v>
      </c>
      <c r="C19" s="17" t="s">
        <v>34</v>
      </c>
      <c r="D19" s="17" t="s">
        <v>38</v>
      </c>
      <c r="E19" s="18">
        <v>0.1</v>
      </c>
      <c r="F19" s="17" t="s">
        <v>45</v>
      </c>
      <c r="G19" s="19">
        <v>45078</v>
      </c>
      <c r="H19" s="19">
        <f t="shared" si="0"/>
        <v>45336</v>
      </c>
      <c r="I19" s="20">
        <f>(_xlfn.DAYS(H19,G19)/7)</f>
        <v>36.857142857142854</v>
      </c>
      <c r="J19" s="19">
        <v>45289</v>
      </c>
      <c r="K19" s="19"/>
      <c r="L19" s="19">
        <v>45303</v>
      </c>
      <c r="M19" s="19"/>
      <c r="N19" s="19">
        <v>45322</v>
      </c>
      <c r="O19" s="19">
        <v>45322</v>
      </c>
      <c r="P19" s="19"/>
      <c r="Q19" s="19">
        <v>45336</v>
      </c>
      <c r="R19" s="19"/>
      <c r="S19" s="17"/>
    </row>
    <row r="20" spans="1:19" x14ac:dyDescent="0.55000000000000004">
      <c r="A20" s="16"/>
      <c r="B20" s="17"/>
      <c r="C20" s="17"/>
      <c r="D20" s="17"/>
      <c r="E20" s="18"/>
      <c r="F20" s="17"/>
      <c r="G20" s="19"/>
      <c r="H20" s="19"/>
      <c r="I20" s="20"/>
      <c r="J20" s="19"/>
      <c r="K20" s="19"/>
      <c r="L20" s="19"/>
      <c r="M20" s="19"/>
      <c r="N20" s="19"/>
      <c r="O20" s="19"/>
      <c r="P20" s="19"/>
      <c r="Q20" s="19"/>
      <c r="R20" s="19"/>
      <c r="S20" s="17"/>
    </row>
    <row r="21" spans="1:19" x14ac:dyDescent="0.55000000000000004">
      <c r="A21" s="26" t="s">
        <v>46</v>
      </c>
      <c r="B21" s="17"/>
      <c r="C21" s="17"/>
      <c r="D21" s="17"/>
      <c r="E21" s="18"/>
      <c r="F21" s="17"/>
      <c r="G21" s="19"/>
      <c r="H21" s="19"/>
      <c r="I21" s="20"/>
      <c r="J21" s="19"/>
      <c r="K21" s="19"/>
      <c r="L21" s="19"/>
      <c r="M21" s="19"/>
      <c r="N21" s="19"/>
      <c r="O21" s="19"/>
      <c r="P21" s="19"/>
      <c r="Q21" s="19"/>
      <c r="R21" s="19"/>
      <c r="S21" s="17"/>
    </row>
    <row r="22" spans="1:19" hidden="1" x14ac:dyDescent="0.55000000000000004">
      <c r="A22" s="21" t="s">
        <v>27</v>
      </c>
      <c r="B22" s="17" t="s">
        <v>47</v>
      </c>
      <c r="C22" s="17" t="s">
        <v>34</v>
      </c>
      <c r="D22" s="17" t="s">
        <v>93</v>
      </c>
      <c r="E22" s="18">
        <v>1</v>
      </c>
      <c r="F22" s="17" t="s">
        <v>48</v>
      </c>
      <c r="G22" s="19">
        <v>45097</v>
      </c>
      <c r="H22" s="19">
        <f>Q22</f>
        <v>45226</v>
      </c>
      <c r="I22" s="20">
        <f>(_xlfn.DAYS(H22,G22)/7)</f>
        <v>18.428571428571427</v>
      </c>
      <c r="J22" s="19">
        <v>45117</v>
      </c>
      <c r="K22" s="25">
        <v>45117</v>
      </c>
      <c r="L22" s="19">
        <v>45124</v>
      </c>
      <c r="M22" s="25">
        <v>45124</v>
      </c>
      <c r="N22" s="19">
        <v>45135</v>
      </c>
      <c r="O22" s="19">
        <v>45219</v>
      </c>
      <c r="P22" s="25">
        <v>45219</v>
      </c>
      <c r="Q22" s="19">
        <v>45226</v>
      </c>
      <c r="R22" s="25">
        <v>45226</v>
      </c>
      <c r="S22" s="17"/>
    </row>
    <row r="23" spans="1:19" hidden="1" x14ac:dyDescent="0.55000000000000004">
      <c r="A23" s="21" t="s">
        <v>27</v>
      </c>
      <c r="B23" s="17" t="s">
        <v>49</v>
      </c>
      <c r="C23" s="17" t="s">
        <v>34</v>
      </c>
      <c r="D23" s="17" t="s">
        <v>92</v>
      </c>
      <c r="E23" s="18">
        <v>1</v>
      </c>
      <c r="F23" s="17" t="s">
        <v>31</v>
      </c>
      <c r="G23" s="19">
        <v>45214</v>
      </c>
      <c r="H23" s="19">
        <f t="shared" ref="H23:H28" si="2">Q23</f>
        <v>45279</v>
      </c>
      <c r="I23" s="20">
        <f t="shared" ref="I23:I45" si="3">(_xlfn.DAYS(H23,G23)/7)</f>
        <v>9.2857142857142865</v>
      </c>
      <c r="J23" s="19">
        <v>45245</v>
      </c>
      <c r="K23" s="27">
        <v>45247</v>
      </c>
      <c r="L23" s="19">
        <v>45260</v>
      </c>
      <c r="M23" s="25">
        <v>45260</v>
      </c>
      <c r="N23" s="19">
        <v>45267</v>
      </c>
      <c r="O23" s="19">
        <f>N23</f>
        <v>45267</v>
      </c>
      <c r="P23" s="27">
        <v>45272</v>
      </c>
      <c r="Q23" s="19">
        <v>45279</v>
      </c>
      <c r="R23" s="28"/>
      <c r="S23" s="17" t="s">
        <v>94</v>
      </c>
    </row>
    <row r="24" spans="1:19" hidden="1" x14ac:dyDescent="0.55000000000000004">
      <c r="A24" s="21" t="s">
        <v>27</v>
      </c>
      <c r="B24" s="17" t="s">
        <v>51</v>
      </c>
      <c r="C24" s="17" t="s">
        <v>34</v>
      </c>
      <c r="D24" s="17" t="s">
        <v>92</v>
      </c>
      <c r="E24" s="18">
        <v>1</v>
      </c>
      <c r="F24" s="17" t="s">
        <v>31</v>
      </c>
      <c r="G24" s="19">
        <v>45214</v>
      </c>
      <c r="H24" s="19">
        <f t="shared" si="2"/>
        <v>45279</v>
      </c>
      <c r="I24" s="20">
        <f t="shared" si="3"/>
        <v>9.2857142857142865</v>
      </c>
      <c r="J24" s="19">
        <v>45245</v>
      </c>
      <c r="K24" s="27">
        <v>45247</v>
      </c>
      <c r="L24" s="19">
        <v>45260</v>
      </c>
      <c r="M24" s="25">
        <v>45260</v>
      </c>
      <c r="N24" s="19">
        <v>45267</v>
      </c>
      <c r="O24" s="19">
        <f>N24</f>
        <v>45267</v>
      </c>
      <c r="P24" s="27">
        <v>45272</v>
      </c>
      <c r="Q24" s="19">
        <v>45279</v>
      </c>
      <c r="R24" s="28"/>
      <c r="S24" s="17" t="s">
        <v>94</v>
      </c>
    </row>
    <row r="25" spans="1:19" x14ac:dyDescent="0.55000000000000004">
      <c r="A25" s="21" t="s">
        <v>27</v>
      </c>
      <c r="B25" s="17" t="s">
        <v>52</v>
      </c>
      <c r="C25" s="17" t="s">
        <v>34</v>
      </c>
      <c r="D25" s="17" t="s">
        <v>38</v>
      </c>
      <c r="E25" s="18">
        <v>0</v>
      </c>
      <c r="F25" s="17" t="s">
        <v>31</v>
      </c>
      <c r="G25" s="19">
        <v>45231</v>
      </c>
      <c r="H25" s="19">
        <f t="shared" si="2"/>
        <v>45279</v>
      </c>
      <c r="I25" s="20">
        <f t="shared" si="3"/>
        <v>6.8571428571428568</v>
      </c>
      <c r="J25" s="19">
        <v>45247</v>
      </c>
      <c r="K25" s="19"/>
      <c r="L25" s="19">
        <v>45260</v>
      </c>
      <c r="M25" s="19"/>
      <c r="N25" s="19">
        <v>45268</v>
      </c>
      <c r="O25" s="19">
        <v>45268</v>
      </c>
      <c r="P25" s="19"/>
      <c r="Q25" s="19">
        <v>45279</v>
      </c>
      <c r="R25" s="19"/>
      <c r="S25" s="17"/>
    </row>
    <row r="26" spans="1:19" x14ac:dyDescent="0.55000000000000004">
      <c r="A26" s="21" t="s">
        <v>27</v>
      </c>
      <c r="B26" s="17" t="s">
        <v>100</v>
      </c>
      <c r="C26" s="17" t="s">
        <v>34</v>
      </c>
      <c r="D26" s="17" t="s">
        <v>38</v>
      </c>
      <c r="E26" s="18">
        <v>0</v>
      </c>
      <c r="F26" s="17" t="s">
        <v>31</v>
      </c>
      <c r="G26" s="19">
        <v>45231</v>
      </c>
      <c r="H26" s="19">
        <f t="shared" si="2"/>
        <v>45279</v>
      </c>
      <c r="I26" s="20">
        <f t="shared" si="3"/>
        <v>6.8571428571428568</v>
      </c>
      <c r="J26" s="19">
        <v>45247</v>
      </c>
      <c r="K26" s="19"/>
      <c r="L26" s="19">
        <v>45260</v>
      </c>
      <c r="M26" s="19"/>
      <c r="N26" s="19">
        <v>45268</v>
      </c>
      <c r="O26" s="19">
        <v>45268</v>
      </c>
      <c r="P26" s="19"/>
      <c r="Q26" s="19">
        <v>45279</v>
      </c>
      <c r="R26" s="19"/>
      <c r="S26" s="17"/>
    </row>
    <row r="27" spans="1:19" hidden="1" x14ac:dyDescent="0.55000000000000004">
      <c r="A27" s="21" t="s">
        <v>27</v>
      </c>
      <c r="B27" s="17" t="s">
        <v>101</v>
      </c>
      <c r="C27" s="17" t="s">
        <v>34</v>
      </c>
      <c r="D27" s="17" t="s">
        <v>92</v>
      </c>
      <c r="E27" s="18">
        <v>1</v>
      </c>
      <c r="F27" s="17" t="s">
        <v>31</v>
      </c>
      <c r="G27" s="19">
        <v>45231</v>
      </c>
      <c r="H27" s="19">
        <f t="shared" si="2"/>
        <v>45279</v>
      </c>
      <c r="I27" s="20">
        <f t="shared" si="3"/>
        <v>6.8571428571428568</v>
      </c>
      <c r="J27" s="19">
        <v>45247</v>
      </c>
      <c r="K27" s="25">
        <v>45247</v>
      </c>
      <c r="L27" s="19">
        <v>45260</v>
      </c>
      <c r="M27" s="25">
        <v>45260</v>
      </c>
      <c r="N27" s="19">
        <v>45268</v>
      </c>
      <c r="O27" s="19">
        <v>45268</v>
      </c>
      <c r="P27" s="27">
        <v>45272</v>
      </c>
      <c r="Q27" s="19">
        <v>45279</v>
      </c>
      <c r="R27" s="28"/>
      <c r="S27" s="17" t="s">
        <v>102</v>
      </c>
    </row>
    <row r="28" spans="1:19" hidden="1" x14ac:dyDescent="0.55000000000000004">
      <c r="A28" s="21" t="s">
        <v>27</v>
      </c>
      <c r="B28" s="17" t="s">
        <v>53</v>
      </c>
      <c r="C28" s="17" t="s">
        <v>34</v>
      </c>
      <c r="D28" s="17" t="s">
        <v>92</v>
      </c>
      <c r="E28" s="18">
        <v>1</v>
      </c>
      <c r="F28" s="17" t="s">
        <v>31</v>
      </c>
      <c r="G28" s="19">
        <v>45231</v>
      </c>
      <c r="H28" s="19">
        <f t="shared" si="2"/>
        <v>45279</v>
      </c>
      <c r="I28" s="20">
        <f t="shared" si="3"/>
        <v>6.8571428571428568</v>
      </c>
      <c r="J28" s="19">
        <v>45247</v>
      </c>
      <c r="K28" s="25">
        <v>45247</v>
      </c>
      <c r="L28" s="19">
        <v>45260</v>
      </c>
      <c r="M28" s="25">
        <v>45260</v>
      </c>
      <c r="N28" s="19">
        <v>45268</v>
      </c>
      <c r="O28" s="19">
        <v>45268</v>
      </c>
      <c r="P28" s="27">
        <v>45272</v>
      </c>
      <c r="Q28" s="19">
        <v>45279</v>
      </c>
      <c r="R28" s="28"/>
      <c r="S28" s="17" t="s">
        <v>103</v>
      </c>
    </row>
    <row r="29" spans="1:19" x14ac:dyDescent="0.55000000000000004">
      <c r="A29" s="21"/>
      <c r="B29" s="17"/>
      <c r="C29" s="17"/>
      <c r="D29" s="17"/>
      <c r="E29" s="18"/>
      <c r="F29" s="17"/>
      <c r="G29" s="19"/>
      <c r="H29" s="19"/>
      <c r="I29" s="20"/>
      <c r="J29" s="19"/>
      <c r="K29" s="19"/>
      <c r="L29" s="19"/>
      <c r="M29" s="19"/>
      <c r="N29" s="19"/>
      <c r="O29" s="19"/>
      <c r="P29" s="19"/>
      <c r="Q29" s="19"/>
      <c r="R29" s="19"/>
      <c r="S29" s="17"/>
    </row>
    <row r="30" spans="1:19" x14ac:dyDescent="0.55000000000000004">
      <c r="A30" s="26" t="s">
        <v>54</v>
      </c>
      <c r="B30" s="17"/>
      <c r="C30" s="17"/>
      <c r="D30" s="17"/>
      <c r="E30" s="18"/>
      <c r="F30" s="17"/>
      <c r="G30" s="19"/>
      <c r="H30" s="19"/>
      <c r="I30" s="20"/>
      <c r="J30" s="19"/>
      <c r="K30" s="19"/>
      <c r="L30" s="19"/>
      <c r="M30" s="19"/>
      <c r="N30" s="19"/>
      <c r="O30" s="19"/>
      <c r="P30" s="19"/>
      <c r="Q30" s="19"/>
      <c r="R30" s="19"/>
      <c r="S30" s="17"/>
    </row>
    <row r="31" spans="1:19" x14ac:dyDescent="0.55000000000000004">
      <c r="A31" s="16" t="s">
        <v>22</v>
      </c>
      <c r="B31" s="29" t="s">
        <v>55</v>
      </c>
      <c r="C31" s="17" t="s">
        <v>24</v>
      </c>
      <c r="D31" s="17" t="s">
        <v>50</v>
      </c>
      <c r="E31" s="18">
        <v>0</v>
      </c>
      <c r="F31" s="17" t="s">
        <v>31</v>
      </c>
      <c r="G31" s="19">
        <v>45174</v>
      </c>
      <c r="H31" s="19">
        <f>Q31</f>
        <v>45245</v>
      </c>
      <c r="I31" s="20">
        <f>(_xlfn.DAYS(H31,G31)/7)</f>
        <v>10.142857142857142</v>
      </c>
      <c r="J31" s="19">
        <v>45224</v>
      </c>
      <c r="K31" s="19"/>
      <c r="L31" s="19">
        <v>45231</v>
      </c>
      <c r="M31" s="19"/>
      <c r="N31" s="19">
        <v>45238</v>
      </c>
      <c r="O31" s="19">
        <v>45238</v>
      </c>
      <c r="P31" s="19"/>
      <c r="Q31" s="19">
        <v>45245</v>
      </c>
      <c r="R31" s="19"/>
      <c r="S31" s="17"/>
    </row>
    <row r="32" spans="1:19" hidden="1" x14ac:dyDescent="0.55000000000000004">
      <c r="A32" s="16" t="s">
        <v>22</v>
      </c>
      <c r="B32" s="17" t="s">
        <v>56</v>
      </c>
      <c r="C32" s="17" t="s">
        <v>24</v>
      </c>
      <c r="D32" s="17" t="s">
        <v>93</v>
      </c>
      <c r="E32" s="18">
        <v>1</v>
      </c>
      <c r="F32" s="17" t="s">
        <v>31</v>
      </c>
      <c r="G32" s="19">
        <v>45078</v>
      </c>
      <c r="H32" s="19">
        <f>Q32</f>
        <v>45200</v>
      </c>
      <c r="I32" s="20">
        <f t="shared" ref="I32:I35" si="4">(_xlfn.DAYS(H32,G32)/7)</f>
        <v>17.428571428571427</v>
      </c>
      <c r="J32" s="19">
        <v>45103</v>
      </c>
      <c r="K32" s="25">
        <v>45103</v>
      </c>
      <c r="L32" s="19">
        <v>45107</v>
      </c>
      <c r="M32" s="25">
        <v>45107</v>
      </c>
      <c r="N32" s="19">
        <v>45184</v>
      </c>
      <c r="O32" s="19">
        <f>N32</f>
        <v>45184</v>
      </c>
      <c r="P32" s="25" t="s">
        <v>96</v>
      </c>
      <c r="Q32" s="19">
        <v>45200</v>
      </c>
      <c r="R32" s="25">
        <v>45200</v>
      </c>
      <c r="S32" s="17"/>
    </row>
    <row r="33" spans="1:19" x14ac:dyDescent="0.55000000000000004">
      <c r="A33" s="16" t="s">
        <v>22</v>
      </c>
      <c r="B33" s="29" t="s">
        <v>57</v>
      </c>
      <c r="C33" s="17" t="s">
        <v>24</v>
      </c>
      <c r="D33" s="17" t="s">
        <v>50</v>
      </c>
      <c r="E33" s="18">
        <v>0</v>
      </c>
      <c r="F33" s="17" t="s">
        <v>31</v>
      </c>
      <c r="G33" s="19">
        <v>45174</v>
      </c>
      <c r="H33" s="19">
        <f t="shared" ref="H33:H45" si="5">Q33</f>
        <v>45245</v>
      </c>
      <c r="I33" s="20">
        <f t="shared" si="4"/>
        <v>10.142857142857142</v>
      </c>
      <c r="J33" s="19">
        <v>45224</v>
      </c>
      <c r="K33" s="19"/>
      <c r="L33" s="19">
        <v>45231</v>
      </c>
      <c r="M33" s="19"/>
      <c r="N33" s="19">
        <v>45238</v>
      </c>
      <c r="O33" s="19">
        <v>45238</v>
      </c>
      <c r="P33" s="19"/>
      <c r="Q33" s="19">
        <v>45245</v>
      </c>
      <c r="R33" s="19"/>
      <c r="S33" s="17"/>
    </row>
    <row r="34" spans="1:19" x14ac:dyDescent="0.55000000000000004">
      <c r="A34" s="16" t="s">
        <v>22</v>
      </c>
      <c r="B34" s="29" t="s">
        <v>58</v>
      </c>
      <c r="C34" s="17" t="s">
        <v>24</v>
      </c>
      <c r="D34" s="17" t="s">
        <v>38</v>
      </c>
      <c r="E34" s="18">
        <v>0.85</v>
      </c>
      <c r="F34" s="17" t="s">
        <v>59</v>
      </c>
      <c r="G34" s="19">
        <v>45174</v>
      </c>
      <c r="H34" s="19">
        <f t="shared" si="5"/>
        <v>45245</v>
      </c>
      <c r="I34" s="20">
        <f t="shared" si="4"/>
        <v>10.142857142857142</v>
      </c>
      <c r="J34" s="19">
        <v>45224</v>
      </c>
      <c r="K34" s="19"/>
      <c r="L34" s="19">
        <v>45231</v>
      </c>
      <c r="M34" s="19"/>
      <c r="N34" s="19">
        <v>45238</v>
      </c>
      <c r="O34" s="19">
        <v>45238</v>
      </c>
      <c r="P34" s="19"/>
      <c r="Q34" s="19">
        <v>45245</v>
      </c>
      <c r="R34" s="19"/>
      <c r="S34" s="17"/>
    </row>
    <row r="35" spans="1:19" hidden="1" x14ac:dyDescent="0.55000000000000004">
      <c r="A35" s="21" t="s">
        <v>27</v>
      </c>
      <c r="B35" s="17" t="s">
        <v>60</v>
      </c>
      <c r="C35" s="17" t="s">
        <v>34</v>
      </c>
      <c r="D35" s="17" t="s">
        <v>50</v>
      </c>
      <c r="E35" s="18">
        <v>0</v>
      </c>
      <c r="F35" s="17" t="s">
        <v>59</v>
      </c>
      <c r="G35" s="19">
        <v>45180</v>
      </c>
      <c r="H35" s="19">
        <f t="shared" si="5"/>
        <v>45264</v>
      </c>
      <c r="I35" s="20">
        <f t="shared" si="4"/>
        <v>12</v>
      </c>
      <c r="J35" s="19">
        <v>45245</v>
      </c>
      <c r="K35" s="19"/>
      <c r="L35" s="19">
        <v>45252</v>
      </c>
      <c r="M35" s="19"/>
      <c r="N35" s="19">
        <v>45257</v>
      </c>
      <c r="O35" s="19">
        <v>45257</v>
      </c>
      <c r="P35" s="19"/>
      <c r="Q35" s="19">
        <v>45264</v>
      </c>
      <c r="R35" s="19"/>
      <c r="S35" s="17"/>
    </row>
    <row r="36" spans="1:19" hidden="1" x14ac:dyDescent="0.55000000000000004">
      <c r="A36" s="21" t="s">
        <v>27</v>
      </c>
      <c r="B36" s="17" t="s">
        <v>61</v>
      </c>
      <c r="C36" s="17" t="s">
        <v>24</v>
      </c>
      <c r="D36" s="17" t="s">
        <v>38</v>
      </c>
      <c r="E36" s="18">
        <v>0.1</v>
      </c>
      <c r="F36" s="17" t="s">
        <v>62</v>
      </c>
      <c r="G36" s="19">
        <v>45104</v>
      </c>
      <c r="H36" s="19">
        <f t="shared" si="5"/>
        <v>45258</v>
      </c>
      <c r="I36" s="20">
        <f t="shared" si="3"/>
        <v>22</v>
      </c>
      <c r="J36" s="19">
        <v>45236</v>
      </c>
      <c r="K36" s="19"/>
      <c r="L36" s="19">
        <v>45243</v>
      </c>
      <c r="M36" s="19"/>
      <c r="N36" s="19">
        <v>45247</v>
      </c>
      <c r="O36" s="19">
        <v>45247</v>
      </c>
      <c r="P36" s="19"/>
      <c r="Q36" s="19">
        <v>45258</v>
      </c>
      <c r="R36" s="19"/>
      <c r="S36" s="17"/>
    </row>
    <row r="37" spans="1:19" hidden="1" x14ac:dyDescent="0.55000000000000004">
      <c r="A37" s="16" t="s">
        <v>22</v>
      </c>
      <c r="B37" s="17" t="s">
        <v>63</v>
      </c>
      <c r="C37" s="17" t="s">
        <v>34</v>
      </c>
      <c r="D37" s="17" t="s">
        <v>38</v>
      </c>
      <c r="E37" s="18">
        <v>0.1</v>
      </c>
      <c r="F37" s="17" t="s">
        <v>62</v>
      </c>
      <c r="G37" s="19">
        <v>45104</v>
      </c>
      <c r="H37" s="19">
        <f t="shared" si="5"/>
        <v>45264</v>
      </c>
      <c r="I37" s="20">
        <f t="shared" si="3"/>
        <v>22.857142857142858</v>
      </c>
      <c r="J37" s="19">
        <v>45245</v>
      </c>
      <c r="K37" s="19"/>
      <c r="L37" s="19">
        <v>45252</v>
      </c>
      <c r="M37" s="19"/>
      <c r="N37" s="19">
        <v>45257</v>
      </c>
      <c r="O37" s="19">
        <v>45257</v>
      </c>
      <c r="P37" s="19"/>
      <c r="Q37" s="19">
        <v>45264</v>
      </c>
      <c r="R37" s="19"/>
      <c r="S37" s="17"/>
    </row>
    <row r="38" spans="1:19" hidden="1" x14ac:dyDescent="0.55000000000000004">
      <c r="A38" s="21" t="s">
        <v>27</v>
      </c>
      <c r="B38" s="17" t="s">
        <v>64</v>
      </c>
      <c r="C38" s="17" t="s">
        <v>34</v>
      </c>
      <c r="D38" s="17" t="s">
        <v>38</v>
      </c>
      <c r="E38" s="18">
        <v>0.1</v>
      </c>
      <c r="F38" s="17" t="s">
        <v>62</v>
      </c>
      <c r="G38" s="19">
        <v>45104</v>
      </c>
      <c r="H38" s="19">
        <f t="shared" si="5"/>
        <v>45291</v>
      </c>
      <c r="I38" s="20">
        <f t="shared" si="3"/>
        <v>26.714285714285715</v>
      </c>
      <c r="J38" s="19">
        <v>45260</v>
      </c>
      <c r="K38" s="19"/>
      <c r="L38" s="19">
        <v>45268</v>
      </c>
      <c r="M38" s="19"/>
      <c r="N38" s="19">
        <v>45275</v>
      </c>
      <c r="O38" s="19">
        <v>45275</v>
      </c>
      <c r="P38" s="19"/>
      <c r="Q38" s="19">
        <v>45291</v>
      </c>
      <c r="R38" s="19"/>
      <c r="S38" s="17"/>
    </row>
    <row r="39" spans="1:19" hidden="1" x14ac:dyDescent="0.55000000000000004">
      <c r="A39" s="16" t="s">
        <v>22</v>
      </c>
      <c r="B39" s="17" t="s">
        <v>65</v>
      </c>
      <c r="C39" s="17" t="s">
        <v>34</v>
      </c>
      <c r="D39" s="17" t="s">
        <v>92</v>
      </c>
      <c r="E39" s="18">
        <v>1</v>
      </c>
      <c r="F39" s="17" t="s">
        <v>62</v>
      </c>
      <c r="G39" s="19">
        <v>45104</v>
      </c>
      <c r="H39" s="19">
        <f t="shared" si="5"/>
        <v>45279</v>
      </c>
      <c r="I39" s="20">
        <f t="shared" si="3"/>
        <v>25</v>
      </c>
      <c r="J39" s="19">
        <v>45247</v>
      </c>
      <c r="K39" s="25">
        <v>45247</v>
      </c>
      <c r="L39" s="19">
        <v>45260</v>
      </c>
      <c r="M39" s="25">
        <v>45260</v>
      </c>
      <c r="N39" s="19">
        <v>45267</v>
      </c>
      <c r="O39" s="19">
        <f>N39</f>
        <v>45267</v>
      </c>
      <c r="P39" s="27">
        <v>45272</v>
      </c>
      <c r="Q39" s="19">
        <v>45279</v>
      </c>
      <c r="R39" s="28"/>
      <c r="S39" s="17" t="s">
        <v>104</v>
      </c>
    </row>
    <row r="40" spans="1:19" hidden="1" x14ac:dyDescent="0.55000000000000004">
      <c r="A40" s="21" t="s">
        <v>27</v>
      </c>
      <c r="B40" s="17" t="s">
        <v>66</v>
      </c>
      <c r="C40" s="17" t="s">
        <v>34</v>
      </c>
      <c r="D40" s="17" t="s">
        <v>38</v>
      </c>
      <c r="E40" s="18">
        <v>0.1</v>
      </c>
      <c r="F40" s="17" t="s">
        <v>62</v>
      </c>
      <c r="G40" s="19">
        <v>45104</v>
      </c>
      <c r="H40" s="19">
        <f t="shared" si="5"/>
        <v>45291</v>
      </c>
      <c r="I40" s="20">
        <f t="shared" si="3"/>
        <v>26.714285714285715</v>
      </c>
      <c r="J40" s="19">
        <v>45268</v>
      </c>
      <c r="K40" s="19"/>
      <c r="L40" s="19">
        <v>45275</v>
      </c>
      <c r="M40" s="19"/>
      <c r="N40" s="19">
        <v>45275</v>
      </c>
      <c r="O40" s="19">
        <v>45275</v>
      </c>
      <c r="P40" s="19"/>
      <c r="Q40" s="19">
        <v>45291</v>
      </c>
      <c r="R40" s="19"/>
      <c r="S40" s="17"/>
    </row>
    <row r="41" spans="1:19" hidden="1" x14ac:dyDescent="0.55000000000000004">
      <c r="A41" s="16" t="s">
        <v>22</v>
      </c>
      <c r="B41" s="17" t="s">
        <v>67</v>
      </c>
      <c r="C41" s="17" t="s">
        <v>34</v>
      </c>
      <c r="D41" s="17" t="s">
        <v>92</v>
      </c>
      <c r="E41" s="18">
        <v>1</v>
      </c>
      <c r="F41" s="17" t="s">
        <v>62</v>
      </c>
      <c r="G41" s="19">
        <v>45104</v>
      </c>
      <c r="H41" s="19">
        <f t="shared" si="5"/>
        <v>45279</v>
      </c>
      <c r="I41" s="20">
        <f t="shared" si="3"/>
        <v>25</v>
      </c>
      <c r="J41" s="19">
        <v>45247</v>
      </c>
      <c r="K41" s="25">
        <v>45247</v>
      </c>
      <c r="L41" s="19">
        <v>45260</v>
      </c>
      <c r="M41" s="25">
        <v>45260</v>
      </c>
      <c r="N41" s="19">
        <v>45267</v>
      </c>
      <c r="O41" s="19">
        <f>N41</f>
        <v>45267</v>
      </c>
      <c r="P41" s="27">
        <v>45272</v>
      </c>
      <c r="Q41" s="19">
        <v>45279</v>
      </c>
      <c r="R41" s="28"/>
      <c r="S41" s="17" t="s">
        <v>104</v>
      </c>
    </row>
    <row r="42" spans="1:19" hidden="1" x14ac:dyDescent="0.55000000000000004">
      <c r="A42" s="21" t="s">
        <v>27</v>
      </c>
      <c r="B42" s="17" t="s">
        <v>68</v>
      </c>
      <c r="C42" s="17" t="s">
        <v>34</v>
      </c>
      <c r="D42" s="17" t="s">
        <v>38</v>
      </c>
      <c r="E42" s="18">
        <v>0.1</v>
      </c>
      <c r="F42" s="17" t="s">
        <v>62</v>
      </c>
      <c r="G42" s="19">
        <v>45104</v>
      </c>
      <c r="H42" s="19">
        <f t="shared" si="5"/>
        <v>45291</v>
      </c>
      <c r="I42" s="20">
        <f t="shared" si="3"/>
        <v>26.714285714285715</v>
      </c>
      <c r="J42" s="19">
        <v>45268</v>
      </c>
      <c r="K42" s="19"/>
      <c r="L42" s="19">
        <v>45275</v>
      </c>
      <c r="M42" s="19"/>
      <c r="N42" s="19">
        <v>45275</v>
      </c>
      <c r="O42" s="19">
        <v>45275</v>
      </c>
      <c r="P42" s="19"/>
      <c r="Q42" s="19">
        <v>45291</v>
      </c>
      <c r="R42" s="19"/>
      <c r="S42" s="17"/>
    </row>
    <row r="43" spans="1:19" x14ac:dyDescent="0.55000000000000004">
      <c r="A43" s="21" t="s">
        <v>27</v>
      </c>
      <c r="B43" s="29" t="s">
        <v>69</v>
      </c>
      <c r="C43" s="17" t="s">
        <v>34</v>
      </c>
      <c r="D43" s="17" t="s">
        <v>38</v>
      </c>
      <c r="E43" s="18">
        <v>0.1</v>
      </c>
      <c r="F43" s="17" t="s">
        <v>62</v>
      </c>
      <c r="G43" s="19">
        <v>45104</v>
      </c>
      <c r="H43" s="19">
        <f t="shared" si="5"/>
        <v>45291</v>
      </c>
      <c r="I43" s="20">
        <f t="shared" si="3"/>
        <v>26.714285714285715</v>
      </c>
      <c r="J43" s="19">
        <v>45260</v>
      </c>
      <c r="K43" s="19"/>
      <c r="L43" s="19">
        <v>45268</v>
      </c>
      <c r="M43" s="19"/>
      <c r="N43" s="19">
        <v>45275</v>
      </c>
      <c r="O43" s="19">
        <v>45275</v>
      </c>
      <c r="P43" s="19"/>
      <c r="Q43" s="19">
        <v>45291</v>
      </c>
      <c r="R43" s="19"/>
      <c r="S43" s="17"/>
    </row>
    <row r="44" spans="1:19" hidden="1" x14ac:dyDescent="0.55000000000000004">
      <c r="A44" s="22" t="s">
        <v>70</v>
      </c>
      <c r="B44" s="17" t="s">
        <v>71</v>
      </c>
      <c r="C44" s="17" t="s">
        <v>34</v>
      </c>
      <c r="D44" s="17" t="s">
        <v>50</v>
      </c>
      <c r="E44" s="18">
        <v>0</v>
      </c>
      <c r="F44" s="17" t="s">
        <v>62</v>
      </c>
      <c r="G44" s="19">
        <v>45200</v>
      </c>
      <c r="H44" s="19">
        <f t="shared" si="5"/>
        <v>45317</v>
      </c>
      <c r="I44" s="20">
        <f t="shared" si="3"/>
        <v>16.714285714285715</v>
      </c>
      <c r="J44" s="19">
        <v>45293</v>
      </c>
      <c r="K44" s="19"/>
      <c r="L44" s="19">
        <v>45303</v>
      </c>
      <c r="M44" s="19"/>
      <c r="N44" s="19">
        <v>44580</v>
      </c>
      <c r="O44" s="19">
        <v>44580</v>
      </c>
      <c r="P44" s="19"/>
      <c r="Q44" s="19">
        <v>45317</v>
      </c>
      <c r="R44" s="19"/>
      <c r="S44" s="17"/>
    </row>
    <row r="45" spans="1:19" hidden="1" x14ac:dyDescent="0.55000000000000004">
      <c r="A45" s="22" t="s">
        <v>70</v>
      </c>
      <c r="B45" s="17" t="s">
        <v>72</v>
      </c>
      <c r="C45" s="17" t="s">
        <v>24</v>
      </c>
      <c r="D45" s="17" t="s">
        <v>50</v>
      </c>
      <c r="E45" s="18">
        <v>0</v>
      </c>
      <c r="F45" s="17" t="s">
        <v>62</v>
      </c>
      <c r="G45" s="19">
        <v>45200</v>
      </c>
      <c r="H45" s="19">
        <f t="shared" si="5"/>
        <v>45317</v>
      </c>
      <c r="I45" s="20">
        <f t="shared" si="3"/>
        <v>16.714285714285715</v>
      </c>
      <c r="J45" s="19">
        <v>45293</v>
      </c>
      <c r="K45" s="19"/>
      <c r="L45" s="19">
        <v>45303</v>
      </c>
      <c r="M45" s="19"/>
      <c r="N45" s="19">
        <v>44580</v>
      </c>
      <c r="O45" s="19">
        <v>44580</v>
      </c>
      <c r="P45" s="19"/>
      <c r="Q45" s="19">
        <v>45317</v>
      </c>
      <c r="R45" s="19"/>
      <c r="S45" s="17"/>
    </row>
    <row r="46" spans="1:19" x14ac:dyDescent="0.55000000000000004">
      <c r="A46" s="16"/>
      <c r="B46" s="17"/>
      <c r="C46" s="17"/>
      <c r="D46" s="17"/>
      <c r="E46" s="18"/>
      <c r="F46" s="17"/>
      <c r="G46" s="19"/>
      <c r="H46" s="19"/>
      <c r="I46" s="20"/>
      <c r="J46" s="19"/>
      <c r="K46" s="19"/>
      <c r="L46" s="19"/>
      <c r="M46" s="19"/>
      <c r="N46" s="19"/>
      <c r="O46" s="19"/>
      <c r="P46" s="19"/>
      <c r="Q46" s="19"/>
      <c r="R46" s="19"/>
      <c r="S46" s="17"/>
    </row>
    <row r="47" spans="1:19" x14ac:dyDescent="0.55000000000000004">
      <c r="A47" s="26" t="s">
        <v>73</v>
      </c>
      <c r="B47" s="23"/>
      <c r="C47" s="17"/>
      <c r="D47" s="17"/>
      <c r="E47" s="18"/>
      <c r="F47" s="17"/>
      <c r="G47" s="19"/>
      <c r="H47" s="19"/>
      <c r="I47" s="20"/>
      <c r="J47" s="19"/>
      <c r="K47" s="19"/>
      <c r="L47" s="19"/>
      <c r="M47" s="19"/>
      <c r="N47" s="19"/>
      <c r="O47" s="19"/>
      <c r="P47" s="19"/>
      <c r="Q47" s="19"/>
      <c r="R47" s="19"/>
      <c r="S47" s="17"/>
    </row>
    <row r="48" spans="1:19" hidden="1" x14ac:dyDescent="0.55000000000000004">
      <c r="A48" s="21" t="s">
        <v>27</v>
      </c>
      <c r="B48" s="17" t="s">
        <v>97</v>
      </c>
      <c r="C48" s="17" t="s">
        <v>34</v>
      </c>
      <c r="D48" s="17" t="s">
        <v>93</v>
      </c>
      <c r="E48" s="18">
        <v>1</v>
      </c>
      <c r="F48" s="17" t="s">
        <v>31</v>
      </c>
      <c r="G48" s="19">
        <v>45078</v>
      </c>
      <c r="H48" s="19">
        <f>Q48</f>
        <v>45200</v>
      </c>
      <c r="I48" s="20">
        <f t="shared" ref="I48:I54" si="6">(_xlfn.DAYS(H48,G48)/7)</f>
        <v>17.428571428571427</v>
      </c>
      <c r="J48" s="19">
        <v>45100</v>
      </c>
      <c r="K48" s="25">
        <v>45100</v>
      </c>
      <c r="L48" s="19">
        <v>45107</v>
      </c>
      <c r="M48" s="27">
        <v>45113</v>
      </c>
      <c r="N48" s="19">
        <v>45184</v>
      </c>
      <c r="O48" s="19">
        <f>N48</f>
        <v>45184</v>
      </c>
      <c r="P48" s="25" t="s">
        <v>96</v>
      </c>
      <c r="Q48" s="19">
        <v>45200</v>
      </c>
      <c r="R48" s="25">
        <v>45200</v>
      </c>
      <c r="S48" s="17"/>
    </row>
    <row r="49" spans="1:50" x14ac:dyDescent="0.55000000000000004">
      <c r="A49" s="21" t="s">
        <v>27</v>
      </c>
      <c r="B49" s="17" t="s">
        <v>74</v>
      </c>
      <c r="C49" s="17" t="s">
        <v>24</v>
      </c>
      <c r="D49" s="17" t="s">
        <v>50</v>
      </c>
      <c r="E49" s="18">
        <v>0</v>
      </c>
      <c r="F49" s="17" t="s">
        <v>31</v>
      </c>
      <c r="G49" s="19">
        <v>45190</v>
      </c>
      <c r="H49" s="19">
        <f>Q49</f>
        <v>45264</v>
      </c>
      <c r="I49" s="20">
        <f t="shared" si="6"/>
        <v>10.571428571428571</v>
      </c>
      <c r="J49" s="19">
        <v>45243</v>
      </c>
      <c r="K49" s="19"/>
      <c r="L49" s="19">
        <v>45250</v>
      </c>
      <c r="M49" s="19"/>
      <c r="N49" s="19">
        <v>45257</v>
      </c>
      <c r="O49" s="19">
        <v>45257</v>
      </c>
      <c r="P49" s="19"/>
      <c r="Q49" s="19">
        <v>45264</v>
      </c>
      <c r="R49" s="19"/>
      <c r="S49" s="17"/>
    </row>
    <row r="50" spans="1:50" hidden="1" x14ac:dyDescent="0.55000000000000004">
      <c r="A50" s="21" t="s">
        <v>27</v>
      </c>
      <c r="B50" s="17" t="s">
        <v>75</v>
      </c>
      <c r="C50" s="17" t="s">
        <v>34</v>
      </c>
      <c r="D50" s="17" t="s">
        <v>38</v>
      </c>
      <c r="E50" s="18">
        <v>0.1</v>
      </c>
      <c r="F50" s="17" t="s">
        <v>79</v>
      </c>
      <c r="G50" s="19">
        <v>45231</v>
      </c>
      <c r="H50" s="19">
        <f t="shared" ref="H50:H53" si="7">Q50</f>
        <v>45264</v>
      </c>
      <c r="I50" s="20">
        <f t="shared" si="6"/>
        <v>4.7142857142857144</v>
      </c>
      <c r="J50" s="19">
        <v>45243</v>
      </c>
      <c r="K50" s="19"/>
      <c r="L50" s="19">
        <v>45250</v>
      </c>
      <c r="M50" s="19"/>
      <c r="N50" s="19">
        <v>45257</v>
      </c>
      <c r="O50" s="19">
        <v>45257</v>
      </c>
      <c r="P50" s="19"/>
      <c r="Q50" s="19">
        <v>45264</v>
      </c>
      <c r="R50" s="19"/>
      <c r="S50" s="17"/>
    </row>
    <row r="51" spans="1:50" hidden="1" x14ac:dyDescent="0.55000000000000004">
      <c r="A51" s="21" t="s">
        <v>27</v>
      </c>
      <c r="B51" s="17" t="s">
        <v>76</v>
      </c>
      <c r="C51" s="17" t="s">
        <v>34</v>
      </c>
      <c r="D51" s="17" t="s">
        <v>50</v>
      </c>
      <c r="E51" s="18">
        <v>0</v>
      </c>
      <c r="F51" s="17" t="s">
        <v>79</v>
      </c>
      <c r="G51" s="19">
        <v>45214</v>
      </c>
      <c r="H51" s="19">
        <f t="shared" si="7"/>
        <v>45275</v>
      </c>
      <c r="I51" s="20">
        <f t="shared" si="6"/>
        <v>8.7142857142857135</v>
      </c>
      <c r="J51" s="19">
        <v>45252</v>
      </c>
      <c r="K51" s="19"/>
      <c r="L51" s="19">
        <v>45261</v>
      </c>
      <c r="M51" s="19"/>
      <c r="N51" s="19">
        <v>45268</v>
      </c>
      <c r="O51" s="19">
        <v>45268</v>
      </c>
      <c r="P51" s="19"/>
      <c r="Q51" s="19">
        <v>45275</v>
      </c>
      <c r="R51" s="19"/>
      <c r="S51" s="17"/>
    </row>
    <row r="52" spans="1:50" hidden="1" x14ac:dyDescent="0.55000000000000004">
      <c r="A52" s="21" t="s">
        <v>27</v>
      </c>
      <c r="B52" s="17" t="s">
        <v>77</v>
      </c>
      <c r="C52" s="17" t="s">
        <v>34</v>
      </c>
      <c r="D52" s="17" t="s">
        <v>50</v>
      </c>
      <c r="E52" s="18">
        <v>0</v>
      </c>
      <c r="F52" s="17" t="s">
        <v>79</v>
      </c>
      <c r="G52" s="19">
        <v>45261</v>
      </c>
      <c r="H52" s="19">
        <f t="shared" si="7"/>
        <v>45289</v>
      </c>
      <c r="I52" s="20">
        <f t="shared" si="6"/>
        <v>4</v>
      </c>
      <c r="J52" s="19">
        <v>45268</v>
      </c>
      <c r="K52" s="19"/>
      <c r="L52" s="19">
        <v>45275</v>
      </c>
      <c r="M52" s="19"/>
      <c r="N52" s="19">
        <v>45278</v>
      </c>
      <c r="O52" s="19">
        <v>45278</v>
      </c>
      <c r="P52" s="19"/>
      <c r="Q52" s="19">
        <v>45289</v>
      </c>
      <c r="R52" s="19"/>
      <c r="S52" s="17"/>
    </row>
    <row r="53" spans="1:50" ht="14.1" hidden="1" customHeight="1" x14ac:dyDescent="0.55000000000000004">
      <c r="A53" s="21" t="s">
        <v>27</v>
      </c>
      <c r="B53" s="17" t="s">
        <v>78</v>
      </c>
      <c r="C53" s="17" t="s">
        <v>34</v>
      </c>
      <c r="D53" s="17" t="s">
        <v>50</v>
      </c>
      <c r="E53" s="18">
        <v>0</v>
      </c>
      <c r="F53" s="17" t="s">
        <v>79</v>
      </c>
      <c r="G53" s="19">
        <v>45261</v>
      </c>
      <c r="H53" s="19">
        <f t="shared" si="7"/>
        <v>45323</v>
      </c>
      <c r="I53" s="20">
        <f t="shared" si="6"/>
        <v>8.8571428571428577</v>
      </c>
      <c r="J53" s="19">
        <v>45299</v>
      </c>
      <c r="K53" s="19"/>
      <c r="L53" s="19">
        <v>45309</v>
      </c>
      <c r="M53" s="19"/>
      <c r="N53" s="19">
        <v>45316</v>
      </c>
      <c r="O53" s="19">
        <v>45316</v>
      </c>
      <c r="P53" s="19"/>
      <c r="Q53" s="19">
        <v>45323</v>
      </c>
      <c r="R53" s="19"/>
      <c r="S53" s="17"/>
    </row>
    <row r="54" spans="1:50" ht="14.1" hidden="1" customHeight="1" x14ac:dyDescent="0.55000000000000004">
      <c r="A54" s="22" t="s">
        <v>70</v>
      </c>
      <c r="B54" s="17" t="s">
        <v>80</v>
      </c>
      <c r="C54" s="17" t="s">
        <v>34</v>
      </c>
      <c r="D54" s="17" t="s">
        <v>50</v>
      </c>
      <c r="E54" s="18">
        <v>0</v>
      </c>
      <c r="F54" s="17" t="s">
        <v>79</v>
      </c>
      <c r="G54" s="19">
        <v>45352</v>
      </c>
      <c r="H54" s="19">
        <v>45443</v>
      </c>
      <c r="I54" s="20">
        <f t="shared" si="6"/>
        <v>13</v>
      </c>
      <c r="J54" s="19">
        <v>45422</v>
      </c>
      <c r="K54" s="19"/>
      <c r="L54" s="19">
        <v>45429</v>
      </c>
      <c r="M54" s="19"/>
      <c r="N54" s="19">
        <v>45436</v>
      </c>
      <c r="O54" s="19">
        <v>45436</v>
      </c>
      <c r="P54" s="19"/>
      <c r="Q54" s="19">
        <v>45443</v>
      </c>
      <c r="R54" s="19"/>
      <c r="S54" s="17"/>
    </row>
    <row r="55" spans="1:50" x14ac:dyDescent="0.55000000000000004">
      <c r="Q55" s="12"/>
      <c r="R55" s="12"/>
      <c r="S55" s="12"/>
    </row>
    <row r="56" spans="1:50" s="3" customFormat="1" x14ac:dyDescent="0.55000000000000004">
      <c r="A56" s="32" t="s">
        <v>81</v>
      </c>
      <c r="B56" s="32"/>
      <c r="C56" s="32"/>
      <c r="D56" s="32"/>
      <c r="E56" s="32"/>
      <c r="F56" s="32"/>
      <c r="G56" s="31" t="s">
        <v>82</v>
      </c>
      <c r="H56" s="31"/>
      <c r="I56" s="31"/>
      <c r="J56" s="32" t="s">
        <v>83</v>
      </c>
      <c r="K56" s="32"/>
      <c r="L56" s="32"/>
      <c r="M56" s="32"/>
      <c r="N56" s="32"/>
      <c r="O56" s="32"/>
      <c r="P56" s="32"/>
      <c r="Q56" s="33"/>
      <c r="R56" s="24"/>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row>
    <row r="57" spans="1:50" s="5" customFormat="1" x14ac:dyDescent="0.55000000000000004">
      <c r="A57" s="4" t="s">
        <v>4</v>
      </c>
      <c r="B57" s="4" t="s">
        <v>5</v>
      </c>
      <c r="C57" s="4"/>
      <c r="D57" s="4" t="s">
        <v>84</v>
      </c>
      <c r="E57" s="5" t="s">
        <v>7</v>
      </c>
      <c r="F57" s="5" t="s">
        <v>8</v>
      </c>
      <c r="G57" s="4" t="s">
        <v>9</v>
      </c>
      <c r="H57" s="5" t="s">
        <v>10</v>
      </c>
      <c r="I57" s="5" t="s">
        <v>85</v>
      </c>
      <c r="J57" s="5" t="s">
        <v>86</v>
      </c>
      <c r="N57" s="5" t="s">
        <v>87</v>
      </c>
      <c r="O57" s="5" t="s">
        <v>88</v>
      </c>
      <c r="Q57" s="5" t="s">
        <v>20</v>
      </c>
      <c r="S57" s="5" t="s">
        <v>20</v>
      </c>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0"/>
    </row>
    <row r="58" spans="1:50" x14ac:dyDescent="0.55000000000000004">
      <c r="A58" s="6"/>
      <c r="E58" s="9"/>
      <c r="G58" s="1"/>
      <c r="H58" s="1"/>
      <c r="Q58" s="12"/>
      <c r="R58" s="12"/>
      <c r="S58" s="12"/>
    </row>
    <row r="59" spans="1:50" x14ac:dyDescent="0.55000000000000004">
      <c r="A59" s="6"/>
      <c r="E59" s="9"/>
      <c r="G59" s="1"/>
      <c r="H59" s="1"/>
      <c r="Q59" s="12"/>
      <c r="R59" s="12"/>
      <c r="S59" s="12"/>
    </row>
    <row r="60" spans="1:50" x14ac:dyDescent="0.55000000000000004">
      <c r="A60" s="7"/>
      <c r="E60" s="9"/>
      <c r="G60" s="1"/>
      <c r="H60" s="1"/>
      <c r="Q60" s="12"/>
      <c r="R60" s="12"/>
      <c r="S60" s="12"/>
    </row>
    <row r="61" spans="1:50" x14ac:dyDescent="0.55000000000000004">
      <c r="A61" s="8"/>
      <c r="E61" s="9"/>
      <c r="G61" s="1"/>
      <c r="H61" s="1"/>
      <c r="Q61" s="12"/>
      <c r="R61" s="12"/>
      <c r="S61" s="12"/>
    </row>
    <row r="62" spans="1:50" x14ac:dyDescent="0.55000000000000004">
      <c r="Q62" s="12"/>
      <c r="R62" s="12"/>
      <c r="S62" s="12"/>
    </row>
    <row r="63" spans="1:50" x14ac:dyDescent="0.55000000000000004">
      <c r="Q63" s="12"/>
      <c r="R63" s="12"/>
      <c r="S63" s="12"/>
    </row>
    <row r="64" spans="1:50" s="3" customFormat="1" x14ac:dyDescent="0.55000000000000004">
      <c r="A64" s="32" t="s">
        <v>89</v>
      </c>
      <c r="B64" s="32"/>
      <c r="C64" s="32"/>
      <c r="D64" s="32"/>
      <c r="E64" s="32"/>
      <c r="F64" s="32"/>
      <c r="G64" s="31" t="s">
        <v>82</v>
      </c>
      <c r="H64" s="31"/>
      <c r="I64" s="31"/>
      <c r="J64" s="32" t="s">
        <v>83</v>
      </c>
      <c r="K64" s="32"/>
      <c r="L64" s="32"/>
      <c r="M64" s="32"/>
      <c r="N64" s="32"/>
      <c r="O64" s="32"/>
      <c r="P64" s="32"/>
      <c r="Q64" s="33"/>
      <c r="R64" s="24"/>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row>
    <row r="65" spans="1:50" s="5" customFormat="1" x14ac:dyDescent="0.55000000000000004">
      <c r="A65" s="4" t="s">
        <v>4</v>
      </c>
      <c r="B65" s="4" t="s">
        <v>5</v>
      </c>
      <c r="C65" s="4"/>
      <c r="D65" s="4" t="s">
        <v>84</v>
      </c>
      <c r="E65" s="5" t="s">
        <v>7</v>
      </c>
      <c r="F65" s="5" t="s">
        <v>8</v>
      </c>
      <c r="G65" s="4" t="s">
        <v>9</v>
      </c>
      <c r="H65" s="5" t="s">
        <v>10</v>
      </c>
      <c r="I65" s="5" t="s">
        <v>85</v>
      </c>
      <c r="J65" s="5" t="s">
        <v>86</v>
      </c>
      <c r="N65" s="5" t="s">
        <v>87</v>
      </c>
      <c r="O65" s="5" t="s">
        <v>88</v>
      </c>
      <c r="Q65" s="5" t="s">
        <v>20</v>
      </c>
      <c r="S65" s="5" t="s">
        <v>20</v>
      </c>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0"/>
    </row>
    <row r="66" spans="1:50" x14ac:dyDescent="0.55000000000000004">
      <c r="A66" s="6"/>
      <c r="E66" s="9"/>
      <c r="G66" s="1"/>
      <c r="H66" s="1"/>
      <c r="Q66" s="12"/>
      <c r="R66" s="12"/>
      <c r="S66" s="12"/>
    </row>
    <row r="67" spans="1:50" x14ac:dyDescent="0.55000000000000004">
      <c r="A67" s="7"/>
      <c r="E67" s="9"/>
      <c r="G67" s="1"/>
      <c r="H67" s="1"/>
      <c r="Q67" s="12"/>
      <c r="R67" s="12"/>
      <c r="S67" s="12"/>
    </row>
    <row r="68" spans="1:50" x14ac:dyDescent="0.55000000000000004">
      <c r="A68" s="8"/>
      <c r="E68" s="9"/>
      <c r="G68" s="1"/>
      <c r="H68" s="1"/>
      <c r="Q68" s="12"/>
      <c r="R68" s="12"/>
      <c r="S68" s="12"/>
    </row>
  </sheetData>
  <mergeCells count="10">
    <mergeCell ref="A64:F64"/>
    <mergeCell ref="G64:I64"/>
    <mergeCell ref="J64:Q64"/>
    <mergeCell ref="A1:S2"/>
    <mergeCell ref="A3:F3"/>
    <mergeCell ref="G3:I3"/>
    <mergeCell ref="J3:Q3"/>
    <mergeCell ref="A56:F56"/>
    <mergeCell ref="G56:I56"/>
    <mergeCell ref="J56:Q5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B408CBB-FB5E-4F09-B22B-97482C76DEC0}">
          <x14:formula1>
            <xm:f>List!$C$2:$C$3</xm:f>
          </x14:formula1>
          <xm:sqref>C5:C54</xm:sqref>
        </x14:dataValidation>
        <x14:dataValidation type="list" allowBlank="1" showInputMessage="1" showErrorMessage="1" xr:uid="{BDCA90D1-5D81-4A7B-A25A-B60F6F929066}">
          <x14:formula1>
            <xm:f>List!$A$2:$A$8</xm:f>
          </x14:formula1>
          <xm:sqref>D5:D54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BA477-7F23-42DC-AB47-5EBC523E995B}">
  <dimension ref="A1:C8"/>
  <sheetViews>
    <sheetView workbookViewId="0">
      <selection activeCell="C4" sqref="C4"/>
    </sheetView>
  </sheetViews>
  <sheetFormatPr defaultRowHeight="14.4" x14ac:dyDescent="0.55000000000000004"/>
  <cols>
    <col min="1" max="1" width="22.578125" bestFit="1" customWidth="1"/>
  </cols>
  <sheetData>
    <row r="1" spans="1:3" x14ac:dyDescent="0.55000000000000004">
      <c r="A1" s="13" t="s">
        <v>7</v>
      </c>
      <c r="C1" s="13" t="s">
        <v>6</v>
      </c>
    </row>
    <row r="2" spans="1:3" x14ac:dyDescent="0.55000000000000004">
      <c r="A2" t="s">
        <v>50</v>
      </c>
      <c r="C2" t="s">
        <v>24</v>
      </c>
    </row>
    <row r="3" spans="1:3" x14ac:dyDescent="0.55000000000000004">
      <c r="A3" t="s">
        <v>38</v>
      </c>
      <c r="C3" t="s">
        <v>34</v>
      </c>
    </row>
    <row r="4" spans="1:3" x14ac:dyDescent="0.55000000000000004">
      <c r="A4" t="s">
        <v>25</v>
      </c>
    </row>
    <row r="5" spans="1:3" x14ac:dyDescent="0.55000000000000004">
      <c r="A5" t="s">
        <v>90</v>
      </c>
    </row>
    <row r="6" spans="1:3" x14ac:dyDescent="0.55000000000000004">
      <c r="A6" t="s">
        <v>91</v>
      </c>
    </row>
    <row r="7" spans="1:3" x14ac:dyDescent="0.55000000000000004">
      <c r="A7" t="s">
        <v>92</v>
      </c>
    </row>
    <row r="8" spans="1:3" x14ac:dyDescent="0.55000000000000004">
      <c r="A8" t="s">
        <v>93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9BCA0B-C3B5-46F2-A29A-9C58C87AA0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B4C9AC-8C7B-40D4-AD83-5AB1479F78E5}">
  <ds:schemaRefs>
    <ds:schemaRef ds:uri="http://schemas.microsoft.com/office/2006/metadata/properties"/>
    <ds:schemaRef ds:uri="http://schemas.microsoft.com/office/infopath/2007/PartnerControls"/>
    <ds:schemaRef ds:uri="f2466082-b6bf-4153-98c3-3c41e85fda18"/>
    <ds:schemaRef ds:uri="dc808d36-874f-4b27-aec2-2fd649817929"/>
  </ds:schemaRefs>
</ds:datastoreItem>
</file>

<file path=customXml/itemProps3.xml><?xml version="1.0" encoding="utf-8"?>
<ds:datastoreItem xmlns:ds="http://schemas.openxmlformats.org/officeDocument/2006/customXml" ds:itemID="{4265A5E6-FB57-4138-BB0A-8131460918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Action Plan</vt:lpstr>
      <vt:lpstr>DM Summary</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dc:creator>
  <cp:keywords/>
  <dc:description/>
  <cp:lastModifiedBy>Danielle Martin</cp:lastModifiedBy>
  <cp:revision/>
  <dcterms:created xsi:type="dcterms:W3CDTF">2019-07-30T18:54:27Z</dcterms:created>
  <dcterms:modified xsi:type="dcterms:W3CDTF">2024-01-02T16:05:43Z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