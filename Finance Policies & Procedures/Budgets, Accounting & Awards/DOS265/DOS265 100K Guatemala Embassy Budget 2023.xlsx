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autoCompressPictures="0"/>
  <mc:AlternateContent xmlns:mc="http://schemas.openxmlformats.org/markup-compatibility/2006">
    <mc:Choice Requires="x15">
      <x15ac:absPath xmlns:x15ac="http://schemas.microsoft.com/office/spreadsheetml/2010/11/ac" url="https://partnersnet107.sharepoint.com/sites/FA/Finance  Operational/Budgets/"/>
    </mc:Choice>
  </mc:AlternateContent>
  <xr:revisionPtr revIDLastSave="61" documentId="8_{A8C8452F-7EE8-47E7-96D3-EAE9A6516033}" xr6:coauthVersionLast="47" xr6:coauthVersionMax="47" xr10:uidLastSave="{B3331F7E-9DDE-49F4-8D3D-DF741CC8E12A}"/>
  <bookViews>
    <workbookView xWindow="7464" yWindow="942" windowWidth="12288" windowHeight="12360" tabRatio="270" activeTab="1" xr2:uid="{00000000-000D-0000-FFFF-FFFF00000000}"/>
  </bookViews>
  <sheets>
    <sheet name="Guidelines" sheetId="6" r:id="rId1"/>
    <sheet name="Budget vs. Actuals" sheetId="4" r:id="rId2"/>
    <sheet name="Budget Narrative" sheetId="5" r:id="rId3"/>
  </sheets>
  <definedNames>
    <definedName name="_xlnm.Print_Area" localSheetId="1">'Budget vs. Actuals'!$D$2:$M$49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29" i="4" l="1"/>
  <c r="L43" i="4"/>
  <c r="H43" i="4"/>
  <c r="O14" i="4"/>
  <c r="G37" i="4"/>
  <c r="K13" i="4"/>
  <c r="G13" i="4" s="1"/>
  <c r="K12" i="4"/>
  <c r="G12" i="4" s="1"/>
  <c r="K11" i="4"/>
  <c r="K10" i="4"/>
  <c r="G10" i="4" s="1"/>
  <c r="I10" i="4" s="1"/>
  <c r="I17" i="4"/>
  <c r="R17" i="4" s="1"/>
  <c r="K17" i="4"/>
  <c r="L17" i="4"/>
  <c r="P17" i="4"/>
  <c r="P13" i="4"/>
  <c r="L13" i="4"/>
  <c r="M13" i="4" s="1"/>
  <c r="P12" i="4"/>
  <c r="L12" i="4"/>
  <c r="G11" i="4" l="1"/>
  <c r="I11" i="4" s="1"/>
  <c r="I14" i="4" s="1"/>
  <c r="M12" i="4"/>
  <c r="S12" i="4" s="1"/>
  <c r="M17" i="4"/>
  <c r="S17" i="4" s="1"/>
  <c r="S13" i="4"/>
  <c r="I13" i="4"/>
  <c r="I12" i="4"/>
  <c r="R12" i="4" s="1"/>
  <c r="R13" i="4" l="1"/>
  <c r="I33" i="4" l="1"/>
  <c r="R33" i="4" s="1"/>
  <c r="K33" i="4"/>
  <c r="L33" i="4"/>
  <c r="P33" i="4"/>
  <c r="I34" i="4"/>
  <c r="M34" i="4"/>
  <c r="O34" i="4" s="1"/>
  <c r="P34" i="4" s="1"/>
  <c r="S34" i="4" s="1"/>
  <c r="M33" i="4" l="1"/>
  <c r="S33" i="4" s="1"/>
  <c r="R34" i="4"/>
  <c r="L25" i="4" l="1"/>
  <c r="K25" i="4"/>
  <c r="I37" i="4"/>
  <c r="R37" i="4" s="1"/>
  <c r="L37" i="4"/>
  <c r="P37" i="4"/>
  <c r="M25" i="4" l="1"/>
  <c r="M37" i="4"/>
  <c r="S37" i="4" s="1"/>
  <c r="I25" i="4"/>
  <c r="R25" i="4" s="1"/>
  <c r="L29" i="4"/>
  <c r="L11" i="4"/>
  <c r="M11" i="4" s="1"/>
  <c r="L10" i="4"/>
  <c r="M10" i="4" s="1"/>
  <c r="M14" i="4" s="1"/>
  <c r="P29" i="4"/>
  <c r="P25" i="4"/>
  <c r="P21" i="4"/>
  <c r="P11" i="4"/>
  <c r="P10" i="4"/>
  <c r="P14" i="4" s="1"/>
  <c r="K21" i="4"/>
  <c r="O38" i="4"/>
  <c r="O30" i="4"/>
  <c r="P30" i="4" s="1"/>
  <c r="O22" i="4"/>
  <c r="P22" i="4" s="1"/>
  <c r="I21" i="4"/>
  <c r="I22" i="4" s="1"/>
  <c r="O18" i="4"/>
  <c r="P18" i="4" s="1"/>
  <c r="O26" i="4"/>
  <c r="P26" i="4" s="1"/>
  <c r="R11" i="4" l="1"/>
  <c r="S38" i="4"/>
  <c r="R10" i="4"/>
  <c r="R14" i="4" s="1"/>
  <c r="S10" i="4"/>
  <c r="S14" i="4" s="1"/>
  <c r="R21" i="4"/>
  <c r="R22" i="4" s="1"/>
  <c r="I35" i="4"/>
  <c r="S11" i="4"/>
  <c r="M21" i="4"/>
  <c r="M22" i="4" s="1"/>
  <c r="S25" i="4"/>
  <c r="P40" i="4"/>
  <c r="I38" i="4"/>
  <c r="P38" i="4"/>
  <c r="I26" i="4"/>
  <c r="R38" i="4"/>
  <c r="M38" i="4" l="1"/>
  <c r="S35" i="4"/>
  <c r="R35" i="4"/>
  <c r="R26" i="4"/>
  <c r="M26" i="4"/>
  <c r="S21" i="4"/>
  <c r="S22" i="4" s="1"/>
  <c r="S26" i="4"/>
  <c r="S18" i="4"/>
  <c r="I18" i="4"/>
  <c r="R18" i="4" l="1"/>
  <c r="M18" i="4"/>
  <c r="O45" i="4" l="1"/>
  <c r="P45" i="4" s="1"/>
  <c r="I29" i="4" l="1"/>
  <c r="M29" i="4"/>
  <c r="S29" i="4" s="1"/>
  <c r="S30" i="4" s="1"/>
  <c r="S40" i="4" s="1"/>
  <c r="I30" i="4" l="1"/>
  <c r="I40" i="4" s="1"/>
  <c r="G43" i="4" s="1"/>
  <c r="R29" i="4"/>
  <c r="R30" i="4" s="1"/>
  <c r="R40" i="4" s="1"/>
  <c r="M30" i="4"/>
  <c r="M40" i="4" s="1"/>
  <c r="K43" i="4" l="1"/>
  <c r="M43" i="4" s="1"/>
  <c r="I43" i="4"/>
  <c r="I45" i="4" l="1"/>
  <c r="R43" i="4"/>
  <c r="R45" i="4" s="1"/>
  <c r="M45" i="4"/>
  <c r="S43" i="4"/>
  <c r="S45" i="4" s="1"/>
</calcChain>
</file>

<file path=xl/sharedStrings.xml><?xml version="1.0" encoding="utf-8"?>
<sst xmlns="http://schemas.openxmlformats.org/spreadsheetml/2006/main" count="101" uniqueCount="75">
  <si>
    <t>Guidelines for Budget Justification</t>
  </si>
  <si>
    <t>Personnel</t>
  </si>
  <si>
    <t xml:space="preserve"> Describe the wages, salaries, and benefits of temporary or permanent staff who will be working directly for the applicant on the program, as well as the percentage of their time that will be spent on the program.</t>
  </si>
  <si>
    <t>Travel</t>
  </si>
  <si>
    <t>Estimate the costs of travel and per diem for this program. If the program involves international travel, include a brief statement of justification for that travel.  Please note that any international travel between the United States and the host country must be done on a U.S. Flag carrier.</t>
  </si>
  <si>
    <t>Equipment</t>
  </si>
  <si>
    <t>Describe any machinery, furniture, or other personal property required for the program and which has a useful life of more than one year (or a life longer than the duration of the program) and costs at least $5,000 per unit.</t>
  </si>
  <si>
    <t>Supplies</t>
  </si>
  <si>
    <t>List and describe all the items and materials, including any computer devices, needed for the program. If an item costs more than $5,000 per unit, then put it in the budget under "Equipment."</t>
  </si>
  <si>
    <t>Contractual</t>
  </si>
  <si>
    <t xml:space="preserve">Describe goods and services the applicant plans to acquire through a contract with a vendor.  Also describe any sub-awards to non-profit partners that will help carry out the program activities. </t>
  </si>
  <si>
    <t>Other Direct Costs</t>
  </si>
  <si>
    <t>Describe other costs directly associated with the program which do not fit in the other categories -- for example, shipping costs for materials and equipment or applicable taxes.  All “Other” or “Miscellaneous” expenses must be itemized and explained.</t>
  </si>
  <si>
    <t>Indirect Costs</t>
  </si>
  <si>
    <t xml:space="preserve">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up to 10 percent (10%)  of the modified total direct costs as defined in 2 CFR 200.68.  </t>
  </si>
  <si>
    <t>Cost Sharing</t>
  </si>
  <si>
    <t>Refers to contributions from the organization or other entities other than the U.S. Embassy.   It also includes in-kind contributions such as time donated by volunteers and donated venues.</t>
  </si>
  <si>
    <r>
      <t>Alcoholic Beverages:  Please note that award funds cannot be used for alcoholic beverages</t>
    </r>
    <r>
      <rPr>
        <b/>
        <sz val="12"/>
        <color rgb="FF333333"/>
        <rFont val="Times New Roman"/>
        <family val="1"/>
      </rPr>
      <t xml:space="preserve">. </t>
    </r>
  </si>
  <si>
    <t>U.S. Embassy Guatemala Public Affairs Section - Budget Template for Application for Federal Award</t>
  </si>
  <si>
    <t>Use today's rate from Banco de Guatemala</t>
  </si>
  <si>
    <t>Exchange rate at time of approval:</t>
  </si>
  <si>
    <t>Will be adjusted based on rate on the day the grant is entered in the USG system</t>
  </si>
  <si>
    <t>Approved Budget</t>
  </si>
  <si>
    <t>Actual Expenses (Reporting Period of xx to xx)</t>
  </si>
  <si>
    <t>Description</t>
  </si>
  <si>
    <t>Cost (Q)</t>
  </si>
  <si>
    <t>Quantity</t>
  </si>
  <si>
    <t>Total (Q)</t>
  </si>
  <si>
    <t>Cost ($)</t>
  </si>
  <si>
    <t>Total ($)</t>
  </si>
  <si>
    <t>Expenses (Q)</t>
  </si>
  <si>
    <t>Expenses ($)</t>
  </si>
  <si>
    <t>Balance (Q)</t>
  </si>
  <si>
    <t>Balance ($)</t>
  </si>
  <si>
    <t>TOTAL</t>
  </si>
  <si>
    <t>Equipment (per unit cost of $5,000 or more)</t>
  </si>
  <si>
    <t>Supplies/Materials (per unit cost of less than $5,000)</t>
  </si>
  <si>
    <t>Construction</t>
  </si>
  <si>
    <t>Construction costs not permitted</t>
  </si>
  <si>
    <t>Other direct costs</t>
  </si>
  <si>
    <t>TOTAL DIRECT COSTS</t>
  </si>
  <si>
    <r>
      <t xml:space="preserve">Indirect costs </t>
    </r>
    <r>
      <rPr>
        <b/>
        <sz val="12"/>
        <color rgb="FFFF0000"/>
        <rFont val="Calibri"/>
        <family val="2"/>
        <scheme val="minor"/>
      </rPr>
      <t xml:space="preserve">(DO NOT CHANGE CELLS IN THIS ROW) </t>
    </r>
  </si>
  <si>
    <t>PROJECT TOTAL</t>
  </si>
  <si>
    <t xml:space="preserve">For organizations: </t>
  </si>
  <si>
    <t>**Please add the Indirect cost percentage you are requesting and it will automatically be added to the total</t>
  </si>
  <si>
    <t>Describe each budget line item in detail</t>
  </si>
  <si>
    <t>Describe any Cost Share</t>
  </si>
  <si>
    <t>HEI Sub-grants</t>
  </si>
  <si>
    <t>Translation Costs</t>
  </si>
  <si>
    <t>Grantee: Partners of the Americas Inc.</t>
  </si>
  <si>
    <t>Communications Officer - LOE 5%</t>
  </si>
  <si>
    <t>Communications Officer - Fringe Benefits 23.47%</t>
  </si>
  <si>
    <t>POA is budgeting to translate documents from English to Spanish or Spanish to English, as needed. Based on vendor quotes, POA estimates $125.50 per document that will be translated. From experience, POA is budgeting for two (2) documents to be translated during the project. The total amount is $251.</t>
  </si>
  <si>
    <t>Sub-grants will be awarded to HEI teams for new Central America-U.S. exchange programs. These funds will also facilitate fundraising by reducing the amount required from public-private donors and showing DOS/POA investment. POA is budgeting approximately $36,000/grant for four (4) grants to be awarded to selected HEI recipients, pending the proposal evaluation and selection process. NOTE: The actual number of 100K Strong sub-grants in this proposed budget are approximate. Final amounts of sub-grants will vary according to potential non-USG funds and agreements with private-public sector partners, as well as the results of 100K sub-grant evaluation/selection process. The anticipated total amount for line however, will not vary. The total cost for the HEI sub-grants is $144,000.</t>
  </si>
  <si>
    <t>Program Officer - LOE 5%</t>
  </si>
  <si>
    <t>Program Officer - Fringe Benefits 23.47%</t>
  </si>
  <si>
    <t>Project Name: Expanding Central America-U.S. Higher Education Climate Cooperation and Inclusive Education Exchanges through 100K Strong Americas</t>
  </si>
  <si>
    <t>Communications Officer – Melisa Arrázola, with an annual salary of $58,236 equal to $4,853/month h, will dedicate 5% of her time to implement the program’s communications and marketing strategy. She will support outreach, communications, and marketing for partnership development, grant competition promotion, material design, and event planning. She will also lead digital communications/marketing efforts to promote 100K projects and grant impact, including sharing faculty and student stories on the 100K website and ensuring online and social media presence. The total for this position is $5,824 for 24 months.</t>
  </si>
  <si>
    <t>Program Officer - Mariana Cabrera, with an annual salary of $43,416 equal to is $3,618/montg, will dedicate 5% of her time to support MEL activities: determine data collection timeline; design/administer survey tools to HEI grantees, and students; track, collect, and analyse data and HEI sub-grant reports; collect 100K student stories; and maintain the program’s M&amp;E database. The total for this position is $3,618 for 20 months.</t>
  </si>
  <si>
    <t>In accordance with Partners’ personnel policy and NICRA letter, Partners has budgeted a 23.47% fringe rate on the salary charged to the grant for the Communications Officer. Fringe benefits include insurance, mandatory taxes, pension, and other employee benefits. The total is $1,367.</t>
  </si>
  <si>
    <t>In accordance with Partners’ personnel policy and NICRA letter, Partners has budgeted a 23.47% fringe rate on the salary charged to the grant for the Program Officer. Fringe benefits include insurance, mandatory taxes, pension, and other employee benefits. The total is $849.</t>
  </si>
  <si>
    <t>Entity:</t>
  </si>
  <si>
    <t>P</t>
  </si>
  <si>
    <t>Program-Dept.:</t>
  </si>
  <si>
    <t>Funder-Grant:</t>
  </si>
  <si>
    <t>DOS265</t>
  </si>
  <si>
    <t>PERSNL</t>
  </si>
  <si>
    <t>USA</t>
  </si>
  <si>
    <t>GRANTS</t>
  </si>
  <si>
    <t>FRINGE</t>
  </si>
  <si>
    <t>TRANS</t>
  </si>
  <si>
    <t>IDC</t>
  </si>
  <si>
    <t>Budget Code</t>
  </si>
  <si>
    <t>Account Code</t>
  </si>
  <si>
    <t>Country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</si>
</sst>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409]* #,##0.00_);_([$$-409]* \(#,##0.00\);_([$$-409]* &quot;-&quot;??_);_(@_)"/>
    <numFmt numFmtId="165" formatCode="0.0"/>
    <numFmt numFmtId="166" formatCode="0.000"/>
    <numFmt numFmtId="167" formatCode="_(* #,##0_);_(* \(#,##0\);_(* &quot;-&quot;??_);_(@_)"/>
  </numFmts>
  <fonts count="14" x14ac:knownFonts="1">
    <font>
      <sz val="10"/>
      <name val="Arial"/>
      <family val="2"/>
    </font>
    <font>
      <sz val="10"/>
      <name val="Arial"/>
      <family val="2"/>
    </font>
    <font>
      <sz val="12"/>
      <name val="Calibri"/>
      <family val="2"/>
      <scheme val="minor"/>
    </font>
    <font>
      <b/>
      <sz val="12"/>
      <name val="Calibri"/>
      <family val="2"/>
      <scheme val="minor"/>
    </font>
    <font>
      <sz val="10"/>
      <name val="Arial"/>
      <family val="2"/>
    </font>
    <font>
      <b/>
      <sz val="12"/>
      <color rgb="FF000000"/>
      <name val="Calibri"/>
      <family val="2"/>
      <scheme val="minor"/>
    </font>
    <font>
      <b/>
      <sz val="14"/>
      <name val="Arial"/>
      <family val="2"/>
    </font>
    <font>
      <b/>
      <sz val="12"/>
      <name val="Times New Roman"/>
      <family val="1"/>
    </font>
    <font>
      <sz val="12"/>
      <name val="Times New Roman"/>
      <family val="1"/>
    </font>
    <font>
      <b/>
      <sz val="12"/>
      <color rgb="FF333333"/>
      <name val="Times New Roman"/>
      <family val="1"/>
    </font>
    <font>
      <sz val="12"/>
      <name val="Arial"/>
      <family val="2"/>
    </font>
    <font>
      <b/>
      <sz val="12"/>
      <name val="Arial"/>
      <family val="2"/>
    </font>
    <font>
      <b/>
      <sz val="12"/>
      <color rgb="FFFF0000"/>
      <name val="Calibri"/>
      <family val="2"/>
      <scheme val="minor"/>
    </font>
    <font>
      <b/>
      <sz val="11"/>
      <name val="Arial"/>
      <family val="2"/>
    </font>
  </fonts>
  <fills count="12">
    <fill>
      <patternFill patternType="none"/>
    </fill>
    <fill>
      <patternFill patternType="gray125"/>
    </fill>
    <fill>
      <patternFill patternType="solid">
        <fgColor theme="3"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2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s>
  <cellStyleXfs count="3">
    <xf numFmtId="0" fontId="0" fillId="0" borderId="0"/>
    <xf numFmtId="44" fontId="1" fillId="0" borderId="0" applyFill="0" applyBorder="0" applyAlignment="0" applyProtection="0"/>
    <xf numFmtId="43" fontId="4" fillId="0" borderId="0" applyFont="0" applyFill="0" applyBorder="0" applyAlignment="0" applyProtection="0"/>
  </cellStyleXfs>
  <cellXfs count="109">
    <xf numFmtId="0" fontId="0" fillId="0" borderId="0" xfId="0"/>
    <xf numFmtId="0" fontId="2" fillId="0" borderId="0" xfId="0" applyFont="1"/>
    <xf numFmtId="0" fontId="3" fillId="0" borderId="1" xfId="0" applyFont="1" applyBorder="1"/>
    <xf numFmtId="44" fontId="2" fillId="0" borderId="1" xfId="1" applyFont="1" applyBorder="1"/>
    <xf numFmtId="0" fontId="2" fillId="0" borderId="1" xfId="0" applyFont="1" applyBorder="1"/>
    <xf numFmtId="2" fontId="3" fillId="0" borderId="1" xfId="0" applyNumberFormat="1" applyFont="1" applyBorder="1"/>
    <xf numFmtId="44" fontId="2" fillId="0" borderId="0" xfId="1" applyFont="1"/>
    <xf numFmtId="44" fontId="3" fillId="0" borderId="1" xfId="1" applyFont="1" applyBorder="1"/>
    <xf numFmtId="0" fontId="3" fillId="2" borderId="1" xfId="0" applyFont="1" applyFill="1" applyBorder="1" applyAlignment="1">
      <alignment horizontal="center"/>
    </xf>
    <xf numFmtId="44" fontId="3" fillId="2" borderId="1" xfId="1" applyFont="1" applyFill="1" applyBorder="1" applyAlignment="1">
      <alignment horizontal="center"/>
    </xf>
    <xf numFmtId="0" fontId="3" fillId="3" borderId="1" xfId="0" applyFont="1" applyFill="1" applyBorder="1"/>
    <xf numFmtId="44" fontId="2" fillId="3" borderId="1" xfId="1" applyFont="1" applyFill="1" applyBorder="1"/>
    <xf numFmtId="44" fontId="3" fillId="3" borderId="1" xfId="1" applyFont="1" applyFill="1" applyBorder="1"/>
    <xf numFmtId="0" fontId="3" fillId="4" borderId="2" xfId="0" applyFont="1" applyFill="1" applyBorder="1"/>
    <xf numFmtId="0" fontId="3" fillId="4" borderId="3" xfId="0" applyFont="1" applyFill="1" applyBorder="1"/>
    <xf numFmtId="0" fontId="3" fillId="0" borderId="0" xfId="0" applyFont="1"/>
    <xf numFmtId="0" fontId="2" fillId="5" borderId="1" xfId="0" applyFont="1" applyFill="1" applyBorder="1"/>
    <xf numFmtId="0" fontId="3" fillId="5" borderId="1" xfId="0" applyFont="1" applyFill="1" applyBorder="1"/>
    <xf numFmtId="0" fontId="3" fillId="5" borderId="1" xfId="0" applyFont="1" applyFill="1" applyBorder="1" applyAlignment="1">
      <alignment horizontal="center"/>
    </xf>
    <xf numFmtId="44" fontId="2" fillId="5" borderId="1" xfId="1" applyFont="1" applyFill="1" applyBorder="1"/>
    <xf numFmtId="44" fontId="2" fillId="0" borderId="1" xfId="1" applyFont="1" applyFill="1" applyBorder="1"/>
    <xf numFmtId="44" fontId="3" fillId="0" borderId="1" xfId="1" applyFont="1" applyFill="1" applyBorder="1"/>
    <xf numFmtId="165" fontId="2" fillId="0" borderId="1" xfId="0" applyNumberFormat="1" applyFont="1" applyBorder="1"/>
    <xf numFmtId="0" fontId="3" fillId="0" borderId="0" xfId="0" applyFont="1" applyAlignment="1">
      <alignment horizontal="center"/>
    </xf>
    <xf numFmtId="43" fontId="2" fillId="0" borderId="0" xfId="2" applyFont="1"/>
    <xf numFmtId="43" fontId="3" fillId="2" borderId="1" xfId="2" applyFont="1" applyFill="1" applyBorder="1" applyAlignment="1">
      <alignment horizontal="center"/>
    </xf>
    <xf numFmtId="43" fontId="2" fillId="3" borderId="1" xfId="2" applyFont="1" applyFill="1" applyBorder="1"/>
    <xf numFmtId="43" fontId="2" fillId="0" borderId="1" xfId="2" applyFont="1" applyBorder="1"/>
    <xf numFmtId="43" fontId="3" fillId="0" borderId="1" xfId="2" applyFont="1" applyBorder="1"/>
    <xf numFmtId="43" fontId="2" fillId="5" borderId="1" xfId="2" applyFont="1" applyFill="1" applyBorder="1"/>
    <xf numFmtId="43" fontId="2" fillId="0" borderId="1" xfId="2" applyFont="1" applyFill="1" applyBorder="1"/>
    <xf numFmtId="43" fontId="3" fillId="3" borderId="1" xfId="2" applyFont="1" applyFill="1" applyBorder="1"/>
    <xf numFmtId="43" fontId="3" fillId="0" borderId="1" xfId="2" applyFont="1" applyFill="1" applyBorder="1"/>
    <xf numFmtId="1" fontId="2" fillId="0" borderId="1" xfId="0" applyNumberFormat="1" applyFont="1" applyBorder="1"/>
    <xf numFmtId="164" fontId="2" fillId="0" borderId="0" xfId="0" applyNumberFormat="1" applyFont="1"/>
    <xf numFmtId="0" fontId="3" fillId="2" borderId="4" xfId="0" applyFont="1" applyFill="1" applyBorder="1" applyAlignment="1">
      <alignment horizontal="center"/>
    </xf>
    <xf numFmtId="43" fontId="3" fillId="2" borderId="4" xfId="2" applyFont="1" applyFill="1" applyBorder="1" applyAlignment="1">
      <alignment horizontal="center"/>
    </xf>
    <xf numFmtId="0" fontId="3" fillId="5" borderId="4" xfId="0" applyFont="1" applyFill="1" applyBorder="1" applyAlignment="1">
      <alignment horizontal="center"/>
    </xf>
    <xf numFmtId="44" fontId="3" fillId="2" borderId="4" xfId="1" applyFont="1" applyFill="1" applyBorder="1" applyAlignment="1">
      <alignment horizontal="center"/>
    </xf>
    <xf numFmtId="0" fontId="3" fillId="4" borderId="5" xfId="0" applyFont="1" applyFill="1" applyBorder="1"/>
    <xf numFmtId="0" fontId="3" fillId="4" borderId="6" xfId="0" applyFont="1" applyFill="1" applyBorder="1"/>
    <xf numFmtId="44" fontId="2" fillId="2" borderId="1" xfId="1" applyFont="1" applyFill="1" applyBorder="1"/>
    <xf numFmtId="0" fontId="3" fillId="7" borderId="1" xfId="0" applyFont="1" applyFill="1" applyBorder="1"/>
    <xf numFmtId="43" fontId="3" fillId="7" borderId="1" xfId="2" applyFont="1" applyFill="1" applyBorder="1"/>
    <xf numFmtId="44" fontId="2" fillId="7" borderId="1" xfId="1" applyFont="1" applyFill="1" applyBorder="1"/>
    <xf numFmtId="44" fontId="3" fillId="7" borderId="1" xfId="1" applyFont="1" applyFill="1" applyBorder="1"/>
    <xf numFmtId="0" fontId="3" fillId="3" borderId="1" xfId="0" applyFont="1" applyFill="1" applyBorder="1" applyAlignment="1">
      <alignment horizontal="left"/>
    </xf>
    <xf numFmtId="1" fontId="3" fillId="3" borderId="1" xfId="0" applyNumberFormat="1" applyFont="1" applyFill="1" applyBorder="1" applyAlignment="1">
      <alignment horizontal="left"/>
    </xf>
    <xf numFmtId="0" fontId="3" fillId="7" borderId="1" xfId="0" applyFont="1" applyFill="1" applyBorder="1" applyAlignment="1">
      <alignment horizontal="left"/>
    </xf>
    <xf numFmtId="0" fontId="5" fillId="0" borderId="1" xfId="0" applyFont="1" applyBorder="1"/>
    <xf numFmtId="0" fontId="2" fillId="8" borderId="1" xfId="0" applyFont="1" applyFill="1" applyBorder="1"/>
    <xf numFmtId="0" fontId="2" fillId="8" borderId="0" xfId="0" applyFont="1" applyFill="1"/>
    <xf numFmtId="0" fontId="3" fillId="3" borderId="1" xfId="0" applyFont="1" applyFill="1" applyBorder="1" applyAlignment="1">
      <alignment wrapText="1"/>
    </xf>
    <xf numFmtId="0" fontId="2" fillId="8" borderId="1" xfId="0" applyFont="1" applyFill="1" applyBorder="1" applyAlignment="1">
      <alignment wrapText="1"/>
    </xf>
    <xf numFmtId="0" fontId="3" fillId="0" borderId="1" xfId="0" applyFont="1" applyBorder="1" applyAlignment="1">
      <alignment wrapText="1"/>
    </xf>
    <xf numFmtId="0" fontId="2" fillId="5" borderId="1" xfId="0" applyFont="1" applyFill="1" applyBorder="1" applyAlignment="1">
      <alignment wrapText="1"/>
    </xf>
    <xf numFmtId="0" fontId="2" fillId="0" borderId="1" xfId="0" applyFont="1" applyBorder="1" applyAlignment="1">
      <alignment wrapText="1"/>
    </xf>
    <xf numFmtId="0" fontId="5" fillId="0" borderId="1" xfId="0" applyFont="1" applyBorder="1" applyAlignment="1">
      <alignment wrapText="1"/>
    </xf>
    <xf numFmtId="0" fontId="3" fillId="5" borderId="1" xfId="0" applyFont="1" applyFill="1" applyBorder="1" applyAlignment="1">
      <alignment wrapText="1"/>
    </xf>
    <xf numFmtId="0" fontId="0" fillId="0" borderId="0" xfId="0" applyAlignment="1">
      <alignment wrapText="1"/>
    </xf>
    <xf numFmtId="0" fontId="6" fillId="9" borderId="10" xfId="0" applyFont="1" applyFill="1" applyBorder="1"/>
    <xf numFmtId="0" fontId="3" fillId="3" borderId="11" xfId="0" applyFont="1" applyFill="1" applyBorder="1" applyAlignment="1">
      <alignment horizontal="left"/>
    </xf>
    <xf numFmtId="0" fontId="3" fillId="3" borderId="12" xfId="0" applyFont="1" applyFill="1" applyBorder="1" applyAlignment="1">
      <alignment wrapText="1"/>
    </xf>
    <xf numFmtId="0" fontId="2" fillId="0" borderId="11" xfId="0" applyFont="1" applyBorder="1"/>
    <xf numFmtId="0" fontId="2" fillId="8" borderId="12" xfId="0" applyFont="1" applyFill="1" applyBorder="1" applyAlignment="1">
      <alignment wrapText="1"/>
    </xf>
    <xf numFmtId="0" fontId="3" fillId="0" borderId="11" xfId="0" applyFont="1" applyBorder="1"/>
    <xf numFmtId="0" fontId="3" fillId="0" borderId="12" xfId="0" applyFont="1" applyBorder="1" applyAlignment="1">
      <alignment wrapText="1"/>
    </xf>
    <xf numFmtId="0" fontId="2" fillId="5" borderId="11" xfId="0" applyFont="1" applyFill="1" applyBorder="1"/>
    <xf numFmtId="0" fontId="2" fillId="5" borderId="12" xfId="0" applyFont="1" applyFill="1" applyBorder="1" applyAlignment="1">
      <alignment wrapText="1"/>
    </xf>
    <xf numFmtId="2" fontId="3" fillId="0" borderId="11" xfId="0" applyNumberFormat="1" applyFont="1" applyBorder="1"/>
    <xf numFmtId="1" fontId="3" fillId="3" borderId="11" xfId="0" applyNumberFormat="1" applyFont="1" applyFill="1" applyBorder="1" applyAlignment="1">
      <alignment horizontal="left"/>
    </xf>
    <xf numFmtId="0" fontId="2" fillId="0" borderId="12" xfId="0" applyFont="1" applyBorder="1" applyAlignment="1">
      <alignment wrapText="1"/>
    </xf>
    <xf numFmtId="0" fontId="5" fillId="0" borderId="12" xfId="0" applyFont="1" applyBorder="1" applyAlignment="1">
      <alignment wrapText="1"/>
    </xf>
    <xf numFmtId="0" fontId="3" fillId="5" borderId="12" xfId="0" applyFont="1" applyFill="1" applyBorder="1" applyAlignment="1">
      <alignment wrapText="1"/>
    </xf>
    <xf numFmtId="0" fontId="2" fillId="5" borderId="13" xfId="0" applyFont="1" applyFill="1" applyBorder="1"/>
    <xf numFmtId="0" fontId="2" fillId="5" borderId="14" xfId="0" applyFont="1" applyFill="1" applyBorder="1" applyAlignment="1">
      <alignment wrapText="1"/>
    </xf>
    <xf numFmtId="0" fontId="2" fillId="5" borderId="15" xfId="0" applyFont="1" applyFill="1" applyBorder="1" applyAlignment="1">
      <alignment wrapText="1"/>
    </xf>
    <xf numFmtId="0" fontId="11" fillId="10" borderId="11" xfId="0" applyFont="1" applyFill="1" applyBorder="1" applyAlignment="1">
      <alignment horizontal="left" vertical="center" wrapText="1"/>
    </xf>
    <xf numFmtId="0" fontId="8" fillId="0" borderId="12" xfId="0" applyFont="1" applyBorder="1" applyAlignment="1">
      <alignment vertical="center" wrapText="1"/>
    </xf>
    <xf numFmtId="0" fontId="10" fillId="0" borderId="18" xfId="0" applyFont="1" applyBorder="1" applyAlignment="1">
      <alignment wrapText="1"/>
    </xf>
    <xf numFmtId="0" fontId="7" fillId="7" borderId="15" xfId="0" applyFont="1" applyFill="1" applyBorder="1" applyAlignment="1">
      <alignment vertical="center" wrapText="1"/>
    </xf>
    <xf numFmtId="43" fontId="3" fillId="7" borderId="1" xfId="0" applyNumberFormat="1" applyFont="1" applyFill="1" applyBorder="1"/>
    <xf numFmtId="0" fontId="0" fillId="0" borderId="0" xfId="0" applyAlignment="1">
      <alignment horizontal="left" wrapText="1"/>
    </xf>
    <xf numFmtId="0" fontId="2" fillId="0" borderId="0" xfId="0" applyFont="1" applyAlignment="1">
      <alignment wrapText="1"/>
    </xf>
    <xf numFmtId="0" fontId="3" fillId="0" borderId="20" xfId="0" applyFont="1" applyBorder="1" applyAlignment="1">
      <alignment horizontal="left"/>
    </xf>
    <xf numFmtId="0" fontId="3" fillId="0" borderId="21" xfId="0" applyFont="1" applyBorder="1" applyAlignment="1">
      <alignment horizontal="left" wrapText="1"/>
    </xf>
    <xf numFmtId="166" fontId="3" fillId="4" borderId="19" xfId="0" applyNumberFormat="1" applyFont="1" applyFill="1" applyBorder="1"/>
    <xf numFmtId="10" fontId="3" fillId="7" borderId="1" xfId="0" applyNumberFormat="1" applyFont="1" applyFill="1" applyBorder="1"/>
    <xf numFmtId="167" fontId="3" fillId="7" borderId="1" xfId="2" applyNumberFormat="1" applyFont="1" applyFill="1" applyBorder="1"/>
    <xf numFmtId="167" fontId="3" fillId="2" borderId="1" xfId="2" applyNumberFormat="1" applyFont="1" applyFill="1" applyBorder="1" applyAlignment="1">
      <alignment horizontal="center"/>
    </xf>
    <xf numFmtId="0" fontId="0" fillId="0" borderId="1" xfId="0" applyBorder="1" applyAlignment="1">
      <alignment wrapText="1"/>
    </xf>
    <xf numFmtId="0" fontId="13" fillId="0" borderId="22" xfId="0" applyFont="1" applyBorder="1" applyAlignment="1">
      <alignment horizontal="left" vertical="center"/>
    </xf>
    <xf numFmtId="0" fontId="13" fillId="0" borderId="23" xfId="0" applyFont="1" applyBorder="1" applyAlignment="1">
      <alignment horizontal="left" vertical="center"/>
    </xf>
    <xf numFmtId="0" fontId="13" fillId="0" borderId="24" xfId="0" applyFont="1" applyBorder="1" applyAlignment="1">
      <alignment horizontal="left" vertical="center"/>
    </xf>
    <xf numFmtId="0" fontId="13" fillId="0" borderId="25" xfId="0" applyFont="1" applyBorder="1" applyAlignment="1">
      <alignment horizontal="left" vertical="center"/>
    </xf>
    <xf numFmtId="0" fontId="13" fillId="0" borderId="18" xfId="0" applyFont="1" applyBorder="1" applyAlignment="1">
      <alignment horizontal="left" vertical="center"/>
    </xf>
    <xf numFmtId="0" fontId="13" fillId="0" borderId="26" xfId="0" applyFont="1" applyBorder="1" applyAlignment="1">
      <alignment horizontal="left" vertical="center"/>
    </xf>
    <xf numFmtId="0" fontId="7" fillId="6" borderId="16" xfId="0" applyFont="1" applyFill="1" applyBorder="1" applyAlignment="1">
      <alignment horizontal="center" vertical="center" wrapText="1"/>
    </xf>
    <xf numFmtId="0" fontId="0" fillId="0" borderId="17" xfId="0" applyBorder="1" applyAlignment="1">
      <alignment wrapText="1"/>
    </xf>
    <xf numFmtId="0" fontId="3" fillId="6" borderId="5" xfId="0" applyFont="1" applyFill="1" applyBorder="1" applyAlignment="1">
      <alignment horizontal="center"/>
    </xf>
    <xf numFmtId="0" fontId="3" fillId="6" borderId="6" xfId="0" applyFont="1" applyFill="1" applyBorder="1" applyAlignment="1">
      <alignment horizontal="center"/>
    </xf>
    <xf numFmtId="0" fontId="3" fillId="6" borderId="7" xfId="0" applyFont="1" applyFill="1" applyBorder="1" applyAlignment="1">
      <alignment horizontal="center"/>
    </xf>
    <xf numFmtId="44" fontId="3" fillId="6" borderId="5" xfId="1" applyFont="1" applyFill="1" applyBorder="1" applyAlignment="1">
      <alignment horizontal="center"/>
    </xf>
    <xf numFmtId="44" fontId="3" fillId="6" borderId="6" xfId="1" applyFont="1" applyFill="1" applyBorder="1" applyAlignment="1">
      <alignment horizontal="center"/>
    </xf>
    <xf numFmtId="44" fontId="3" fillId="6" borderId="7" xfId="1" applyFont="1" applyFill="1" applyBorder="1" applyAlignment="1">
      <alignment horizontal="center"/>
    </xf>
    <xf numFmtId="10" fontId="3" fillId="11" borderId="2" xfId="0" applyNumberFormat="1" applyFont="1" applyFill="1" applyBorder="1" applyAlignment="1">
      <alignment horizontal="center" vertical="center"/>
    </xf>
    <xf numFmtId="10" fontId="3" fillId="11" borderId="3" xfId="0" applyNumberFormat="1" applyFont="1" applyFill="1" applyBorder="1" applyAlignment="1">
      <alignment horizontal="center" vertical="center"/>
    </xf>
    <xf numFmtId="0" fontId="6" fillId="9" borderId="8" xfId="0" applyFont="1" applyFill="1" applyBorder="1"/>
    <xf numFmtId="0" fontId="0" fillId="9" borderId="9" xfId="0" applyFill="1" applyBorder="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zoomScaleNormal="100" workbookViewId="0">
      <selection activeCell="B10" sqref="B10"/>
    </sheetView>
  </sheetViews>
  <sheetFormatPr defaultColWidth="9.1640625" defaultRowHeight="12.3" x14ac:dyDescent="0.4"/>
  <cols>
    <col min="1" max="1" width="15" style="59" customWidth="1"/>
    <col min="2" max="2" width="120.5" style="59" customWidth="1"/>
    <col min="3" max="16384" width="9.1640625" style="59"/>
  </cols>
  <sheetData>
    <row r="1" spans="1:2" ht="12.6" thickBot="1" x14ac:dyDescent="0.45"/>
    <row r="2" spans="1:2" x14ac:dyDescent="0.4">
      <c r="A2" s="97" t="s">
        <v>0</v>
      </c>
      <c r="B2" s="98"/>
    </row>
    <row r="3" spans="1:2" ht="30.6" x14ac:dyDescent="0.4">
      <c r="A3" s="77" t="s">
        <v>1</v>
      </c>
      <c r="B3" s="78" t="s">
        <v>2</v>
      </c>
    </row>
    <row r="4" spans="1:2" ht="45.9" x14ac:dyDescent="0.4">
      <c r="A4" s="77" t="s">
        <v>3</v>
      </c>
      <c r="B4" s="78" t="s">
        <v>4</v>
      </c>
    </row>
    <row r="5" spans="1:2" ht="30.6" x14ac:dyDescent="0.4">
      <c r="A5" s="77" t="s">
        <v>5</v>
      </c>
      <c r="B5" s="78" t="s">
        <v>6</v>
      </c>
    </row>
    <row r="6" spans="1:2" ht="30.6" x14ac:dyDescent="0.4">
      <c r="A6" s="77" t="s">
        <v>7</v>
      </c>
      <c r="B6" s="78" t="s">
        <v>8</v>
      </c>
    </row>
    <row r="7" spans="1:2" ht="30.6" x14ac:dyDescent="0.4">
      <c r="A7" s="77" t="s">
        <v>9</v>
      </c>
      <c r="B7" s="78" t="s">
        <v>10</v>
      </c>
    </row>
    <row r="8" spans="1:2" ht="30.6" x14ac:dyDescent="0.4">
      <c r="A8" s="77" t="s">
        <v>11</v>
      </c>
      <c r="B8" s="78" t="s">
        <v>12</v>
      </c>
    </row>
    <row r="9" spans="1:2" ht="61.2" x14ac:dyDescent="0.4">
      <c r="A9" s="77" t="s">
        <v>13</v>
      </c>
      <c r="B9" s="78" t="s">
        <v>14</v>
      </c>
    </row>
    <row r="10" spans="1:2" ht="30.6" x14ac:dyDescent="0.4">
      <c r="A10" s="77" t="s">
        <v>15</v>
      </c>
      <c r="B10" s="78" t="s">
        <v>16</v>
      </c>
    </row>
    <row r="11" spans="1:2" ht="15.3" thickBot="1" x14ac:dyDescent="0.55000000000000004">
      <c r="A11" s="79"/>
      <c r="B11" s="80" t="s">
        <v>17</v>
      </c>
    </row>
    <row r="16" spans="1:2" x14ac:dyDescent="0.4">
      <c r="B16" s="82"/>
    </row>
    <row r="17" spans="2:2" x14ac:dyDescent="0.4">
      <c r="B17" s="82"/>
    </row>
    <row r="18" spans="2:2" x14ac:dyDescent="0.4">
      <c r="B18" s="82"/>
    </row>
    <row r="19" spans="2:2" x14ac:dyDescent="0.4">
      <c r="B19" s="82"/>
    </row>
    <row r="20" spans="2:2" x14ac:dyDescent="0.4">
      <c r="B20" s="82"/>
    </row>
    <row r="21" spans="2:2" x14ac:dyDescent="0.4">
      <c r="B21" s="82"/>
    </row>
  </sheetData>
  <mergeCells count="1">
    <mergeCell ref="A2:B2"/>
  </mergeCells>
  <pageMargins left="0.7" right="0.7" top="0.75" bottom="0.75" header="0.3" footer="0.3"/>
  <pageSetup scale="65"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49"/>
  <sheetViews>
    <sheetView tabSelected="1" topLeftCell="A5" zoomScale="85" zoomScaleNormal="85" zoomScalePageLayoutView="90" workbookViewId="0">
      <selection activeCell="E14" sqref="E14"/>
    </sheetView>
  </sheetViews>
  <sheetFormatPr defaultColWidth="11.5" defaultRowHeight="15.6" x14ac:dyDescent="0.6"/>
  <cols>
    <col min="1" max="1" width="15.94140625" style="1" bestFit="1" customWidth="1"/>
    <col min="2" max="3" width="14.0546875" style="1" customWidth="1"/>
    <col min="4" max="4" width="5.33203125" style="1" customWidth="1"/>
    <col min="5" max="5" width="94.1640625" style="1" bestFit="1" customWidth="1"/>
    <col min="6" max="6" width="0.5" style="1" customWidth="1"/>
    <col min="7" max="7" width="14" style="1" bestFit="1" customWidth="1"/>
    <col min="8" max="8" width="9.83203125" style="1" customWidth="1"/>
    <col min="9" max="9" width="18" style="24" customWidth="1"/>
    <col min="10" max="10" width="0.5" style="1" customWidth="1"/>
    <col min="11" max="11" width="16.5" style="1" customWidth="1"/>
    <col min="12" max="12" width="9.83203125" style="1" customWidth="1"/>
    <col min="13" max="13" width="21.33203125" style="6" customWidth="1"/>
    <col min="14" max="14" width="0.5" style="1" customWidth="1"/>
    <col min="15" max="16" width="15.5" style="6" customWidth="1"/>
    <col min="17" max="17" width="0.5" style="1" customWidth="1"/>
    <col min="18" max="19" width="15.5" style="6" customWidth="1"/>
    <col min="20" max="16384" width="11.5" style="1"/>
  </cols>
  <sheetData>
    <row r="1" spans="1:20" ht="15.9" thickBot="1" x14ac:dyDescent="0.65">
      <c r="E1" s="15" t="s">
        <v>18</v>
      </c>
    </row>
    <row r="2" spans="1:20" x14ac:dyDescent="0.6">
      <c r="E2" s="13" t="s">
        <v>56</v>
      </c>
      <c r="F2" s="15"/>
      <c r="G2" s="15"/>
      <c r="J2" s="15"/>
      <c r="K2" s="15"/>
      <c r="N2" s="15"/>
      <c r="Q2" s="15"/>
    </row>
    <row r="3" spans="1:20" ht="15.9" thickBot="1" x14ac:dyDescent="0.65">
      <c r="E3" s="14" t="s">
        <v>49</v>
      </c>
      <c r="F3" s="15"/>
      <c r="G3" s="15"/>
      <c r="J3" s="15"/>
      <c r="K3" s="15"/>
      <c r="N3" s="15"/>
      <c r="Q3" s="15"/>
    </row>
    <row r="4" spans="1:20" ht="15.9" thickBot="1" x14ac:dyDescent="0.65">
      <c r="E4" s="15"/>
      <c r="F4" s="15"/>
      <c r="G4" s="15"/>
      <c r="H4" s="1" t="s">
        <v>19</v>
      </c>
      <c r="J4" s="15"/>
      <c r="K4" s="15"/>
      <c r="N4" s="15"/>
      <c r="Q4" s="15"/>
    </row>
    <row r="5" spans="1:20" ht="15.9" thickBot="1" x14ac:dyDescent="0.65">
      <c r="A5" s="91" t="s">
        <v>61</v>
      </c>
      <c r="B5" s="92" t="s">
        <v>62</v>
      </c>
      <c r="E5" s="39" t="s">
        <v>20</v>
      </c>
      <c r="F5" s="40"/>
      <c r="G5" s="86">
        <v>7.8650000000000002</v>
      </c>
      <c r="H5" s="1" t="s">
        <v>21</v>
      </c>
      <c r="J5" s="15"/>
      <c r="K5" s="15"/>
      <c r="N5" s="15"/>
      <c r="Q5" s="15"/>
    </row>
    <row r="6" spans="1:20" ht="15.9" thickBot="1" x14ac:dyDescent="0.65">
      <c r="A6" s="93" t="s">
        <v>63</v>
      </c>
      <c r="B6" s="94">
        <v>40100</v>
      </c>
      <c r="E6" s="15"/>
      <c r="F6" s="15"/>
      <c r="G6" s="15"/>
      <c r="J6" s="15"/>
      <c r="K6" s="15"/>
      <c r="N6" s="15"/>
      <c r="Q6" s="15"/>
    </row>
    <row r="7" spans="1:20" ht="15.9" thickBot="1" x14ac:dyDescent="0.65">
      <c r="A7" s="95" t="s">
        <v>64</v>
      </c>
      <c r="B7" s="96" t="s">
        <v>65</v>
      </c>
      <c r="G7" s="99" t="s">
        <v>22</v>
      </c>
      <c r="H7" s="100"/>
      <c r="I7" s="100"/>
      <c r="J7" s="100"/>
      <c r="K7" s="100"/>
      <c r="L7" s="100"/>
      <c r="M7" s="101"/>
      <c r="O7" s="102" t="s">
        <v>23</v>
      </c>
      <c r="P7" s="103"/>
      <c r="Q7" s="103"/>
      <c r="R7" s="103"/>
      <c r="S7" s="104"/>
    </row>
    <row r="8" spans="1:20" x14ac:dyDescent="0.6">
      <c r="E8" s="8" t="s">
        <v>24</v>
      </c>
      <c r="F8" s="18"/>
      <c r="G8" s="35" t="s">
        <v>25</v>
      </c>
      <c r="H8" s="35" t="s">
        <v>26</v>
      </c>
      <c r="I8" s="36" t="s">
        <v>27</v>
      </c>
      <c r="J8" s="37"/>
      <c r="K8" s="35" t="s">
        <v>28</v>
      </c>
      <c r="L8" s="35" t="s">
        <v>26</v>
      </c>
      <c r="M8" s="38" t="s">
        <v>29</v>
      </c>
      <c r="N8" s="18"/>
      <c r="O8" s="38" t="s">
        <v>30</v>
      </c>
      <c r="P8" s="38" t="s">
        <v>31</v>
      </c>
      <c r="Q8" s="37"/>
      <c r="R8" s="38" t="s">
        <v>32</v>
      </c>
      <c r="S8" s="38" t="s">
        <v>33</v>
      </c>
    </row>
    <row r="9" spans="1:20" x14ac:dyDescent="0.6">
      <c r="A9" s="46" t="s">
        <v>72</v>
      </c>
      <c r="B9" s="46" t="s">
        <v>73</v>
      </c>
      <c r="C9" s="46" t="s">
        <v>74</v>
      </c>
      <c r="D9" s="46">
        <v>1</v>
      </c>
      <c r="E9" s="10" t="s">
        <v>1</v>
      </c>
      <c r="F9" s="17"/>
      <c r="G9" s="10"/>
      <c r="H9" s="10"/>
      <c r="I9" s="26"/>
      <c r="J9" s="17"/>
      <c r="K9" s="10"/>
      <c r="L9" s="10"/>
      <c r="M9" s="11"/>
      <c r="N9" s="17"/>
      <c r="O9" s="11"/>
      <c r="P9" s="11"/>
      <c r="Q9" s="17"/>
      <c r="R9" s="11"/>
      <c r="S9" s="11"/>
    </row>
    <row r="10" spans="1:20" x14ac:dyDescent="0.6">
      <c r="A10" s="4" t="s">
        <v>66</v>
      </c>
      <c r="B10" s="4">
        <v>50000</v>
      </c>
      <c r="C10" s="4" t="s">
        <v>67</v>
      </c>
      <c r="D10" s="4">
        <v>1.1000000000000001</v>
      </c>
      <c r="E10" s="50" t="s">
        <v>50</v>
      </c>
      <c r="F10" s="16"/>
      <c r="G10" s="33">
        <f>K10*$G$5</f>
        <v>1908.4422500000001</v>
      </c>
      <c r="H10" s="4">
        <v>24</v>
      </c>
      <c r="I10" s="27">
        <f>ROUND(G10*H10,0)</f>
        <v>45803</v>
      </c>
      <c r="J10" s="16"/>
      <c r="K10" s="33">
        <f>4853*5%</f>
        <v>242.65</v>
      </c>
      <c r="L10" s="4">
        <f>H10</f>
        <v>24</v>
      </c>
      <c r="M10" s="3">
        <f>ROUND(K10*L10,0)</f>
        <v>5824</v>
      </c>
      <c r="N10" s="16"/>
      <c r="O10" s="3"/>
      <c r="P10" s="3">
        <f>O10/$G$5</f>
        <v>0</v>
      </c>
      <c r="Q10" s="16"/>
      <c r="R10" s="27">
        <f>I10-O10</f>
        <v>45803</v>
      </c>
      <c r="S10" s="3">
        <f>M10-P10</f>
        <v>5824</v>
      </c>
      <c r="T10" s="34"/>
    </row>
    <row r="11" spans="1:20" x14ac:dyDescent="0.6">
      <c r="A11" s="4" t="s">
        <v>66</v>
      </c>
      <c r="B11" s="4">
        <v>50000</v>
      </c>
      <c r="C11" s="4" t="s">
        <v>67</v>
      </c>
      <c r="D11" s="4">
        <v>1.2</v>
      </c>
      <c r="E11" s="50" t="s">
        <v>54</v>
      </c>
      <c r="F11" s="16"/>
      <c r="G11" s="33">
        <f t="shared" ref="G11:G13" si="0">K11*$G$5</f>
        <v>1422.7785000000001</v>
      </c>
      <c r="H11" s="4">
        <v>20</v>
      </c>
      <c r="I11" s="27">
        <f>ROUND(G11*H11,0)</f>
        <v>28456</v>
      </c>
      <c r="J11" s="16"/>
      <c r="K11" s="33">
        <f>3618*5%</f>
        <v>180.9</v>
      </c>
      <c r="L11" s="4">
        <f>H11</f>
        <v>20</v>
      </c>
      <c r="M11" s="3">
        <f t="shared" ref="M11:M13" si="1">ROUND(K11*L11,0)</f>
        <v>3618</v>
      </c>
      <c r="N11" s="16"/>
      <c r="O11" s="3"/>
      <c r="P11" s="3">
        <f t="shared" ref="P11:P45" si="2">O11/$G$5</f>
        <v>0</v>
      </c>
      <c r="Q11" s="16"/>
      <c r="R11" s="27">
        <f>I11-O11</f>
        <v>28456</v>
      </c>
      <c r="S11" s="3">
        <f>M11-P11</f>
        <v>3618</v>
      </c>
    </row>
    <row r="12" spans="1:20" x14ac:dyDescent="0.6">
      <c r="A12" s="4" t="s">
        <v>69</v>
      </c>
      <c r="B12" s="4">
        <v>50900</v>
      </c>
      <c r="C12" s="4" t="s">
        <v>67</v>
      </c>
      <c r="D12" s="4">
        <v>1.3</v>
      </c>
      <c r="E12" s="50" t="s">
        <v>51</v>
      </c>
      <c r="F12" s="16"/>
      <c r="G12" s="33">
        <f t="shared" si="0"/>
        <v>447.91139607500003</v>
      </c>
      <c r="H12" s="4">
        <v>24</v>
      </c>
      <c r="I12" s="27">
        <f>ROUND(G12*H12,0)</f>
        <v>10750</v>
      </c>
      <c r="J12" s="16"/>
      <c r="K12" s="33">
        <f>(4853*5%)*23.47%</f>
        <v>56.949955000000003</v>
      </c>
      <c r="L12" s="4">
        <f>H12</f>
        <v>24</v>
      </c>
      <c r="M12" s="3">
        <f t="shared" si="1"/>
        <v>1367</v>
      </c>
      <c r="N12" s="16"/>
      <c r="O12" s="3"/>
      <c r="P12" s="3">
        <f>O12/$G$5</f>
        <v>0</v>
      </c>
      <c r="Q12" s="16"/>
      <c r="R12" s="27">
        <f>I12-O12</f>
        <v>10750</v>
      </c>
      <c r="S12" s="3">
        <f>M12-P12</f>
        <v>1367</v>
      </c>
      <c r="T12" s="34"/>
    </row>
    <row r="13" spans="1:20" x14ac:dyDescent="0.6">
      <c r="A13" s="4" t="s">
        <v>69</v>
      </c>
      <c r="B13" s="4">
        <v>50900</v>
      </c>
      <c r="C13" s="4" t="s">
        <v>67</v>
      </c>
      <c r="D13" s="4">
        <v>1.4</v>
      </c>
      <c r="E13" s="50" t="s">
        <v>55</v>
      </c>
      <c r="F13" s="16"/>
      <c r="G13" s="33">
        <f t="shared" si="0"/>
        <v>333.92611395000006</v>
      </c>
      <c r="H13" s="4">
        <v>20</v>
      </c>
      <c r="I13" s="27">
        <f>ROUND(G13*H13,0)</f>
        <v>6679</v>
      </c>
      <c r="J13" s="16"/>
      <c r="K13" s="33">
        <f>(3618*5%)*23.47%</f>
        <v>42.457230000000003</v>
      </c>
      <c r="L13" s="4">
        <f>H13</f>
        <v>20</v>
      </c>
      <c r="M13" s="3">
        <f t="shared" si="1"/>
        <v>849</v>
      </c>
      <c r="N13" s="16"/>
      <c r="O13" s="3"/>
      <c r="P13" s="3">
        <f t="shared" ref="P13" si="3">O13/$G$5</f>
        <v>0</v>
      </c>
      <c r="Q13" s="16"/>
      <c r="R13" s="27">
        <f>I13-O13</f>
        <v>6679</v>
      </c>
      <c r="S13" s="3">
        <f>M13-P13</f>
        <v>849</v>
      </c>
    </row>
    <row r="14" spans="1:20" s="15" customFormat="1" x14ac:dyDescent="0.6">
      <c r="A14" s="2"/>
      <c r="B14" s="2"/>
      <c r="C14" s="2"/>
      <c r="D14" s="2"/>
      <c r="E14" s="2" t="s">
        <v>34</v>
      </c>
      <c r="F14" s="17"/>
      <c r="G14" s="2"/>
      <c r="H14" s="2"/>
      <c r="I14" s="28">
        <f>SUM(I10:I13)</f>
        <v>91688</v>
      </c>
      <c r="J14" s="17"/>
      <c r="K14" s="5"/>
      <c r="L14" s="2"/>
      <c r="M14" s="7">
        <f>SUM(M10:M13)</f>
        <v>11658</v>
      </c>
      <c r="N14" s="17"/>
      <c r="O14" s="28">
        <f>SUM(O10:O13)</f>
        <v>0</v>
      </c>
      <c r="P14" s="28">
        <f>SUM(P10:P13)</f>
        <v>0</v>
      </c>
      <c r="Q14" s="17"/>
      <c r="R14" s="28">
        <f>SUM(R10:R13)</f>
        <v>91688</v>
      </c>
      <c r="S14" s="7">
        <f>SUM(S10:S13)</f>
        <v>11658</v>
      </c>
    </row>
    <row r="15" spans="1:20" ht="4" customHeight="1" x14ac:dyDescent="0.6">
      <c r="A15" s="16"/>
      <c r="B15" s="16"/>
      <c r="C15" s="16"/>
      <c r="D15" s="16"/>
      <c r="E15" s="16"/>
      <c r="F15" s="16"/>
      <c r="G15" s="16"/>
      <c r="H15" s="16"/>
      <c r="I15" s="29"/>
      <c r="J15" s="16"/>
      <c r="K15" s="16"/>
      <c r="L15" s="16"/>
      <c r="M15" s="19"/>
      <c r="N15" s="16"/>
      <c r="O15" s="19"/>
      <c r="P15" s="19"/>
      <c r="Q15" s="16"/>
      <c r="R15" s="29"/>
      <c r="S15" s="19"/>
    </row>
    <row r="16" spans="1:20" x14ac:dyDescent="0.6">
      <c r="A16" s="46"/>
      <c r="B16" s="46"/>
      <c r="C16" s="46"/>
      <c r="D16" s="46">
        <v>2</v>
      </c>
      <c r="E16" s="10" t="s">
        <v>3</v>
      </c>
      <c r="F16" s="17"/>
      <c r="G16" s="10"/>
      <c r="H16" s="10"/>
      <c r="I16" s="26"/>
      <c r="J16" s="17"/>
      <c r="K16" s="10"/>
      <c r="L16" s="10"/>
      <c r="M16" s="11"/>
      <c r="N16" s="17"/>
      <c r="O16" s="11"/>
      <c r="P16" s="11"/>
      <c r="Q16" s="17"/>
      <c r="R16" s="26"/>
      <c r="S16" s="11"/>
    </row>
    <row r="17" spans="1:19" hidden="1" x14ac:dyDescent="0.6">
      <c r="A17" s="4"/>
      <c r="B17" s="4"/>
      <c r="C17" s="4"/>
      <c r="D17" s="4">
        <v>2.1</v>
      </c>
      <c r="E17" s="51"/>
      <c r="F17" s="16"/>
      <c r="G17" s="33">
        <v>0</v>
      </c>
      <c r="H17" s="4">
        <v>0</v>
      </c>
      <c r="I17" s="27">
        <f>G17*H17</f>
        <v>0</v>
      </c>
      <c r="J17" s="16"/>
      <c r="K17" s="3">
        <f>G17/$G$5</f>
        <v>0</v>
      </c>
      <c r="L17" s="4">
        <f>H17</f>
        <v>0</v>
      </c>
      <c r="M17" s="3">
        <f>K17*L17</f>
        <v>0</v>
      </c>
      <c r="N17" s="16"/>
      <c r="O17" s="3">
        <v>0</v>
      </c>
      <c r="P17" s="3">
        <f t="shared" si="2"/>
        <v>0</v>
      </c>
      <c r="Q17" s="16"/>
      <c r="R17" s="27">
        <f>I17-O17</f>
        <v>0</v>
      </c>
      <c r="S17" s="3">
        <f>M17-P17</f>
        <v>0</v>
      </c>
    </row>
    <row r="18" spans="1:19" s="15" customFormat="1" x14ac:dyDescent="0.6">
      <c r="A18" s="5"/>
      <c r="B18" s="5"/>
      <c r="C18" s="5"/>
      <c r="D18" s="5"/>
      <c r="E18" s="2" t="s">
        <v>34</v>
      </c>
      <c r="F18" s="17"/>
      <c r="G18" s="2"/>
      <c r="H18" s="2"/>
      <c r="I18" s="28">
        <f>SUM(I17:I17)</f>
        <v>0</v>
      </c>
      <c r="J18" s="17"/>
      <c r="K18" s="2"/>
      <c r="L18" s="2"/>
      <c r="M18" s="7">
        <f>SUM(M17:M17)</f>
        <v>0</v>
      </c>
      <c r="N18" s="17"/>
      <c r="O18" s="28">
        <f>SUM(O17:O17)</f>
        <v>0</v>
      </c>
      <c r="P18" s="3">
        <f t="shared" si="2"/>
        <v>0</v>
      </c>
      <c r="Q18" s="17"/>
      <c r="R18" s="28">
        <f>SUM(R17:R17)</f>
        <v>0</v>
      </c>
      <c r="S18" s="7">
        <f>SUM(S17:S17)</f>
        <v>0</v>
      </c>
    </row>
    <row r="19" spans="1:19" ht="4" customHeight="1" x14ac:dyDescent="0.6">
      <c r="A19" s="16"/>
      <c r="B19" s="16"/>
      <c r="C19" s="16"/>
      <c r="D19" s="16"/>
      <c r="E19" s="16"/>
      <c r="F19" s="16"/>
      <c r="G19" s="16"/>
      <c r="H19" s="16"/>
      <c r="I19" s="29"/>
      <c r="J19" s="16"/>
      <c r="K19" s="16"/>
      <c r="L19" s="16"/>
      <c r="M19" s="19"/>
      <c r="N19" s="16"/>
      <c r="O19" s="19"/>
      <c r="P19" s="19"/>
      <c r="Q19" s="16"/>
      <c r="R19" s="29"/>
      <c r="S19" s="19"/>
    </row>
    <row r="20" spans="1:19" x14ac:dyDescent="0.6">
      <c r="A20" s="47"/>
      <c r="B20" s="47"/>
      <c r="C20" s="47"/>
      <c r="D20" s="47">
        <v>3</v>
      </c>
      <c r="E20" s="10" t="s">
        <v>35</v>
      </c>
      <c r="F20" s="17"/>
      <c r="G20" s="10"/>
      <c r="H20" s="10"/>
      <c r="I20" s="26"/>
      <c r="J20" s="17"/>
      <c r="K20" s="10"/>
      <c r="L20" s="10"/>
      <c r="M20" s="11"/>
      <c r="N20" s="17"/>
      <c r="O20" s="11"/>
      <c r="P20" s="11"/>
      <c r="Q20" s="17"/>
      <c r="R20" s="26"/>
      <c r="S20" s="11"/>
    </row>
    <row r="21" spans="1:19" hidden="1" x14ac:dyDescent="0.6">
      <c r="A21" s="22"/>
      <c r="B21" s="22"/>
      <c r="C21" s="22"/>
      <c r="D21" s="22">
        <v>3.1</v>
      </c>
      <c r="E21" s="4"/>
      <c r="F21" s="16"/>
      <c r="G21" s="4"/>
      <c r="H21" s="4"/>
      <c r="I21" s="30">
        <f>G21*H21</f>
        <v>0</v>
      </c>
      <c r="J21" s="16"/>
      <c r="K21" s="20">
        <f>G21/$G$5</f>
        <v>0</v>
      </c>
      <c r="L21" s="4"/>
      <c r="M21" s="20">
        <f>K21*L21</f>
        <v>0</v>
      </c>
      <c r="N21" s="16"/>
      <c r="O21" s="20"/>
      <c r="P21" s="3">
        <f t="shared" si="2"/>
        <v>0</v>
      </c>
      <c r="Q21" s="16"/>
      <c r="R21" s="30">
        <f>I21-O21</f>
        <v>0</v>
      </c>
      <c r="S21" s="20">
        <f>M21-P21</f>
        <v>0</v>
      </c>
    </row>
    <row r="22" spans="1:19" s="15" customFormat="1" x14ac:dyDescent="0.6">
      <c r="A22" s="2"/>
      <c r="B22" s="2"/>
      <c r="C22" s="2"/>
      <c r="D22" s="2"/>
      <c r="E22" s="2" t="s">
        <v>34</v>
      </c>
      <c r="F22" s="17"/>
      <c r="G22" s="2"/>
      <c r="H22" s="2"/>
      <c r="I22" s="28">
        <f>SUM(I21:I21)</f>
        <v>0</v>
      </c>
      <c r="J22" s="17"/>
      <c r="K22" s="2"/>
      <c r="L22" s="2"/>
      <c r="M22" s="7">
        <f>SUM(M21:M21)</f>
        <v>0</v>
      </c>
      <c r="N22" s="17"/>
      <c r="O22" s="28">
        <f>SUM(O21:O21)</f>
        <v>0</v>
      </c>
      <c r="P22" s="3">
        <f t="shared" si="2"/>
        <v>0</v>
      </c>
      <c r="Q22" s="17"/>
      <c r="R22" s="28">
        <f>SUM(R21:R21)</f>
        <v>0</v>
      </c>
      <c r="S22" s="7">
        <f>SUM(S21:S21)</f>
        <v>0</v>
      </c>
    </row>
    <row r="23" spans="1:19" ht="4" customHeight="1" x14ac:dyDescent="0.6">
      <c r="A23" s="16"/>
      <c r="B23" s="16"/>
      <c r="C23" s="16"/>
      <c r="D23" s="16"/>
      <c r="E23" s="16"/>
      <c r="F23" s="16"/>
      <c r="G23" s="16"/>
      <c r="H23" s="16"/>
      <c r="I23" s="29"/>
      <c r="J23" s="16"/>
      <c r="K23" s="16"/>
      <c r="L23" s="16"/>
      <c r="M23" s="19"/>
      <c r="N23" s="16"/>
      <c r="O23" s="19"/>
      <c r="P23" s="19"/>
      <c r="Q23" s="16"/>
      <c r="R23" s="29"/>
      <c r="S23" s="19"/>
    </row>
    <row r="24" spans="1:19" x14ac:dyDescent="0.6">
      <c r="A24" s="46"/>
      <c r="B24" s="46"/>
      <c r="C24" s="46"/>
      <c r="D24" s="46">
        <v>4</v>
      </c>
      <c r="E24" s="10" t="s">
        <v>36</v>
      </c>
      <c r="F24" s="17"/>
      <c r="G24" s="10"/>
      <c r="H24" s="10"/>
      <c r="I24" s="26"/>
      <c r="J24" s="17"/>
      <c r="K24" s="10"/>
      <c r="L24" s="10"/>
      <c r="M24" s="11"/>
      <c r="N24" s="17"/>
      <c r="O24" s="11"/>
      <c r="P24" s="11"/>
      <c r="Q24" s="17"/>
      <c r="R24" s="26"/>
      <c r="S24" s="11"/>
    </row>
    <row r="25" spans="1:19" hidden="1" x14ac:dyDescent="0.6">
      <c r="A25" s="4"/>
      <c r="B25" s="4"/>
      <c r="C25" s="4"/>
      <c r="D25" s="4">
        <v>4.0999999999999996</v>
      </c>
      <c r="E25" s="50"/>
      <c r="F25" s="16"/>
      <c r="G25" s="4">
        <v>0</v>
      </c>
      <c r="H25" s="4">
        <v>0</v>
      </c>
      <c r="I25" s="27">
        <f t="shared" ref="I25" si="4">G25*H25</f>
        <v>0</v>
      </c>
      <c r="J25" s="16"/>
      <c r="K25" s="3">
        <f>G25/$G$5</f>
        <v>0</v>
      </c>
      <c r="L25" s="4">
        <f>H25</f>
        <v>0</v>
      </c>
      <c r="M25" s="3">
        <f>K25*L25</f>
        <v>0</v>
      </c>
      <c r="N25" s="16"/>
      <c r="O25" s="3"/>
      <c r="P25" s="3">
        <f t="shared" si="2"/>
        <v>0</v>
      </c>
      <c r="Q25" s="16"/>
      <c r="R25" s="27">
        <f>I25-O25</f>
        <v>0</v>
      </c>
      <c r="S25" s="3">
        <f>M25-P25</f>
        <v>0</v>
      </c>
    </row>
    <row r="26" spans="1:19" s="15" customFormat="1" x14ac:dyDescent="0.6">
      <c r="A26" s="2"/>
      <c r="B26" s="2"/>
      <c r="C26" s="2"/>
      <c r="D26" s="2"/>
      <c r="E26" s="49" t="s">
        <v>34</v>
      </c>
      <c r="F26" s="17"/>
      <c r="G26" s="2"/>
      <c r="H26" s="2"/>
      <c r="I26" s="28">
        <f>SUM(I25:I25)</f>
        <v>0</v>
      </c>
      <c r="J26" s="17"/>
      <c r="K26" s="2"/>
      <c r="L26" s="4"/>
      <c r="M26" s="7">
        <f>SUM(M25:M25)</f>
        <v>0</v>
      </c>
      <c r="N26" s="17"/>
      <c r="O26" s="28">
        <f>SUM(O25:O25)</f>
        <v>0</v>
      </c>
      <c r="P26" s="3">
        <f t="shared" si="2"/>
        <v>0</v>
      </c>
      <c r="Q26" s="17"/>
      <c r="R26" s="28">
        <f>SUM(R25:R25)</f>
        <v>0</v>
      </c>
      <c r="S26" s="7">
        <f>SUM(S25:S25)</f>
        <v>0</v>
      </c>
    </row>
    <row r="27" spans="1:19" ht="4" customHeight="1" x14ac:dyDescent="0.6">
      <c r="A27" s="16"/>
      <c r="B27" s="16"/>
      <c r="C27" s="16"/>
      <c r="D27" s="16"/>
      <c r="E27" s="17" t="s">
        <v>34</v>
      </c>
      <c r="F27" s="16"/>
      <c r="G27" s="16"/>
      <c r="H27" s="16"/>
      <c r="I27" s="29"/>
      <c r="J27" s="16"/>
      <c r="K27" s="16"/>
      <c r="L27" s="16"/>
      <c r="M27" s="19"/>
      <c r="N27" s="16"/>
      <c r="O27" s="19"/>
      <c r="P27" s="19"/>
      <c r="Q27" s="16"/>
      <c r="R27" s="29"/>
      <c r="S27" s="19"/>
    </row>
    <row r="28" spans="1:19" x14ac:dyDescent="0.6">
      <c r="A28" s="46"/>
      <c r="B28" s="46"/>
      <c r="C28" s="46"/>
      <c r="D28" s="46">
        <v>5</v>
      </c>
      <c r="E28" s="10" t="s">
        <v>9</v>
      </c>
      <c r="F28" s="17"/>
      <c r="G28" s="10"/>
      <c r="H28" s="10"/>
      <c r="I28" s="26"/>
      <c r="J28" s="17"/>
      <c r="K28" s="10"/>
      <c r="L28" s="10"/>
      <c r="M28" s="11"/>
      <c r="N28" s="17"/>
      <c r="O28" s="11"/>
      <c r="P28" s="11"/>
      <c r="Q28" s="17"/>
      <c r="R28" s="26"/>
      <c r="S28" s="11"/>
    </row>
    <row r="29" spans="1:19" x14ac:dyDescent="0.6">
      <c r="A29" s="4" t="s">
        <v>68</v>
      </c>
      <c r="B29" s="4">
        <v>89000</v>
      </c>
      <c r="C29" s="4" t="s">
        <v>67</v>
      </c>
      <c r="D29" s="4">
        <v>5.0999999999999996</v>
      </c>
      <c r="E29" s="4" t="s">
        <v>47</v>
      </c>
      <c r="F29" s="16"/>
      <c r="G29" s="33">
        <f>K29*$G$5</f>
        <v>283140</v>
      </c>
      <c r="H29" s="4">
        <v>4</v>
      </c>
      <c r="I29" s="27">
        <f>G29*H29</f>
        <v>1132560</v>
      </c>
      <c r="J29" s="16"/>
      <c r="K29" s="3">
        <v>36000</v>
      </c>
      <c r="L29" s="4">
        <f>H29</f>
        <v>4</v>
      </c>
      <c r="M29" s="3">
        <f>K29*L29</f>
        <v>144000</v>
      </c>
      <c r="N29" s="16"/>
      <c r="O29" s="3"/>
      <c r="P29" s="3">
        <f t="shared" si="2"/>
        <v>0</v>
      </c>
      <c r="Q29" s="16"/>
      <c r="R29" s="27">
        <f>I29-O29</f>
        <v>1132560</v>
      </c>
      <c r="S29" s="3">
        <f>M29-P29</f>
        <v>144000</v>
      </c>
    </row>
    <row r="30" spans="1:19" s="15" customFormat="1" x14ac:dyDescent="0.6">
      <c r="A30" s="2"/>
      <c r="B30" s="2"/>
      <c r="C30" s="2"/>
      <c r="D30" s="2"/>
      <c r="E30" s="2" t="s">
        <v>34</v>
      </c>
      <c r="F30" s="17"/>
      <c r="G30" s="2"/>
      <c r="H30" s="2"/>
      <c r="I30" s="28">
        <f>SUM(I29:I29)</f>
        <v>1132560</v>
      </c>
      <c r="J30" s="17"/>
      <c r="K30" s="2"/>
      <c r="L30" s="2"/>
      <c r="M30" s="7">
        <f>SUM(M29:M29)</f>
        <v>144000</v>
      </c>
      <c r="N30" s="17"/>
      <c r="O30" s="28">
        <f>SUM(O29:O29)</f>
        <v>0</v>
      </c>
      <c r="P30" s="3">
        <f t="shared" si="2"/>
        <v>0</v>
      </c>
      <c r="Q30" s="17"/>
      <c r="R30" s="28">
        <f>SUM(R29:R29)</f>
        <v>1132560</v>
      </c>
      <c r="S30" s="7">
        <f>SUM(S29:S29)</f>
        <v>144000</v>
      </c>
    </row>
    <row r="31" spans="1:19" ht="4" customHeight="1" x14ac:dyDescent="0.6">
      <c r="A31" s="16"/>
      <c r="B31" s="16"/>
      <c r="C31" s="16"/>
      <c r="D31" s="16"/>
      <c r="E31" s="16"/>
      <c r="F31" s="16"/>
      <c r="G31" s="16"/>
      <c r="H31" s="16"/>
      <c r="I31" s="29"/>
      <c r="J31" s="16"/>
      <c r="K31" s="16"/>
      <c r="L31" s="16"/>
      <c r="M31" s="19"/>
      <c r="N31" s="16"/>
      <c r="O31" s="19"/>
      <c r="P31" s="19"/>
      <c r="Q31" s="16"/>
      <c r="R31" s="29"/>
      <c r="S31" s="19"/>
    </row>
    <row r="32" spans="1:19" x14ac:dyDescent="0.6">
      <c r="A32" s="46"/>
      <c r="B32" s="46"/>
      <c r="C32" s="46"/>
      <c r="D32" s="46">
        <v>6</v>
      </c>
      <c r="E32" s="10" t="s">
        <v>37</v>
      </c>
      <c r="F32" s="17"/>
      <c r="G32" s="10"/>
      <c r="H32" s="10"/>
      <c r="I32" s="26"/>
      <c r="J32" s="17"/>
      <c r="K32" s="10"/>
      <c r="L32" s="10"/>
      <c r="M32" s="11"/>
      <c r="N32" s="17"/>
      <c r="O32" s="11"/>
      <c r="P32" s="11"/>
      <c r="Q32" s="17"/>
      <c r="R32" s="26"/>
      <c r="S32" s="11"/>
    </row>
    <row r="33" spans="1:20" hidden="1" x14ac:dyDescent="0.6">
      <c r="A33" s="4"/>
      <c r="B33" s="4"/>
      <c r="C33" s="4"/>
      <c r="D33" s="4"/>
      <c r="E33" s="4" t="s">
        <v>38</v>
      </c>
      <c r="F33" s="16"/>
      <c r="G33" s="4"/>
      <c r="H33" s="4"/>
      <c r="I33" s="30">
        <f>G33*H33</f>
        <v>0</v>
      </c>
      <c r="J33" s="16"/>
      <c r="K33" s="20">
        <f>G33/$G$5</f>
        <v>0</v>
      </c>
      <c r="L33" s="4">
        <f>H33</f>
        <v>0</v>
      </c>
      <c r="M33" s="20">
        <f>K33*L33</f>
        <v>0</v>
      </c>
      <c r="N33" s="16"/>
      <c r="O33" s="20"/>
      <c r="P33" s="3">
        <f t="shared" si="2"/>
        <v>0</v>
      </c>
      <c r="Q33" s="16"/>
      <c r="R33" s="30">
        <f>I33-O33</f>
        <v>0</v>
      </c>
      <c r="S33" s="20">
        <f>M33-P33</f>
        <v>0</v>
      </c>
    </row>
    <row r="34" spans="1:20" s="15" customFormat="1" x14ac:dyDescent="0.6">
      <c r="A34" s="2"/>
      <c r="B34" s="2"/>
      <c r="C34" s="2"/>
      <c r="D34" s="2"/>
      <c r="E34" s="2" t="s">
        <v>34</v>
      </c>
      <c r="F34" s="17"/>
      <c r="G34" s="2"/>
      <c r="H34" s="2"/>
      <c r="I34" s="32">
        <f t="shared" ref="I34" si="5">G34*H34</f>
        <v>0</v>
      </c>
      <c r="J34" s="17"/>
      <c r="K34" s="2"/>
      <c r="L34" s="2"/>
      <c r="M34" s="21">
        <f t="shared" ref="M34" si="6">K34*L34</f>
        <v>0</v>
      </c>
      <c r="N34" s="17"/>
      <c r="O34" s="32">
        <f>L34*M34</f>
        <v>0</v>
      </c>
      <c r="P34" s="3">
        <f t="shared" si="2"/>
        <v>0</v>
      </c>
      <c r="Q34" s="17"/>
      <c r="R34" s="32">
        <f>M34*O34</f>
        <v>0</v>
      </c>
      <c r="S34" s="21">
        <f>N34*P34</f>
        <v>0</v>
      </c>
    </row>
    <row r="35" spans="1:20" ht="4" customHeight="1" x14ac:dyDescent="0.6">
      <c r="A35" s="16"/>
      <c r="B35" s="16"/>
      <c r="C35" s="16"/>
      <c r="D35" s="16"/>
      <c r="E35" s="16"/>
      <c r="F35" s="16"/>
      <c r="G35" s="16"/>
      <c r="H35" s="16"/>
      <c r="I35" s="29">
        <f>SUM(I33:I34)</f>
        <v>0</v>
      </c>
      <c r="J35" s="16"/>
      <c r="K35" s="16"/>
      <c r="L35" s="16"/>
      <c r="M35" s="19"/>
      <c r="N35" s="16"/>
      <c r="O35" s="19"/>
      <c r="P35" s="19"/>
      <c r="Q35" s="16"/>
      <c r="R35" s="29">
        <f>SUM(R33:R34)</f>
        <v>0</v>
      </c>
      <c r="S35" s="19">
        <f>SUM(S33:S34)</f>
        <v>0</v>
      </c>
    </row>
    <row r="36" spans="1:20" x14ac:dyDescent="0.6">
      <c r="A36" s="46"/>
      <c r="B36" s="46"/>
      <c r="C36" s="46"/>
      <c r="D36" s="46">
        <v>7</v>
      </c>
      <c r="E36" s="10" t="s">
        <v>39</v>
      </c>
      <c r="F36" s="17"/>
      <c r="G36" s="10"/>
      <c r="H36" s="10"/>
      <c r="I36" s="26"/>
      <c r="J36" s="17"/>
      <c r="K36" s="10"/>
      <c r="L36" s="10"/>
      <c r="M36" s="11"/>
      <c r="N36" s="17"/>
      <c r="O36" s="11"/>
      <c r="P36" s="11"/>
      <c r="Q36" s="17"/>
      <c r="R36" s="26"/>
      <c r="S36" s="11"/>
    </row>
    <row r="37" spans="1:20" x14ac:dyDescent="0.6">
      <c r="A37" s="4" t="s">
        <v>70</v>
      </c>
      <c r="B37" s="4">
        <v>81021</v>
      </c>
      <c r="C37" s="4" t="s">
        <v>67</v>
      </c>
      <c r="D37" s="4">
        <v>7.1</v>
      </c>
      <c r="E37" s="50" t="s">
        <v>48</v>
      </c>
      <c r="F37" s="16"/>
      <c r="G37" s="33">
        <f t="shared" ref="G37" si="7">K37*$G$5</f>
        <v>987.0575</v>
      </c>
      <c r="H37" s="4">
        <v>2</v>
      </c>
      <c r="I37" s="27">
        <f>G37*H37</f>
        <v>1974.115</v>
      </c>
      <c r="J37" s="16"/>
      <c r="K37" s="3">
        <v>125.5</v>
      </c>
      <c r="L37" s="4">
        <f>H37</f>
        <v>2</v>
      </c>
      <c r="M37" s="3">
        <f>K37*L37</f>
        <v>251</v>
      </c>
      <c r="N37" s="16"/>
      <c r="O37" s="3"/>
      <c r="P37" s="3">
        <f t="shared" si="2"/>
        <v>0</v>
      </c>
      <c r="Q37" s="16"/>
      <c r="R37" s="27">
        <f>I37-O37</f>
        <v>1974.115</v>
      </c>
      <c r="S37" s="3">
        <f>M37-P37</f>
        <v>251</v>
      </c>
    </row>
    <row r="38" spans="1:20" s="15" customFormat="1" x14ac:dyDescent="0.6">
      <c r="A38" s="2"/>
      <c r="B38" s="2"/>
      <c r="C38" s="2"/>
      <c r="D38" s="2"/>
      <c r="E38" s="2" t="s">
        <v>34</v>
      </c>
      <c r="F38" s="17"/>
      <c r="G38" s="2"/>
      <c r="H38" s="2"/>
      <c r="I38" s="28">
        <f>SUM(I37:I37)</f>
        <v>1974.115</v>
      </c>
      <c r="J38" s="17"/>
      <c r="K38" s="2"/>
      <c r="L38" s="2"/>
      <c r="M38" s="7">
        <f>SUM(M37:M37)</f>
        <v>251</v>
      </c>
      <c r="N38" s="17"/>
      <c r="O38" s="28">
        <f>SUM(O37:O37)</f>
        <v>0</v>
      </c>
      <c r="P38" s="3">
        <f t="shared" si="2"/>
        <v>0</v>
      </c>
      <c r="Q38" s="17"/>
      <c r="R38" s="28">
        <f>SUM(R37:R37)</f>
        <v>1974.115</v>
      </c>
      <c r="S38" s="7">
        <f>SUM(S37:S37)</f>
        <v>251</v>
      </c>
    </row>
    <row r="39" spans="1:20" ht="4" customHeight="1" x14ac:dyDescent="0.6">
      <c r="A39" s="16"/>
      <c r="B39" s="16"/>
      <c r="C39" s="16"/>
      <c r="D39" s="16"/>
      <c r="E39" s="16"/>
      <c r="F39" s="16"/>
      <c r="G39" s="16"/>
      <c r="H39" s="16"/>
      <c r="I39" s="29"/>
      <c r="J39" s="16"/>
      <c r="K39" s="16"/>
      <c r="L39" s="16"/>
      <c r="M39" s="19"/>
      <c r="N39" s="16"/>
      <c r="O39" s="19"/>
      <c r="P39" s="19"/>
      <c r="Q39" s="16"/>
      <c r="R39" s="29"/>
      <c r="S39" s="19"/>
    </row>
    <row r="40" spans="1:20" s="15" customFormat="1" x14ac:dyDescent="0.6">
      <c r="A40" s="10"/>
      <c r="B40" s="10"/>
      <c r="C40" s="10"/>
      <c r="D40" s="10"/>
      <c r="E40" s="10" t="s">
        <v>40</v>
      </c>
      <c r="F40" s="17"/>
      <c r="G40" s="10"/>
      <c r="H40" s="10"/>
      <c r="I40" s="31">
        <f>I38+I34+I30+I26+I22+I18+I14</f>
        <v>1226222.115</v>
      </c>
      <c r="J40" s="17"/>
      <c r="K40" s="10"/>
      <c r="L40" s="10"/>
      <c r="M40" s="12">
        <f>M38+M34+M30+M26+M22+M18+M14</f>
        <v>155909</v>
      </c>
      <c r="N40" s="17"/>
      <c r="O40" s="31">
        <v>0</v>
      </c>
      <c r="P40" s="11">
        <f t="shared" si="2"/>
        <v>0</v>
      </c>
      <c r="Q40" s="17"/>
      <c r="R40" s="31">
        <f>R38+R34+R30+R26+R22+R18+R14</f>
        <v>1226222.115</v>
      </c>
      <c r="S40" s="12">
        <f>S38+S34+S30+S26+S22+S18+S14</f>
        <v>155909</v>
      </c>
    </row>
    <row r="41" spans="1:20" ht="25.5" customHeight="1" x14ac:dyDescent="0.6">
      <c r="A41" s="4"/>
      <c r="B41" s="4"/>
      <c r="C41" s="4"/>
      <c r="D41" s="4"/>
      <c r="E41" s="4"/>
      <c r="F41" s="16"/>
      <c r="G41" s="4"/>
      <c r="H41" s="4"/>
      <c r="I41" s="27"/>
      <c r="J41" s="16"/>
      <c r="K41" s="4"/>
      <c r="L41" s="4"/>
      <c r="M41" s="3"/>
      <c r="N41" s="16"/>
      <c r="O41" s="3"/>
      <c r="P41" s="3"/>
      <c r="Q41" s="16"/>
      <c r="R41" s="27"/>
      <c r="S41" s="3"/>
    </row>
    <row r="42" spans="1:20" ht="4" customHeight="1" x14ac:dyDescent="0.6">
      <c r="A42" s="16"/>
      <c r="B42" s="16"/>
      <c r="C42" s="16"/>
      <c r="D42" s="16"/>
      <c r="E42" s="16"/>
      <c r="F42" s="16"/>
      <c r="G42" s="16"/>
      <c r="H42" s="16"/>
      <c r="I42" s="29"/>
      <c r="J42" s="16"/>
      <c r="K42" s="16"/>
      <c r="L42" s="16"/>
      <c r="M42" s="19"/>
      <c r="N42" s="16"/>
      <c r="O42" s="19"/>
      <c r="P42" s="19"/>
      <c r="Q42" s="16"/>
      <c r="R42" s="29"/>
      <c r="S42" s="19"/>
    </row>
    <row r="43" spans="1:20" s="15" customFormat="1" x14ac:dyDescent="0.6">
      <c r="A43" s="48" t="s">
        <v>71</v>
      </c>
      <c r="B43" s="48">
        <v>94050</v>
      </c>
      <c r="C43" s="48" t="s">
        <v>67</v>
      </c>
      <c r="D43" s="48">
        <v>8</v>
      </c>
      <c r="E43" s="42" t="s">
        <v>41</v>
      </c>
      <c r="F43" s="17"/>
      <c r="G43" s="81">
        <f>I40</f>
        <v>1226222.115</v>
      </c>
      <c r="H43" s="87">
        <f>G48</f>
        <v>0.2828</v>
      </c>
      <c r="I43" s="88">
        <f>G43*H43</f>
        <v>346775.614122</v>
      </c>
      <c r="J43" s="17"/>
      <c r="K43" s="44">
        <f>G43/G5</f>
        <v>155908.72409408772</v>
      </c>
      <c r="L43" s="87">
        <f>G48</f>
        <v>0.2828</v>
      </c>
      <c r="M43" s="45">
        <f>ROUND(K43*L43,0)</f>
        <v>44091</v>
      </c>
      <c r="N43" s="17"/>
      <c r="O43" s="43"/>
      <c r="P43" s="44"/>
      <c r="Q43" s="17"/>
      <c r="R43" s="43">
        <f>I43-O43</f>
        <v>346775.614122</v>
      </c>
      <c r="S43" s="45">
        <f>M43-P43</f>
        <v>44091</v>
      </c>
    </row>
    <row r="44" spans="1:20" ht="4" customHeight="1" x14ac:dyDescent="0.6">
      <c r="A44" s="16"/>
      <c r="B44" s="16"/>
      <c r="C44" s="16"/>
      <c r="D44" s="16"/>
      <c r="E44" s="16"/>
      <c r="F44" s="16"/>
      <c r="G44" s="16"/>
      <c r="H44" s="16"/>
      <c r="I44" s="29"/>
      <c r="J44" s="16"/>
      <c r="K44" s="16"/>
      <c r="L44" s="16"/>
      <c r="M44" s="19"/>
      <c r="N44" s="16"/>
      <c r="O44" s="19"/>
      <c r="P44" s="19"/>
      <c r="Q44" s="16"/>
      <c r="R44" s="29"/>
      <c r="S44" s="19"/>
    </row>
    <row r="45" spans="1:20" s="23" customFormat="1" x14ac:dyDescent="0.6">
      <c r="A45" s="8"/>
      <c r="B45" s="8"/>
      <c r="C45" s="8"/>
      <c r="D45" s="8"/>
      <c r="E45" s="8" t="s">
        <v>42</v>
      </c>
      <c r="F45" s="18"/>
      <c r="G45" s="8"/>
      <c r="H45" s="8"/>
      <c r="I45" s="89">
        <f>I43+I40</f>
        <v>1572997.729122</v>
      </c>
      <c r="J45" s="18"/>
      <c r="K45" s="8"/>
      <c r="L45" s="8"/>
      <c r="M45" s="9">
        <f>M43+M40</f>
        <v>200000</v>
      </c>
      <c r="N45" s="18"/>
      <c r="O45" s="25">
        <f>O43+O40</f>
        <v>0</v>
      </c>
      <c r="P45" s="41">
        <f t="shared" si="2"/>
        <v>0</v>
      </c>
      <c r="Q45" s="18"/>
      <c r="R45" s="25">
        <f>R43+R40</f>
        <v>1572997.729122</v>
      </c>
      <c r="S45" s="9">
        <f>S43+S40</f>
        <v>200000</v>
      </c>
    </row>
    <row r="47" spans="1:20" ht="15.9" thickBot="1" x14ac:dyDescent="0.65">
      <c r="T47" s="15"/>
    </row>
    <row r="48" spans="1:20" x14ac:dyDescent="0.6">
      <c r="E48" s="84" t="s">
        <v>43</v>
      </c>
      <c r="G48" s="105">
        <v>0.2828</v>
      </c>
    </row>
    <row r="49" spans="5:10" ht="31.5" thickBot="1" x14ac:dyDescent="0.65">
      <c r="E49" s="85" t="s">
        <v>44</v>
      </c>
      <c r="F49" s="83"/>
      <c r="G49" s="106"/>
      <c r="H49" s="83"/>
      <c r="I49" s="83"/>
      <c r="J49" s="83"/>
    </row>
  </sheetData>
  <sheetProtection selectLockedCells="1" selectUnlockedCells="1"/>
  <mergeCells count="3">
    <mergeCell ref="G7:M7"/>
    <mergeCell ref="O7:S7"/>
    <mergeCell ref="G48:G49"/>
  </mergeCells>
  <pageMargins left="0.78749999999999998" right="0.78749999999999998" top="1.05277777777778" bottom="0.80277777800000005" header="0.78749999999999998" footer="0.78749999999999998"/>
  <pageSetup scale="57" orientation="landscape" useFirstPageNumber="1" horizontalDpi="300" verticalDpi="300" r:id="rId1"/>
  <headerFooter alignWithMargins="0">
    <oddHeader>&amp;C&amp;"Times New Roman,Regular"&amp;12&amp;A</oddHeader>
    <oddFooter>&amp;C&amp;"Times New Roman,Regular"&amp;12Page &amp;P</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8"/>
  <sheetViews>
    <sheetView zoomScaleNormal="100" workbookViewId="0">
      <selection activeCell="C3" sqref="C3"/>
    </sheetView>
  </sheetViews>
  <sheetFormatPr defaultColWidth="8.83203125" defaultRowHeight="12.3" x14ac:dyDescent="0.4"/>
  <cols>
    <col min="2" max="2" width="96" style="59" customWidth="1"/>
    <col min="3" max="3" width="55.5" style="59" customWidth="1"/>
  </cols>
  <sheetData>
    <row r="1" spans="1:3" ht="17.7" x14ac:dyDescent="0.6">
      <c r="A1" s="107" t="s">
        <v>45</v>
      </c>
      <c r="B1" s="108"/>
      <c r="C1" s="60" t="s">
        <v>46</v>
      </c>
    </row>
    <row r="2" spans="1:3" ht="15.6" x14ac:dyDescent="0.6">
      <c r="A2" s="61">
        <v>1</v>
      </c>
      <c r="B2" s="52" t="s">
        <v>1</v>
      </c>
      <c r="C2" s="62"/>
    </row>
    <row r="3" spans="1:3" ht="109.2" x14ac:dyDescent="0.6">
      <c r="A3" s="63">
        <v>1.1000000000000001</v>
      </c>
      <c r="B3" s="53" t="s">
        <v>57</v>
      </c>
      <c r="C3" s="90"/>
    </row>
    <row r="4" spans="1:3" ht="78" x14ac:dyDescent="0.6">
      <c r="A4" s="63">
        <v>1.2</v>
      </c>
      <c r="B4" s="53" t="s">
        <v>58</v>
      </c>
      <c r="C4" s="64"/>
    </row>
    <row r="5" spans="1:3" ht="46.8" x14ac:dyDescent="0.6">
      <c r="A5" s="63">
        <v>1.3</v>
      </c>
      <c r="B5" s="53" t="s">
        <v>59</v>
      </c>
      <c r="C5" s="64"/>
    </row>
    <row r="6" spans="1:3" ht="46.8" x14ac:dyDescent="0.6">
      <c r="A6" s="63">
        <v>1.4</v>
      </c>
      <c r="B6" s="53" t="s">
        <v>60</v>
      </c>
      <c r="C6" s="64"/>
    </row>
    <row r="7" spans="1:3" ht="15.6" x14ac:dyDescent="0.6">
      <c r="A7" s="65"/>
      <c r="B7" s="54"/>
      <c r="C7" s="66"/>
    </row>
    <row r="8" spans="1:3" ht="15.6" x14ac:dyDescent="0.6">
      <c r="A8" s="67"/>
      <c r="B8" s="55"/>
      <c r="C8" s="68"/>
    </row>
    <row r="9" spans="1:3" ht="15.6" x14ac:dyDescent="0.6">
      <c r="A9" s="61">
        <v>2</v>
      </c>
      <c r="B9" s="52" t="s">
        <v>3</v>
      </c>
      <c r="C9" s="62"/>
    </row>
    <row r="10" spans="1:3" ht="15.6" x14ac:dyDescent="0.6">
      <c r="A10" s="69"/>
      <c r="B10" s="54"/>
      <c r="C10" s="66"/>
    </row>
    <row r="11" spans="1:3" ht="15.6" x14ac:dyDescent="0.6">
      <c r="A11" s="67"/>
      <c r="B11" s="55"/>
      <c r="C11" s="68"/>
    </row>
    <row r="12" spans="1:3" ht="15.6" x14ac:dyDescent="0.6">
      <c r="A12" s="70">
        <v>3</v>
      </c>
      <c r="B12" s="52" t="s">
        <v>35</v>
      </c>
      <c r="C12" s="62"/>
    </row>
    <row r="13" spans="1:3" ht="15.6" x14ac:dyDescent="0.6">
      <c r="A13" s="65"/>
      <c r="B13" s="54"/>
      <c r="C13" s="66"/>
    </row>
    <row r="14" spans="1:3" ht="15.6" x14ac:dyDescent="0.6">
      <c r="A14" s="67"/>
      <c r="B14" s="55"/>
      <c r="C14" s="68"/>
    </row>
    <row r="15" spans="1:3" ht="15.6" x14ac:dyDescent="0.6">
      <c r="A15" s="61">
        <v>4</v>
      </c>
      <c r="B15" s="52" t="s">
        <v>36</v>
      </c>
      <c r="C15" s="62"/>
    </row>
    <row r="16" spans="1:3" ht="15.6" x14ac:dyDescent="0.6">
      <c r="A16" s="65"/>
      <c r="B16" s="57"/>
      <c r="C16" s="72"/>
    </row>
    <row r="17" spans="1:3" ht="15.6" x14ac:dyDescent="0.6">
      <c r="A17" s="67"/>
      <c r="B17" s="58"/>
      <c r="C17" s="73"/>
    </row>
    <row r="18" spans="1:3" ht="15.6" x14ac:dyDescent="0.6">
      <c r="A18" s="61">
        <v>5</v>
      </c>
      <c r="B18" s="52" t="s">
        <v>9</v>
      </c>
      <c r="C18" s="62"/>
    </row>
    <row r="19" spans="1:3" ht="124.8" x14ac:dyDescent="0.6">
      <c r="A19" s="63">
        <v>5.0999999999999996</v>
      </c>
      <c r="B19" s="56" t="s">
        <v>53</v>
      </c>
      <c r="C19" s="71"/>
    </row>
    <row r="20" spans="1:3" ht="15.6" x14ac:dyDescent="0.6">
      <c r="A20" s="65"/>
      <c r="B20" s="54"/>
      <c r="C20" s="66"/>
    </row>
    <row r="21" spans="1:3" ht="15.6" x14ac:dyDescent="0.6">
      <c r="A21" s="67"/>
      <c r="B21" s="55"/>
      <c r="C21" s="68"/>
    </row>
    <row r="22" spans="1:3" ht="15.6" x14ac:dyDescent="0.6">
      <c r="A22" s="61">
        <v>6</v>
      </c>
      <c r="B22" s="52" t="s">
        <v>37</v>
      </c>
      <c r="C22" s="62"/>
    </row>
    <row r="23" spans="1:3" ht="15.6" x14ac:dyDescent="0.6">
      <c r="A23" s="65"/>
      <c r="B23" s="54"/>
      <c r="C23" s="66"/>
    </row>
    <row r="24" spans="1:3" ht="15.6" x14ac:dyDescent="0.6">
      <c r="A24" s="67"/>
      <c r="B24" s="55"/>
      <c r="C24" s="68"/>
    </row>
    <row r="25" spans="1:3" ht="15.6" x14ac:dyDescent="0.6">
      <c r="A25" s="61">
        <v>7</v>
      </c>
      <c r="B25" s="52" t="s">
        <v>39</v>
      </c>
      <c r="C25" s="62"/>
    </row>
    <row r="26" spans="1:3" ht="46.8" x14ac:dyDescent="0.6">
      <c r="A26" s="63">
        <v>7.1</v>
      </c>
      <c r="B26" s="53" t="s">
        <v>52</v>
      </c>
      <c r="C26" s="64"/>
    </row>
    <row r="27" spans="1:3" ht="15.6" x14ac:dyDescent="0.6">
      <c r="A27" s="65"/>
      <c r="B27" s="54"/>
      <c r="C27" s="66"/>
    </row>
    <row r="28" spans="1:3" ht="15.9" thickBot="1" x14ac:dyDescent="0.65">
      <c r="A28" s="74"/>
      <c r="B28" s="75"/>
      <c r="C28" s="76"/>
    </row>
  </sheetData>
  <mergeCells count="1">
    <mergeCell ref="A1:B1"/>
  </mergeCells>
  <pageMargins left="0.25" right="0.25" top="0.75" bottom="0.75" header="0.3" footer="0.3"/>
  <pageSetup scale="79" orientation="landscape" horizontalDpi="4294967295" verticalDpi="4294967295" r:id="rId1"/>
  <rowBreaks count="1" manualBreakCount="1">
    <brk id="26"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A67C6A-252C-4955-93D0-84C46D438E68}">
  <ds:schemaRefs>
    <ds:schemaRef ds:uri="http://purl.org/dc/elements/1.1/"/>
    <ds:schemaRef ds:uri="http://purl.org/dc/terms/"/>
    <ds:schemaRef ds:uri="http://schemas.microsoft.com/office/2006/documentManagement/types"/>
    <ds:schemaRef ds:uri="http://schemas.openxmlformats.org/package/2006/metadata/core-properties"/>
    <ds:schemaRef ds:uri="1a9bbbe1-7cae-48c1-93ed-4785e360835f"/>
    <ds:schemaRef ds:uri="http://www.w3.org/XML/1998/namespace"/>
    <ds:schemaRef ds:uri="dc808d36-874f-4b27-aec2-2fd649817929"/>
    <ds:schemaRef ds:uri="http://purl.org/dc/dcmitype/"/>
    <ds:schemaRef ds:uri="http://schemas.microsoft.com/office/infopath/2007/PartnerControls"/>
    <ds:schemaRef ds:uri="http://schemas.microsoft.com/office/2006/metadata/properties"/>
    <ds:schemaRef ds:uri="f8135ccf-0908-4d8c-8b6a-2ec449ff78ed"/>
  </ds:schemaRefs>
</ds:datastoreItem>
</file>

<file path=customXml/itemProps2.xml><?xml version="1.0" encoding="utf-8"?>
<ds:datastoreItem xmlns:ds="http://schemas.openxmlformats.org/officeDocument/2006/customXml" ds:itemID="{7BD7041F-BC0D-4C3B-8325-1A1BD2315878}"/>
</file>

<file path=customXml/itemProps3.xml><?xml version="1.0" encoding="utf-8"?>
<ds:datastoreItem xmlns:ds="http://schemas.openxmlformats.org/officeDocument/2006/customXml" ds:itemID="{A6AAD80B-81A7-40B6-8FDB-4AAEFF980E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Guidelines</vt:lpstr>
      <vt:lpstr>Budget vs. Actuals</vt:lpstr>
      <vt:lpstr>Budget Narrative</vt:lpstr>
      <vt:lpstr>'Budget vs. Actuals'!Print_Area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Emmons, Kiera L</dc:creator>
  <cp:keywords/>
  <dc:description/>
  <cp:lastModifiedBy>Danielle Martin</cp:lastModifiedBy>
  <cp:revision/>
  <dcterms:created xsi:type="dcterms:W3CDTF">2014-09-08T17:52:15Z</dcterms:created>
  <dcterms:modified xsi:type="dcterms:W3CDTF">2023-11-03T03:06:09Z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iteId">
    <vt:lpwstr>66cf5074-5afe-48d1-a691-a12b2121f44b</vt:lpwstr>
  </property>
  <property fmtid="{D5CDD505-2E9C-101B-9397-08002B2CF9AE}" pid="4" name="MSIP_Label_1665d9ee-429a-4d5f-97cc-cfb56e044a6e_Owner">
    <vt:lpwstr>SuniDM@state.gov</vt:lpwstr>
  </property>
  <property fmtid="{D5CDD505-2E9C-101B-9397-08002B2CF9AE}" pid="5" name="MSIP_Label_1665d9ee-429a-4d5f-97cc-cfb56e044a6e_SetDate">
    <vt:lpwstr>2019-12-10T22:48:14.2939944Z</vt:lpwstr>
  </property>
  <property fmtid="{D5CDD505-2E9C-101B-9397-08002B2CF9AE}" pid="6" name="MSIP_Label_1665d9ee-429a-4d5f-97cc-cfb56e044a6e_Name">
    <vt:lpwstr>Unclassified</vt:lpwstr>
  </property>
  <property fmtid="{D5CDD505-2E9C-101B-9397-08002B2CF9AE}" pid="7" name="MSIP_Label_1665d9ee-429a-4d5f-97cc-cfb56e044a6e_Application">
    <vt:lpwstr>Microsoft Azure Information Protection</vt:lpwstr>
  </property>
  <property fmtid="{D5CDD505-2E9C-101B-9397-08002B2CF9AE}" pid="8" name="MSIP_Label_1665d9ee-429a-4d5f-97cc-cfb56e044a6e_ActionId">
    <vt:lpwstr>60b8e258-06c4-4e13-859e-4888869ab5b8</vt:lpwstr>
  </property>
  <property fmtid="{D5CDD505-2E9C-101B-9397-08002B2CF9AE}" pid="9" name="MSIP_Label_1665d9ee-429a-4d5f-97cc-cfb56e044a6e_Extended_MSFT_Method">
    <vt:lpwstr>Manual</vt:lpwstr>
  </property>
  <property fmtid="{D5CDD505-2E9C-101B-9397-08002B2CF9AE}" pid="10" name="Sensitivity">
    <vt:lpwstr>Unclassified</vt:lpwstr>
  </property>
  <property fmtid="{D5CDD505-2E9C-101B-9397-08002B2CF9AE}" pid="11" name="ContentTypeId">
    <vt:lpwstr>0x01010088F1EB5E9B11544BADA958034EDEEA96</vt:lpwstr>
  </property>
  <property fmtid="{D5CDD505-2E9C-101B-9397-08002B2CF9AE}" pid="12" name="Order">
    <vt:r8>2918800</vt:r8>
  </property>
  <property fmtid="{D5CDD505-2E9C-101B-9397-08002B2CF9AE}" pid="13" name="MediaServiceImageTags">
    <vt:lpwstr/>
  </property>
</Properties>
</file>