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Organizational FA/Finance Policies &amp; Procedures/Budgets, Accounting &amp; Awards/DOS288/Mod 002/"/>
    </mc:Choice>
  </mc:AlternateContent>
  <xr:revisionPtr revIDLastSave="0" documentId="13_ncr:1_{BC4AB0A6-4F37-274F-BF12-AD3D58B14C80}" xr6:coauthVersionLast="47" xr6:coauthVersionMax="47" xr10:uidLastSave="{00000000-0000-0000-0000-000000000000}"/>
  <bookViews>
    <workbookView xWindow="-96" yWindow="-96" windowWidth="23232" windowHeight="12552" xr2:uid="{3B4C526E-7895-314A-856B-4786C3682930}"/>
  </bookViews>
  <sheets>
    <sheet name="Budget Summary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C4" i="3"/>
  <c r="C7" i="3"/>
  <c r="C9" i="3"/>
  <c r="C2" i="3"/>
  <c r="D10" i="3"/>
  <c r="C10" i="3" s="1"/>
  <c r="D13" i="3" l="1"/>
  <c r="C13" i="3"/>
  <c r="C12" i="3"/>
  <c r="D12" i="3"/>
  <c r="C11" i="3"/>
  <c r="D11" i="3"/>
  <c r="C14" i="3"/>
  <c r="D14" i="3"/>
</calcChain>
</file>

<file path=xl/sharedStrings.xml><?xml version="1.0" encoding="utf-8"?>
<sst xmlns="http://schemas.openxmlformats.org/spreadsheetml/2006/main" count="23" uniqueCount="19">
  <si>
    <r>
      <t>Budget Categories</t>
    </r>
    <r>
      <rPr>
        <sz val="14"/>
        <color theme="0"/>
        <rFont val="Aptos"/>
        <family val="2"/>
      </rPr>
      <t>  </t>
    </r>
  </si>
  <si>
    <r>
      <t>Original Budget</t>
    </r>
    <r>
      <rPr>
        <sz val="14"/>
        <color theme="0"/>
        <rFont val="Aptos"/>
        <family val="2"/>
      </rPr>
      <t> </t>
    </r>
  </si>
  <si>
    <r>
      <t>Changes </t>
    </r>
    <r>
      <rPr>
        <sz val="14"/>
        <color theme="0"/>
        <rFont val="Aptos"/>
        <family val="2"/>
      </rPr>
      <t> </t>
    </r>
  </si>
  <si>
    <r>
      <t>Revised Budget </t>
    </r>
    <r>
      <rPr>
        <sz val="14"/>
        <color theme="0"/>
        <rFont val="Aptos"/>
        <family val="2"/>
      </rPr>
      <t> </t>
    </r>
  </si>
  <si>
    <t>Personnel  </t>
  </si>
  <si>
    <t>Fringe Benefits  </t>
  </si>
  <si>
    <t>Travel  </t>
  </si>
  <si>
    <t>Equipment  </t>
  </si>
  <si>
    <t>---  </t>
  </si>
  <si>
    <t>---</t>
  </si>
  <si>
    <t>Supplies  </t>
  </si>
  <si>
    <t>Contractual  </t>
  </si>
  <si>
    <t>Construction  </t>
  </si>
  <si>
    <t>Other Direct Costs  </t>
  </si>
  <si>
    <t>Total Direct Costs (lines 1-8)  </t>
  </si>
  <si>
    <t>Indirect Costs  </t>
  </si>
  <si>
    <t>U.S. Share of Costs (lines 9-10)  </t>
  </si>
  <si>
    <t>Recipient Share of Costs  </t>
  </si>
  <si>
    <t>Total Costs (lines 11-12) 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</si>
</sst>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Aptos Narrow"/>
      <family val="2"/>
      <scheme val="minor"/>
    </font>
    <font>
      <sz val="11"/>
      <color rgb="FF000000"/>
      <name val="Aptos"/>
      <family val="2"/>
    </font>
    <font>
      <b/>
      <sz val="14"/>
      <color theme="0"/>
      <name val="Aptos"/>
      <family val="2"/>
    </font>
    <font>
      <sz val="14"/>
      <color theme="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44" fontId="1" fillId="0" borderId="1" xfId="0" applyNumberFormat="1" applyFont="1" applyBorder="1"/>
    <xf numFmtId="0" fontId="2" fillId="2" borderId="0" xfId="0" applyFont="1" applyFill="1"/>
    <xf numFmtId="44" fontId="0" fillId="0" borderId="0" xfId="0" applyNumberFormat="1"/>
    <xf numFmtId="44" fontId="1" fillId="0" borderId="2" xfId="0" applyNumberFormat="1" applyFont="1" applyBorder="1"/>
    <xf numFmtId="44" fontId="0" fillId="0" borderId="2" xfId="0" applyNumberFormat="1" applyBorder="1"/>
    <xf numFmtId="44" fontId="1" fillId="0" borderId="3" xfId="0" applyNumberFormat="1" applyFont="1" applyBorder="1"/>
    <xf numFmtId="4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A9CDF-C2D2-4BF4-BBE5-31F9F5DAD523}">
  <dimension ref="A1:E14"/>
  <sheetViews>
    <sheetView tabSelected="1" workbookViewId="0">
      <selection activeCell="C15" sqref="C15"/>
    </sheetView>
  </sheetViews>
  <sheetFormatPr defaultColWidth="11" defaultRowHeight="15.6" x14ac:dyDescent="0.6"/>
  <cols>
    <col min="1" max="1" width="32.84765625" customWidth="1"/>
    <col min="2" max="2" width="18.5" customWidth="1"/>
    <col min="3" max="3" width="15.34765625" customWidth="1"/>
    <col min="4" max="4" width="16.34765625" customWidth="1"/>
    <col min="5" max="5" width="11.6484375" bestFit="1" customWidth="1"/>
  </cols>
  <sheetData>
    <row r="1" spans="1:5" ht="18.3" x14ac:dyDescent="0.7">
      <c r="A1" s="3" t="s">
        <v>0</v>
      </c>
      <c r="B1" s="3" t="s">
        <v>1</v>
      </c>
      <c r="C1" s="3" t="s">
        <v>2</v>
      </c>
      <c r="D1" s="3" t="s">
        <v>3</v>
      </c>
    </row>
    <row r="2" spans="1:5" x14ac:dyDescent="0.6">
      <c r="A2" s="1" t="s">
        <v>4</v>
      </c>
      <c r="B2" s="2">
        <v>94777</v>
      </c>
      <c r="C2" s="7">
        <f>D2-B2</f>
        <v>10063</v>
      </c>
      <c r="D2" s="5">
        <v>104840</v>
      </c>
      <c r="E2" s="8"/>
    </row>
    <row r="3" spans="1:5" x14ac:dyDescent="0.6">
      <c r="A3" s="1" t="s">
        <v>5</v>
      </c>
      <c r="B3" s="2">
        <v>22460</v>
      </c>
      <c r="C3" s="7">
        <f t="shared" ref="C3:C10" si="0">D3-B3</f>
        <v>2941</v>
      </c>
      <c r="D3" s="6">
        <v>25401</v>
      </c>
      <c r="E3" s="4"/>
    </row>
    <row r="4" spans="1:5" x14ac:dyDescent="0.6">
      <c r="A4" s="1" t="s">
        <v>6</v>
      </c>
      <c r="B4" s="2">
        <v>25749</v>
      </c>
      <c r="C4" s="7">
        <f t="shared" si="0"/>
        <v>52927</v>
      </c>
      <c r="D4" s="6">
        <v>78676</v>
      </c>
      <c r="E4" s="4"/>
    </row>
    <row r="5" spans="1:5" x14ac:dyDescent="0.6">
      <c r="A5" s="1" t="s">
        <v>7</v>
      </c>
      <c r="B5" s="2" t="s">
        <v>8</v>
      </c>
      <c r="C5" s="7"/>
      <c r="D5" s="6" t="s">
        <v>9</v>
      </c>
      <c r="E5" s="4"/>
    </row>
    <row r="6" spans="1:5" x14ac:dyDescent="0.6">
      <c r="A6" s="1" t="s">
        <v>10</v>
      </c>
      <c r="B6" s="2" t="s">
        <v>8</v>
      </c>
      <c r="C6" s="7"/>
      <c r="D6" s="6" t="s">
        <v>9</v>
      </c>
      <c r="E6" s="4"/>
    </row>
    <row r="7" spans="1:5" x14ac:dyDescent="0.6">
      <c r="A7" s="1" t="s">
        <v>11</v>
      </c>
      <c r="B7" s="2">
        <v>128000</v>
      </c>
      <c r="C7" s="7">
        <f t="shared" si="0"/>
        <v>-73000</v>
      </c>
      <c r="D7" s="6">
        <v>55000</v>
      </c>
      <c r="E7" s="4"/>
    </row>
    <row r="8" spans="1:5" x14ac:dyDescent="0.6">
      <c r="A8" s="1" t="s">
        <v>12</v>
      </c>
      <c r="B8" s="2" t="s">
        <v>8</v>
      </c>
      <c r="C8" s="7"/>
      <c r="D8" s="6" t="s">
        <v>9</v>
      </c>
      <c r="E8" s="4"/>
    </row>
    <row r="9" spans="1:5" x14ac:dyDescent="0.6">
      <c r="A9" s="1" t="s">
        <v>13</v>
      </c>
      <c r="B9" s="2">
        <v>10406</v>
      </c>
      <c r="C9" s="7">
        <f t="shared" si="0"/>
        <v>-2453</v>
      </c>
      <c r="D9" s="6">
        <v>7953</v>
      </c>
      <c r="E9" s="4"/>
    </row>
    <row r="10" spans="1:5" x14ac:dyDescent="0.6">
      <c r="A10" s="1" t="s">
        <v>14</v>
      </c>
      <c r="B10" s="2">
        <v>271870</v>
      </c>
      <c r="C10" s="7">
        <f t="shared" si="0"/>
        <v>0</v>
      </c>
      <c r="D10" s="6">
        <f>SUM(D2:D9)</f>
        <v>271870</v>
      </c>
      <c r="E10" s="4"/>
    </row>
    <row r="11" spans="1:5" x14ac:dyDescent="0.6">
      <c r="A11" s="1" t="s">
        <v>15</v>
      </c>
      <c r="B11" s="2">
        <v>76885</v>
      </c>
      <c r="C11" s="7">
        <f ca="1">D11-B11</f>
        <v>0</v>
      </c>
      <c r="D11" s="5">
        <f ca="1">B11+C11</f>
        <v>0</v>
      </c>
      <c r="E11" s="4"/>
    </row>
    <row r="12" spans="1:5" x14ac:dyDescent="0.6">
      <c r="A12" s="1" t="s">
        <v>16</v>
      </c>
      <c r="B12" s="2">
        <v>348755</v>
      </c>
      <c r="C12" s="7">
        <f ca="1">D12-B12</f>
        <v>0</v>
      </c>
      <c r="D12" s="5">
        <f t="shared" ref="D12:D13" ca="1" si="1">B12+C12</f>
        <v>348755</v>
      </c>
      <c r="E12" s="4"/>
    </row>
    <row r="13" spans="1:5" x14ac:dyDescent="0.6">
      <c r="A13" s="1" t="s">
        <v>17</v>
      </c>
      <c r="B13" s="2">
        <v>127826</v>
      </c>
      <c r="C13" s="7">
        <f ca="1">D13-B13</f>
        <v>0</v>
      </c>
      <c r="D13" s="5">
        <f t="shared" ca="1" si="1"/>
        <v>127826</v>
      </c>
      <c r="E13" s="4"/>
    </row>
    <row r="14" spans="1:5" x14ac:dyDescent="0.6">
      <c r="A14" s="1" t="s">
        <v>18</v>
      </c>
      <c r="B14" s="2">
        <v>476581</v>
      </c>
      <c r="C14" s="7">
        <f ca="1">D14-B14</f>
        <v>0</v>
      </c>
      <c r="D14" s="5">
        <f ca="1">B14+C14</f>
        <v>476581</v>
      </c>
      <c r="E14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9" ma:contentTypeDescription="Create a new document." ma:contentTypeScope="" ma:versionID="a5577d833b9f28dcc6be37a04859b9a8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ae50cb7862d574a2d96b6910b4abdc85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3EE4C85-33C4-4B9A-AF9D-E2A371B756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8FE0A92-5050-4F0D-8E18-0182DEC91AC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2466082-b6bf-4153-98c3-3c41e85fda18"/>
    <ds:schemaRef ds:uri="dc808d36-874f-4b27-aec2-2fd6498179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8A164F-E991-4795-9760-3D1376D7E9A7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1a9bbbe1-7cae-48c1-93ed-4785e360835f"/>
    <ds:schemaRef ds:uri="f2466082-b6bf-4153-98c3-3c41e85fda1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Summary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Maia Moore</dc:creator>
  <cp:keywords/>
  <dc:description/>
  <cp:lastModifiedBy>Danielle Martin</cp:lastModifiedBy>
  <cp:revision/>
  <dcterms:created xsi:type="dcterms:W3CDTF">2025-04-08T15:09:58Z</dcterms:created>
  <dcterms:modified xsi:type="dcterms:W3CDTF">2026-04-02T18:33:48Z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