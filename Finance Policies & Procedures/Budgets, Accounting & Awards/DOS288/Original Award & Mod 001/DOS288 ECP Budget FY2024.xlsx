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Budgets, Accounting &amp; Awards/DOS288/"/>
    </mc:Choice>
  </mc:AlternateContent>
  <xr:revisionPtr revIDLastSave="4" documentId="13_ncr:1_{C546C7D9-F0A9-4C51-A6F0-DEBFA42318DC}" xr6:coauthVersionLast="47" xr6:coauthVersionMax="47" xr10:uidLastSave="{719983A7-B270-4031-98B1-EE2C4DE6F9F9}"/>
  <bookViews>
    <workbookView xWindow="-96" yWindow="-96" windowWidth="23232" windowHeight="12552" firstSheet="1" activeTab="1" xr2:uid="{00000000-000D-0000-FFFF-FFFF00000000}"/>
  </bookViews>
  <sheets>
    <sheet name="Budget Summary" sheetId="1" r:id="rId1"/>
    <sheet name="FY24 Budget Details" sheetId="5" r:id="rId2"/>
    <sheet name="Volunteer Time Cost Share" sheetId="3" r:id="rId3"/>
  </sheets>
  <definedNames>
    <definedName name="_xlnm.Print_Area" localSheetId="1">'FY24 Budget Details'!$C$1:$I$68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8" i="5" l="1"/>
  <c r="F42" i="5"/>
  <c r="F41" i="5"/>
  <c r="F38" i="5"/>
  <c r="B21" i="1"/>
  <c r="B19" i="1"/>
  <c r="B18" i="1"/>
  <c r="D63" i="5" l="1"/>
  <c r="G39" i="5"/>
  <c r="G38" i="5"/>
  <c r="F28" i="5"/>
  <c r="F21" i="5"/>
  <c r="F20" i="5"/>
  <c r="F10" i="5"/>
  <c r="F9" i="5"/>
  <c r="F39" i="5"/>
  <c r="F25" i="5"/>
  <c r="G43" i="5" l="1"/>
  <c r="F43" i="5"/>
  <c r="H41" i="5"/>
  <c r="H11" i="5"/>
  <c r="H10" i="5"/>
  <c r="H40" i="5"/>
  <c r="H42" i="5"/>
  <c r="H29" i="5"/>
  <c r="H28" i="5"/>
  <c r="F27" i="5"/>
  <c r="H27" i="5" s="1"/>
  <c r="F26" i="5"/>
  <c r="H26" i="5" s="1"/>
  <c r="H25" i="5"/>
  <c r="F23" i="5"/>
  <c r="H23" i="5" s="1"/>
  <c r="H21" i="5"/>
  <c r="H20" i="5"/>
  <c r="H65" i="5"/>
  <c r="H61" i="5"/>
  <c r="H60" i="5"/>
  <c r="H59" i="5"/>
  <c r="H58" i="5"/>
  <c r="H55" i="5"/>
  <c r="H54" i="5"/>
  <c r="H53" i="5"/>
  <c r="H52" i="5"/>
  <c r="H51" i="5"/>
  <c r="H50" i="5"/>
  <c r="H49" i="5"/>
  <c r="H48" i="5"/>
  <c r="H47" i="5"/>
  <c r="H46" i="5"/>
  <c r="H45" i="5"/>
  <c r="H44" i="5"/>
  <c r="H37" i="5"/>
  <c r="H36" i="5"/>
  <c r="H35" i="5"/>
  <c r="H34" i="5"/>
  <c r="H33" i="5"/>
  <c r="H31" i="5"/>
  <c r="H30" i="5"/>
  <c r="H24" i="5"/>
  <c r="H19" i="5"/>
  <c r="H18" i="5"/>
  <c r="H14" i="5"/>
  <c r="H9" i="5"/>
  <c r="F57" i="5"/>
  <c r="H57" i="5" s="1"/>
  <c r="F56" i="5"/>
  <c r="F22" i="5"/>
  <c r="H22" i="5" s="1"/>
  <c r="E23" i="5"/>
  <c r="C11" i="3"/>
  <c r="C12" i="3"/>
  <c r="C6" i="3"/>
  <c r="C7" i="3"/>
  <c r="G12" i="5"/>
  <c r="H12" i="5" s="1"/>
  <c r="H56" i="5" l="1"/>
  <c r="F63" i="5"/>
  <c r="H43" i="5"/>
  <c r="B20" i="1"/>
  <c r="H39" i="5"/>
  <c r="F32" i="5"/>
  <c r="F13" i="5"/>
  <c r="F15" i="5"/>
  <c r="H8" i="5"/>
  <c r="F16" i="5"/>
  <c r="H16" i="5" s="1"/>
  <c r="E43" i="5"/>
  <c r="E27" i="5"/>
  <c r="E51" i="5"/>
  <c r="E63" i="5" s="1"/>
  <c r="E26" i="5"/>
  <c r="E25" i="5"/>
  <c r="D32" i="5"/>
  <c r="B17" i="1" l="1"/>
  <c r="I32" i="5"/>
  <c r="B15" i="1"/>
  <c r="B22" i="1"/>
  <c r="I63" i="5"/>
  <c r="F17" i="5"/>
  <c r="H15" i="5"/>
  <c r="E9" i="5"/>
  <c r="C10" i="3"/>
  <c r="C5" i="3"/>
  <c r="G32" i="5"/>
  <c r="E11" i="5"/>
  <c r="E28" i="5"/>
  <c r="E21" i="5"/>
  <c r="E20" i="5"/>
  <c r="E10" i="5"/>
  <c r="D67" i="5"/>
  <c r="D37" i="5"/>
  <c r="G17" i="5"/>
  <c r="D17" i="5"/>
  <c r="G67" i="5"/>
  <c r="D36" i="5"/>
  <c r="B5" i="1" l="1"/>
  <c r="B6" i="1" s="1"/>
  <c r="H32" i="5"/>
  <c r="F64" i="5"/>
  <c r="F66" i="5" s="1"/>
  <c r="B16" i="1"/>
  <c r="B23" i="1" s="1"/>
  <c r="I17" i="5"/>
  <c r="H17" i="5"/>
  <c r="D43" i="5"/>
  <c r="I43" i="5" s="1"/>
  <c r="E32" i="5"/>
  <c r="E15" i="5"/>
  <c r="E17" i="5" s="1"/>
  <c r="E13" i="5"/>
  <c r="D13" i="5"/>
  <c r="I13" i="5" s="1"/>
  <c r="G13" i="5"/>
  <c r="C7" i="1" l="1"/>
  <c r="C8" i="1" s="1"/>
  <c r="H13" i="5"/>
  <c r="F67" i="5"/>
  <c r="H66" i="5"/>
  <c r="H38" i="5"/>
  <c r="E64" i="5"/>
  <c r="E66" i="5" s="1"/>
  <c r="E67" i="5" s="1"/>
  <c r="E68" i="5" s="1"/>
  <c r="D64" i="5"/>
  <c r="I64" i="5" s="1"/>
  <c r="B24" i="1" l="1"/>
  <c r="B7" i="1" s="1"/>
  <c r="I67" i="5"/>
  <c r="D68" i="5"/>
  <c r="F68" i="5"/>
  <c r="H67" i="5"/>
  <c r="E5" i="3"/>
  <c r="I68" i="5" l="1"/>
  <c r="B8" i="1"/>
  <c r="B9" i="1"/>
  <c r="B25" i="1"/>
  <c r="E7" i="3" l="1"/>
  <c r="E11" i="3"/>
  <c r="E12" i="3"/>
  <c r="E10" i="3"/>
  <c r="E6" i="3"/>
  <c r="E13" i="3" l="1"/>
  <c r="E8" i="3"/>
  <c r="E14" i="3" l="1"/>
  <c r="G62" i="5" s="1"/>
  <c r="G63" i="5" s="1"/>
  <c r="H63" i="5" l="1"/>
  <c r="C5" i="1"/>
  <c r="H62" i="5"/>
  <c r="G64" i="5" l="1"/>
  <c r="G68" i="5" l="1"/>
  <c r="H64" i="5"/>
  <c r="D5" i="1"/>
  <c r="C6" i="1"/>
  <c r="D6" i="1" s="1"/>
  <c r="C9" i="1"/>
  <c r="B26" i="1" l="1"/>
  <c r="H68" i="5"/>
  <c r="C10" i="1"/>
  <c r="D9" i="1" l="1"/>
  <c r="D7" i="1"/>
  <c r="D8" i="1"/>
  <c r="B10" i="1" l="1"/>
  <c r="D10" i="1" s="1"/>
</calcChain>
</file>

<file path=xl/sharedStrings.xml><?xml version="1.0" encoding="utf-8"?>
<sst xmlns="http://schemas.openxmlformats.org/spreadsheetml/2006/main" count="145" uniqueCount="131">
  <si>
    <t xml:space="preserve">Partners of the Americas </t>
  </si>
  <si>
    <t>FY 2024 Traditional Public-Private Partnership Program (Education and Culture Program)</t>
  </si>
  <si>
    <t>Assistance Listing 19.415 / Funding Opportunity #SFOP0010173</t>
  </si>
  <si>
    <t>Budget Summary</t>
  </si>
  <si>
    <t>Educational and Cultural Affairs</t>
  </si>
  <si>
    <t>Cost Sharing</t>
  </si>
  <si>
    <t>Total</t>
  </si>
  <si>
    <t>Program Costs</t>
  </si>
  <si>
    <t>Program costs per participant</t>
  </si>
  <si>
    <t>Administrative Costs</t>
  </si>
  <si>
    <t>Administrative costs per participant</t>
  </si>
  <si>
    <t>Total Costs</t>
  </si>
  <si>
    <t>Total costs per participant
Number of Participants: 30</t>
  </si>
  <si>
    <t>Budget Categories</t>
  </si>
  <si>
    <t>Amount</t>
  </si>
  <si>
    <t>1. Personnel</t>
  </si>
  <si>
    <t>2. Fringe Benefits</t>
  </si>
  <si>
    <t>3. Travel</t>
  </si>
  <si>
    <t>4. Equipment</t>
  </si>
  <si>
    <t>5. Supplies</t>
  </si>
  <si>
    <t>6. Contractual</t>
  </si>
  <si>
    <t>7. Construction</t>
  </si>
  <si>
    <t>8. Other Direct Costs</t>
  </si>
  <si>
    <t>9. Total Direct Costs (lines 1-8)</t>
  </si>
  <si>
    <t>10. Indirect Costs*</t>
  </si>
  <si>
    <t>11. Total Costs (lines 9-10)</t>
  </si>
  <si>
    <t>12. Cost-Sharing</t>
  </si>
  <si>
    <t>Partners of the Americas</t>
  </si>
  <si>
    <t>FY 2024 Traditional Public-Private Partnership Program</t>
  </si>
  <si>
    <t>August 1, 2024 - December 31, 2025</t>
  </si>
  <si>
    <t>Budget Category</t>
  </si>
  <si>
    <t>Approved FY 2023 ECA Funding Level</t>
  </si>
  <si>
    <t>FY 2023 Actual Budget</t>
  </si>
  <si>
    <t>FY 2024 ECA Funds Request REVISED</t>
  </si>
  <si>
    <t>FY 2024 Cost Sharing</t>
  </si>
  <si>
    <t>FY 2024 Total Budget REVISED</t>
  </si>
  <si>
    <t>% Change</t>
  </si>
  <si>
    <t>I. Salaries</t>
  </si>
  <si>
    <t>1. Senior Director - $11,000/Month 
Aug 2024 - Dec 2025 at 5% LOE</t>
  </si>
  <si>
    <t>2. Program Director - $6,400/Month 
Jan 2025 - Dec 2025 at 10% LOE</t>
  </si>
  <si>
    <t>3. Senior Program Officer - $5,358/Month 
Jan 2025 - Dec 2025 at 100% LOE</t>
  </si>
  <si>
    <t>4. Program Assistant - $4,500/Month 
Jan 2025 - Sep 2025 at 0% LOE</t>
  </si>
  <si>
    <t>5. Program Support</t>
  </si>
  <si>
    <t>Total Salaries</t>
  </si>
  <si>
    <t>II. Fringe Benefits</t>
  </si>
  <si>
    <t>23.47% - Fringe Benefits US-based staff</t>
  </si>
  <si>
    <t>53.864% - Fringe Benefits Colombia based staff</t>
  </si>
  <si>
    <t>Total Fringe Benefits</t>
  </si>
  <si>
    <t>III. Travel</t>
  </si>
  <si>
    <t>1. Staff Travel</t>
  </si>
  <si>
    <t>a. Domestic Round Trip Airfare ($400 x 2 trip)</t>
  </si>
  <si>
    <t>b. Domestic Lodging &amp; Per Diem 
Washington, DC ($258 x 12 nights x 1 trip) + ($71/day x 13 days)
Other Host City ($200 x 4 nights x 1 trip) + ($71/day x 5 days)</t>
  </si>
  <si>
    <t>c. International Round Trip Airfare ($1,600 x 1 trip)</t>
  </si>
  <si>
    <t>d. International Lodging &amp; Per Diem ($160/day + $70/day) x 14 days</t>
  </si>
  <si>
    <t>2. Participant Travel</t>
  </si>
  <si>
    <t>a. International Round Trip Airfare ($1,650 x 6 trips)</t>
  </si>
  <si>
    <t>b. International/Domestic Per Diem ($50/day x 10 days x 6 trips)</t>
  </si>
  <si>
    <t>c. Visa Fees ($185 x 3 participants)</t>
  </si>
  <si>
    <t>d. Visa Related Travel Fees ($250 x 6 participants)</t>
  </si>
  <si>
    <t>e. U.S. Domestic flights for LAC Group Exchange Participants ($400 x 10 participants)</t>
  </si>
  <si>
    <t>f. U.S. Hotel for LAC Group Exchange Participants ($258 x 7 nights x 10 participants)
Other Host City ($200 x 4 nights x 1 trip)</t>
  </si>
  <si>
    <t>g. U.S. Local Travel for LAC Group Exchange</t>
  </si>
  <si>
    <t>Total Travel</t>
  </si>
  <si>
    <t>IV. Equipment</t>
  </si>
  <si>
    <t>V. Supplies</t>
  </si>
  <si>
    <t>VI. Contractual</t>
  </si>
  <si>
    <t>a. Large Subawards (2 subawards x $16,500)</t>
  </si>
  <si>
    <t>b. Small Subawards (3 subawards x $3,000)</t>
  </si>
  <si>
    <t>c. Subawards (6 community-led projects x $9,000)</t>
  </si>
  <si>
    <t>d. Subawards (group exchanges) (4 subawards x $12,500)</t>
  </si>
  <si>
    <t>d. Logistics Consultant ($200/day x 57 days)</t>
  </si>
  <si>
    <t>d. Technical/Operational Consultant Pool ($300/day x 60 days)</t>
  </si>
  <si>
    <t>e. Monitoring and Evaluation Consultant ($300 x 20 days)</t>
  </si>
  <si>
    <t>Total Contractual</t>
  </si>
  <si>
    <t>VII. Construction</t>
  </si>
  <si>
    <t>VIII. Other Direct Costs</t>
  </si>
  <si>
    <t>1. Honoraria</t>
  </si>
  <si>
    <t>a. Logistics Consultant ($200/day x 57 days)</t>
  </si>
  <si>
    <t xml:space="preserve">2. Fees </t>
  </si>
  <si>
    <t>a. Monitoring and Evaluation ($300 x 14 days)</t>
  </si>
  <si>
    <t>3. Events</t>
  </si>
  <si>
    <t>a. Event Costs - One-Day, In-Person Peer Learning Event</t>
  </si>
  <si>
    <t>b. Group Meals for LAC Group Exchange ($50 x 12 people x 2 meals)</t>
  </si>
  <si>
    <t>c. Cultural Activities for Group Exchange ($90 x 11 people)</t>
  </si>
  <si>
    <t>4. Communications</t>
  </si>
  <si>
    <t>a. Promotion &amp; Communications</t>
  </si>
  <si>
    <t>b. Platform Subscriptions ($50/month x 17 months)
May 2024 - June 2024 at 25%
July 2024 - Sept 2024 at 50%
October 2024 - Sept 2025 at 100%</t>
  </si>
  <si>
    <t>c. Online Platform for Subaward Management ($120/month x 17 months)</t>
  </si>
  <si>
    <t xml:space="preserve">5. Materials </t>
  </si>
  <si>
    <t>a. Translation and Interpretation Services</t>
  </si>
  <si>
    <t>b. Supplies</t>
  </si>
  <si>
    <t>6. Volunteer Time</t>
  </si>
  <si>
    <t xml:space="preserve">a.  U.S. and LAC Volunteer Time </t>
  </si>
  <si>
    <t>Total Other Direct Costs</t>
  </si>
  <si>
    <t>Total Direct Costs</t>
  </si>
  <si>
    <t>IX. Indirect Costs*</t>
  </si>
  <si>
    <t>Total Indirect Costs</t>
  </si>
  <si>
    <t>TOTAL COSTS</t>
  </si>
  <si>
    <t>U.S. and LAC Volunteer Time</t>
  </si>
  <si>
    <t xml:space="preserve">Item </t>
  </si>
  <si>
    <t># Vol-days</t>
  </si>
  <si>
    <t>Daily Rate</t>
  </si>
  <si>
    <t>Travel/project grants</t>
  </si>
  <si>
    <t>Total Cost Share</t>
  </si>
  <si>
    <t>Non-U.S. (LAC) Volunteers</t>
  </si>
  <si>
    <t xml:space="preserve">  Participant selection/planning and preparation</t>
  </si>
  <si>
    <t xml:space="preserve">  Orientation</t>
  </si>
  <si>
    <t xml:space="preserve">  Follow-on engagement</t>
  </si>
  <si>
    <t>Sub total</t>
  </si>
  <si>
    <t>U.S. Volunteers</t>
  </si>
  <si>
    <t>Total volunteer time match</t>
  </si>
  <si>
    <t>PERSNL</t>
  </si>
  <si>
    <t>50000 (Timesheets)</t>
  </si>
  <si>
    <t>FRINGE</t>
  </si>
  <si>
    <t>50900 (Timesheets)</t>
  </si>
  <si>
    <t>FRINGE-CO</t>
  </si>
  <si>
    <t>STFTRAVEL</t>
  </si>
  <si>
    <t>STFCN DIEM</t>
  </si>
  <si>
    <t>86030 (Lodging) &amp; 86050 (M&amp;IE)</t>
  </si>
  <si>
    <t>PARTTRAVEL</t>
  </si>
  <si>
    <t>PARTPERDIE</t>
  </si>
  <si>
    <t>CONSULT</t>
  </si>
  <si>
    <t>SUBGROUPEX</t>
  </si>
  <si>
    <t>SUBCOMLED</t>
  </si>
  <si>
    <t>86000 (Transport) 86030 (Lodging) &amp; 86050 (M&amp;IE)</t>
  </si>
  <si>
    <t>M&amp;ECONSULT</t>
  </si>
  <si>
    <t>VISATRVEXP</t>
  </si>
  <si>
    <t>SUBSCRIPT</t>
  </si>
  <si>
    <t>COMM</t>
  </si>
  <si>
    <t>SUPPLIES</t>
  </si>
  <si>
    <t>IDC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</si>
</sst>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#,##0.00%"/>
    <numFmt numFmtId="166" formatCode="&quot;$&quot;#,##0.00"/>
    <numFmt numFmtId="167" formatCode="_(* #,##0_);_(* \(#,##0\);_(* &quot;-&quot;??_);_(@_)"/>
    <numFmt numFmtId="168" formatCode="_(&quot;$&quot;* #,##0_);_(&quot;$&quot;* \(#,##0\);_(&quot;$&quot;* &quot;-&quot;??_);_(@_)"/>
    <numFmt numFmtId="169" formatCode="0.0%"/>
    <numFmt numFmtId="170" formatCode="[$-F800]dddd\,\ mmmm\ dd\,\ yyyy"/>
  </numFmts>
  <fonts count="29" x14ac:knownFonts="1">
    <font>
      <sz val="12"/>
      <color indexed="8"/>
      <name val="Verdana"/>
    </font>
    <font>
      <sz val="11"/>
      <color indexed="8"/>
      <name val="Calibri"/>
      <family val="2"/>
    </font>
    <font>
      <sz val="12"/>
      <color indexed="8"/>
      <name val="Verdana"/>
      <family val="2"/>
    </font>
    <font>
      <sz val="10"/>
      <color indexed="8"/>
      <name val="Helvetica"/>
      <family val="2"/>
    </font>
    <font>
      <sz val="10"/>
      <color indexed="8"/>
      <name val="Helvetica"/>
      <family val="2"/>
      <scheme val="major"/>
    </font>
    <font>
      <b/>
      <sz val="10"/>
      <color indexed="8"/>
      <name val="Helvetica"/>
      <family val="2"/>
      <scheme val="major"/>
    </font>
    <font>
      <sz val="10"/>
      <color indexed="8"/>
      <name val="Helvetica"/>
      <family val="2"/>
      <scheme val="minor"/>
    </font>
    <font>
      <sz val="11"/>
      <color indexed="8"/>
      <name val="Helvetica"/>
      <family val="2"/>
      <scheme val="minor"/>
    </font>
    <font>
      <b/>
      <sz val="10"/>
      <color indexed="8"/>
      <name val="Helvetica"/>
      <family val="2"/>
      <scheme val="minor"/>
    </font>
    <font>
      <b/>
      <i/>
      <sz val="10"/>
      <color indexed="8"/>
      <name val="Helvetica"/>
      <family val="2"/>
      <scheme val="major"/>
    </font>
    <font>
      <i/>
      <sz val="10"/>
      <color indexed="8"/>
      <name val="Helvetica"/>
      <family val="2"/>
      <scheme val="minor"/>
    </font>
    <font>
      <sz val="10"/>
      <name val="Helvetica"/>
      <family val="2"/>
      <scheme val="minor"/>
    </font>
    <font>
      <b/>
      <sz val="10"/>
      <color rgb="FFFF0000"/>
      <name val="Helvetica"/>
      <family val="2"/>
      <scheme val="minor"/>
    </font>
    <font>
      <b/>
      <sz val="10"/>
      <name val="Helvetica"/>
      <family val="2"/>
      <scheme val="minor"/>
    </font>
    <font>
      <b/>
      <sz val="10"/>
      <color indexed="8"/>
      <name val="Helvetica"/>
      <scheme val="major"/>
    </font>
    <font>
      <sz val="11"/>
      <color indexed="8"/>
      <name val="Helvetica"/>
      <scheme val="major"/>
    </font>
    <font>
      <b/>
      <sz val="10"/>
      <name val="Helvetica"/>
      <scheme val="major"/>
    </font>
    <font>
      <u/>
      <sz val="11"/>
      <color indexed="8"/>
      <name val="Helvetica"/>
      <scheme val="major"/>
    </font>
    <font>
      <sz val="10"/>
      <color indexed="8"/>
      <name val="Helvetica"/>
      <scheme val="major"/>
    </font>
    <font>
      <b/>
      <i/>
      <sz val="11"/>
      <name val="Helvetica"/>
      <scheme val="major"/>
    </font>
    <font>
      <b/>
      <sz val="11"/>
      <color indexed="8"/>
      <name val="Helvetica"/>
      <scheme val="major"/>
    </font>
    <font>
      <b/>
      <sz val="10"/>
      <color indexed="8"/>
      <name val="Helvetica"/>
      <scheme val="minor"/>
    </font>
    <font>
      <b/>
      <sz val="10"/>
      <name val="Helvetica"/>
    </font>
    <font>
      <b/>
      <sz val="10"/>
      <name val="Helvetica"/>
      <scheme val="minor"/>
    </font>
    <font>
      <sz val="10"/>
      <name val="Helvetica"/>
    </font>
    <font>
      <sz val="10"/>
      <color rgb="FFFF0000"/>
      <name val="Helvetica"/>
      <family val="2"/>
      <scheme val="minor"/>
    </font>
    <font>
      <sz val="10"/>
      <color theme="1"/>
      <name val="Helvetica"/>
      <family val="2"/>
      <scheme val="minor"/>
    </font>
    <font>
      <sz val="10"/>
      <color theme="1"/>
      <name val="Helvetica"/>
      <scheme val="minor"/>
    </font>
    <font>
      <sz val="10"/>
      <color theme="1"/>
      <name val="Helvetica"/>
      <scheme val="major"/>
    </font>
  </fonts>
  <fills count="8">
    <fill>
      <patternFill patternType="none"/>
    </fill>
    <fill>
      <patternFill patternType="gray125"/>
    </fill>
    <fill>
      <patternFill patternType="solid">
        <fgColor theme="2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</fills>
  <borders count="82">
    <border>
      <left/>
      <right/>
      <top/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64"/>
      </right>
      <top style="medium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thin">
        <color indexed="64"/>
      </right>
      <top style="medium">
        <color indexed="64"/>
      </top>
      <bottom style="medium">
        <color indexed="8"/>
      </bottom>
      <diagonal/>
    </border>
    <border>
      <left/>
      <right style="thin">
        <color indexed="8"/>
      </right>
      <top style="medium">
        <color indexed="64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 style="thin">
        <color indexed="9"/>
      </right>
      <top style="medium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thin">
        <color indexed="8"/>
      </bottom>
      <diagonal/>
    </border>
    <border>
      <left style="thin">
        <color indexed="9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8"/>
      </right>
      <top style="medium">
        <color indexed="8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8"/>
      </left>
      <right style="medium">
        <color indexed="64"/>
      </right>
      <top style="thin">
        <color indexed="8"/>
      </top>
      <bottom style="thin">
        <color indexed="64"/>
      </bottom>
      <diagonal/>
    </border>
  </borders>
  <cellStyleXfs count="5">
    <xf numFmtId="0" fontId="0" fillId="0" borderId="0" applyNumberFormat="0" applyFill="0" applyBorder="0" applyProtection="0">
      <alignment vertical="top" wrapText="1"/>
    </xf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 applyNumberFormat="0" applyFill="0" applyBorder="0" applyProtection="0">
      <alignment vertical="top" wrapText="1"/>
    </xf>
    <xf numFmtId="9" fontId="2" fillId="0" borderId="0" applyFont="0" applyFill="0" applyBorder="0" applyAlignment="0" applyProtection="0"/>
  </cellStyleXfs>
  <cellXfs count="214">
    <xf numFmtId="0" fontId="0" fillId="0" borderId="0" xfId="0">
      <alignment vertical="top" wrapText="1"/>
    </xf>
    <xf numFmtId="0" fontId="1" fillId="0" borderId="0" xfId="0" applyNumberFormat="1" applyFont="1" applyAlignment="1"/>
    <xf numFmtId="0" fontId="1" fillId="0" borderId="0" xfId="0" applyFont="1" applyBorder="1" applyAlignment="1"/>
    <xf numFmtId="168" fontId="1" fillId="0" borderId="0" xfId="0" applyNumberFormat="1" applyFont="1" applyAlignment="1"/>
    <xf numFmtId="0" fontId="5" fillId="0" borderId="1" xfId="0" applyNumberFormat="1" applyFont="1" applyBorder="1" applyAlignment="1"/>
    <xf numFmtId="168" fontId="8" fillId="0" borderId="9" xfId="2" applyNumberFormat="1" applyFont="1" applyFill="1" applyBorder="1" applyAlignment="1">
      <alignment vertical="center"/>
    </xf>
    <xf numFmtId="167" fontId="5" fillId="0" borderId="10" xfId="1" applyNumberFormat="1" applyFont="1" applyBorder="1" applyAlignment="1">
      <alignment horizontal="center"/>
    </xf>
    <xf numFmtId="168" fontId="5" fillId="0" borderId="7" xfId="2" applyNumberFormat="1" applyFont="1" applyBorder="1" applyAlignment="1">
      <alignment horizontal="center"/>
    </xf>
    <xf numFmtId="164" fontId="6" fillId="4" borderId="11" xfId="0" applyNumberFormat="1" applyFont="1" applyFill="1" applyBorder="1" applyAlignment="1">
      <alignment vertical="center"/>
    </xf>
    <xf numFmtId="44" fontId="1" fillId="0" borderId="0" xfId="0" applyNumberFormat="1" applyFont="1" applyAlignment="1"/>
    <xf numFmtId="164" fontId="6" fillId="0" borderId="16" xfId="0" applyNumberFormat="1" applyFont="1" applyBorder="1" applyAlignment="1">
      <alignment vertical="center"/>
    </xf>
    <xf numFmtId="44" fontId="1" fillId="0" borderId="0" xfId="2" applyFont="1" applyAlignment="1"/>
    <xf numFmtId="43" fontId="1" fillId="0" borderId="0" xfId="0" applyNumberFormat="1" applyFont="1" applyAlignment="1"/>
    <xf numFmtId="0" fontId="1" fillId="0" borderId="0" xfId="0" applyNumberFormat="1" applyFont="1" applyFill="1" applyAlignment="1"/>
    <xf numFmtId="0" fontId="15" fillId="0" borderId="0" xfId="0" applyNumberFormat="1" applyFont="1" applyAlignment="1"/>
    <xf numFmtId="0" fontId="16" fillId="5" borderId="15" xfId="0" applyNumberFormat="1" applyFont="1" applyFill="1" applyBorder="1" applyAlignment="1">
      <alignment horizontal="center" vertical="center"/>
    </xf>
    <xf numFmtId="0" fontId="16" fillId="5" borderId="16" xfId="0" applyFont="1" applyFill="1" applyBorder="1" applyAlignment="1">
      <alignment horizontal="center" vertical="center" wrapText="1"/>
    </xf>
    <xf numFmtId="0" fontId="16" fillId="5" borderId="17" xfId="0" applyFont="1" applyFill="1" applyBorder="1" applyAlignment="1">
      <alignment horizontal="center" vertical="center"/>
    </xf>
    <xf numFmtId="0" fontId="15" fillId="0" borderId="0" xfId="0" applyFont="1" applyBorder="1" applyAlignment="1"/>
    <xf numFmtId="0" fontId="17" fillId="0" borderId="0" xfId="0" applyNumberFormat="1" applyFont="1" applyAlignment="1">
      <alignment horizontal="center"/>
    </xf>
    <xf numFmtId="0" fontId="14" fillId="0" borderId="26" xfId="0" applyNumberFormat="1" applyFont="1" applyBorder="1" applyAlignment="1"/>
    <xf numFmtId="164" fontId="14" fillId="0" borderId="14" xfId="0" applyNumberFormat="1" applyFont="1" applyBorder="1" applyAlignment="1">
      <alignment horizontal="right"/>
    </xf>
    <xf numFmtId="0" fontId="15" fillId="0" borderId="0" xfId="0" applyFont="1" applyBorder="1" applyAlignment="1">
      <alignment horizontal="right"/>
    </xf>
    <xf numFmtId="169" fontId="15" fillId="0" borderId="0" xfId="4" applyNumberFormat="1" applyFont="1" applyAlignment="1"/>
    <xf numFmtId="169" fontId="15" fillId="0" borderId="0" xfId="4" applyNumberFormat="1" applyFont="1" applyBorder="1" applyAlignment="1"/>
    <xf numFmtId="9" fontId="15" fillId="0" borderId="0" xfId="0" applyNumberFormat="1" applyFont="1" applyAlignment="1"/>
    <xf numFmtId="0" fontId="17" fillId="0" borderId="0" xfId="0" applyNumberFormat="1" applyFont="1" applyAlignment="1">
      <alignment horizontal="right"/>
    </xf>
    <xf numFmtId="167" fontId="15" fillId="0" borderId="0" xfId="1" applyNumberFormat="1" applyFont="1" applyAlignment="1"/>
    <xf numFmtId="164" fontId="15" fillId="0" borderId="0" xfId="0" applyNumberFormat="1" applyFont="1" applyAlignment="1"/>
    <xf numFmtId="0" fontId="19" fillId="6" borderId="15" xfId="0" applyNumberFormat="1" applyFont="1" applyFill="1" applyBorder="1" applyAlignment="1">
      <alignment horizontal="center"/>
    </xf>
    <xf numFmtId="0" fontId="19" fillId="6" borderId="17" xfId="0" applyNumberFormat="1" applyFont="1" applyFill="1" applyBorder="1" applyAlignment="1">
      <alignment horizontal="center"/>
    </xf>
    <xf numFmtId="166" fontId="15" fillId="0" borderId="0" xfId="0" applyNumberFormat="1" applyFont="1" applyAlignment="1"/>
    <xf numFmtId="0" fontId="20" fillId="0" borderId="0" xfId="0" applyNumberFormat="1" applyFont="1" applyAlignment="1"/>
    <xf numFmtId="0" fontId="1" fillId="0" borderId="0" xfId="0" applyFont="1" applyAlignment="1"/>
    <xf numFmtId="0" fontId="13" fillId="5" borderId="19" xfId="0" applyFont="1" applyFill="1" applyBorder="1" applyAlignment="1">
      <alignment horizontal="center" vertical="center" wrapText="1"/>
    </xf>
    <xf numFmtId="0" fontId="13" fillId="5" borderId="21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vertical="top"/>
    </xf>
    <xf numFmtId="0" fontId="1" fillId="0" borderId="0" xfId="0" applyFont="1" applyFill="1" applyAlignment="1"/>
    <xf numFmtId="164" fontId="14" fillId="0" borderId="29" xfId="0" applyNumberFormat="1" applyFont="1" applyBorder="1" applyAlignment="1">
      <alignment horizontal="right"/>
    </xf>
    <xf numFmtId="0" fontId="18" fillId="0" borderId="30" xfId="0" applyNumberFormat="1" applyFont="1" applyBorder="1" applyAlignment="1"/>
    <xf numFmtId="164" fontId="18" fillId="0" borderId="31" xfId="0" applyNumberFormat="1" applyFont="1" applyBorder="1" applyAlignment="1">
      <alignment horizontal="right"/>
    </xf>
    <xf numFmtId="164" fontId="18" fillId="0" borderId="29" xfId="0" applyNumberFormat="1" applyFont="1" applyBorder="1" applyAlignment="1">
      <alignment horizontal="right"/>
    </xf>
    <xf numFmtId="0" fontId="14" fillId="0" borderId="30" xfId="0" applyNumberFormat="1" applyFont="1" applyBorder="1" applyAlignment="1"/>
    <xf numFmtId="164" fontId="14" fillId="0" borderId="31" xfId="0" applyNumberFormat="1" applyFont="1" applyBorder="1" applyAlignment="1">
      <alignment horizontal="right"/>
    </xf>
    <xf numFmtId="164" fontId="14" fillId="0" borderId="32" xfId="0" applyNumberFormat="1" applyFont="1" applyBorder="1" applyAlignment="1">
      <alignment horizontal="right"/>
    </xf>
    <xf numFmtId="0" fontId="15" fillId="0" borderId="38" xfId="0" applyNumberFormat="1" applyFont="1" applyBorder="1" applyAlignment="1"/>
    <xf numFmtId="168" fontId="15" fillId="0" borderId="29" xfId="2" applyNumberFormat="1" applyFont="1" applyBorder="1" applyAlignment="1"/>
    <xf numFmtId="168" fontId="15" fillId="7" borderId="29" xfId="2" applyNumberFormat="1" applyFont="1" applyFill="1" applyBorder="1" applyAlignment="1"/>
    <xf numFmtId="0" fontId="20" fillId="0" borderId="38" xfId="0" applyNumberFormat="1" applyFont="1" applyBorder="1" applyAlignment="1"/>
    <xf numFmtId="168" fontId="20" fillId="0" borderId="29" xfId="2" applyNumberFormat="1" applyFont="1" applyBorder="1" applyAlignment="1"/>
    <xf numFmtId="0" fontId="20" fillId="0" borderId="39" xfId="0" applyNumberFormat="1" applyFont="1" applyBorder="1" applyAlignment="1"/>
    <xf numFmtId="168" fontId="20" fillId="0" borderId="40" xfId="2" applyNumberFormat="1" applyFont="1" applyBorder="1" applyAlignment="1"/>
    <xf numFmtId="42" fontId="11" fillId="0" borderId="41" xfId="2" applyNumberFormat="1" applyFont="1" applyFill="1" applyBorder="1" applyAlignment="1">
      <alignment vertical="center"/>
    </xf>
    <xf numFmtId="168" fontId="6" fillId="0" borderId="43" xfId="2" applyNumberFormat="1" applyFont="1" applyFill="1" applyBorder="1" applyAlignment="1">
      <alignment vertical="center"/>
    </xf>
    <xf numFmtId="168" fontId="6" fillId="0" borderId="44" xfId="2" applyNumberFormat="1" applyFont="1" applyFill="1" applyBorder="1" applyAlignment="1">
      <alignment vertical="center"/>
    </xf>
    <xf numFmtId="0" fontId="8" fillId="0" borderId="50" xfId="0" applyFont="1" applyBorder="1" applyAlignment="1">
      <alignment vertical="top"/>
    </xf>
    <xf numFmtId="164" fontId="6" fillId="4" borderId="44" xfId="0" applyNumberFormat="1" applyFont="1" applyFill="1" applyBorder="1" applyAlignment="1">
      <alignment vertical="center"/>
    </xf>
    <xf numFmtId="164" fontId="6" fillId="4" borderId="52" xfId="0" applyNumberFormat="1" applyFont="1" applyFill="1" applyBorder="1" applyAlignment="1">
      <alignment vertical="center"/>
    </xf>
    <xf numFmtId="168" fontId="6" fillId="0" borderId="31" xfId="2" applyNumberFormat="1" applyFont="1" applyFill="1" applyBorder="1" applyAlignment="1"/>
    <xf numFmtId="9" fontId="6" fillId="0" borderId="42" xfId="0" applyNumberFormat="1" applyFont="1" applyFill="1" applyBorder="1" applyAlignment="1">
      <alignment vertical="center"/>
    </xf>
    <xf numFmtId="168" fontId="6" fillId="0" borderId="31" xfId="2" applyNumberFormat="1" applyFont="1" applyFill="1" applyBorder="1" applyAlignment="1">
      <alignment vertical="center"/>
    </xf>
    <xf numFmtId="168" fontId="6" fillId="0" borderId="48" xfId="2" applyNumberFormat="1" applyFont="1" applyFill="1" applyBorder="1" applyAlignment="1">
      <alignment vertical="center"/>
    </xf>
    <xf numFmtId="168" fontId="6" fillId="0" borderId="49" xfId="2" applyNumberFormat="1" applyFont="1" applyFill="1" applyBorder="1" applyAlignment="1">
      <alignment vertical="center"/>
    </xf>
    <xf numFmtId="0" fontId="5" fillId="2" borderId="30" xfId="0" applyNumberFormat="1" applyFont="1" applyFill="1" applyBorder="1" applyAlignment="1">
      <alignment horizontal="center"/>
    </xf>
    <xf numFmtId="0" fontId="5" fillId="2" borderId="31" xfId="0" applyNumberFormat="1" applyFont="1" applyFill="1" applyBorder="1" applyAlignment="1"/>
    <xf numFmtId="0" fontId="5" fillId="2" borderId="31" xfId="0" applyNumberFormat="1" applyFont="1" applyFill="1" applyBorder="1" applyAlignment="1">
      <alignment horizontal="right"/>
    </xf>
    <xf numFmtId="0" fontId="5" fillId="2" borderId="31" xfId="0" applyNumberFormat="1" applyFont="1" applyFill="1" applyBorder="1" applyAlignment="1">
      <alignment horizontal="center" wrapText="1"/>
    </xf>
    <xf numFmtId="0" fontId="5" fillId="2" borderId="42" xfId="0" applyNumberFormat="1" applyFont="1" applyFill="1" applyBorder="1" applyAlignment="1">
      <alignment horizontal="center" wrapText="1"/>
    </xf>
    <xf numFmtId="1" fontId="4" fillId="0" borderId="30" xfId="0" applyNumberFormat="1" applyFont="1" applyBorder="1" applyAlignment="1">
      <alignment horizontal="center"/>
    </xf>
    <xf numFmtId="44" fontId="4" fillId="0" borderId="31" xfId="2" applyFont="1" applyBorder="1" applyAlignment="1"/>
    <xf numFmtId="44" fontId="4" fillId="0" borderId="31" xfId="2" applyFont="1" applyBorder="1" applyAlignment="1">
      <alignment horizontal="center"/>
    </xf>
    <xf numFmtId="168" fontId="4" fillId="0" borderId="42" xfId="2" applyNumberFormat="1" applyFont="1" applyBorder="1" applyAlignment="1"/>
    <xf numFmtId="0" fontId="9" fillId="0" borderId="30" xfId="0" applyNumberFormat="1" applyFont="1" applyBorder="1" applyAlignment="1"/>
    <xf numFmtId="0" fontId="4" fillId="0" borderId="30" xfId="0" applyNumberFormat="1" applyFont="1" applyBorder="1" applyAlignment="1"/>
    <xf numFmtId="167" fontId="4" fillId="0" borderId="31" xfId="1" applyNumberFormat="1" applyFont="1" applyBorder="1" applyAlignment="1">
      <alignment horizontal="center"/>
    </xf>
    <xf numFmtId="168" fontId="4" fillId="0" borderId="42" xfId="1" applyNumberFormat="1" applyFont="1" applyBorder="1" applyAlignment="1">
      <alignment horizontal="center"/>
    </xf>
    <xf numFmtId="167" fontId="4" fillId="0" borderId="31" xfId="1" applyNumberFormat="1" applyFont="1" applyFill="1" applyBorder="1" applyAlignment="1">
      <alignment horizontal="center"/>
    </xf>
    <xf numFmtId="168" fontId="4" fillId="0" borderId="42" xfId="1" applyNumberFormat="1" applyFont="1" applyFill="1" applyBorder="1" applyAlignment="1">
      <alignment horizontal="center"/>
    </xf>
    <xf numFmtId="0" fontId="5" fillId="3" borderId="30" xfId="0" applyNumberFormat="1" applyFont="1" applyFill="1" applyBorder="1" applyAlignment="1"/>
    <xf numFmtId="167" fontId="5" fillId="3" borderId="31" xfId="1" applyNumberFormat="1" applyFont="1" applyFill="1" applyBorder="1" applyAlignment="1">
      <alignment horizontal="center"/>
    </xf>
    <xf numFmtId="168" fontId="5" fillId="3" borderId="42" xfId="2" applyNumberFormat="1" applyFont="1" applyFill="1" applyBorder="1" applyAlignment="1">
      <alignment horizontal="center"/>
    </xf>
    <xf numFmtId="167" fontId="4" fillId="0" borderId="31" xfId="2" applyNumberFormat="1" applyFont="1" applyBorder="1" applyAlignment="1">
      <alignment horizontal="center"/>
    </xf>
    <xf numFmtId="168" fontId="4" fillId="0" borderId="42" xfId="2" applyNumberFormat="1" applyFont="1" applyBorder="1" applyAlignment="1">
      <alignment horizontal="center"/>
    </xf>
    <xf numFmtId="168" fontId="4" fillId="0" borderId="55" xfId="1" applyNumberFormat="1" applyFont="1" applyFill="1" applyBorder="1" applyAlignment="1">
      <alignment horizontal="center"/>
    </xf>
    <xf numFmtId="0" fontId="5" fillId="3" borderId="56" xfId="0" applyNumberFormat="1" applyFont="1" applyFill="1" applyBorder="1" applyAlignment="1"/>
    <xf numFmtId="167" fontId="5" fillId="3" borderId="57" xfId="1" applyNumberFormat="1" applyFont="1" applyFill="1" applyBorder="1" applyAlignment="1">
      <alignment horizontal="center"/>
    </xf>
    <xf numFmtId="168" fontId="5" fillId="3" borderId="58" xfId="2" applyNumberFormat="1" applyFont="1" applyFill="1" applyBorder="1" applyAlignment="1">
      <alignment horizontal="center"/>
    </xf>
    <xf numFmtId="168" fontId="6" fillId="0" borderId="46" xfId="2" applyNumberFormat="1" applyFont="1" applyFill="1" applyBorder="1" applyAlignment="1">
      <alignment vertical="center"/>
    </xf>
    <xf numFmtId="43" fontId="4" fillId="0" borderId="31" xfId="1" applyFont="1" applyFill="1" applyBorder="1" applyAlignment="1">
      <alignment horizontal="center"/>
    </xf>
    <xf numFmtId="44" fontId="6" fillId="4" borderId="11" xfId="0" applyNumberFormat="1" applyFont="1" applyFill="1" applyBorder="1" applyAlignment="1">
      <alignment vertical="center"/>
    </xf>
    <xf numFmtId="44" fontId="6" fillId="4" borderId="44" xfId="0" applyNumberFormat="1" applyFont="1" applyFill="1" applyBorder="1" applyAlignment="1">
      <alignment vertical="center"/>
    </xf>
    <xf numFmtId="168" fontId="25" fillId="0" borderId="44" xfId="2" applyNumberFormat="1" applyFont="1" applyFill="1" applyBorder="1" applyAlignment="1">
      <alignment vertical="center"/>
    </xf>
    <xf numFmtId="164" fontId="6" fillId="0" borderId="4" xfId="0" applyNumberFormat="1" applyFont="1" applyFill="1" applyBorder="1" applyAlignment="1">
      <alignment vertical="center"/>
    </xf>
    <xf numFmtId="44" fontId="6" fillId="0" borderId="44" xfId="2" applyFont="1" applyFill="1" applyBorder="1" applyAlignment="1">
      <alignment vertical="center"/>
    </xf>
    <xf numFmtId="44" fontId="6" fillId="0" borderId="16" xfId="0" applyNumberFormat="1" applyFont="1" applyFill="1" applyBorder="1" applyAlignment="1">
      <alignment vertical="center"/>
    </xf>
    <xf numFmtId="44" fontId="6" fillId="0" borderId="44" xfId="0" applyNumberFormat="1" applyFont="1" applyFill="1" applyBorder="1" applyAlignment="1">
      <alignment vertical="center"/>
    </xf>
    <xf numFmtId="168" fontId="8" fillId="0" borderId="53" xfId="2" applyNumberFormat="1" applyFont="1" applyFill="1" applyBorder="1" applyAlignment="1">
      <alignment vertical="center"/>
    </xf>
    <xf numFmtId="168" fontId="6" fillId="0" borderId="14" xfId="2" applyNumberFormat="1" applyFont="1" applyFill="1" applyBorder="1" applyAlignment="1">
      <alignment vertical="top"/>
    </xf>
    <xf numFmtId="0" fontId="8" fillId="0" borderId="25" xfId="0" applyFont="1" applyBorder="1" applyAlignment="1">
      <alignment horizontal="center" vertical="top"/>
    </xf>
    <xf numFmtId="168" fontId="6" fillId="0" borderId="59" xfId="2" applyNumberFormat="1" applyFont="1" applyFill="1" applyBorder="1" applyAlignment="1">
      <alignment vertical="center"/>
    </xf>
    <xf numFmtId="0" fontId="8" fillId="0" borderId="0" xfId="0" applyFont="1" applyBorder="1" applyAlignment="1">
      <alignment horizontal="center" vertical="top"/>
    </xf>
    <xf numFmtId="168" fontId="6" fillId="0" borderId="13" xfId="2" applyNumberFormat="1" applyFont="1" applyFill="1" applyBorder="1" applyAlignment="1">
      <alignment vertical="center"/>
    </xf>
    <xf numFmtId="168" fontId="6" fillId="0" borderId="41" xfId="2" applyNumberFormat="1" applyFont="1" applyFill="1" applyBorder="1" applyAlignment="1">
      <alignment vertical="center"/>
    </xf>
    <xf numFmtId="167" fontId="5" fillId="0" borderId="10" xfId="1" applyNumberFormat="1" applyFont="1" applyFill="1" applyBorder="1" applyAlignment="1">
      <alignment horizontal="center"/>
    </xf>
    <xf numFmtId="168" fontId="8" fillId="0" borderId="6" xfId="2" applyNumberFormat="1" applyFont="1" applyFill="1" applyBorder="1" applyAlignment="1">
      <alignment vertical="center"/>
    </xf>
    <xf numFmtId="168" fontId="11" fillId="0" borderId="41" xfId="2" applyNumberFormat="1" applyFont="1" applyFill="1" applyBorder="1" applyAlignment="1">
      <alignment vertical="center"/>
    </xf>
    <xf numFmtId="168" fontId="6" fillId="0" borderId="3" xfId="0" applyNumberFormat="1" applyFont="1" applyFill="1" applyBorder="1" applyAlignment="1">
      <alignment vertical="center"/>
    </xf>
    <xf numFmtId="168" fontId="6" fillId="0" borderId="41" xfId="0" applyNumberFormat="1" applyFont="1" applyFill="1" applyBorder="1" applyAlignment="1">
      <alignment vertical="center"/>
    </xf>
    <xf numFmtId="167" fontId="4" fillId="0" borderId="32" xfId="1" applyNumberFormat="1" applyFont="1" applyBorder="1" applyAlignment="1">
      <alignment horizontal="center"/>
    </xf>
    <xf numFmtId="167" fontId="4" fillId="0" borderId="62" xfId="1" applyNumberFormat="1" applyFont="1" applyFill="1" applyBorder="1" applyAlignment="1">
      <alignment horizontal="center"/>
    </xf>
    <xf numFmtId="167" fontId="4" fillId="0" borderId="41" xfId="1" applyNumberFormat="1" applyFont="1" applyBorder="1" applyAlignment="1">
      <alignment horizontal="center"/>
    </xf>
    <xf numFmtId="167" fontId="4" fillId="0" borderId="41" xfId="1" applyNumberFormat="1" applyFont="1" applyFill="1" applyBorder="1" applyAlignment="1">
      <alignment horizontal="center"/>
    </xf>
    <xf numFmtId="44" fontId="4" fillId="0" borderId="34" xfId="2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 vertical="top"/>
    </xf>
    <xf numFmtId="44" fontId="6" fillId="0" borderId="52" xfId="2" applyFont="1" applyFill="1" applyBorder="1" applyAlignment="1">
      <alignment vertical="center"/>
    </xf>
    <xf numFmtId="1" fontId="12" fillId="0" borderId="18" xfId="0" applyNumberFormat="1" applyFont="1" applyFill="1" applyBorder="1" applyAlignment="1">
      <alignment vertical="center"/>
    </xf>
    <xf numFmtId="168" fontId="8" fillId="0" borderId="47" xfId="2" applyNumberFormat="1" applyFont="1" applyFill="1" applyBorder="1" applyAlignment="1">
      <alignment vertical="center"/>
    </xf>
    <xf numFmtId="164" fontId="6" fillId="0" borderId="31" xfId="0" applyNumberFormat="1" applyFont="1" applyFill="1" applyBorder="1" applyAlignment="1">
      <alignment vertical="center"/>
    </xf>
    <xf numFmtId="0" fontId="13" fillId="6" borderId="20" xfId="0" applyFont="1" applyFill="1" applyBorder="1" applyAlignment="1">
      <alignment horizontal="center" vertical="center" wrapText="1"/>
    </xf>
    <xf numFmtId="0" fontId="15" fillId="0" borderId="0" xfId="0" quotePrefix="1" applyNumberFormat="1" applyFont="1" applyAlignment="1"/>
    <xf numFmtId="44" fontId="4" fillId="0" borderId="31" xfId="2" applyFont="1" applyFill="1" applyBorder="1" applyAlignment="1">
      <alignment horizontal="center"/>
    </xf>
    <xf numFmtId="43" fontId="1" fillId="0" borderId="59" xfId="0" applyNumberFormat="1" applyFont="1" applyFill="1" applyBorder="1" applyAlignment="1"/>
    <xf numFmtId="164" fontId="6" fillId="0" borderId="3" xfId="0" applyNumberFormat="1" applyFont="1" applyFill="1" applyBorder="1" applyAlignment="1">
      <alignment vertical="center"/>
    </xf>
    <xf numFmtId="168" fontId="6" fillId="0" borderId="34" xfId="2" applyNumberFormat="1" applyFont="1" applyFill="1" applyBorder="1" applyAlignment="1">
      <alignment vertical="center"/>
    </xf>
    <xf numFmtId="9" fontId="21" fillId="0" borderId="45" xfId="0" applyNumberFormat="1" applyFont="1" applyFill="1" applyBorder="1" applyAlignment="1">
      <alignment vertical="center"/>
    </xf>
    <xf numFmtId="9" fontId="6" fillId="0" borderId="5" xfId="0" applyNumberFormat="1" applyFont="1" applyFill="1" applyBorder="1" applyAlignment="1">
      <alignment vertical="center"/>
    </xf>
    <xf numFmtId="9" fontId="6" fillId="0" borderId="55" xfId="0" applyNumberFormat="1" applyFont="1" applyFill="1" applyBorder="1" applyAlignment="1">
      <alignment vertical="center"/>
    </xf>
    <xf numFmtId="9" fontId="6" fillId="0" borderId="59" xfId="0" applyNumberFormat="1" applyFont="1" applyFill="1" applyBorder="1" applyAlignment="1">
      <alignment vertical="center"/>
    </xf>
    <xf numFmtId="9" fontId="6" fillId="0" borderId="61" xfId="0" applyNumberFormat="1" applyFont="1" applyFill="1" applyBorder="1" applyAlignment="1">
      <alignment vertical="center"/>
    </xf>
    <xf numFmtId="9" fontId="21" fillId="0" borderId="7" xfId="0" applyNumberFormat="1" applyFont="1" applyFill="1" applyBorder="1" applyAlignment="1">
      <alignment vertical="center"/>
    </xf>
    <xf numFmtId="164" fontId="6" fillId="0" borderId="12" xfId="0" applyNumberFormat="1" applyFont="1" applyFill="1" applyBorder="1" applyAlignment="1">
      <alignment vertical="center"/>
    </xf>
    <xf numFmtId="164" fontId="6" fillId="0" borderId="29" xfId="0" applyNumberFormat="1" applyFont="1" applyFill="1" applyBorder="1" applyAlignment="1">
      <alignment vertical="center"/>
    </xf>
    <xf numFmtId="164" fontId="6" fillId="0" borderId="36" xfId="0" applyNumberFormat="1" applyFont="1" applyFill="1" applyBorder="1" applyAlignment="1">
      <alignment vertical="center"/>
    </xf>
    <xf numFmtId="9" fontId="6" fillId="0" borderId="17" xfId="0" applyNumberFormat="1" applyFont="1" applyFill="1" applyBorder="1" applyAlignment="1">
      <alignment vertical="center"/>
    </xf>
    <xf numFmtId="9" fontId="6" fillId="0" borderId="29" xfId="0" applyNumberFormat="1" applyFont="1" applyFill="1" applyBorder="1" applyAlignment="1">
      <alignment vertical="center"/>
    </xf>
    <xf numFmtId="9" fontId="6" fillId="0" borderId="36" xfId="0" applyNumberFormat="1" applyFont="1" applyFill="1" applyBorder="1" applyAlignment="1">
      <alignment vertical="center"/>
    </xf>
    <xf numFmtId="9" fontId="21" fillId="0" borderId="40" xfId="0" applyNumberFormat="1" applyFont="1" applyFill="1" applyBorder="1" applyAlignment="1">
      <alignment vertical="center"/>
    </xf>
    <xf numFmtId="9" fontId="6" fillId="0" borderId="5" xfId="0" applyNumberFormat="1" applyFont="1" applyFill="1" applyBorder="1" applyAlignment="1"/>
    <xf numFmtId="9" fontId="21" fillId="0" borderId="7" xfId="0" applyNumberFormat="1" applyFont="1" applyFill="1" applyBorder="1" applyAlignment="1"/>
    <xf numFmtId="9" fontId="21" fillId="0" borderId="2" xfId="0" applyNumberFormat="1" applyFont="1" applyFill="1" applyBorder="1" applyAlignment="1"/>
    <xf numFmtId="0" fontId="8" fillId="0" borderId="51" xfId="0" applyFont="1" applyFill="1" applyBorder="1" applyAlignment="1">
      <alignment vertical="top"/>
    </xf>
    <xf numFmtId="44" fontId="8" fillId="0" borderId="53" xfId="2" applyFont="1" applyFill="1" applyBorder="1" applyAlignment="1">
      <alignment vertical="center"/>
    </xf>
    <xf numFmtId="44" fontId="8" fillId="0" borderId="54" xfId="2" applyFont="1" applyFill="1" applyBorder="1" applyAlignment="1"/>
    <xf numFmtId="0" fontId="6" fillId="0" borderId="42" xfId="0" applyNumberFormat="1" applyFont="1" applyFill="1" applyBorder="1" applyAlignment="1">
      <alignment vertical="center"/>
    </xf>
    <xf numFmtId="164" fontId="18" fillId="0" borderId="32" xfId="0" applyNumberFormat="1" applyFont="1" applyBorder="1" applyAlignment="1">
      <alignment horizontal="right"/>
    </xf>
    <xf numFmtId="168" fontId="8" fillId="0" borderId="63" xfId="0" applyNumberFormat="1" applyFont="1" applyFill="1" applyBorder="1" applyAlignment="1">
      <alignment vertical="center"/>
    </xf>
    <xf numFmtId="168" fontId="6" fillId="0" borderId="64" xfId="2" applyNumberFormat="1" applyFont="1" applyFill="1" applyBorder="1" applyAlignment="1">
      <alignment vertical="center"/>
    </xf>
    <xf numFmtId="168" fontId="6" fillId="0" borderId="65" xfId="2" applyNumberFormat="1" applyFont="1" applyFill="1" applyBorder="1" applyAlignment="1">
      <alignment vertical="center"/>
    </xf>
    <xf numFmtId="168" fontId="6" fillId="0" borderId="67" xfId="2" applyNumberFormat="1" applyFont="1" applyFill="1" applyBorder="1" applyAlignment="1">
      <alignment vertical="center"/>
    </xf>
    <xf numFmtId="168" fontId="6" fillId="0" borderId="68" xfId="0" applyNumberFormat="1" applyFont="1" applyFill="1" applyBorder="1" applyAlignment="1">
      <alignment vertical="center"/>
    </xf>
    <xf numFmtId="168" fontId="6" fillId="0" borderId="65" xfId="0" applyNumberFormat="1" applyFont="1" applyFill="1" applyBorder="1" applyAlignment="1">
      <alignment vertical="center"/>
    </xf>
    <xf numFmtId="168" fontId="6" fillId="0" borderId="66" xfId="2" applyNumberFormat="1" applyFont="1" applyFill="1" applyBorder="1" applyAlignment="1">
      <alignment vertical="center"/>
    </xf>
    <xf numFmtId="168" fontId="6" fillId="0" borderId="69" xfId="0" applyNumberFormat="1" applyFont="1" applyFill="1" applyBorder="1" applyAlignment="1">
      <alignment vertical="center"/>
    </xf>
    <xf numFmtId="168" fontId="6" fillId="0" borderId="70" xfId="0" applyNumberFormat="1" applyFont="1" applyFill="1" applyBorder="1" applyAlignment="1">
      <alignment vertical="center"/>
    </xf>
    <xf numFmtId="168" fontId="8" fillId="0" borderId="71" xfId="2" applyNumberFormat="1" applyFont="1" applyFill="1" applyBorder="1" applyAlignment="1">
      <alignment vertical="center"/>
    </xf>
    <xf numFmtId="168" fontId="6" fillId="0" borderId="13" xfId="2" applyNumberFormat="1" applyFont="1" applyFill="1" applyBorder="1" applyAlignment="1">
      <alignment vertical="top"/>
    </xf>
    <xf numFmtId="168" fontId="6" fillId="0" borderId="41" xfId="2" applyNumberFormat="1" applyFont="1" applyFill="1" applyBorder="1" applyAlignment="1"/>
    <xf numFmtId="168" fontId="8" fillId="0" borderId="47" xfId="2" applyNumberFormat="1" applyFont="1" applyFill="1" applyBorder="1" applyAlignment="1"/>
    <xf numFmtId="0" fontId="13" fillId="5" borderId="72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vertical="top"/>
    </xf>
    <xf numFmtId="165" fontId="6" fillId="0" borderId="50" xfId="0" applyNumberFormat="1" applyFont="1" applyFill="1" applyBorder="1" applyAlignment="1">
      <alignment horizontal="left" vertical="top"/>
    </xf>
    <xf numFmtId="0" fontId="11" fillId="0" borderId="50" xfId="0" applyFont="1" applyFill="1" applyBorder="1" applyAlignment="1">
      <alignment vertical="top"/>
    </xf>
    <xf numFmtId="0" fontId="6" fillId="0" borderId="50" xfId="0" applyFont="1" applyFill="1" applyBorder="1">
      <alignment vertical="top" wrapText="1"/>
    </xf>
    <xf numFmtId="0" fontId="6" fillId="0" borderId="50" xfId="0" applyFont="1" applyFill="1" applyBorder="1" applyAlignment="1">
      <alignment vertical="top"/>
    </xf>
    <xf numFmtId="0" fontId="10" fillId="0" borderId="50" xfId="0" applyFont="1" applyFill="1" applyBorder="1" applyAlignment="1">
      <alignment vertical="top"/>
    </xf>
    <xf numFmtId="0" fontId="8" fillId="0" borderId="73" xfId="0" applyFont="1" applyFill="1" applyBorder="1" applyAlignment="1">
      <alignment vertical="top"/>
    </xf>
    <xf numFmtId="3" fontId="6" fillId="0" borderId="3" xfId="0" applyNumberFormat="1" applyFont="1" applyFill="1" applyBorder="1" applyAlignment="1">
      <alignment vertical="center"/>
    </xf>
    <xf numFmtId="3" fontId="6" fillId="0" borderId="4" xfId="0" applyNumberFormat="1" applyFont="1" applyFill="1" applyBorder="1" applyAlignment="1">
      <alignment vertical="center"/>
    </xf>
    <xf numFmtId="1" fontId="7" fillId="0" borderId="5" xfId="0" applyNumberFormat="1" applyFont="1" applyFill="1" applyBorder="1" applyAlignment="1">
      <alignment vertical="center"/>
    </xf>
    <xf numFmtId="0" fontId="24" fillId="0" borderId="50" xfId="0" applyFont="1" applyFill="1" applyBorder="1">
      <alignment vertical="top" wrapText="1"/>
    </xf>
    <xf numFmtId="0" fontId="3" fillId="0" borderId="50" xfId="0" applyFont="1" applyFill="1" applyBorder="1">
      <alignment vertical="top" wrapText="1"/>
    </xf>
    <xf numFmtId="164" fontId="6" fillId="0" borderId="41" xfId="0" applyNumberFormat="1" applyFont="1" applyFill="1" applyBorder="1" applyAlignment="1">
      <alignment vertical="center"/>
    </xf>
    <xf numFmtId="168" fontId="6" fillId="0" borderId="60" xfId="2" applyNumberFormat="1" applyFont="1" applyFill="1" applyBorder="1" applyAlignment="1">
      <alignment vertical="center"/>
    </xf>
    <xf numFmtId="0" fontId="27" fillId="0" borderId="74" xfId="0" applyFont="1" applyFill="1" applyBorder="1" applyAlignment="1">
      <alignment vertical="top"/>
    </xf>
    <xf numFmtId="0" fontId="27" fillId="0" borderId="74" xfId="0" applyFont="1" applyFill="1" applyBorder="1">
      <alignment vertical="top" wrapText="1"/>
    </xf>
    <xf numFmtId="168" fontId="6" fillId="0" borderId="61" xfId="2" applyNumberFormat="1" applyFont="1" applyFill="1" applyBorder="1" applyAlignment="1">
      <alignment vertical="center"/>
    </xf>
    <xf numFmtId="164" fontId="6" fillId="0" borderId="44" xfId="0" applyNumberFormat="1" applyFont="1" applyFill="1" applyBorder="1" applyAlignment="1">
      <alignment vertical="center"/>
    </xf>
    <xf numFmtId="168" fontId="6" fillId="0" borderId="52" xfId="2" applyNumberFormat="1" applyFont="1" applyFill="1" applyBorder="1" applyAlignment="1">
      <alignment vertical="center"/>
    </xf>
    <xf numFmtId="0" fontId="6" fillId="0" borderId="75" xfId="0" applyFont="1" applyFill="1" applyBorder="1" applyAlignment="1">
      <alignment vertical="top"/>
    </xf>
    <xf numFmtId="168" fontId="8" fillId="0" borderId="54" xfId="2" applyNumberFormat="1" applyFont="1" applyFill="1" applyBorder="1" applyAlignment="1"/>
    <xf numFmtId="0" fontId="8" fillId="0" borderId="76" xfId="0" applyFont="1" applyFill="1" applyBorder="1" applyAlignment="1">
      <alignment vertical="top"/>
    </xf>
    <xf numFmtId="170" fontId="1" fillId="0" borderId="0" xfId="0" applyNumberFormat="1" applyFont="1" applyAlignment="1"/>
    <xf numFmtId="0" fontId="3" fillId="0" borderId="77" xfId="0" applyNumberFormat="1" applyFont="1" applyFill="1" applyBorder="1">
      <alignment vertical="top" wrapText="1"/>
    </xf>
    <xf numFmtId="0" fontId="3" fillId="0" borderId="77" xfId="0" applyNumberFormat="1" applyFont="1" applyFill="1" applyBorder="1" applyAlignment="1">
      <alignment horizontal="left" vertical="top" wrapText="1"/>
    </xf>
    <xf numFmtId="165" fontId="6" fillId="0" borderId="77" xfId="0" applyNumberFormat="1" applyFont="1" applyFill="1" applyBorder="1" applyAlignment="1">
      <alignment horizontal="left" vertical="top"/>
    </xf>
    <xf numFmtId="0" fontId="6" fillId="0" borderId="77" xfId="0" applyNumberFormat="1" applyFont="1" applyFill="1" applyBorder="1" applyAlignment="1">
      <alignment horizontal="left" vertical="center"/>
    </xf>
    <xf numFmtId="0" fontId="6" fillId="0" borderId="77" xfId="0" applyNumberFormat="1" applyFont="1" applyFill="1" applyBorder="1" applyAlignment="1">
      <alignment horizontal="left" vertical="top"/>
    </xf>
    <xf numFmtId="0" fontId="6" fillId="0" borderId="77" xfId="0" applyNumberFormat="1" applyFont="1" applyFill="1" applyBorder="1" applyAlignment="1">
      <alignment horizontal="left" vertical="top" wrapText="1"/>
    </xf>
    <xf numFmtId="0" fontId="6" fillId="0" borderId="77" xfId="0" applyNumberFormat="1" applyFont="1" applyFill="1" applyBorder="1" applyAlignment="1">
      <alignment vertical="top"/>
    </xf>
    <xf numFmtId="0" fontId="6" fillId="0" borderId="78" xfId="0" applyNumberFormat="1" applyFont="1" applyFill="1" applyBorder="1" applyAlignment="1">
      <alignment horizontal="left" vertical="center"/>
    </xf>
    <xf numFmtId="0" fontId="6" fillId="0" borderId="78" xfId="0" applyNumberFormat="1" applyFont="1" applyFill="1" applyBorder="1" applyAlignment="1">
      <alignment horizontal="left" vertical="top"/>
    </xf>
    <xf numFmtId="165" fontId="6" fillId="0" borderId="77" xfId="0" applyNumberFormat="1" applyFont="1" applyFill="1" applyBorder="1" applyAlignment="1">
      <alignment horizontal="left" vertical="center"/>
    </xf>
    <xf numFmtId="0" fontId="27" fillId="0" borderId="75" xfId="0" applyFont="1" applyFill="1" applyBorder="1" applyAlignment="1">
      <alignment vertical="top"/>
    </xf>
    <xf numFmtId="168" fontId="6" fillId="0" borderId="79" xfId="2" applyNumberFormat="1" applyFont="1" applyFill="1" applyBorder="1" applyAlignment="1">
      <alignment vertical="center"/>
    </xf>
    <xf numFmtId="168" fontId="6" fillId="0" borderId="80" xfId="2" applyNumberFormat="1" applyFont="1" applyFill="1" applyBorder="1" applyAlignment="1">
      <alignment vertical="center"/>
    </xf>
    <xf numFmtId="0" fontId="26" fillId="0" borderId="81" xfId="0" applyFont="1" applyFill="1" applyBorder="1" applyAlignment="1">
      <alignment vertical="top"/>
    </xf>
    <xf numFmtId="0" fontId="8" fillId="0" borderId="0" xfId="0" applyFont="1" applyAlignment="1">
      <alignment horizontal="center" vertical="top"/>
    </xf>
    <xf numFmtId="0" fontId="22" fillId="0" borderId="0" xfId="0" applyFont="1" applyAlignment="1">
      <alignment horizontal="center" vertical="top"/>
    </xf>
    <xf numFmtId="0" fontId="23" fillId="0" borderId="0" xfId="0" applyFont="1" applyAlignment="1">
      <alignment horizontal="center" vertical="top"/>
    </xf>
    <xf numFmtId="0" fontId="8" fillId="0" borderId="25" xfId="0" applyFont="1" applyBorder="1" applyAlignment="1">
      <alignment horizontal="center" vertical="top"/>
    </xf>
    <xf numFmtId="0" fontId="14" fillId="0" borderId="0" xfId="0" applyNumberFormat="1" applyFont="1" applyAlignment="1">
      <alignment horizontal="center"/>
    </xf>
    <xf numFmtId="0" fontId="14" fillId="0" borderId="25" xfId="0" applyNumberFormat="1" applyFont="1" applyFill="1" applyBorder="1" applyAlignment="1">
      <alignment horizontal="center"/>
    </xf>
    <xf numFmtId="0" fontId="28" fillId="0" borderId="33" xfId="0" applyNumberFormat="1" applyFont="1" applyBorder="1" applyAlignment="1">
      <alignment horizontal="left" vertical="top" wrapText="1"/>
    </xf>
    <xf numFmtId="1" fontId="28" fillId="0" borderId="37" xfId="0" applyNumberFormat="1" applyFont="1" applyBorder="1" applyAlignment="1">
      <alignment horizontal="left" vertical="top"/>
    </xf>
    <xf numFmtId="164" fontId="18" fillId="0" borderId="34" xfId="0" applyNumberFormat="1" applyFont="1" applyBorder="1" applyAlignment="1">
      <alignment horizontal="right"/>
    </xf>
    <xf numFmtId="164" fontId="18" fillId="0" borderId="10" xfId="0" applyNumberFormat="1" applyFont="1" applyBorder="1" applyAlignment="1">
      <alignment horizontal="right"/>
    </xf>
    <xf numFmtId="164" fontId="18" fillId="0" borderId="35" xfId="0" applyNumberFormat="1" applyFont="1" applyBorder="1" applyAlignment="1">
      <alignment horizontal="right"/>
    </xf>
    <xf numFmtId="164" fontId="18" fillId="0" borderId="27" xfId="0" applyNumberFormat="1" applyFont="1" applyBorder="1" applyAlignment="1">
      <alignment horizontal="right"/>
    </xf>
    <xf numFmtId="164" fontId="18" fillId="0" borderId="36" xfId="0" applyNumberFormat="1" applyFont="1" applyBorder="1" applyAlignment="1">
      <alignment horizontal="right"/>
    </xf>
    <xf numFmtId="164" fontId="18" fillId="0" borderId="28" xfId="0" applyNumberFormat="1" applyFont="1" applyBorder="1" applyAlignment="1">
      <alignment horizontal="right"/>
    </xf>
    <xf numFmtId="0" fontId="5" fillId="5" borderId="22" xfId="0" applyNumberFormat="1" applyFont="1" applyFill="1" applyBorder="1" applyAlignment="1">
      <alignment horizontal="center"/>
    </xf>
    <xf numFmtId="1" fontId="5" fillId="5" borderId="23" xfId="0" applyNumberFormat="1" applyFont="1" applyFill="1" applyBorder="1" applyAlignment="1">
      <alignment horizontal="center"/>
    </xf>
    <xf numFmtId="1" fontId="5" fillId="5" borderId="24" xfId="0" applyNumberFormat="1" applyFont="1" applyFill="1" applyBorder="1" applyAlignment="1">
      <alignment horizontal="center"/>
    </xf>
  </cellXfs>
  <cellStyles count="5">
    <cellStyle name="Comma" xfId="1" builtinId="3"/>
    <cellStyle name="Currency" xfId="2" builtinId="4"/>
    <cellStyle name="Normal" xfId="0" builtinId="0"/>
    <cellStyle name="Normal 2" xfId="3" xr:uid="{00000000-0005-0000-0000-000003000000}"/>
    <cellStyle name="Percent" xfId="4" builtinId="5"/>
  </cellStyles>
  <dxfs count="0"/>
  <tableStyles count="0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AAAAA"/>
      <rgbColor rgb="00D6D4CA"/>
      <rgbColor rgb="00B8CCE4"/>
      <rgbColor rgb="007F7F7F"/>
      <rgbColor rgb="00FF00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showGridLines="0" zoomScale="85" zoomScaleNormal="85" workbookViewId="0">
      <selection activeCell="D22" sqref="D22"/>
    </sheetView>
  </sheetViews>
  <sheetFormatPr defaultColWidth="6.59765625" defaultRowHeight="15" customHeight="1" x14ac:dyDescent="0.45"/>
  <cols>
    <col min="1" max="1" width="24" style="14" customWidth="1"/>
    <col min="2" max="2" width="10.3984375" style="14" customWidth="1"/>
    <col min="3" max="3" width="10.19921875" style="14" customWidth="1"/>
    <col min="4" max="4" width="12.3984375" style="14" customWidth="1"/>
    <col min="5" max="6" width="6.59765625" style="14"/>
    <col min="7" max="7" width="8.4765625" style="14" bestFit="1" customWidth="1"/>
    <col min="8" max="16384" width="6.59765625" style="14"/>
  </cols>
  <sheetData>
    <row r="1" spans="1:8" ht="15" customHeight="1" x14ac:dyDescent="0.45">
      <c r="A1" s="201" t="s">
        <v>0</v>
      </c>
      <c r="B1" s="201"/>
      <c r="C1" s="201"/>
      <c r="D1" s="201"/>
    </row>
    <row r="2" spans="1:8" ht="15" customHeight="1" x14ac:dyDescent="0.45">
      <c r="A2" s="201" t="s">
        <v>1</v>
      </c>
      <c r="B2" s="201"/>
      <c r="C2" s="201"/>
      <c r="D2" s="201"/>
    </row>
    <row r="3" spans="1:8" ht="14.1" thickBot="1" x14ac:dyDescent="0.5">
      <c r="A3" s="202" t="s">
        <v>2</v>
      </c>
      <c r="B3" s="202"/>
      <c r="C3" s="202"/>
      <c r="D3" s="202"/>
    </row>
    <row r="4" spans="1:8" ht="36.9" x14ac:dyDescent="0.45">
      <c r="A4" s="15" t="s">
        <v>3</v>
      </c>
      <c r="B4" s="16" t="s">
        <v>4</v>
      </c>
      <c r="C4" s="16" t="s">
        <v>5</v>
      </c>
      <c r="D4" s="17" t="s">
        <v>6</v>
      </c>
      <c r="E4" s="18"/>
      <c r="F4" s="19"/>
      <c r="G4" s="19"/>
      <c r="H4" s="120"/>
    </row>
    <row r="5" spans="1:8" ht="13.8" x14ac:dyDescent="0.45">
      <c r="A5" s="20" t="s">
        <v>7</v>
      </c>
      <c r="B5" s="21">
        <f>B17+B20+B22</f>
        <v>164155</v>
      </c>
      <c r="C5" s="21">
        <f>'FY24 Budget Details'!G32+'FY24 Budget Details'!G43+'FY24 Budget Details'!G63</f>
        <v>115912.8</v>
      </c>
      <c r="D5" s="39">
        <f t="shared" ref="D5:D10" si="0">B5+C5</f>
        <v>280067.8</v>
      </c>
      <c r="E5" s="22"/>
      <c r="F5" s="23"/>
      <c r="G5" s="23"/>
    </row>
    <row r="6" spans="1:8" ht="13.8" x14ac:dyDescent="0.45">
      <c r="A6" s="40" t="s">
        <v>8</v>
      </c>
      <c r="B6" s="41">
        <f>B5/30</f>
        <v>5471.833333333333</v>
      </c>
      <c r="C6" s="145">
        <f>C5/30</f>
        <v>3863.76</v>
      </c>
      <c r="D6" s="42">
        <f t="shared" si="0"/>
        <v>9335.5933333333342</v>
      </c>
      <c r="G6" s="23"/>
      <c r="H6" s="120"/>
    </row>
    <row r="7" spans="1:8" ht="13.8" x14ac:dyDescent="0.45">
      <c r="A7" s="43" t="s">
        <v>9</v>
      </c>
      <c r="B7" s="44">
        <f>B15+B16+B24</f>
        <v>184599.93056801599</v>
      </c>
      <c r="C7" s="44">
        <f>'FY24 Budget Details'!G13+'FY24 Budget Details'!G17+'FY24 Budget Details'!G67</f>
        <v>11913.599999999999</v>
      </c>
      <c r="D7" s="39">
        <f t="shared" si="0"/>
        <v>196513.53056801599</v>
      </c>
      <c r="E7" s="22"/>
      <c r="F7" s="24"/>
      <c r="G7" s="23"/>
    </row>
    <row r="8" spans="1:8" ht="13.8" x14ac:dyDescent="0.45">
      <c r="A8" s="40" t="s">
        <v>10</v>
      </c>
      <c r="B8" s="41">
        <f>B7/30</f>
        <v>6153.3310189338663</v>
      </c>
      <c r="C8" s="145">
        <f>C7/30</f>
        <v>397.11999999999995</v>
      </c>
      <c r="D8" s="42">
        <f t="shared" si="0"/>
        <v>6550.4510189338662</v>
      </c>
      <c r="E8" s="18"/>
      <c r="F8" s="25"/>
      <c r="G8" s="25"/>
    </row>
    <row r="9" spans="1:8" ht="13.8" x14ac:dyDescent="0.45">
      <c r="A9" s="43" t="s">
        <v>11</v>
      </c>
      <c r="B9" s="44">
        <f>B5+B7</f>
        <v>348754.93056801602</v>
      </c>
      <c r="C9" s="45">
        <f>C5+C7</f>
        <v>127826.4</v>
      </c>
      <c r="D9" s="39">
        <f t="shared" si="0"/>
        <v>476581.33056801604</v>
      </c>
      <c r="E9" s="18"/>
    </row>
    <row r="10" spans="1:8" ht="13.8" x14ac:dyDescent="0.45">
      <c r="A10" s="203" t="s">
        <v>12</v>
      </c>
      <c r="B10" s="205">
        <f>B6+B8</f>
        <v>11625.164352267198</v>
      </c>
      <c r="C10" s="207">
        <f>C6+C8</f>
        <v>4260.88</v>
      </c>
      <c r="D10" s="209">
        <f t="shared" si="0"/>
        <v>15886.044352267199</v>
      </c>
      <c r="E10" s="18"/>
    </row>
    <row r="11" spans="1:8" ht="13.8" x14ac:dyDescent="0.45">
      <c r="A11" s="204"/>
      <c r="B11" s="206"/>
      <c r="C11" s="208"/>
      <c r="D11" s="210"/>
      <c r="E11" s="18"/>
    </row>
    <row r="12" spans="1:8" ht="13.8" x14ac:dyDescent="0.45">
      <c r="A12" s="26"/>
      <c r="B12" s="27"/>
      <c r="C12" s="27"/>
      <c r="D12" s="27"/>
      <c r="E12" s="18"/>
    </row>
    <row r="13" spans="1:8" ht="14.1" thickBot="1" x14ac:dyDescent="0.5">
      <c r="B13" s="28"/>
      <c r="C13" s="28"/>
      <c r="D13" s="28"/>
      <c r="E13" s="18"/>
    </row>
    <row r="14" spans="1:8" ht="13.8" x14ac:dyDescent="0.45">
      <c r="A14" s="29" t="s">
        <v>13</v>
      </c>
      <c r="B14" s="30" t="s">
        <v>14</v>
      </c>
    </row>
    <row r="15" spans="1:8" ht="13.8" x14ac:dyDescent="0.45">
      <c r="A15" s="46" t="s">
        <v>15</v>
      </c>
      <c r="B15" s="47">
        <f>+'FY24 Budget Details'!F13</f>
        <v>85254.8</v>
      </c>
      <c r="C15" s="31"/>
    </row>
    <row r="16" spans="1:8" ht="13.8" x14ac:dyDescent="0.45">
      <c r="A16" s="46" t="s">
        <v>16</v>
      </c>
      <c r="B16" s="47">
        <f>+'FY24 Budget Details'!F17</f>
        <v>22460.273719999997</v>
      </c>
    </row>
    <row r="17" spans="1:2" ht="13.8" x14ac:dyDescent="0.45">
      <c r="A17" s="46" t="s">
        <v>17</v>
      </c>
      <c r="B17" s="47">
        <f>+'FY24 Budget Details'!F32</f>
        <v>25749</v>
      </c>
    </row>
    <row r="18" spans="1:2" ht="13.8" x14ac:dyDescent="0.45">
      <c r="A18" s="46" t="s">
        <v>18</v>
      </c>
      <c r="B18" s="48">
        <f>'FY24 Budget Details'!F33</f>
        <v>0</v>
      </c>
    </row>
    <row r="19" spans="1:2" ht="13.8" x14ac:dyDescent="0.45">
      <c r="A19" s="46" t="s">
        <v>19</v>
      </c>
      <c r="B19" s="48">
        <f>'FY24 Budget Details'!F34</f>
        <v>0</v>
      </c>
    </row>
    <row r="20" spans="1:2" ht="13.8" x14ac:dyDescent="0.45">
      <c r="A20" s="46" t="s">
        <v>20</v>
      </c>
      <c r="B20" s="47">
        <f>'FY24 Budget Details'!F43</f>
        <v>128000</v>
      </c>
    </row>
    <row r="21" spans="1:2" ht="13.8" x14ac:dyDescent="0.45">
      <c r="A21" s="46" t="s">
        <v>21</v>
      </c>
      <c r="B21" s="48">
        <f>'FY24 Budget Details'!F35</f>
        <v>0</v>
      </c>
    </row>
    <row r="22" spans="1:2" ht="13.8" x14ac:dyDescent="0.45">
      <c r="A22" s="46" t="s">
        <v>22</v>
      </c>
      <c r="B22" s="47">
        <f>'FY24 Budget Details'!F63</f>
        <v>10406</v>
      </c>
    </row>
    <row r="23" spans="1:2" s="32" customFormat="1" ht="14.1" x14ac:dyDescent="0.5">
      <c r="A23" s="49" t="s">
        <v>23</v>
      </c>
      <c r="B23" s="50">
        <f>SUM(B15:B22)</f>
        <v>271870.07371999999</v>
      </c>
    </row>
    <row r="24" spans="1:2" ht="13.8" x14ac:dyDescent="0.45">
      <c r="A24" s="46" t="s">
        <v>24</v>
      </c>
      <c r="B24" s="47">
        <f>'FY24 Budget Details'!F67</f>
        <v>76884.856848015988</v>
      </c>
    </row>
    <row r="25" spans="1:2" s="32" customFormat="1" ht="14.1" x14ac:dyDescent="0.5">
      <c r="A25" s="49" t="s">
        <v>25</v>
      </c>
      <c r="B25" s="50">
        <f>B24+B23</f>
        <v>348754.93056801596</v>
      </c>
    </row>
    <row r="26" spans="1:2" s="32" customFormat="1" ht="14.4" thickBot="1" x14ac:dyDescent="0.55000000000000004">
      <c r="A26" s="51" t="s">
        <v>26</v>
      </c>
      <c r="B26" s="52">
        <f>'FY24 Budget Details'!G68</f>
        <v>127826.4</v>
      </c>
    </row>
    <row r="27" spans="1:2" ht="14.4" x14ac:dyDescent="0.55000000000000004">
      <c r="A27" s="2"/>
    </row>
    <row r="28" spans="1:2" ht="13.8" x14ac:dyDescent="0.45"/>
  </sheetData>
  <mergeCells count="7">
    <mergeCell ref="A1:D1"/>
    <mergeCell ref="A3:D3"/>
    <mergeCell ref="A10:A11"/>
    <mergeCell ref="B10:B11"/>
    <mergeCell ref="C10:C11"/>
    <mergeCell ref="D10:D11"/>
    <mergeCell ref="A2:D2"/>
  </mergeCells>
  <pageMargins left="0.75" right="0.75" top="1" bottom="1" header="0.5" footer="0.5"/>
  <pageSetup orientation="landscape" r:id="rId1"/>
  <headerFooter alignWithMargins="0">
    <oddFooter>&amp;L&amp;"Helvetica,Regular"&amp;12&amp;K000000	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68C4D-6CA3-4770-B5B5-A9206C10F1D7}">
  <sheetPr>
    <pageSetUpPr fitToPage="1"/>
  </sheetPr>
  <dimension ref="A1:L69"/>
  <sheetViews>
    <sheetView showGridLines="0" tabSelected="1" topLeftCell="A8" zoomScale="70" zoomScaleNormal="70" workbookViewId="0">
      <selection activeCell="C5" sqref="C1:L1048576"/>
    </sheetView>
  </sheetViews>
  <sheetFormatPr defaultColWidth="6.59765625" defaultRowHeight="15" customHeight="1" x14ac:dyDescent="0.55000000000000004"/>
  <cols>
    <col min="1" max="1" width="13.23828125" style="33" customWidth="1"/>
    <col min="2" max="2" width="15.796875" style="33" customWidth="1"/>
    <col min="3" max="3" width="39.4765625" style="33" customWidth="1"/>
    <col min="4" max="4" width="12.4765625" style="33" customWidth="1"/>
    <col min="5" max="5" width="11.796875" style="33" customWidth="1"/>
    <col min="6" max="6" width="11.6796875" style="33" bestFit="1" customWidth="1"/>
    <col min="7" max="7" width="12.4765625" style="33" customWidth="1"/>
    <col min="8" max="8" width="10.59765625" style="33" customWidth="1"/>
    <col min="9" max="9" width="11.3984375" style="33" customWidth="1"/>
    <col min="10" max="10" width="6.59765625" style="33" customWidth="1"/>
    <col min="11" max="11" width="6.59765625" style="33"/>
    <col min="12" max="12" width="18.4765625" style="33" bestFit="1" customWidth="1"/>
    <col min="13" max="16384" width="6.59765625" style="33"/>
  </cols>
  <sheetData>
    <row r="1" spans="1:12" ht="17.100000000000001" customHeight="1" x14ac:dyDescent="0.55000000000000004">
      <c r="C1" s="197" t="s">
        <v>27</v>
      </c>
      <c r="D1" s="197"/>
      <c r="E1" s="197"/>
      <c r="F1" s="197"/>
      <c r="G1" s="197"/>
      <c r="H1" s="197"/>
      <c r="I1" s="197"/>
    </row>
    <row r="2" spans="1:12" ht="17.100000000000001" customHeight="1" x14ac:dyDescent="0.55000000000000004">
      <c r="C2" s="197" t="s">
        <v>28</v>
      </c>
      <c r="D2" s="197"/>
      <c r="E2" s="197"/>
      <c r="F2" s="197"/>
      <c r="G2" s="197"/>
      <c r="H2" s="197"/>
      <c r="I2" s="197"/>
    </row>
    <row r="3" spans="1:12" ht="17.100000000000001" customHeight="1" x14ac:dyDescent="0.55000000000000004">
      <c r="C3" s="198" t="s">
        <v>2</v>
      </c>
      <c r="D3" s="199"/>
      <c r="E3" s="199"/>
      <c r="F3" s="199"/>
      <c r="G3" s="199"/>
      <c r="H3" s="199"/>
      <c r="I3" s="199"/>
    </row>
    <row r="4" spans="1:12" ht="17.100000000000001" customHeight="1" thickBot="1" x14ac:dyDescent="0.6">
      <c r="C4" s="200" t="s">
        <v>29</v>
      </c>
      <c r="D4" s="200"/>
      <c r="E4" s="200"/>
      <c r="F4" s="200"/>
      <c r="G4" s="200"/>
      <c r="H4" s="200"/>
      <c r="I4" s="200"/>
    </row>
    <row r="5" spans="1:12" ht="17.100000000000001" customHeight="1" thickBot="1" x14ac:dyDescent="0.6">
      <c r="A5" s="101"/>
      <c r="B5" s="101"/>
      <c r="C5" s="101"/>
      <c r="D5" s="114"/>
      <c r="E5" s="114"/>
      <c r="F5" s="101"/>
      <c r="G5" s="101"/>
      <c r="H5" s="101"/>
      <c r="I5" s="99"/>
    </row>
    <row r="6" spans="1:12" ht="48" customHeight="1" thickBot="1" x14ac:dyDescent="0.6">
      <c r="A6" s="159"/>
      <c r="B6" s="159"/>
      <c r="C6" s="159" t="s">
        <v>30</v>
      </c>
      <c r="D6" s="34" t="s">
        <v>31</v>
      </c>
      <c r="E6" s="119" t="s">
        <v>32</v>
      </c>
      <c r="F6" s="119" t="s">
        <v>33</v>
      </c>
      <c r="G6" s="35" t="s">
        <v>34</v>
      </c>
      <c r="H6" s="35" t="s">
        <v>35</v>
      </c>
      <c r="I6" s="36" t="s">
        <v>36</v>
      </c>
    </row>
    <row r="7" spans="1:12" ht="14.4" x14ac:dyDescent="0.55000000000000004">
      <c r="A7" s="166"/>
      <c r="B7" s="166"/>
      <c r="C7" s="166" t="s">
        <v>37</v>
      </c>
      <c r="D7" s="146"/>
      <c r="E7" s="116"/>
      <c r="F7" s="167"/>
      <c r="G7" s="168"/>
      <c r="H7" s="168"/>
      <c r="I7" s="169"/>
    </row>
    <row r="8" spans="1:12" ht="24.6" x14ac:dyDescent="0.55000000000000004">
      <c r="A8" s="183" t="s">
        <v>111</v>
      </c>
      <c r="B8" s="184" t="s">
        <v>112</v>
      </c>
      <c r="C8" s="170" t="s">
        <v>38</v>
      </c>
      <c r="D8" s="106">
        <v>0</v>
      </c>
      <c r="E8" s="53">
        <v>0</v>
      </c>
      <c r="F8" s="53">
        <f>(11000*5%*5)+(11000*5%*1.05*12)</f>
        <v>9680</v>
      </c>
      <c r="G8" s="61">
        <v>0</v>
      </c>
      <c r="H8" s="61">
        <f>+F8+G8</f>
        <v>9680</v>
      </c>
      <c r="I8" s="144"/>
    </row>
    <row r="9" spans="1:12" ht="24.6" x14ac:dyDescent="0.55000000000000004">
      <c r="A9" s="183" t="s">
        <v>111</v>
      </c>
      <c r="B9" s="184" t="s">
        <v>112</v>
      </c>
      <c r="C9" s="170" t="s">
        <v>39</v>
      </c>
      <c r="D9" s="106">
        <v>12362</v>
      </c>
      <c r="E9" s="53">
        <f>((6400*0.1*12)+(11000*0.05*8))</f>
        <v>12080</v>
      </c>
      <c r="F9" s="53">
        <f>(6400*10%*0)+(6400*10%*1.05*12)</f>
        <v>8064</v>
      </c>
      <c r="G9" s="61">
        <v>0</v>
      </c>
      <c r="H9" s="61">
        <f t="shared" ref="H9:H68" si="0">+F9+G9</f>
        <v>8064</v>
      </c>
      <c r="I9" s="60"/>
      <c r="L9" s="182"/>
    </row>
    <row r="10" spans="1:12" ht="24.6" x14ac:dyDescent="0.55000000000000004">
      <c r="A10" s="183" t="s">
        <v>111</v>
      </c>
      <c r="B10" s="184" t="s">
        <v>112</v>
      </c>
      <c r="C10" s="170" t="s">
        <v>40</v>
      </c>
      <c r="D10" s="54">
        <v>35747</v>
      </c>
      <c r="E10" s="54">
        <f>5177*12</f>
        <v>62124</v>
      </c>
      <c r="F10" s="54">
        <f>(5358*20%*0)+(5358*50%*0)+(5358*1.05*12)</f>
        <v>67510.8</v>
      </c>
      <c r="G10" s="61">
        <v>0</v>
      </c>
      <c r="H10" s="61">
        <f t="shared" si="0"/>
        <v>67510.8</v>
      </c>
      <c r="I10" s="60"/>
    </row>
    <row r="11" spans="1:12" ht="24.6" hidden="1" x14ac:dyDescent="0.55000000000000004">
      <c r="A11" s="183"/>
      <c r="B11" s="184"/>
      <c r="C11" s="170" t="s">
        <v>41</v>
      </c>
      <c r="D11" s="54">
        <v>40084</v>
      </c>
      <c r="E11" s="54">
        <f>(4500*20%*7)</f>
        <v>6300</v>
      </c>
      <c r="F11" s="54">
        <v>0</v>
      </c>
      <c r="G11" s="61">
        <v>0</v>
      </c>
      <c r="H11" s="61">
        <f t="shared" si="0"/>
        <v>0</v>
      </c>
      <c r="I11" s="60"/>
      <c r="L11" s="182"/>
    </row>
    <row r="12" spans="1:12" ht="14.4" x14ac:dyDescent="0.55000000000000004">
      <c r="A12" s="171"/>
      <c r="B12" s="171"/>
      <c r="C12" s="171" t="s">
        <v>42</v>
      </c>
      <c r="D12" s="106">
        <v>0</v>
      </c>
      <c r="E12" s="55">
        <v>0</v>
      </c>
      <c r="F12" s="53">
        <v>0</v>
      </c>
      <c r="G12" s="55">
        <f>(21.9*8)*1*68</f>
        <v>11913.599999999999</v>
      </c>
      <c r="H12" s="61">
        <f t="shared" si="0"/>
        <v>11913.599999999999</v>
      </c>
      <c r="I12" s="60"/>
    </row>
    <row r="13" spans="1:12" ht="14.7" thickBot="1" x14ac:dyDescent="0.6">
      <c r="A13" s="141"/>
      <c r="B13" s="141"/>
      <c r="C13" s="141" t="s">
        <v>43</v>
      </c>
      <c r="D13" s="5">
        <f>SUM(D8:D12)</f>
        <v>88193</v>
      </c>
      <c r="E13" s="5">
        <f>SUM(E8:E12)</f>
        <v>80504</v>
      </c>
      <c r="F13" s="5">
        <f>SUM(F8:F12)</f>
        <v>85254.8</v>
      </c>
      <c r="G13" s="5">
        <f>SUM(G8:G12)</f>
        <v>11913.599999999999</v>
      </c>
      <c r="H13" s="5">
        <f t="shared" si="0"/>
        <v>97168.4</v>
      </c>
      <c r="I13" s="125">
        <f>+F13/D13</f>
        <v>0.96668443073713339</v>
      </c>
    </row>
    <row r="14" spans="1:12" ht="14.4" x14ac:dyDescent="0.55000000000000004">
      <c r="A14" s="160"/>
      <c r="B14" s="160"/>
      <c r="C14" s="160" t="s">
        <v>44</v>
      </c>
      <c r="D14" s="107"/>
      <c r="E14" s="93"/>
      <c r="F14" s="123"/>
      <c r="G14" s="93"/>
      <c r="H14" s="93">
        <f t="shared" si="0"/>
        <v>0</v>
      </c>
      <c r="I14" s="126"/>
    </row>
    <row r="15" spans="1:12" ht="14.4" x14ac:dyDescent="0.55000000000000004">
      <c r="A15" s="185" t="s">
        <v>113</v>
      </c>
      <c r="B15" s="184" t="s">
        <v>114</v>
      </c>
      <c r="C15" s="161" t="s">
        <v>45</v>
      </c>
      <c r="D15" s="103">
        <v>20699</v>
      </c>
      <c r="E15" s="61">
        <f>((E10+E11)*23.47%)+(E9*53.864%)</f>
        <v>22565.883999999998</v>
      </c>
      <c r="F15" s="88">
        <f>(F10+F11+F8)*23.47%</f>
        <v>18116.680759999999</v>
      </c>
      <c r="G15" s="61">
        <v>0</v>
      </c>
      <c r="H15" s="61">
        <f t="shared" si="0"/>
        <v>18116.680759999999</v>
      </c>
      <c r="I15" s="60"/>
    </row>
    <row r="16" spans="1:12" ht="14.4" x14ac:dyDescent="0.55000000000000004">
      <c r="A16" s="161" t="s">
        <v>115</v>
      </c>
      <c r="B16" s="184">
        <v>70015</v>
      </c>
      <c r="C16" s="161" t="s">
        <v>46</v>
      </c>
      <c r="D16" s="103">
        <v>0</v>
      </c>
      <c r="E16" s="61">
        <v>0</v>
      </c>
      <c r="F16" s="88">
        <f>F9*53.864%</f>
        <v>4343.5929599999999</v>
      </c>
      <c r="G16" s="61">
        <v>0</v>
      </c>
      <c r="H16" s="61">
        <f>+F16+G16</f>
        <v>4343.5929599999999</v>
      </c>
      <c r="I16" s="144"/>
    </row>
    <row r="17" spans="1:11" ht="14.7" thickBot="1" x14ac:dyDescent="0.6">
      <c r="A17" s="141"/>
      <c r="B17" s="141"/>
      <c r="C17" s="141" t="s">
        <v>47</v>
      </c>
      <c r="D17" s="117">
        <f>SUM(D15:D16)</f>
        <v>20699</v>
      </c>
      <c r="E17" s="117">
        <f t="shared" ref="E17:G17" si="1">SUM(E15:E16)</f>
        <v>22565.883999999998</v>
      </c>
      <c r="F17" s="117">
        <f>SUM(F15:F16)</f>
        <v>22460.273719999997</v>
      </c>
      <c r="G17" s="117">
        <f t="shared" si="1"/>
        <v>0</v>
      </c>
      <c r="H17" s="5">
        <f t="shared" si="0"/>
        <v>22460.273719999997</v>
      </c>
      <c r="I17" s="125">
        <f>+F17/D17</f>
        <v>1.085089797574762</v>
      </c>
    </row>
    <row r="18" spans="1:11" ht="14.4" x14ac:dyDescent="0.55000000000000004">
      <c r="A18" s="160"/>
      <c r="B18" s="160"/>
      <c r="C18" s="160" t="s">
        <v>48</v>
      </c>
      <c r="D18" s="107"/>
      <c r="E18" s="93"/>
      <c r="F18" s="123"/>
      <c r="G18" s="93"/>
      <c r="H18" s="93">
        <f t="shared" si="0"/>
        <v>0</v>
      </c>
      <c r="I18" s="126"/>
    </row>
    <row r="19" spans="1:11" ht="14.4" x14ac:dyDescent="0.55000000000000004">
      <c r="A19" s="165"/>
      <c r="B19" s="165"/>
      <c r="C19" s="165" t="s">
        <v>49</v>
      </c>
      <c r="D19" s="108"/>
      <c r="E19" s="118"/>
      <c r="F19" s="172"/>
      <c r="G19" s="118"/>
      <c r="H19" s="118">
        <f t="shared" si="0"/>
        <v>0</v>
      </c>
      <c r="I19" s="60"/>
    </row>
    <row r="20" spans="1:11" ht="14.4" x14ac:dyDescent="0.55000000000000004">
      <c r="A20" s="186" t="s">
        <v>116</v>
      </c>
      <c r="B20" s="187">
        <v>86040</v>
      </c>
      <c r="C20" s="162" t="s">
        <v>50</v>
      </c>
      <c r="D20" s="103">
        <v>600</v>
      </c>
      <c r="E20" s="61">
        <f>400*3</f>
        <v>1200</v>
      </c>
      <c r="F20" s="88">
        <f>400*2</f>
        <v>800</v>
      </c>
      <c r="G20" s="61">
        <v>0</v>
      </c>
      <c r="H20" s="61">
        <f t="shared" si="0"/>
        <v>800</v>
      </c>
      <c r="I20" s="60"/>
    </row>
    <row r="21" spans="1:11" ht="36.9" x14ac:dyDescent="0.55000000000000004">
      <c r="A21" s="186" t="s">
        <v>117</v>
      </c>
      <c r="B21" s="188" t="s">
        <v>118</v>
      </c>
      <c r="C21" s="163" t="s">
        <v>51</v>
      </c>
      <c r="D21" s="147">
        <v>900</v>
      </c>
      <c r="E21" s="61">
        <f>3100+720+(200*6)</f>
        <v>5020</v>
      </c>
      <c r="F21" s="62">
        <f>(258*12)+(71*13)+(200*4)+(71*5)</f>
        <v>5174</v>
      </c>
      <c r="G21" s="61">
        <v>0</v>
      </c>
      <c r="H21" s="61">
        <f t="shared" si="0"/>
        <v>5174</v>
      </c>
      <c r="I21" s="60"/>
    </row>
    <row r="22" spans="1:11" ht="14.4" x14ac:dyDescent="0.55000000000000004">
      <c r="A22" s="186" t="s">
        <v>116</v>
      </c>
      <c r="B22" s="187">
        <v>86040</v>
      </c>
      <c r="C22" s="164" t="s">
        <v>52</v>
      </c>
      <c r="D22" s="148">
        <v>1400</v>
      </c>
      <c r="E22" s="61">
        <v>1400</v>
      </c>
      <c r="F22" s="55">
        <f>1600</f>
        <v>1600</v>
      </c>
      <c r="G22" s="103">
        <v>0</v>
      </c>
      <c r="H22" s="61">
        <f t="shared" si="0"/>
        <v>1600</v>
      </c>
      <c r="I22" s="60"/>
    </row>
    <row r="23" spans="1:11" ht="24.6" x14ac:dyDescent="0.55000000000000004">
      <c r="A23" s="186" t="s">
        <v>117</v>
      </c>
      <c r="B23" s="188" t="s">
        <v>118</v>
      </c>
      <c r="C23" s="164" t="s">
        <v>53</v>
      </c>
      <c r="D23" s="148">
        <v>1575</v>
      </c>
      <c r="E23" s="61">
        <f>(170*7)+(50*7)</f>
        <v>1540</v>
      </c>
      <c r="F23" s="55">
        <f>(160+70)*14</f>
        <v>3220</v>
      </c>
      <c r="G23" s="103">
        <v>0</v>
      </c>
      <c r="H23" s="61">
        <f t="shared" si="0"/>
        <v>3220</v>
      </c>
      <c r="I23" s="60"/>
    </row>
    <row r="24" spans="1:11" ht="14.4" x14ac:dyDescent="0.55000000000000004">
      <c r="A24" s="165"/>
      <c r="B24" s="165"/>
      <c r="C24" s="165" t="s">
        <v>54</v>
      </c>
      <c r="D24" s="102"/>
      <c r="E24" s="61"/>
      <c r="F24" s="102"/>
      <c r="G24" s="61"/>
      <c r="H24" s="61">
        <f t="shared" si="0"/>
        <v>0</v>
      </c>
      <c r="I24" s="60"/>
    </row>
    <row r="25" spans="1:11" ht="14.4" x14ac:dyDescent="0.55000000000000004">
      <c r="A25" s="186" t="s">
        <v>119</v>
      </c>
      <c r="B25" s="187">
        <v>86040</v>
      </c>
      <c r="C25" s="164" t="s">
        <v>55</v>
      </c>
      <c r="D25" s="103">
        <v>60000</v>
      </c>
      <c r="E25" s="61">
        <f>(1650*30)+(400*10)+1000</f>
        <v>54500</v>
      </c>
      <c r="F25" s="103">
        <f>1650*6</f>
        <v>9900</v>
      </c>
      <c r="G25" s="61">
        <v>0</v>
      </c>
      <c r="H25" s="61">
        <f t="shared" si="0"/>
        <v>9900</v>
      </c>
      <c r="I25" s="60"/>
    </row>
    <row r="26" spans="1:11" ht="14.4" x14ac:dyDescent="0.55000000000000004">
      <c r="A26" s="186" t="s">
        <v>120</v>
      </c>
      <c r="B26" s="187">
        <v>86050</v>
      </c>
      <c r="C26" s="164" t="s">
        <v>56</v>
      </c>
      <c r="D26" s="147">
        <v>15000</v>
      </c>
      <c r="E26" s="61">
        <f>(50*10*30)+(281.82*11*10)</f>
        <v>46000.2</v>
      </c>
      <c r="F26" s="103">
        <f>50*10*6</f>
        <v>3000</v>
      </c>
      <c r="G26" s="63">
        <v>0</v>
      </c>
      <c r="H26" s="61">
        <f t="shared" si="0"/>
        <v>3000</v>
      </c>
      <c r="I26" s="60"/>
    </row>
    <row r="27" spans="1:11" ht="14.4" x14ac:dyDescent="0.55000000000000004">
      <c r="A27" s="186" t="s">
        <v>120</v>
      </c>
      <c r="B27" s="187">
        <v>86050</v>
      </c>
      <c r="C27" s="164" t="s">
        <v>57</v>
      </c>
      <c r="D27" s="147">
        <v>1800</v>
      </c>
      <c r="E27" s="61">
        <f>180*8</f>
        <v>1440</v>
      </c>
      <c r="F27" s="62">
        <f>185*3</f>
        <v>555</v>
      </c>
      <c r="G27" s="63">
        <v>0</v>
      </c>
      <c r="H27" s="61">
        <f t="shared" si="0"/>
        <v>555</v>
      </c>
      <c r="I27" s="60"/>
      <c r="K27" s="3"/>
    </row>
    <row r="28" spans="1:11" ht="24.6" x14ac:dyDescent="0.55000000000000004">
      <c r="A28" s="186" t="s">
        <v>126</v>
      </c>
      <c r="B28" s="188" t="s">
        <v>124</v>
      </c>
      <c r="C28" s="196" t="s">
        <v>58</v>
      </c>
      <c r="D28" s="147">
        <v>7500</v>
      </c>
      <c r="E28" s="62">
        <f>250*30</f>
        <v>7500</v>
      </c>
      <c r="F28" s="62">
        <f>6*250</f>
        <v>1500</v>
      </c>
      <c r="G28" s="63">
        <v>0</v>
      </c>
      <c r="H28" s="63">
        <f t="shared" si="0"/>
        <v>1500</v>
      </c>
      <c r="I28" s="127"/>
    </row>
    <row r="29" spans="1:11" ht="14.4" hidden="1" x14ac:dyDescent="0.55000000000000004">
      <c r="A29" s="186"/>
      <c r="B29" s="187"/>
      <c r="C29" s="193" t="s">
        <v>59</v>
      </c>
      <c r="D29" s="194">
        <v>0</v>
      </c>
      <c r="E29" s="195">
        <v>0</v>
      </c>
      <c r="F29" s="195">
        <v>0</v>
      </c>
      <c r="G29" s="195"/>
      <c r="H29" s="195">
        <f t="shared" si="0"/>
        <v>0</v>
      </c>
      <c r="I29" s="128"/>
    </row>
    <row r="30" spans="1:11" ht="36.9" hidden="1" x14ac:dyDescent="0.55000000000000004">
      <c r="A30" s="186"/>
      <c r="B30" s="187"/>
      <c r="C30" s="175" t="s">
        <v>60</v>
      </c>
      <c r="D30" s="149">
        <v>0</v>
      </c>
      <c r="E30" s="100">
        <v>0</v>
      </c>
      <c r="F30" s="176">
        <v>0</v>
      </c>
      <c r="G30" s="176"/>
      <c r="H30" s="176">
        <f t="shared" si="0"/>
        <v>0</v>
      </c>
      <c r="I30" s="129"/>
    </row>
    <row r="31" spans="1:11" ht="14.4" hidden="1" x14ac:dyDescent="0.55000000000000004">
      <c r="A31" s="174"/>
      <c r="B31" s="187"/>
      <c r="C31" s="174" t="s">
        <v>61</v>
      </c>
      <c r="D31" s="149">
        <v>0</v>
      </c>
      <c r="E31" s="100">
        <v>0</v>
      </c>
      <c r="F31" s="100">
        <v>0</v>
      </c>
      <c r="G31" s="100"/>
      <c r="H31" s="100">
        <f t="shared" si="0"/>
        <v>0</v>
      </c>
      <c r="I31" s="128"/>
    </row>
    <row r="32" spans="1:11" ht="14.7" thickBot="1" x14ac:dyDescent="0.6">
      <c r="A32" s="141"/>
      <c r="B32" s="141"/>
      <c r="C32" s="141" t="s">
        <v>62</v>
      </c>
      <c r="D32" s="5">
        <f>SUM(D20:D31)</f>
        <v>88775</v>
      </c>
      <c r="E32" s="105">
        <f>SUM(E20:E31)</f>
        <v>118600.2</v>
      </c>
      <c r="F32" s="105">
        <f>SUM(F20:F31)</f>
        <v>25749</v>
      </c>
      <c r="G32" s="105">
        <f>SUM(G20:G28)</f>
        <v>0</v>
      </c>
      <c r="H32" s="105">
        <f t="shared" si="0"/>
        <v>25749</v>
      </c>
      <c r="I32" s="130">
        <f>+F32/D32</f>
        <v>0.2900478738383554</v>
      </c>
    </row>
    <row r="33" spans="1:9" ht="14.4" x14ac:dyDescent="0.55000000000000004">
      <c r="A33" s="37"/>
      <c r="B33" s="37"/>
      <c r="C33" s="37" t="s">
        <v>63</v>
      </c>
      <c r="D33" s="150"/>
      <c r="E33" s="90"/>
      <c r="F33" s="8"/>
      <c r="G33" s="8"/>
      <c r="H33" s="8">
        <f t="shared" si="0"/>
        <v>0</v>
      </c>
      <c r="I33" s="131"/>
    </row>
    <row r="34" spans="1:9" ht="14.4" x14ac:dyDescent="0.55000000000000004">
      <c r="A34" s="56"/>
      <c r="B34" s="56"/>
      <c r="C34" s="56" t="s">
        <v>64</v>
      </c>
      <c r="D34" s="151"/>
      <c r="E34" s="91"/>
      <c r="F34" s="57"/>
      <c r="G34" s="57"/>
      <c r="H34" s="57">
        <f t="shared" si="0"/>
        <v>0</v>
      </c>
      <c r="I34" s="132"/>
    </row>
    <row r="35" spans="1:9" ht="14.4" x14ac:dyDescent="0.55000000000000004">
      <c r="A35" s="56"/>
      <c r="B35" s="56"/>
      <c r="C35" s="56" t="s">
        <v>65</v>
      </c>
      <c r="D35" s="151"/>
      <c r="E35" s="91"/>
      <c r="F35" s="57"/>
      <c r="G35" s="57"/>
      <c r="H35" s="57">
        <f t="shared" si="0"/>
        <v>0</v>
      </c>
      <c r="I35" s="132"/>
    </row>
    <row r="36" spans="1:9" ht="14.4" hidden="1" x14ac:dyDescent="0.55000000000000004">
      <c r="A36" s="189"/>
      <c r="B36" s="187"/>
      <c r="C36" s="164" t="s">
        <v>66</v>
      </c>
      <c r="D36" s="147">
        <f>16500*2</f>
        <v>33000</v>
      </c>
      <c r="E36" s="61">
        <v>33000</v>
      </c>
      <c r="F36" s="62">
        <v>0</v>
      </c>
      <c r="G36" s="63">
        <v>0</v>
      </c>
      <c r="H36" s="61">
        <f t="shared" si="0"/>
        <v>0</v>
      </c>
      <c r="I36" s="60"/>
    </row>
    <row r="37" spans="1:9" ht="14.4" hidden="1" x14ac:dyDescent="0.55000000000000004">
      <c r="A37" s="189"/>
      <c r="B37" s="187"/>
      <c r="C37" s="164" t="s">
        <v>67</v>
      </c>
      <c r="D37" s="147">
        <f>3000*3</f>
        <v>9000</v>
      </c>
      <c r="E37" s="61">
        <v>9000</v>
      </c>
      <c r="F37" s="62">
        <v>0</v>
      </c>
      <c r="G37" s="63">
        <v>0</v>
      </c>
      <c r="H37" s="61">
        <f t="shared" si="0"/>
        <v>0</v>
      </c>
      <c r="I37" s="60"/>
    </row>
    <row r="38" spans="1:9" ht="14.4" x14ac:dyDescent="0.55000000000000004">
      <c r="A38" s="189" t="s">
        <v>123</v>
      </c>
      <c r="B38" s="187">
        <v>89050</v>
      </c>
      <c r="C38" s="164" t="s">
        <v>68</v>
      </c>
      <c r="D38" s="152">
        <v>0</v>
      </c>
      <c r="E38" s="124">
        <v>0</v>
      </c>
      <c r="F38" s="173">
        <f>6*9000</f>
        <v>54000</v>
      </c>
      <c r="G38" s="124">
        <f>9000*5</f>
        <v>45000</v>
      </c>
      <c r="H38" s="124">
        <f t="shared" si="0"/>
        <v>99000</v>
      </c>
      <c r="I38" s="127"/>
    </row>
    <row r="39" spans="1:9" ht="14.4" x14ac:dyDescent="0.55000000000000004">
      <c r="A39" s="189" t="s">
        <v>122</v>
      </c>
      <c r="B39" s="187">
        <v>89050</v>
      </c>
      <c r="C39" s="164" t="s">
        <v>69</v>
      </c>
      <c r="D39" s="152">
        <v>0</v>
      </c>
      <c r="E39" s="124">
        <v>0</v>
      </c>
      <c r="F39" s="173">
        <f>4*12500</f>
        <v>50000</v>
      </c>
      <c r="G39" s="124">
        <f>9000*4</f>
        <v>36000</v>
      </c>
      <c r="H39" s="124">
        <f t="shared" ref="H39" si="2">+F39+G39</f>
        <v>86000</v>
      </c>
      <c r="I39" s="127"/>
    </row>
    <row r="40" spans="1:9" ht="14.4" hidden="1" x14ac:dyDescent="0.55000000000000004">
      <c r="A40" s="190"/>
      <c r="B40" s="187"/>
      <c r="C40" s="164" t="s">
        <v>70</v>
      </c>
      <c r="D40" s="148">
        <v>0</v>
      </c>
      <c r="E40" s="61">
        <v>0</v>
      </c>
      <c r="F40" s="55">
        <v>0</v>
      </c>
      <c r="G40" s="55">
        <v>0</v>
      </c>
      <c r="H40" s="61">
        <f t="shared" ref="H40" si="3">+F40+G40</f>
        <v>0</v>
      </c>
      <c r="I40" s="60"/>
    </row>
    <row r="41" spans="1:9" ht="14.4" x14ac:dyDescent="0.55000000000000004">
      <c r="A41" s="190" t="s">
        <v>121</v>
      </c>
      <c r="B41" s="187">
        <v>81000</v>
      </c>
      <c r="C41" s="164" t="s">
        <v>71</v>
      </c>
      <c r="D41" s="152">
        <v>0</v>
      </c>
      <c r="E41" s="124">
        <v>0</v>
      </c>
      <c r="F41" s="173">
        <f>300*60</f>
        <v>18000</v>
      </c>
      <c r="G41" s="124">
        <v>0</v>
      </c>
      <c r="H41" s="124">
        <f t="shared" si="0"/>
        <v>18000</v>
      </c>
      <c r="I41" s="127"/>
    </row>
    <row r="42" spans="1:9" ht="14.4" x14ac:dyDescent="0.55000000000000004">
      <c r="A42" s="190" t="s">
        <v>125</v>
      </c>
      <c r="B42" s="187">
        <v>81000</v>
      </c>
      <c r="C42" s="164" t="s">
        <v>72</v>
      </c>
      <c r="D42" s="148">
        <v>0</v>
      </c>
      <c r="E42" s="55">
        <v>0</v>
      </c>
      <c r="F42" s="55">
        <f>300*20</f>
        <v>6000</v>
      </c>
      <c r="G42" s="55">
        <v>0</v>
      </c>
      <c r="H42" s="61">
        <f t="shared" si="0"/>
        <v>6000</v>
      </c>
      <c r="I42" s="60"/>
    </row>
    <row r="43" spans="1:9" ht="14.7" thickBot="1" x14ac:dyDescent="0.6">
      <c r="A43" s="141"/>
      <c r="B43" s="141"/>
      <c r="C43" s="141" t="s">
        <v>73</v>
      </c>
      <c r="D43" s="5">
        <f>SUM(D36:D42)</f>
        <v>42000</v>
      </c>
      <c r="E43" s="105">
        <f>SUM(E36:E42)</f>
        <v>42000</v>
      </c>
      <c r="F43" s="105">
        <f>SUM(F36:F42)</f>
        <v>128000</v>
      </c>
      <c r="G43" s="105">
        <f>SUM(G36:G42)</f>
        <v>81000</v>
      </c>
      <c r="H43" s="5">
        <f>+F43+G43</f>
        <v>209000</v>
      </c>
      <c r="I43" s="130">
        <f>+F43/D43</f>
        <v>3.0476190476190474</v>
      </c>
    </row>
    <row r="44" spans="1:9" ht="14.7" thickBot="1" x14ac:dyDescent="0.6">
      <c r="A44" s="141"/>
      <c r="B44" s="141"/>
      <c r="C44" s="141" t="s">
        <v>74</v>
      </c>
      <c r="D44" s="153"/>
      <c r="E44" s="58"/>
      <c r="F44" s="58"/>
      <c r="G44" s="58"/>
      <c r="H44" s="58">
        <f t="shared" si="0"/>
        <v>0</v>
      </c>
      <c r="I44" s="133"/>
    </row>
    <row r="45" spans="1:9" ht="14.4" x14ac:dyDescent="0.55000000000000004">
      <c r="A45" s="160"/>
      <c r="B45" s="160"/>
      <c r="C45" s="160" t="s">
        <v>75</v>
      </c>
      <c r="D45" s="154"/>
      <c r="E45" s="95"/>
      <c r="F45" s="10"/>
      <c r="G45" s="10"/>
      <c r="H45" s="10">
        <f t="shared" si="0"/>
        <v>0</v>
      </c>
      <c r="I45" s="134"/>
    </row>
    <row r="46" spans="1:9" ht="14.4" hidden="1" x14ac:dyDescent="0.55000000000000004">
      <c r="A46" s="165"/>
      <c r="B46" s="165"/>
      <c r="C46" s="165" t="s">
        <v>76</v>
      </c>
      <c r="D46" s="151"/>
      <c r="E46" s="96"/>
      <c r="F46" s="177"/>
      <c r="G46" s="177"/>
      <c r="H46" s="177">
        <f t="shared" si="0"/>
        <v>0</v>
      </c>
      <c r="I46" s="135"/>
    </row>
    <row r="47" spans="1:9" ht="14.4" hidden="1" x14ac:dyDescent="0.55000000000000004">
      <c r="A47" s="164"/>
      <c r="B47" s="164"/>
      <c r="C47" s="164" t="s">
        <v>77</v>
      </c>
      <c r="D47" s="148">
        <v>27625</v>
      </c>
      <c r="E47" s="61">
        <v>13500</v>
      </c>
      <c r="F47" s="55">
        <v>0</v>
      </c>
      <c r="G47" s="55">
        <v>0</v>
      </c>
      <c r="H47" s="61">
        <f t="shared" si="0"/>
        <v>0</v>
      </c>
      <c r="I47" s="60"/>
    </row>
    <row r="48" spans="1:9" ht="14.4" hidden="1" x14ac:dyDescent="0.55000000000000004">
      <c r="A48" s="165"/>
      <c r="B48" s="165"/>
      <c r="C48" s="165" t="s">
        <v>78</v>
      </c>
      <c r="D48" s="148"/>
      <c r="E48" s="55"/>
      <c r="F48" s="55"/>
      <c r="G48" s="55"/>
      <c r="H48" s="55">
        <f t="shared" si="0"/>
        <v>0</v>
      </c>
      <c r="I48" s="135"/>
    </row>
    <row r="49" spans="1:9" ht="14.4" hidden="1" x14ac:dyDescent="0.55000000000000004">
      <c r="A49" s="164"/>
      <c r="B49" s="164"/>
      <c r="C49" s="164" t="s">
        <v>79</v>
      </c>
      <c r="D49" s="148">
        <v>3825</v>
      </c>
      <c r="E49" s="55">
        <v>4000</v>
      </c>
      <c r="F49" s="55">
        <v>0</v>
      </c>
      <c r="G49" s="55">
        <v>0</v>
      </c>
      <c r="H49" s="61">
        <f t="shared" si="0"/>
        <v>0</v>
      </c>
      <c r="I49" s="60"/>
    </row>
    <row r="50" spans="1:9" ht="14.4" hidden="1" x14ac:dyDescent="0.55000000000000004">
      <c r="A50" s="165"/>
      <c r="B50" s="165"/>
      <c r="C50" s="165" t="s">
        <v>80</v>
      </c>
      <c r="D50" s="148"/>
      <c r="E50" s="115"/>
      <c r="F50" s="178"/>
      <c r="G50" s="178"/>
      <c r="H50" s="178">
        <f t="shared" si="0"/>
        <v>0</v>
      </c>
      <c r="I50" s="136"/>
    </row>
    <row r="51" spans="1:9" ht="14.4" hidden="1" x14ac:dyDescent="0.55000000000000004">
      <c r="A51" s="164"/>
      <c r="B51" s="164"/>
      <c r="C51" s="164" t="s">
        <v>81</v>
      </c>
      <c r="D51" s="148">
        <v>5000</v>
      </c>
      <c r="E51" s="55">
        <f>1200+1000</f>
        <v>2200</v>
      </c>
      <c r="F51" s="55">
        <v>0</v>
      </c>
      <c r="G51" s="55">
        <v>0</v>
      </c>
      <c r="H51" s="61">
        <f t="shared" si="0"/>
        <v>0</v>
      </c>
      <c r="I51" s="60"/>
    </row>
    <row r="52" spans="1:9" ht="14.4" hidden="1" x14ac:dyDescent="0.55000000000000004">
      <c r="A52" s="164"/>
      <c r="B52" s="164"/>
      <c r="C52" s="164" t="s">
        <v>82</v>
      </c>
      <c r="D52" s="148">
        <v>0</v>
      </c>
      <c r="E52" s="55"/>
      <c r="F52" s="55">
        <v>0</v>
      </c>
      <c r="G52" s="55"/>
      <c r="H52" s="61">
        <f t="shared" si="0"/>
        <v>0</v>
      </c>
      <c r="I52" s="60"/>
    </row>
    <row r="53" spans="1:9" ht="14.4" hidden="1" x14ac:dyDescent="0.55000000000000004">
      <c r="A53" s="164"/>
      <c r="B53" s="164"/>
      <c r="C53" s="164" t="s">
        <v>83</v>
      </c>
      <c r="D53" s="148">
        <v>0</v>
      </c>
      <c r="E53" s="55"/>
      <c r="F53" s="55">
        <v>0</v>
      </c>
      <c r="G53" s="55"/>
      <c r="H53" s="61">
        <f t="shared" si="0"/>
        <v>0</v>
      </c>
      <c r="I53" s="60"/>
    </row>
    <row r="54" spans="1:9" ht="14.4" x14ac:dyDescent="0.55000000000000004">
      <c r="A54" s="165"/>
      <c r="B54" s="165"/>
      <c r="C54" s="165" t="s">
        <v>84</v>
      </c>
      <c r="D54" s="148"/>
      <c r="E54" s="94"/>
      <c r="F54" s="55"/>
      <c r="G54" s="55"/>
      <c r="H54" s="55">
        <f t="shared" si="0"/>
        <v>0</v>
      </c>
      <c r="I54" s="135"/>
    </row>
    <row r="55" spans="1:9" ht="14.4" x14ac:dyDescent="0.55000000000000004">
      <c r="A55" s="191" t="s">
        <v>128</v>
      </c>
      <c r="B55" s="188">
        <v>82030</v>
      </c>
      <c r="C55" s="164" t="s">
        <v>85</v>
      </c>
      <c r="D55" s="148">
        <v>882</v>
      </c>
      <c r="E55" s="55">
        <v>0</v>
      </c>
      <c r="F55" s="55">
        <v>7000</v>
      </c>
      <c r="G55" s="55">
        <v>0</v>
      </c>
      <c r="H55" s="61">
        <f t="shared" si="0"/>
        <v>7000</v>
      </c>
      <c r="I55" s="60"/>
    </row>
    <row r="56" spans="1:9" ht="49.2" x14ac:dyDescent="0.55000000000000004">
      <c r="A56" s="191" t="s">
        <v>127</v>
      </c>
      <c r="B56" s="187">
        <v>89400</v>
      </c>
      <c r="C56" s="163" t="s">
        <v>86</v>
      </c>
      <c r="D56" s="148">
        <v>1900</v>
      </c>
      <c r="E56" s="61">
        <v>510</v>
      </c>
      <c r="F56" s="55">
        <f>(50*25%*2)+(50*50%*3)+(50*100%*12)</f>
        <v>700</v>
      </c>
      <c r="G56" s="92"/>
      <c r="H56" s="61">
        <f t="shared" si="0"/>
        <v>700</v>
      </c>
      <c r="I56" s="60"/>
    </row>
    <row r="57" spans="1:9" ht="14.4" x14ac:dyDescent="0.55000000000000004">
      <c r="A57" s="191" t="s">
        <v>127</v>
      </c>
      <c r="B57" s="187">
        <v>89400</v>
      </c>
      <c r="C57" s="164" t="s">
        <v>87</v>
      </c>
      <c r="D57" s="148">
        <v>2280</v>
      </c>
      <c r="E57" s="61">
        <v>2000</v>
      </c>
      <c r="F57" s="55">
        <f>120*17</f>
        <v>2040</v>
      </c>
      <c r="G57" s="55">
        <v>0</v>
      </c>
      <c r="H57" s="61">
        <f t="shared" si="0"/>
        <v>2040</v>
      </c>
      <c r="I57" s="60"/>
    </row>
    <row r="58" spans="1:9" ht="14.4" x14ac:dyDescent="0.55000000000000004">
      <c r="A58" s="165"/>
      <c r="B58" s="187"/>
      <c r="C58" s="165" t="s">
        <v>88</v>
      </c>
      <c r="D58" s="148"/>
      <c r="E58" s="94"/>
      <c r="F58" s="55"/>
      <c r="G58" s="55"/>
      <c r="H58" s="55">
        <f t="shared" si="0"/>
        <v>0</v>
      </c>
      <c r="I58" s="135"/>
    </row>
    <row r="59" spans="1:9" ht="14.4" hidden="1" x14ac:dyDescent="0.55000000000000004">
      <c r="A59" s="164"/>
      <c r="B59" s="164"/>
      <c r="C59" s="164" t="s">
        <v>89</v>
      </c>
      <c r="D59" s="148">
        <v>5000</v>
      </c>
      <c r="E59" s="55"/>
      <c r="F59" s="55">
        <v>0</v>
      </c>
      <c r="G59" s="55">
        <v>0</v>
      </c>
      <c r="H59" s="61">
        <f t="shared" si="0"/>
        <v>0</v>
      </c>
      <c r="I59" s="60"/>
    </row>
    <row r="60" spans="1:9" ht="14.4" x14ac:dyDescent="0.55000000000000004">
      <c r="A60" s="163" t="s">
        <v>129</v>
      </c>
      <c r="B60" s="187">
        <v>82420</v>
      </c>
      <c r="C60" s="163" t="s">
        <v>90</v>
      </c>
      <c r="D60" s="148">
        <v>0</v>
      </c>
      <c r="E60" s="61">
        <v>298.58999999999997</v>
      </c>
      <c r="F60" s="55">
        <v>666</v>
      </c>
      <c r="G60" s="92"/>
      <c r="H60" s="61">
        <f t="shared" si="0"/>
        <v>666</v>
      </c>
      <c r="I60" s="60"/>
    </row>
    <row r="61" spans="1:9" ht="14.4" x14ac:dyDescent="0.55000000000000004">
      <c r="A61" s="165"/>
      <c r="B61" s="165"/>
      <c r="C61" s="165" t="s">
        <v>91</v>
      </c>
      <c r="D61" s="148"/>
      <c r="E61" s="55"/>
      <c r="F61" s="55"/>
      <c r="G61" s="55"/>
      <c r="H61" s="61">
        <f t="shared" si="0"/>
        <v>0</v>
      </c>
      <c r="I61" s="135"/>
    </row>
    <row r="62" spans="1:9" ht="14.4" x14ac:dyDescent="0.55000000000000004">
      <c r="A62" s="179"/>
      <c r="B62" s="179"/>
      <c r="C62" s="179" t="s">
        <v>92</v>
      </c>
      <c r="D62" s="148">
        <v>0</v>
      </c>
      <c r="E62" s="55"/>
      <c r="F62" s="55">
        <v>0</v>
      </c>
      <c r="G62" s="55">
        <f>'Volunteer Time Cost Share'!E14</f>
        <v>34912.800000000003</v>
      </c>
      <c r="H62" s="61">
        <f t="shared" si="0"/>
        <v>34912.800000000003</v>
      </c>
      <c r="I62" s="60"/>
    </row>
    <row r="63" spans="1:9" ht="14.7" thickBot="1" x14ac:dyDescent="0.6">
      <c r="A63" s="141"/>
      <c r="B63" s="141"/>
      <c r="C63" s="141" t="s">
        <v>93</v>
      </c>
      <c r="D63" s="155">
        <f>SUM(D47:D62)</f>
        <v>46512</v>
      </c>
      <c r="E63" s="97">
        <f>SUM(E47:E62)</f>
        <v>22508.59</v>
      </c>
      <c r="F63" s="97">
        <f>SUM(F47:F62)</f>
        <v>10406</v>
      </c>
      <c r="G63" s="97">
        <f>SUM(G47:G62)</f>
        <v>34912.800000000003</v>
      </c>
      <c r="H63" s="5">
        <f>+F63+G63</f>
        <v>45318.8</v>
      </c>
      <c r="I63" s="137">
        <f>+F63/D63</f>
        <v>0.22372721018231853</v>
      </c>
    </row>
    <row r="64" spans="1:9" ht="14.7" thickBot="1" x14ac:dyDescent="0.6">
      <c r="A64" s="141"/>
      <c r="B64" s="141"/>
      <c r="C64" s="141" t="s">
        <v>94</v>
      </c>
      <c r="D64" s="155">
        <f>D63+D43+D32+D17+D13</f>
        <v>286179</v>
      </c>
      <c r="E64" s="142">
        <f>E63+E43+E32+E17+E13</f>
        <v>286178.674</v>
      </c>
      <c r="F64" s="97">
        <f>F63+F43+F32+F17+F13</f>
        <v>271870.07371999999</v>
      </c>
      <c r="G64" s="97">
        <f>G63+G43+G32+G17+G13</f>
        <v>127826.4</v>
      </c>
      <c r="H64" s="97">
        <f t="shared" si="0"/>
        <v>399696.47372000001</v>
      </c>
      <c r="I64" s="137">
        <f>+F64/D64</f>
        <v>0.95000008288518722</v>
      </c>
    </row>
    <row r="65" spans="1:9" s="38" customFormat="1" ht="14.4" x14ac:dyDescent="0.55000000000000004">
      <c r="A65" s="160"/>
      <c r="B65" s="160"/>
      <c r="C65" s="160" t="s">
        <v>95</v>
      </c>
      <c r="D65" s="156"/>
      <c r="E65" s="98"/>
      <c r="F65" s="98"/>
      <c r="G65" s="98"/>
      <c r="H65" s="98">
        <f t="shared" si="0"/>
        <v>0</v>
      </c>
      <c r="I65" s="138"/>
    </row>
    <row r="66" spans="1:9" ht="14.4" x14ac:dyDescent="0.55000000000000004">
      <c r="A66" s="192" t="s">
        <v>130</v>
      </c>
      <c r="B66" s="190">
        <v>94050</v>
      </c>
      <c r="C66" s="161">
        <v>0.2828</v>
      </c>
      <c r="D66" s="157">
        <v>80931</v>
      </c>
      <c r="E66" s="59">
        <f>E64*0.2828</f>
        <v>80931.329007199995</v>
      </c>
      <c r="F66" s="59">
        <f>F64*C66</f>
        <v>76884.856848015988</v>
      </c>
      <c r="G66" s="59">
        <v>0</v>
      </c>
      <c r="H66" s="59">
        <f t="shared" si="0"/>
        <v>76884.856848015988</v>
      </c>
      <c r="I66" s="60"/>
    </row>
    <row r="67" spans="1:9" ht="14.7" thickBot="1" x14ac:dyDescent="0.6">
      <c r="A67" s="141"/>
      <c r="B67" s="141"/>
      <c r="C67" s="141" t="s">
        <v>96</v>
      </c>
      <c r="D67" s="158">
        <f>D66</f>
        <v>80931</v>
      </c>
      <c r="E67" s="143">
        <f>E66</f>
        <v>80931.329007199995</v>
      </c>
      <c r="F67" s="180">
        <f>F66</f>
        <v>76884.856848015988</v>
      </c>
      <c r="G67" s="180">
        <f>G66</f>
        <v>0</v>
      </c>
      <c r="H67" s="180">
        <f t="shared" si="0"/>
        <v>76884.856848015988</v>
      </c>
      <c r="I67" s="139">
        <f>+F67/D67</f>
        <v>0.95000502709735435</v>
      </c>
    </row>
    <row r="68" spans="1:9" ht="14.7" thickBot="1" x14ac:dyDescent="0.6">
      <c r="A68" s="181"/>
      <c r="B68" s="181"/>
      <c r="C68" s="181" t="s">
        <v>97</v>
      </c>
      <c r="D68" s="158">
        <f>D67+D64</f>
        <v>367110</v>
      </c>
      <c r="E68" s="180">
        <f>E67+E64</f>
        <v>367110.00300719996</v>
      </c>
      <c r="F68" s="180">
        <f>F67+F64</f>
        <v>348754.93056801596</v>
      </c>
      <c r="G68" s="180">
        <f>G67+G64</f>
        <v>127826.4</v>
      </c>
      <c r="H68" s="180">
        <f t="shared" si="0"/>
        <v>476581.33056801592</v>
      </c>
      <c r="I68" s="140">
        <f>+F68/D68</f>
        <v>0.95000117285831487</v>
      </c>
    </row>
    <row r="69" spans="1:9" ht="15" customHeight="1" x14ac:dyDescent="0.55000000000000004">
      <c r="D69" s="3"/>
      <c r="E69" s="9"/>
      <c r="F69" s="9"/>
      <c r="G69" s="9"/>
      <c r="H69" s="38"/>
      <c r="I69" s="38"/>
    </row>
  </sheetData>
  <mergeCells count="4">
    <mergeCell ref="C1:I1"/>
    <mergeCell ref="C2:I2"/>
    <mergeCell ref="C3:I3"/>
    <mergeCell ref="C4:I4"/>
  </mergeCells>
  <pageMargins left="0.5" right="0.5" top="0.5" bottom="0.5" header="0.5" footer="0.5"/>
  <pageSetup scale="75" orientation="portrait" r:id="rId1"/>
  <headerFooter alignWithMargins="0">
    <oddFooter>&amp;L&amp;"Helvetica,Regular"&amp;12&amp;K000000	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"/>
  <sheetViews>
    <sheetView showGridLines="0" zoomScaleNormal="100" workbookViewId="0">
      <selection activeCell="C10" sqref="C10"/>
    </sheetView>
  </sheetViews>
  <sheetFormatPr defaultColWidth="6.59765625" defaultRowHeight="15" customHeight="1" x14ac:dyDescent="0.55000000000000004"/>
  <cols>
    <col min="1" max="1" width="28.87890625" style="1" bestFit="1" customWidth="1"/>
    <col min="2" max="2" width="7.3984375" style="1" bestFit="1" customWidth="1"/>
    <col min="3" max="3" width="7.19921875" style="1" bestFit="1" customWidth="1"/>
    <col min="4" max="4" width="10.6796875" style="1" customWidth="1"/>
    <col min="5" max="5" width="6.87890625" style="1" bestFit="1" customWidth="1"/>
    <col min="6" max="16384" width="6.59765625" style="1"/>
  </cols>
  <sheetData>
    <row r="1" spans="1:8" ht="16" customHeight="1" x14ac:dyDescent="0.55000000000000004">
      <c r="A1" s="211" t="s">
        <v>98</v>
      </c>
      <c r="B1" s="212"/>
      <c r="C1" s="212"/>
      <c r="D1" s="212"/>
      <c r="E1" s="213"/>
    </row>
    <row r="2" spans="1:8" ht="37.799999999999997" x14ac:dyDescent="0.55000000000000004">
      <c r="A2" s="64" t="s">
        <v>99</v>
      </c>
      <c r="B2" s="65" t="s">
        <v>100</v>
      </c>
      <c r="C2" s="66" t="s">
        <v>101</v>
      </c>
      <c r="D2" s="67" t="s">
        <v>102</v>
      </c>
      <c r="E2" s="68" t="s">
        <v>103</v>
      </c>
    </row>
    <row r="3" spans="1:8" ht="16" customHeight="1" x14ac:dyDescent="0.55000000000000004">
      <c r="A3" s="69"/>
      <c r="B3" s="70"/>
      <c r="C3" s="71"/>
      <c r="D3" s="71"/>
      <c r="E3" s="72"/>
    </row>
    <row r="4" spans="1:8" ht="16" customHeight="1" x14ac:dyDescent="0.55000000000000004">
      <c r="A4" s="73" t="s">
        <v>104</v>
      </c>
      <c r="B4" s="70"/>
      <c r="C4" s="121"/>
      <c r="D4" s="71"/>
      <c r="E4" s="72"/>
    </row>
    <row r="5" spans="1:8" ht="16" customHeight="1" x14ac:dyDescent="0.55000000000000004">
      <c r="A5" s="74" t="s">
        <v>105</v>
      </c>
      <c r="B5" s="75">
        <v>2</v>
      </c>
      <c r="C5" s="89">
        <f>8.93*8</f>
        <v>71.44</v>
      </c>
      <c r="D5" s="75">
        <v>20</v>
      </c>
      <c r="E5" s="76">
        <f>B5*C5*D5</f>
        <v>2857.6</v>
      </c>
      <c r="F5" s="12"/>
    </row>
    <row r="6" spans="1:8" ht="16" customHeight="1" x14ac:dyDescent="0.55000000000000004">
      <c r="A6" s="74" t="s">
        <v>106</v>
      </c>
      <c r="B6" s="75">
        <v>2</v>
      </c>
      <c r="C6" s="89">
        <f>8.93*8</f>
        <v>71.44</v>
      </c>
      <c r="D6" s="75">
        <v>20</v>
      </c>
      <c r="E6" s="76">
        <f>B6*C6*D6</f>
        <v>2857.6</v>
      </c>
    </row>
    <row r="7" spans="1:8" ht="16" customHeight="1" x14ac:dyDescent="0.55000000000000004">
      <c r="A7" s="74" t="s">
        <v>107</v>
      </c>
      <c r="B7" s="77">
        <v>5</v>
      </c>
      <c r="C7" s="89">
        <f>8.93*8</f>
        <v>71.44</v>
      </c>
      <c r="D7" s="77">
        <v>20</v>
      </c>
      <c r="E7" s="78">
        <f>B7*C7*D7</f>
        <v>7144</v>
      </c>
      <c r="F7" s="13"/>
      <c r="G7" s="13"/>
      <c r="H7" s="13"/>
    </row>
    <row r="8" spans="1:8" ht="16" customHeight="1" x14ac:dyDescent="0.55000000000000004">
      <c r="A8" s="79" t="s">
        <v>108</v>
      </c>
      <c r="B8" s="80"/>
      <c r="C8" s="80"/>
      <c r="D8" s="80"/>
      <c r="E8" s="81">
        <f>SUM(E5:E7)</f>
        <v>12859.2</v>
      </c>
    </row>
    <row r="9" spans="1:8" ht="16" customHeight="1" x14ac:dyDescent="0.55000000000000004">
      <c r="A9" s="73" t="s">
        <v>109</v>
      </c>
      <c r="B9" s="82"/>
      <c r="C9" s="113"/>
      <c r="D9" s="82"/>
      <c r="E9" s="83"/>
    </row>
    <row r="10" spans="1:8" ht="16" customHeight="1" x14ac:dyDescent="0.55000000000000004">
      <c r="A10" s="74" t="s">
        <v>105</v>
      </c>
      <c r="B10" s="109">
        <v>2</v>
      </c>
      <c r="C10" s="122">
        <f>30.63*8</f>
        <v>245.04</v>
      </c>
      <c r="D10" s="111">
        <v>10</v>
      </c>
      <c r="E10" s="76">
        <f>B10*C10*D10</f>
        <v>4900.8</v>
      </c>
      <c r="F10" s="12"/>
    </row>
    <row r="11" spans="1:8" ht="16" customHeight="1" x14ac:dyDescent="0.55000000000000004">
      <c r="A11" s="74" t="s">
        <v>106</v>
      </c>
      <c r="B11" s="109">
        <v>2</v>
      </c>
      <c r="C11" s="122">
        <f>30.63*8</f>
        <v>245.04</v>
      </c>
      <c r="D11" s="111">
        <v>10</v>
      </c>
      <c r="E11" s="76">
        <f>B11*C11*D11</f>
        <v>4900.8</v>
      </c>
    </row>
    <row r="12" spans="1:8" ht="16" customHeight="1" x14ac:dyDescent="0.55000000000000004">
      <c r="A12" s="74" t="s">
        <v>107</v>
      </c>
      <c r="B12" s="110">
        <v>5</v>
      </c>
      <c r="C12" s="122">
        <f>30.63*8</f>
        <v>245.04</v>
      </c>
      <c r="D12" s="112">
        <v>10</v>
      </c>
      <c r="E12" s="84">
        <f>B12*C12*D12</f>
        <v>12252</v>
      </c>
      <c r="F12" s="13"/>
      <c r="G12" s="13"/>
    </row>
    <row r="13" spans="1:8" ht="15.75" customHeight="1" thickBot="1" x14ac:dyDescent="0.6">
      <c r="A13" s="85" t="s">
        <v>108</v>
      </c>
      <c r="B13" s="86"/>
      <c r="C13" s="86"/>
      <c r="D13" s="86"/>
      <c r="E13" s="87">
        <f>SUM(E10:E12)</f>
        <v>22053.599999999999</v>
      </c>
    </row>
    <row r="14" spans="1:8" ht="15.75" customHeight="1" thickBot="1" x14ac:dyDescent="0.6">
      <c r="A14" s="4" t="s">
        <v>110</v>
      </c>
      <c r="B14" s="6"/>
      <c r="C14" s="104"/>
      <c r="D14" s="6"/>
      <c r="E14" s="7">
        <f>E13+E8</f>
        <v>34912.800000000003</v>
      </c>
    </row>
    <row r="15" spans="1:8" ht="15" customHeight="1" x14ac:dyDescent="0.55000000000000004">
      <c r="C15" s="13"/>
    </row>
    <row r="16" spans="1:8" ht="15" customHeight="1" x14ac:dyDescent="0.55000000000000004">
      <c r="C16" s="13"/>
    </row>
    <row r="28" spans="5:5" ht="15" customHeight="1" x14ac:dyDescent="0.55000000000000004">
      <c r="E28" s="11"/>
    </row>
    <row r="29" spans="5:5" ht="15" customHeight="1" x14ac:dyDescent="0.55000000000000004">
      <c r="E29" s="11"/>
    </row>
    <row r="30" spans="5:5" ht="15" customHeight="1" x14ac:dyDescent="0.55000000000000004">
      <c r="E30" s="9"/>
    </row>
  </sheetData>
  <mergeCells count="1">
    <mergeCell ref="A1:E1"/>
  </mergeCells>
  <pageMargins left="0.75" right="0.75" top="1" bottom="1" header="0.5" footer="0.5"/>
  <pageSetup orientation="portrait"/>
  <headerFooter alignWithMargins="0"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9" ma:contentTypeDescription="Create a new document." ma:contentTypeScope="" ma:versionID="a5577d833b9f28dcc6be37a04859b9a8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ae50cb7862d574a2d96b6910b4abdc85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SharedWithUsers xmlns="dc808d36-874f-4b27-aec2-2fd649817929">
      <UserInfo>
        <DisplayName>Maia Moore</DisplayName>
        <AccountId>152</AccountId>
        <AccountType/>
      </UserInfo>
      <UserInfo>
        <DisplayName>Angel Rutter</DisplayName>
        <AccountId>1121</AccountId>
        <AccountType/>
      </UserInfo>
      <UserInfo>
        <DisplayName>Maria Ochoa</DisplayName>
        <AccountId>1109</AccountId>
        <AccountType/>
      </UserInfo>
      <UserInfo>
        <DisplayName>William Bullock</DisplayName>
        <AccountId>2144</AccountId>
        <AccountType/>
      </UserInfo>
      <UserInfo>
        <DisplayName>Ana Rubi</DisplayName>
        <AccountId>1106</AccountId>
        <AccountType/>
      </UserInfo>
      <UserInfo>
        <DisplayName>Carmen Peña</DisplayName>
        <AccountId>38</AccountId>
        <AccountType/>
      </UserInfo>
      <UserInfo>
        <DisplayName>William Webber</DisplayName>
        <AccountId>25</AccountId>
        <AccountType/>
      </UserInfo>
    </SharedWithUsers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09DAA7-70DB-4414-9AC5-8CFF5C75AD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A0B3F4-3D68-49F1-926B-034F9416C83F}"/>
</file>

<file path=customXml/itemProps3.xml><?xml version="1.0" encoding="utf-8"?>
<ds:datastoreItem xmlns:ds="http://schemas.openxmlformats.org/officeDocument/2006/customXml" ds:itemID="{A5812C67-7642-4E3F-88A0-D6A60D7333F0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17E8C5C-EAA3-4A42-96FE-B0C13BBFFCEE}">
  <ds:schemaRefs>
    <ds:schemaRef ds:uri="http://schemas.microsoft.com/office/2006/metadata/properties"/>
    <ds:schemaRef ds:uri="http://schemas.microsoft.com/office/infopath/2007/PartnerControls"/>
    <ds:schemaRef ds:uri="ca6f1b8b-2efb-4515-a316-20593799dcdd"/>
    <ds:schemaRef ds:uri="dc808d36-874f-4b27-aec2-2fd649817929"/>
    <ds:schemaRef ds:uri="f2466082-b6bf-4153-98c3-3c41e85fda1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Budget Summary</vt:lpstr>
      <vt:lpstr>FY24 Budget Details</vt:lpstr>
      <vt:lpstr>Volunteer Time Cost Share</vt:lpstr>
      <vt:lpstr>'FY24 Budget Details'!Print_Area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 Noel</dc:creator>
  <cp:keywords/>
  <dc:description/>
  <cp:lastModifiedBy>Danielle Martin</cp:lastModifiedBy>
  <cp:revision/>
  <dcterms:created xsi:type="dcterms:W3CDTF">2014-11-21T15:16:24Z</dcterms:created>
  <dcterms:modified xsi:type="dcterms:W3CDTF">2026-03-27T04:44:19Z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3544400.00000000</vt:lpwstr>
  </property>
  <property fmtid="{D5CDD505-2E9C-101B-9397-08002B2CF9AE}" pid="3" name="ContentTypeId">
    <vt:lpwstr>0x0101003206C8355D678A459F2EF8957171B231</vt:lpwstr>
  </property>
  <property fmtid="{D5CDD505-2E9C-101B-9397-08002B2CF9AE}" pid="4" name="MediaServiceImageTags">
    <vt:lpwstr/>
  </property>
</Properties>
</file>