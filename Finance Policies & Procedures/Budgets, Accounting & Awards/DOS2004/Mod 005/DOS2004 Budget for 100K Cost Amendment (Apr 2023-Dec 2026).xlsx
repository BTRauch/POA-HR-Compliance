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Budgets, Accounting &amp; Awards/DOS2004/Mod 005/"/>
    </mc:Choice>
  </mc:AlternateContent>
  <xr:revisionPtr revIDLastSave="492" documentId="8_{D4708D7A-42C9-C842-9554-18C675C937F8}" xr6:coauthVersionLast="47" xr6:coauthVersionMax="47" xr10:uidLastSave="{5928A1DE-A2FA-4758-AB9C-7497D114BD39}"/>
  <bookViews>
    <workbookView xWindow="-96" yWindow="-96" windowWidth="23232" windowHeight="12552" tabRatio="792" firstSheet="1" activeTab="1" xr2:uid="{00000000-000D-0000-FFFF-FFFF00000000}"/>
  </bookViews>
  <sheets>
    <sheet name="2. Summary Budget" sheetId="3" r:id="rId1"/>
    <sheet name="3. Detailed Budget" sheetId="9" r:id="rId2"/>
  </sheets>
  <definedNames>
    <definedName name="_xlnm.Print_Area" localSheetId="0">'2. Summary Budget'!$A$1:$D$18</definedName>
    <definedName name="_xlnm.Print_Area" localSheetId="1">'3. Detailed Budget'!$E$1:$T$67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7" i="9" l="1"/>
  <c r="M17" i="9" s="1"/>
  <c r="R18" i="9" l="1"/>
  <c r="L13" i="9"/>
  <c r="M13" i="9" s="1"/>
  <c r="L12" i="9"/>
  <c r="N12" i="9" s="1"/>
  <c r="L15" i="9"/>
  <c r="L16" i="9"/>
  <c r="M16" i="9" s="1"/>
  <c r="L11" i="9"/>
  <c r="M11" i="9" s="1"/>
  <c r="N11" i="9" s="1"/>
  <c r="R17" i="9"/>
  <c r="M19" i="9"/>
  <c r="N19" i="9" l="1"/>
  <c r="N13" i="9"/>
  <c r="N51" i="9"/>
  <c r="M51" i="9" s="1"/>
  <c r="N42" i="9"/>
  <c r="M42" i="9" s="1"/>
  <c r="M20" i="9"/>
  <c r="M14" i="9"/>
  <c r="N14" i="9" s="1"/>
  <c r="N48" i="9"/>
  <c r="J48" i="9" s="1"/>
  <c r="N43" i="9"/>
  <c r="J43" i="9" s="1"/>
  <c r="T14" i="9" l="1"/>
  <c r="M10" i="9"/>
  <c r="N10" i="9" s="1"/>
  <c r="T10" i="9" s="1"/>
  <c r="P21" i="9" l="1"/>
  <c r="N20" i="9"/>
  <c r="T20" i="9" s="1"/>
  <c r="P64" i="9"/>
  <c r="M64" i="9"/>
  <c r="E15" i="3" s="1"/>
  <c r="L64" i="9"/>
  <c r="M44" i="9"/>
  <c r="E13" i="3" s="1"/>
  <c r="P35" i="9"/>
  <c r="L35" i="9"/>
  <c r="P24" i="9"/>
  <c r="N15" i="9"/>
  <c r="I30" i="9"/>
  <c r="I29" i="9"/>
  <c r="N16" i="9" l="1"/>
  <c r="L21" i="9"/>
  <c r="L23" i="9" s="1"/>
  <c r="P65" i="9"/>
  <c r="N29" i="9"/>
  <c r="N27" i="9"/>
  <c r="N34" i="9"/>
  <c r="N32" i="9"/>
  <c r="N31" i="9"/>
  <c r="N30" i="9"/>
  <c r="N28" i="9"/>
  <c r="N33" i="9"/>
  <c r="N58" i="9"/>
  <c r="M21" i="9" l="1"/>
  <c r="M23" i="9" s="1"/>
  <c r="M24" i="9" s="1"/>
  <c r="E9" i="3" s="1"/>
  <c r="N17" i="9"/>
  <c r="N21" i="9" s="1"/>
  <c r="N35" i="9"/>
  <c r="R15" i="9"/>
  <c r="M65" i="9" l="1"/>
  <c r="N23" i="9"/>
  <c r="E8" i="3"/>
  <c r="T17" i="9"/>
  <c r="R21" i="9"/>
  <c r="E16" i="3" l="1"/>
  <c r="M66" i="9"/>
  <c r="M67" i="9" s="1"/>
  <c r="R30" i="9"/>
  <c r="R29" i="9"/>
  <c r="R28" i="9"/>
  <c r="R27" i="9"/>
  <c r="N63" i="9"/>
  <c r="N47" i="9"/>
  <c r="E17" i="3" l="1"/>
  <c r="E18" i="3" s="1"/>
  <c r="E10" i="3"/>
  <c r="R61" i="9"/>
  <c r="T61" i="9" s="1"/>
  <c r="R47" i="9"/>
  <c r="I33" i="9"/>
  <c r="T15" i="9"/>
  <c r="D14" i="3"/>
  <c r="F14" i="3" s="1"/>
  <c r="D11" i="3"/>
  <c r="F11" i="3" s="1"/>
  <c r="R49" i="9"/>
  <c r="T49" i="9" s="1"/>
  <c r="T58" i="9"/>
  <c r="N59" i="9"/>
  <c r="I55" i="9"/>
  <c r="R53" i="9"/>
  <c r="T53" i="9" s="1"/>
  <c r="R54" i="9"/>
  <c r="T54" i="9" s="1"/>
  <c r="R56" i="9"/>
  <c r="T56" i="9" s="1"/>
  <c r="T16" i="9"/>
  <c r="T47" i="9" l="1"/>
  <c r="T32" i="9"/>
  <c r="T34" i="9"/>
  <c r="T59" i="9"/>
  <c r="T43" i="9"/>
  <c r="N44" i="9"/>
  <c r="T30" i="9"/>
  <c r="L38" i="9"/>
  <c r="R35" i="9" l="1"/>
  <c r="T31" i="9"/>
  <c r="N38" i="9"/>
  <c r="N39" i="9" s="1"/>
  <c r="L39" i="9"/>
  <c r="D12" i="3" s="1"/>
  <c r="F12" i="3" s="1"/>
  <c r="T29" i="9"/>
  <c r="T33" i="9"/>
  <c r="R55" i="9"/>
  <c r="T42" i="9"/>
  <c r="T44" i="9" s="1"/>
  <c r="T28" i="9"/>
  <c r="T38" i="9" l="1"/>
  <c r="T39" i="9" s="1"/>
  <c r="T55" i="9"/>
  <c r="D10" i="3"/>
  <c r="F10" i="3" s="1"/>
  <c r="T11" i="9" l="1"/>
  <c r="T21" i="9" s="1"/>
  <c r="R23" i="9"/>
  <c r="T27" i="9"/>
  <c r="T35" i="9" s="1"/>
  <c r="D8" i="3"/>
  <c r="F8" i="3" s="1"/>
  <c r="R24" i="9" l="1"/>
  <c r="T23" i="9"/>
  <c r="N24" i="9"/>
  <c r="L24" i="9"/>
  <c r="I34" i="9"/>
  <c r="T51" i="9"/>
  <c r="N50" i="9"/>
  <c r="T50" i="9" s="1"/>
  <c r="N64" i="9" l="1"/>
  <c r="N65" i="9" s="1"/>
  <c r="T48" i="9"/>
  <c r="D15" i="3"/>
  <c r="F15" i="3" s="1"/>
  <c r="N66" i="9" l="1"/>
  <c r="N67" i="9" s="1"/>
  <c r="T66" i="9" l="1"/>
  <c r="D9" i="3"/>
  <c r="F9" i="3" l="1"/>
  <c r="P67" i="9" l="1"/>
  <c r="R63" i="9" l="1"/>
  <c r="R64" i="9" s="1"/>
  <c r="R65" i="9" s="1"/>
  <c r="D19" i="3"/>
  <c r="T63" i="9" l="1"/>
  <c r="I63" i="9" l="1"/>
  <c r="T64" i="9"/>
  <c r="E19" i="3"/>
  <c r="T24" i="9"/>
  <c r="T65" i="9" l="1"/>
  <c r="R67" i="9"/>
  <c r="F19" i="3" l="1"/>
  <c r="T67" i="9"/>
  <c r="L44" i="9"/>
  <c r="D13" i="3" l="1"/>
  <c r="L65" i="9"/>
  <c r="L66" i="9" l="1"/>
  <c r="D17" i="3" s="1"/>
  <c r="F17" i="3" s="1"/>
  <c r="F13" i="3"/>
  <c r="D16" i="3"/>
  <c r="L67" i="9" l="1"/>
  <c r="F16" i="3"/>
  <c r="F18" i="3" s="1"/>
  <c r="D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ThompsonLD</author>
  </authors>
  <commentList>
    <comment ref="E18" authorId="0" shapeId="0" xr:uid="{EC7AB2DE-44F2-9D42-96DA-88CA8FA2A807}">
      <text>
        <r>
          <rPr>
            <b/>
            <sz val="8"/>
            <color rgb="FF000000"/>
            <rFont val="Tahoma"/>
            <family val="2"/>
          </rPr>
          <t xml:space="preserve">NOTE:
</t>
        </r>
        <r>
          <rPr>
            <b/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For budget increases,</t>
        </r>
        <r>
          <rPr>
            <sz val="8"/>
            <color rgb="FF000000"/>
            <rFont val="Tahoma"/>
            <family val="2"/>
          </rPr>
          <t xml:space="preserve"> this box should equal the total of the approved increase.</t>
        </r>
        <r>
          <rPr>
            <b/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 xml:space="preserve">For budget reallocations </t>
        </r>
        <r>
          <rPr>
            <sz val="8"/>
            <color rgb="FF000000"/>
            <rFont val="Tahoma"/>
            <family val="2"/>
          </rPr>
          <t>moving funds between existing or newly created budget categories (with no new funds added) this box should read $0.00.</t>
        </r>
        <r>
          <rPr>
            <b/>
            <sz val="8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ThompsonLD</author>
    <author>tc={7ADD7369-3571-4B5F-87D6-520FD0C4AF9F}</author>
  </authors>
  <commentList>
    <comment ref="Q6" authorId="0" shapeId="0" xr:uid="{F7896852-259A-9D4F-8E37-995210AB2B59}">
      <text>
        <r>
          <rPr>
            <b/>
            <sz val="8"/>
            <color rgb="FF000000"/>
            <rFont val="Tahoma"/>
            <family val="2"/>
          </rPr>
          <t>"Changes" Guidance: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Additions to budget lines should be positive numbers, while reductions in budget lines should be entered with a negative sign ( - )</t>
        </r>
      </text>
    </comment>
    <comment ref="G26" authorId="1" shapeId="0" xr:uid="{7ADD7369-3571-4B5F-87D6-520FD0C4AF9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@Penelope Kim do we have any funds for travel in our current grant?</t>
      </text>
    </comment>
  </commentList>
</comments>
</file>

<file path=xl/sharedStrings.xml><?xml version="1.0" encoding="utf-8"?>
<sst xmlns="http://schemas.openxmlformats.org/spreadsheetml/2006/main" count="339" uniqueCount="194">
  <si>
    <t>Summary Cost Amendment Budget</t>
  </si>
  <si>
    <t>Partners of the Americas</t>
  </si>
  <si>
    <t>100,000 Strong in the Americas</t>
  </si>
  <si>
    <t xml:space="preserve">42 Months (April 2023 - October 2026) </t>
  </si>
  <si>
    <t xml:space="preserve">        </t>
  </si>
  <si>
    <t>Current Budget    (4/13/23-08/08/25)</t>
  </si>
  <si>
    <t>Changes            (+ / -)</t>
  </si>
  <si>
    <t>New Budget          (08/08/25-10/31/26)</t>
  </si>
  <si>
    <t>A</t>
  </si>
  <si>
    <t>Personnel</t>
  </si>
  <si>
    <t>B</t>
  </si>
  <si>
    <t>Fringe Benefits</t>
  </si>
  <si>
    <t>C</t>
  </si>
  <si>
    <t xml:space="preserve">Travel </t>
  </si>
  <si>
    <t>D</t>
  </si>
  <si>
    <t>Equipment</t>
  </si>
  <si>
    <t>E</t>
  </si>
  <si>
    <t>Supplies</t>
  </si>
  <si>
    <t>F</t>
  </si>
  <si>
    <t>Contractual</t>
  </si>
  <si>
    <t>G</t>
  </si>
  <si>
    <t>Construction</t>
  </si>
  <si>
    <t>H</t>
  </si>
  <si>
    <t>Other Direct Costs</t>
  </si>
  <si>
    <t>I</t>
  </si>
  <si>
    <t>Total Direct charges</t>
  </si>
  <si>
    <t>J</t>
  </si>
  <si>
    <t>Total Indirect costs</t>
  </si>
  <si>
    <t>K</t>
  </si>
  <si>
    <t xml:space="preserve">Total Project Cost </t>
  </si>
  <si>
    <t>L</t>
  </si>
  <si>
    <t>Cost Share (if applicable)</t>
  </si>
  <si>
    <t>* Line items amounts auto-fill from "Detailed Grant Budget Template," Tab 2.  Addition and/or subtraction of example budget categories in Tab 2 may effect auto-fill function.  Please make sure your line items above match those on Tab 2.</t>
  </si>
  <si>
    <t>* Cost-share changes should not be represented on the Summary Amendment Budget.</t>
  </si>
  <si>
    <r>
      <t xml:space="preserve"> POA OVERVIEW LINE-ITEM </t>
    </r>
    <r>
      <rPr>
        <b/>
        <sz val="12"/>
        <color rgb="FFFF0000"/>
        <rFont val="Calibri (Body)"/>
      </rPr>
      <t xml:space="preserve">COST AMENDMENT </t>
    </r>
    <r>
      <rPr>
        <b/>
        <sz val="12"/>
        <color theme="1"/>
        <rFont val="Calibri"/>
        <family val="2"/>
        <scheme val="minor"/>
      </rPr>
      <t xml:space="preserve">BUDGET </t>
    </r>
    <r>
      <rPr>
        <b/>
        <sz val="12"/>
        <color rgb="FFFF0000"/>
        <rFont val="Calibri (Body)"/>
      </rPr>
      <t>(REV Dec 2025)</t>
    </r>
  </si>
  <si>
    <t>Project Title</t>
  </si>
  <si>
    <r>
      <t xml:space="preserve">Cooperative Agreement Duration:  </t>
    </r>
    <r>
      <rPr>
        <i/>
        <sz val="11"/>
        <color rgb="FFFF0000"/>
        <rFont val="Calibri (Body)"/>
      </rPr>
      <t>44</t>
    </r>
    <r>
      <rPr>
        <i/>
        <sz val="11"/>
        <color theme="1"/>
        <rFont val="Calibri"/>
        <family val="2"/>
        <scheme val="minor"/>
      </rPr>
      <t xml:space="preserve"> months (April 2023-Dec </t>
    </r>
    <r>
      <rPr>
        <i/>
        <sz val="11"/>
        <color rgb="FFFF0000"/>
        <rFont val="Calibri (Body)"/>
      </rPr>
      <t>2026</t>
    </r>
    <r>
      <rPr>
        <i/>
        <sz val="11"/>
        <color theme="1"/>
        <rFont val="Calibri"/>
        <family val="2"/>
        <scheme val="minor"/>
      </rPr>
      <t>)</t>
    </r>
  </si>
  <si>
    <t>Project duration</t>
  </si>
  <si>
    <t>*Key personnel</t>
  </si>
  <si>
    <t>Unit Cost</t>
  </si>
  <si>
    <t>Current WHA Budget</t>
  </si>
  <si>
    <t>Changes               
(+ / -)</t>
  </si>
  <si>
    <t>New WHA Budget</t>
  </si>
  <si>
    <t>Current Cost-Share Budget</t>
  </si>
  <si>
    <t>Cost-Share Changes               
(+ / -)</t>
  </si>
  <si>
    <t xml:space="preserve">New Cost-Share Budget               </t>
  </si>
  <si>
    <t>NEW Program Total</t>
  </si>
  <si>
    <t>Unit</t>
  </si>
  <si>
    <t>Number</t>
  </si>
  <si>
    <t xml:space="preserve"> Amount  </t>
  </si>
  <si>
    <t>Rate</t>
  </si>
  <si>
    <t>months or years</t>
  </si>
  <si>
    <t>salary           (monthly)</t>
  </si>
  <si>
    <r>
      <t xml:space="preserve">% effort for </t>
    </r>
    <r>
      <rPr>
        <b/>
        <sz val="8"/>
        <rFont val="Times New Roman"/>
        <family val="1"/>
      </rPr>
      <t>Personnel</t>
    </r>
    <r>
      <rPr>
        <sz val="8"/>
        <rFont val="Times New Roman"/>
        <family val="1"/>
      </rPr>
      <t xml:space="preserve"> ONLY</t>
    </r>
  </si>
  <si>
    <t>A.1</t>
  </si>
  <si>
    <t>US-Based personnel</t>
  </si>
  <si>
    <t>A.1.1</t>
  </si>
  <si>
    <t>Senior Director</t>
  </si>
  <si>
    <t>months</t>
  </si>
  <si>
    <t>A.1.2</t>
  </si>
  <si>
    <t>Director of Public-Private Partnerships*</t>
  </si>
  <si>
    <t>A.1.3</t>
  </si>
  <si>
    <t>Program Director*</t>
  </si>
  <si>
    <t>A.1.4</t>
  </si>
  <si>
    <t>Associate Director</t>
  </si>
  <si>
    <t>A.1.5</t>
  </si>
  <si>
    <t>Program Officer</t>
  </si>
  <si>
    <t>A.1.6</t>
  </si>
  <si>
    <t>Communications Officer</t>
  </si>
  <si>
    <t>A.1.7</t>
  </si>
  <si>
    <t>Program/MEL Officer</t>
  </si>
  <si>
    <t>Subtotal Personnel</t>
  </si>
  <si>
    <t>B.1</t>
  </si>
  <si>
    <t>US-Based Personnel Fringe Benefits</t>
  </si>
  <si>
    <t>Subtotal Fringe Benefits</t>
  </si>
  <si>
    <t># people</t>
  </si>
  <si>
    <t># trips/or days</t>
  </si>
  <si>
    <t>unit Cost</t>
  </si>
  <si>
    <t>C.1</t>
  </si>
  <si>
    <t>Staff Travel</t>
  </si>
  <si>
    <t>C.1.1</t>
  </si>
  <si>
    <t>International Round Trip Airfare</t>
  </si>
  <si>
    <t>C.1.2</t>
  </si>
  <si>
    <t xml:space="preserve">International M&amp;IE </t>
  </si>
  <si>
    <t>C.1.3</t>
  </si>
  <si>
    <t>International Lodging</t>
  </si>
  <si>
    <t>C.1.4</t>
  </si>
  <si>
    <t>International Local Transportation</t>
  </si>
  <si>
    <t>C.1.5</t>
  </si>
  <si>
    <t>Domestic Round Trip Airfare</t>
  </si>
  <si>
    <t>C.1.6</t>
  </si>
  <si>
    <t>Domestic M&amp;IE</t>
  </si>
  <si>
    <t>C.1.7</t>
  </si>
  <si>
    <t>Domestic Lodging</t>
  </si>
  <si>
    <t>C.1.8</t>
  </si>
  <si>
    <t>Domestic Local Transportation</t>
  </si>
  <si>
    <t>Subtotal Travel</t>
  </si>
  <si>
    <r>
      <t xml:space="preserve">Equipment  </t>
    </r>
    <r>
      <rPr>
        <b/>
        <sz val="8"/>
        <color theme="1"/>
        <rFont val="Times New Roman"/>
        <family val="1"/>
      </rPr>
      <t>(&gt; $5,000 per unit )</t>
    </r>
  </si>
  <si>
    <t>unit</t>
  </si>
  <si>
    <t># units</t>
  </si>
  <si>
    <t>unit cost</t>
  </si>
  <si>
    <r>
      <t xml:space="preserve">Supplies </t>
    </r>
    <r>
      <rPr>
        <b/>
        <sz val="8"/>
        <color theme="1"/>
        <rFont val="Times New Roman"/>
        <family val="1"/>
      </rPr>
      <t xml:space="preserve"> (&lt; $5,000 per unit)</t>
    </r>
  </si>
  <si>
    <t>E.1</t>
  </si>
  <si>
    <t>Tablet for In-Person Innovation Network Sign-ups</t>
  </si>
  <si>
    <t>Subtotal Supplies</t>
  </si>
  <si>
    <r>
      <t xml:space="preserve">Contractual </t>
    </r>
    <r>
      <rPr>
        <b/>
        <sz val="8"/>
        <color theme="1"/>
        <rFont val="Times New Roman"/>
        <family val="1"/>
      </rPr>
      <t>(Subrecipients, Subcontracts, and Consultant fees)</t>
    </r>
  </si>
  <si>
    <t>F.1</t>
  </si>
  <si>
    <t>Consultants and Contracts</t>
  </si>
  <si>
    <t>F.1.1</t>
  </si>
  <si>
    <r>
      <t xml:space="preserve">Website &amp; Digital Communications </t>
    </r>
    <r>
      <rPr>
        <sz val="10"/>
        <color rgb="FFFF0000"/>
        <rFont val="Times New Roman"/>
        <family val="1"/>
      </rPr>
      <t>Specialist</t>
    </r>
  </si>
  <si>
    <t>F.1.2</t>
  </si>
  <si>
    <t>Applications Coordinator</t>
  </si>
  <si>
    <t>Subtotal Contractual</t>
  </si>
  <si>
    <t>H.1</t>
  </si>
  <si>
    <t>Outreach/Branded Materials</t>
  </si>
  <si>
    <t>bulk</t>
  </si>
  <si>
    <t>H.4</t>
  </si>
  <si>
    <t>Grants Management System</t>
  </si>
  <si>
    <t>H.5</t>
  </si>
  <si>
    <t>Network Management System</t>
  </si>
  <si>
    <t>H.6</t>
  </si>
  <si>
    <t>Data Tracking &amp; Collection (M&amp;E)</t>
  </si>
  <si>
    <t>hours</t>
  </si>
  <si>
    <t>H.7</t>
  </si>
  <si>
    <t>Platform Subscriptions</t>
  </si>
  <si>
    <t>H.8</t>
  </si>
  <si>
    <t>100K Capacity Building and Best Practices Workshop</t>
  </si>
  <si>
    <t>H.8.1</t>
  </si>
  <si>
    <t>Space Rental</t>
  </si>
  <si>
    <t>venue</t>
  </si>
  <si>
    <t>H.8.2</t>
  </si>
  <si>
    <t>Printed Materials</t>
  </si>
  <si>
    <t>events</t>
  </si>
  <si>
    <t>H.8.3</t>
  </si>
  <si>
    <t>Working Meals</t>
  </si>
  <si>
    <t>persons</t>
  </si>
  <si>
    <t>H.8.4</t>
  </si>
  <si>
    <t>Audio-Visual Equipment Rental</t>
  </si>
  <si>
    <t>H.9</t>
  </si>
  <si>
    <t>Conference Registrations</t>
  </si>
  <si>
    <t>H.9.1</t>
  </si>
  <si>
    <t>International Conference Registration Fees</t>
  </si>
  <si>
    <t>H.9.2</t>
  </si>
  <si>
    <t>U.S. Conference Registration Fees</t>
  </si>
  <si>
    <t>H.11</t>
  </si>
  <si>
    <t>100K Student Support</t>
  </si>
  <si>
    <t>H.11.2</t>
  </si>
  <si>
    <t>Participant Travel Support</t>
  </si>
  <si>
    <t>H.12</t>
  </si>
  <si>
    <t>Innovation Grants</t>
  </si>
  <si>
    <t>H.12.1</t>
  </si>
  <si>
    <t>grants</t>
  </si>
  <si>
    <t>Subtotal Other Direct Costs</t>
  </si>
  <si>
    <t>Total Direct Costs</t>
  </si>
  <si>
    <r>
      <t>Indirect Costs</t>
    </r>
    <r>
      <rPr>
        <b/>
        <sz val="8"/>
        <color theme="1"/>
        <rFont val="Times New Roman"/>
        <family val="1"/>
      </rPr>
      <t xml:space="preserve"> </t>
    </r>
  </si>
  <si>
    <t>DOS Grant Funds</t>
  </si>
  <si>
    <t>POA Cost Share Funds</t>
  </si>
  <si>
    <t>Activity (Budget) Code</t>
  </si>
  <si>
    <t>Account Code</t>
  </si>
  <si>
    <t>DOS2004</t>
  </si>
  <si>
    <t>N/A</t>
  </si>
  <si>
    <t>PERSNL</t>
  </si>
  <si>
    <t>50000</t>
  </si>
  <si>
    <t>DOS2004CS</t>
  </si>
  <si>
    <t>FRINGE</t>
  </si>
  <si>
    <t>STFTRAVEL</t>
  </si>
  <si>
    <t>STFCN DIEM</t>
  </si>
  <si>
    <t>LODGING</t>
  </si>
  <si>
    <t>86030</t>
  </si>
  <si>
    <t>LOCAL TRVL</t>
  </si>
  <si>
    <t>86000</t>
  </si>
  <si>
    <t>SUPPLIES</t>
  </si>
  <si>
    <t>82420</t>
  </si>
  <si>
    <t>COMM</t>
  </si>
  <si>
    <t>CONSULT</t>
  </si>
  <si>
    <t>IDC</t>
  </si>
  <si>
    <t>GRANTS</t>
  </si>
  <si>
    <t>PARTTRAVEL</t>
  </si>
  <si>
    <t>MATL</t>
  </si>
  <si>
    <t>90450</t>
  </si>
  <si>
    <t>GRANTSMGMT</t>
  </si>
  <si>
    <t>89400</t>
  </si>
  <si>
    <t>NETWORK</t>
  </si>
  <si>
    <t>MONEVAL</t>
  </si>
  <si>
    <t>81015</t>
  </si>
  <si>
    <t>SUBSCRIPT</t>
  </si>
  <si>
    <t>VENUE</t>
  </si>
  <si>
    <t>87000</t>
  </si>
  <si>
    <t>PRINT</t>
  </si>
  <si>
    <t>85300</t>
  </si>
  <si>
    <t>WORKMEAL</t>
  </si>
  <si>
    <t>87010</t>
  </si>
  <si>
    <t>EQUIPRENT</t>
  </si>
  <si>
    <t>REGISTRN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</si>
</sst>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4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Times New Roman"/>
      <family val="1"/>
    </font>
    <font>
      <b/>
      <sz val="8"/>
      <name val="Times New Roman"/>
      <family val="1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b/>
      <sz val="9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9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Times New Roman"/>
      <family val="1"/>
    </font>
    <font>
      <b/>
      <sz val="12"/>
      <color rgb="FFFF0000"/>
      <name val="Calibri (Body)"/>
    </font>
    <font>
      <i/>
      <sz val="11"/>
      <color rgb="FFFF0000"/>
      <name val="Calibri (Body)"/>
    </font>
    <font>
      <b/>
      <sz val="9"/>
      <color rgb="FFFF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7" borderId="0" applyNumberFormat="0" applyBorder="0" applyAlignment="0" applyProtection="0"/>
    <xf numFmtId="43" fontId="16" fillId="0" borderId="0" applyFont="0" applyFill="0" applyBorder="0" applyAlignment="0" applyProtection="0"/>
  </cellStyleXfs>
  <cellXfs count="384">
    <xf numFmtId="0" fontId="0" fillId="0" borderId="0" xfId="0"/>
    <xf numFmtId="49" fontId="8" fillId="0" borderId="0" xfId="0" applyNumberFormat="1" applyFont="1"/>
    <xf numFmtId="0" fontId="6" fillId="4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wrapText="1"/>
    </xf>
    <xf numFmtId="0" fontId="9" fillId="4" borderId="7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49" fontId="1" fillId="4" borderId="2" xfId="0" applyNumberFormat="1" applyFont="1" applyFill="1" applyBorder="1" applyAlignment="1">
      <alignment vertical="center"/>
    </xf>
    <xf numFmtId="4" fontId="6" fillId="4" borderId="7" xfId="0" applyNumberFormat="1" applyFont="1" applyFill="1" applyBorder="1" applyAlignment="1">
      <alignment horizontal="center" vertical="center" wrapText="1"/>
    </xf>
    <xf numFmtId="49" fontId="1" fillId="4" borderId="11" xfId="0" applyNumberFormat="1" applyFont="1" applyFill="1" applyBorder="1" applyAlignment="1">
      <alignment vertical="center"/>
    </xf>
    <xf numFmtId="0" fontId="9" fillId="4" borderId="12" xfId="0" applyFont="1" applyFill="1" applyBorder="1" applyAlignment="1">
      <alignment vertical="center" wrapText="1"/>
    </xf>
    <xf numFmtId="0" fontId="4" fillId="3" borderId="7" xfId="0" applyFont="1" applyFill="1" applyBorder="1"/>
    <xf numFmtId="0" fontId="9" fillId="4" borderId="0" xfId="0" applyFont="1" applyFill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49" fontId="1" fillId="4" borderId="13" xfId="0" applyNumberFormat="1" applyFont="1" applyFill="1" applyBorder="1" applyAlignment="1">
      <alignment vertical="center"/>
    </xf>
    <xf numFmtId="49" fontId="0" fillId="4" borderId="7" xfId="0" applyNumberFormat="1" applyFill="1" applyBorder="1" applyAlignment="1">
      <alignment vertical="center"/>
    </xf>
    <xf numFmtId="49" fontId="1" fillId="4" borderId="12" xfId="0" applyNumberFormat="1" applyFont="1" applyFill="1" applyBorder="1" applyAlignment="1">
      <alignment vertical="center"/>
    </xf>
    <xf numFmtId="49" fontId="1" fillId="4" borderId="0" xfId="0" applyNumberFormat="1" applyFont="1" applyFill="1" applyAlignment="1">
      <alignment vertical="center"/>
    </xf>
    <xf numFmtId="49" fontId="1" fillId="4" borderId="7" xfId="0" applyNumberFormat="1" applyFont="1" applyFill="1" applyBorder="1" applyAlignment="1">
      <alignment vertical="center"/>
    </xf>
    <xf numFmtId="49" fontId="1" fillId="5" borderId="7" xfId="0" applyNumberFormat="1" applyFont="1" applyFill="1" applyBorder="1" applyAlignment="1">
      <alignment vertical="center"/>
    </xf>
    <xf numFmtId="0" fontId="6" fillId="5" borderId="7" xfId="0" applyFont="1" applyFill="1" applyBorder="1" applyAlignment="1">
      <alignment horizontal="center" vertical="center" wrapText="1"/>
    </xf>
    <xf numFmtId="4" fontId="6" fillId="5" borderId="7" xfId="0" applyNumberFormat="1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vertical="center" wrapText="1"/>
    </xf>
    <xf numFmtId="0" fontId="1" fillId="0" borderId="0" xfId="0" applyFont="1"/>
    <xf numFmtId="0" fontId="3" fillId="5" borderId="4" xfId="0" applyFont="1" applyFill="1" applyBorder="1" applyAlignment="1">
      <alignment horizontal="center" vertical="center" wrapText="1"/>
    </xf>
    <xf numFmtId="49" fontId="10" fillId="5" borderId="2" xfId="0" applyNumberFormat="1" applyFont="1" applyFill="1" applyBorder="1" applyAlignment="1">
      <alignment vertical="center"/>
    </xf>
    <xf numFmtId="49" fontId="10" fillId="5" borderId="7" xfId="0" applyNumberFormat="1" applyFont="1" applyFill="1" applyBorder="1" applyAlignment="1">
      <alignment vertical="center"/>
    </xf>
    <xf numFmtId="0" fontId="13" fillId="0" borderId="0" xfId="0" applyFont="1"/>
    <xf numFmtId="0" fontId="9" fillId="4" borderId="3" xfId="0" applyFont="1" applyFill="1" applyBorder="1" applyAlignment="1">
      <alignment vertical="center" wrapText="1"/>
    </xf>
    <xf numFmtId="0" fontId="18" fillId="3" borderId="8" xfId="0" applyFont="1" applyFill="1" applyBorder="1" applyAlignment="1">
      <alignment wrapText="1"/>
    </xf>
    <xf numFmtId="0" fontId="15" fillId="0" borderId="0" xfId="0" applyFont="1"/>
    <xf numFmtId="0" fontId="5" fillId="3" borderId="4" xfId="0" applyFont="1" applyFill="1" applyBorder="1" applyAlignment="1">
      <alignment horizontal="center"/>
    </xf>
    <xf numFmtId="0" fontId="17" fillId="0" borderId="0" xfId="0" applyFont="1"/>
    <xf numFmtId="4" fontId="15" fillId="0" borderId="0" xfId="0" applyNumberFormat="1" applyFont="1"/>
    <xf numFmtId="3" fontId="2" fillId="5" borderId="3" xfId="0" applyNumberFormat="1" applyFont="1" applyFill="1" applyBorder="1" applyAlignment="1">
      <alignment horizontal="right" vertical="center" wrapText="1"/>
    </xf>
    <xf numFmtId="9" fontId="19" fillId="0" borderId="1" xfId="0" applyNumberFormat="1" applyFont="1" applyBorder="1" applyAlignment="1">
      <alignment horizontal="center"/>
    </xf>
    <xf numFmtId="44" fontId="0" fillId="0" borderId="0" xfId="0" applyNumberFormat="1"/>
    <xf numFmtId="44" fontId="15" fillId="0" borderId="0" xfId="0" applyNumberFormat="1" applyFont="1"/>
    <xf numFmtId="49" fontId="9" fillId="4" borderId="2" xfId="0" applyNumberFormat="1" applyFont="1" applyFill="1" applyBorder="1" applyAlignment="1">
      <alignment vertical="center"/>
    </xf>
    <xf numFmtId="49" fontId="9" fillId="4" borderId="13" xfId="0" applyNumberFormat="1" applyFont="1" applyFill="1" applyBorder="1" applyAlignment="1">
      <alignment vertical="center"/>
    </xf>
    <xf numFmtId="49" fontId="9" fillId="5" borderId="2" xfId="0" applyNumberFormat="1" applyFont="1" applyFill="1" applyBorder="1" applyAlignment="1">
      <alignment vertical="center"/>
    </xf>
    <xf numFmtId="49" fontId="6" fillId="0" borderId="0" xfId="0" applyNumberFormat="1" applyFont="1"/>
    <xf numFmtId="0" fontId="0" fillId="0" borderId="0" xfId="0" applyAlignment="1">
      <alignment horizontal="right"/>
    </xf>
    <xf numFmtId="44" fontId="5" fillId="0" borderId="4" xfId="1" applyFont="1" applyFill="1" applyBorder="1"/>
    <xf numFmtId="0" fontId="24" fillId="4" borderId="7" xfId="0" applyFont="1" applyFill="1" applyBorder="1" applyAlignment="1">
      <alignment horizontal="center" vertical="center" wrapText="1"/>
    </xf>
    <xf numFmtId="44" fontId="26" fillId="0" borderId="0" xfId="0" applyNumberFormat="1" applyFont="1"/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6" fontId="0" fillId="0" borderId="0" xfId="0" applyNumberFormat="1"/>
    <xf numFmtId="0" fontId="19" fillId="0" borderId="4" xfId="0" applyFont="1" applyBorder="1" applyAlignment="1">
      <alignment horizontal="left" vertical="center" wrapText="1"/>
    </xf>
    <xf numFmtId="0" fontId="18" fillId="3" borderId="3" xfId="0" applyFont="1" applyFill="1" applyBorder="1" applyAlignment="1">
      <alignment vertical="center" wrapText="1"/>
    </xf>
    <xf numFmtId="49" fontId="5" fillId="3" borderId="2" xfId="0" applyNumberFormat="1" applyFont="1" applyFill="1" applyBorder="1" applyAlignment="1">
      <alignment vertical="center"/>
    </xf>
    <xf numFmtId="49" fontId="17" fillId="3" borderId="7" xfId="0" applyNumberFormat="1" applyFont="1" applyFill="1" applyBorder="1" applyAlignment="1">
      <alignment vertical="center"/>
    </xf>
    <xf numFmtId="0" fontId="20" fillId="3" borderId="10" xfId="0" applyFont="1" applyFill="1" applyBorder="1" applyAlignment="1">
      <alignment vertical="center" wrapText="1"/>
    </xf>
    <xf numFmtId="4" fontId="0" fillId="0" borderId="0" xfId="0" applyNumberFormat="1"/>
    <xf numFmtId="0" fontId="0" fillId="6" borderId="0" xfId="0" applyFill="1"/>
    <xf numFmtId="0" fontId="28" fillId="0" borderId="0" xfId="0" applyFont="1"/>
    <xf numFmtId="0" fontId="23" fillId="0" borderId="0" xfId="0" applyFont="1"/>
    <xf numFmtId="4" fontId="0" fillId="6" borderId="0" xfId="0" applyNumberFormat="1" applyFill="1"/>
    <xf numFmtId="49" fontId="12" fillId="0" borderId="0" xfId="0" applyNumberFormat="1" applyFont="1" applyAlignment="1">
      <alignment horizontal="center"/>
    </xf>
    <xf numFmtId="43" fontId="35" fillId="5" borderId="3" xfId="4" applyFont="1" applyFill="1" applyBorder="1" applyAlignment="1">
      <alignment horizontal="right" vertical="center" wrapText="1"/>
    </xf>
    <xf numFmtId="0" fontId="23" fillId="0" borderId="0" xfId="0" applyFont="1" applyAlignment="1">
      <alignment horizontal="left" wrapText="1"/>
    </xf>
    <xf numFmtId="44" fontId="17" fillId="0" borderId="0" xfId="0" applyNumberFormat="1" applyFont="1"/>
    <xf numFmtId="44" fontId="23" fillId="0" borderId="0" xfId="0" applyNumberFormat="1" applyFont="1" applyAlignment="1">
      <alignment horizontal="left" wrapText="1"/>
    </xf>
    <xf numFmtId="44" fontId="28" fillId="0" borderId="0" xfId="0" applyNumberFormat="1" applyFont="1" applyAlignment="1">
      <alignment horizontal="left" wrapText="1"/>
    </xf>
    <xf numFmtId="4" fontId="34" fillId="4" borderId="1" xfId="0" applyNumberFormat="1" applyFont="1" applyFill="1" applyBorder="1" applyAlignment="1">
      <alignment wrapText="1"/>
    </xf>
    <xf numFmtId="0" fontId="26" fillId="0" borderId="0" xfId="0" applyFont="1"/>
    <xf numFmtId="4" fontId="19" fillId="3" borderId="1" xfId="0" applyNumberFormat="1" applyFont="1" applyFill="1" applyBorder="1" applyAlignment="1">
      <alignment horizontal="right" wrapText="1"/>
    </xf>
    <xf numFmtId="4" fontId="34" fillId="3" borderId="1" xfId="0" applyNumberFormat="1" applyFont="1" applyFill="1" applyBorder="1" applyAlignment="1">
      <alignment wrapText="1"/>
    </xf>
    <xf numFmtId="1" fontId="32" fillId="10" borderId="4" xfId="0" applyNumberFormat="1" applyFont="1" applyFill="1" applyBorder="1" applyAlignment="1">
      <alignment horizontal="center"/>
    </xf>
    <xf numFmtId="9" fontId="32" fillId="10" borderId="1" xfId="0" applyNumberFormat="1" applyFont="1" applyFill="1" applyBorder="1" applyAlignment="1">
      <alignment horizontal="center"/>
    </xf>
    <xf numFmtId="0" fontId="32" fillId="10" borderId="1" xfId="0" applyFont="1" applyFill="1" applyBorder="1" applyAlignment="1">
      <alignment horizontal="center" vertical="center" wrapText="1"/>
    </xf>
    <xf numFmtId="9" fontId="28" fillId="0" borderId="0" xfId="2" applyFont="1"/>
    <xf numFmtId="49" fontId="38" fillId="0" borderId="0" xfId="0" applyNumberFormat="1" applyFont="1" applyAlignment="1">
      <alignment horizontal="center"/>
    </xf>
    <xf numFmtId="0" fontId="23" fillId="0" borderId="0" xfId="0" applyFont="1" applyAlignment="1">
      <alignment wrapText="1"/>
    </xf>
    <xf numFmtId="4" fontId="23" fillId="0" borderId="0" xfId="0" applyNumberFormat="1" applyFont="1" applyAlignment="1">
      <alignment wrapText="1"/>
    </xf>
    <xf numFmtId="49" fontId="17" fillId="0" borderId="12" xfId="0" applyNumberFormat="1" applyFont="1" applyBorder="1" applyAlignment="1">
      <alignment vertical="center"/>
    </xf>
    <xf numFmtId="0" fontId="19" fillId="0" borderId="10" xfId="0" applyFont="1" applyBorder="1" applyAlignment="1">
      <alignment wrapText="1"/>
    </xf>
    <xf numFmtId="0" fontId="5" fillId="0" borderId="5" xfId="0" applyFont="1" applyBorder="1" applyAlignment="1">
      <alignment horizontal="center" wrapText="1"/>
    </xf>
    <xf numFmtId="49" fontId="5" fillId="0" borderId="2" xfId="0" applyNumberFormat="1" applyFont="1" applyBorder="1" applyAlignment="1">
      <alignment vertical="center"/>
    </xf>
    <xf numFmtId="49" fontId="17" fillId="0" borderId="7" xfId="0" applyNumberFormat="1" applyFont="1" applyBorder="1" applyAlignment="1">
      <alignment vertical="center"/>
    </xf>
    <xf numFmtId="0" fontId="19" fillId="0" borderId="3" xfId="0" applyFont="1" applyBorder="1" applyAlignment="1">
      <alignment wrapText="1"/>
    </xf>
    <xf numFmtId="49" fontId="5" fillId="0" borderId="2" xfId="0" applyNumberFormat="1" applyFont="1" applyBorder="1"/>
    <xf numFmtId="49" fontId="17" fillId="0" borderId="7" xfId="0" applyNumberFormat="1" applyFont="1" applyBorder="1"/>
    <xf numFmtId="0" fontId="19" fillId="0" borderId="7" xfId="0" applyFont="1" applyBorder="1" applyAlignment="1">
      <alignment vertical="center" wrapText="1"/>
    </xf>
    <xf numFmtId="49" fontId="19" fillId="0" borderId="2" xfId="0" applyNumberFormat="1" applyFont="1" applyBorder="1"/>
    <xf numFmtId="49" fontId="21" fillId="0" borderId="7" xfId="0" applyNumberFormat="1" applyFont="1" applyBorder="1"/>
    <xf numFmtId="0" fontId="19" fillId="0" borderId="3" xfId="0" applyFont="1" applyBorder="1" applyAlignment="1">
      <alignment vertical="center" wrapText="1"/>
    </xf>
    <xf numFmtId="44" fontId="32" fillId="0" borderId="0" xfId="0" applyNumberFormat="1" applyFont="1"/>
    <xf numFmtId="0" fontId="5" fillId="0" borderId="4" xfId="0" applyFont="1" applyBorder="1" applyAlignment="1">
      <alignment horizontal="center"/>
    </xf>
    <xf numFmtId="0" fontId="18" fillId="0" borderId="7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7" xfId="0" applyFont="1" applyBorder="1" applyAlignment="1">
      <alignment horizontal="right" wrapText="1"/>
    </xf>
    <xf numFmtId="4" fontId="5" fillId="0" borderId="7" xfId="0" applyNumberFormat="1" applyFont="1" applyBorder="1" applyAlignment="1">
      <alignment wrapText="1"/>
    </xf>
    <xf numFmtId="0" fontId="5" fillId="0" borderId="3" xfId="0" applyFont="1" applyBorder="1" applyAlignment="1">
      <alignment vertical="center" wrapText="1"/>
    </xf>
    <xf numFmtId="0" fontId="19" fillId="0" borderId="2" xfId="0" applyFont="1" applyBorder="1" applyAlignment="1">
      <alignment horizontal="left"/>
    </xf>
    <xf numFmtId="0" fontId="20" fillId="0" borderId="7" xfId="0" applyFont="1" applyBorder="1" applyAlignment="1">
      <alignment horizontal="left"/>
    </xf>
    <xf numFmtId="0" fontId="18" fillId="0" borderId="3" xfId="0" applyFont="1" applyBorder="1"/>
    <xf numFmtId="0" fontId="5" fillId="0" borderId="9" xfId="0" applyFont="1" applyBorder="1"/>
    <xf numFmtId="0" fontId="5" fillId="0" borderId="4" xfId="0" applyFont="1" applyBorder="1"/>
    <xf numFmtId="0" fontId="19" fillId="0" borderId="10" xfId="0" applyFont="1" applyBorder="1" applyAlignment="1">
      <alignment vertical="center" wrapText="1"/>
    </xf>
    <xf numFmtId="49" fontId="19" fillId="0" borderId="14" xfId="0" applyNumberFormat="1" applyFont="1" applyBorder="1" applyAlignment="1">
      <alignment vertical="center"/>
    </xf>
    <xf numFmtId="0" fontId="5" fillId="0" borderId="9" xfId="0" applyFont="1" applyBorder="1" applyAlignment="1">
      <alignment horizontal="left" vertical="center" wrapText="1" indent="1"/>
    </xf>
    <xf numFmtId="0" fontId="19" fillId="0" borderId="4" xfId="0" applyFont="1" applyBorder="1" applyAlignment="1">
      <alignment horizontal="center"/>
    </xf>
    <xf numFmtId="1" fontId="19" fillId="0" borderId="4" xfId="0" applyNumberFormat="1" applyFont="1" applyBorder="1" applyAlignment="1">
      <alignment horizontal="center"/>
    </xf>
    <xf numFmtId="0" fontId="19" fillId="0" borderId="5" xfId="0" applyFont="1" applyBorder="1" applyAlignment="1">
      <alignment horizontal="center" wrapText="1"/>
    </xf>
    <xf numFmtId="49" fontId="39" fillId="0" borderId="0" xfId="0" applyNumberFormat="1" applyFont="1" applyAlignment="1">
      <alignment horizontal="center"/>
    </xf>
    <xf numFmtId="0" fontId="40" fillId="0" borderId="0" xfId="0" applyFont="1"/>
    <xf numFmtId="0" fontId="41" fillId="0" borderId="0" xfId="0" applyFont="1"/>
    <xf numFmtId="0" fontId="34" fillId="4" borderId="1" xfId="0" applyFont="1" applyFill="1" applyBorder="1" applyAlignment="1">
      <alignment horizontal="center" vertical="center" wrapText="1"/>
    </xf>
    <xf numFmtId="4" fontId="34" fillId="3" borderId="4" xfId="0" applyNumberFormat="1" applyFont="1" applyFill="1" applyBorder="1" applyAlignment="1">
      <alignment wrapText="1"/>
    </xf>
    <xf numFmtId="0" fontId="19" fillId="0" borderId="0" xfId="0" applyFont="1" applyAlignment="1">
      <alignment vertical="top" wrapText="1"/>
    </xf>
    <xf numFmtId="4" fontId="24" fillId="8" borderId="3" xfId="0" applyNumberFormat="1" applyFont="1" applyFill="1" applyBorder="1" applyAlignment="1">
      <alignment horizontal="center" vertical="center"/>
    </xf>
    <xf numFmtId="4" fontId="19" fillId="9" borderId="3" xfId="0" applyNumberFormat="1" applyFont="1" applyFill="1" applyBorder="1"/>
    <xf numFmtId="0" fontId="19" fillId="0" borderId="0" xfId="0" applyFont="1" applyAlignment="1">
      <alignment horizontal="right" vertical="top" wrapText="1"/>
    </xf>
    <xf numFmtId="4" fontId="24" fillId="8" borderId="6" xfId="0" applyNumberFormat="1" applyFont="1" applyFill="1" applyBorder="1" applyAlignment="1">
      <alignment horizontal="center" vertical="center"/>
    </xf>
    <xf numFmtId="4" fontId="34" fillId="0" borderId="1" xfId="0" applyNumberFormat="1" applyFont="1" applyBorder="1"/>
    <xf numFmtId="0" fontId="34" fillId="0" borderId="0" xfId="0" applyFont="1" applyAlignment="1">
      <alignment vertical="top" wrapText="1"/>
    </xf>
    <xf numFmtId="44" fontId="24" fillId="8" borderId="6" xfId="0" applyNumberFormat="1" applyFont="1" applyFill="1" applyBorder="1" applyAlignment="1">
      <alignment horizontal="center" vertical="center"/>
    </xf>
    <xf numFmtId="44" fontId="24" fillId="8" borderId="3" xfId="0" applyNumberFormat="1" applyFont="1" applyFill="1" applyBorder="1" applyAlignment="1">
      <alignment horizontal="center" vertical="center"/>
    </xf>
    <xf numFmtId="44" fontId="26" fillId="0" borderId="0" xfId="1" applyFont="1"/>
    <xf numFmtId="4" fontId="24" fillId="4" borderId="7" xfId="0" applyNumberFormat="1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/>
    </xf>
    <xf numFmtId="0" fontId="34" fillId="0" borderId="0" xfId="0" applyFont="1" applyAlignment="1">
      <alignment horizontal="center" vertical="top" wrapText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top" wrapText="1"/>
    </xf>
    <xf numFmtId="3" fontId="26" fillId="0" borderId="0" xfId="0" applyNumberFormat="1" applyFont="1"/>
    <xf numFmtId="3" fontId="0" fillId="0" borderId="0" xfId="0" applyNumberFormat="1"/>
    <xf numFmtId="0" fontId="5" fillId="0" borderId="4" xfId="0" applyFont="1" applyBorder="1" applyAlignment="1">
      <alignment horizontal="center" vertical="center" wrapText="1"/>
    </xf>
    <xf numFmtId="0" fontId="32" fillId="10" borderId="4" xfId="0" applyFont="1" applyFill="1" applyBorder="1" applyAlignment="1">
      <alignment horizontal="left" vertical="center" wrapText="1"/>
    </xf>
    <xf numFmtId="9" fontId="19" fillId="0" borderId="4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9" fontId="19" fillId="0" borderId="5" xfId="0" applyNumberFormat="1" applyFont="1" applyBorder="1" applyAlignment="1">
      <alignment horizontal="center"/>
    </xf>
    <xf numFmtId="9" fontId="19" fillId="0" borderId="18" xfId="0" applyNumberFormat="1" applyFont="1" applyBorder="1" applyAlignment="1">
      <alignment horizontal="center"/>
    </xf>
    <xf numFmtId="0" fontId="32" fillId="10" borderId="22" xfId="0" applyFont="1" applyFill="1" applyBorder="1" applyAlignment="1">
      <alignment horizontal="center" vertical="center" wrapText="1"/>
    </xf>
    <xf numFmtId="9" fontId="32" fillId="10" borderId="22" xfId="0" applyNumberFormat="1" applyFont="1" applyFill="1" applyBorder="1" applyAlignment="1">
      <alignment horizontal="center"/>
    </xf>
    <xf numFmtId="4" fontId="34" fillId="0" borderId="4" xfId="0" applyNumberFormat="1" applyFont="1" applyBorder="1" applyAlignment="1">
      <alignment wrapText="1"/>
    </xf>
    <xf numFmtId="0" fontId="5" fillId="10" borderId="10" xfId="0" applyFont="1" applyFill="1" applyBorder="1" applyAlignment="1">
      <alignment vertical="center" wrapText="1"/>
    </xf>
    <xf numFmtId="0" fontId="4" fillId="10" borderId="5" xfId="0" applyFont="1" applyFill="1" applyBorder="1" applyAlignment="1">
      <alignment wrapText="1"/>
    </xf>
    <xf numFmtId="0" fontId="4" fillId="10" borderId="5" xfId="0" applyFont="1" applyFill="1" applyBorder="1" applyAlignment="1">
      <alignment horizontal="right" wrapText="1"/>
    </xf>
    <xf numFmtId="4" fontId="4" fillId="10" borderId="5" xfId="0" applyNumberFormat="1" applyFont="1" applyFill="1" applyBorder="1" applyAlignment="1">
      <alignment wrapText="1"/>
    </xf>
    <xf numFmtId="10" fontId="5" fillId="10" borderId="5" xfId="2" applyNumberFormat="1" applyFont="1" applyFill="1" applyBorder="1" applyAlignment="1">
      <alignment horizontal="right" wrapText="1"/>
    </xf>
    <xf numFmtId="0" fontId="40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1" fillId="0" borderId="0" xfId="0" applyFont="1"/>
    <xf numFmtId="0" fontId="19" fillId="10" borderId="4" xfId="0" applyFont="1" applyFill="1" applyBorder="1" applyAlignment="1">
      <alignment horizontal="center"/>
    </xf>
    <xf numFmtId="0" fontId="19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 wrapText="1"/>
    </xf>
    <xf numFmtId="0" fontId="32" fillId="10" borderId="4" xfId="0" applyFont="1" applyFill="1" applyBorder="1" applyAlignment="1">
      <alignment horizontal="center"/>
    </xf>
    <xf numFmtId="0" fontId="32" fillId="10" borderId="7" xfId="0" applyFont="1" applyFill="1" applyBorder="1" applyAlignment="1">
      <alignment horizontal="left" vertical="center" wrapText="1" indent="1"/>
    </xf>
    <xf numFmtId="0" fontId="19" fillId="10" borderId="10" xfId="0" applyFont="1" applyFill="1" applyBorder="1" applyAlignment="1">
      <alignment horizontal="left" vertical="center" wrapText="1" inden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4" fontId="6" fillId="4" borderId="8" xfId="0" applyNumberFormat="1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4" fillId="6" borderId="7" xfId="0" applyFont="1" applyFill="1" applyBorder="1"/>
    <xf numFmtId="0" fontId="34" fillId="6" borderId="7" xfId="0" applyFont="1" applyFill="1" applyBorder="1"/>
    <xf numFmtId="0" fontId="4" fillId="3" borderId="12" xfId="0" applyFont="1" applyFill="1" applyBorder="1" applyAlignment="1">
      <alignment wrapText="1"/>
    </xf>
    <xf numFmtId="0" fontId="4" fillId="3" borderId="12" xfId="0" applyFont="1" applyFill="1" applyBorder="1" applyAlignment="1">
      <alignment horizontal="right" wrapText="1"/>
    </xf>
    <xf numFmtId="4" fontId="4" fillId="3" borderId="12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0" fontId="4" fillId="3" borderId="7" xfId="0" applyFont="1" applyFill="1" applyBorder="1" applyAlignment="1">
      <alignment horizontal="right" wrapText="1"/>
    </xf>
    <xf numFmtId="4" fontId="4" fillId="3" borderId="7" xfId="0" applyNumberFormat="1" applyFont="1" applyFill="1" applyBorder="1" applyAlignment="1">
      <alignment wrapText="1"/>
    </xf>
    <xf numFmtId="9" fontId="32" fillId="10" borderId="22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3" fillId="0" borderId="0" xfId="0" applyFont="1" applyAlignment="1">
      <alignment horizontal="left" vertical="center" wrapText="1"/>
    </xf>
    <xf numFmtId="0" fontId="17" fillId="0" borderId="0" xfId="0" applyFont="1" applyAlignment="1">
      <alignment vertical="center"/>
    </xf>
    <xf numFmtId="49" fontId="5" fillId="10" borderId="2" xfId="0" applyNumberFormat="1" applyFont="1" applyFill="1" applyBorder="1" applyAlignment="1">
      <alignment vertical="center"/>
    </xf>
    <xf numFmtId="49" fontId="17" fillId="10" borderId="7" xfId="0" applyNumberFormat="1" applyFont="1" applyFill="1" applyBorder="1" applyAlignment="1">
      <alignment vertical="center"/>
    </xf>
    <xf numFmtId="0" fontId="5" fillId="10" borderId="3" xfId="0" applyFont="1" applyFill="1" applyBorder="1" applyAlignment="1">
      <alignment vertical="center" wrapText="1"/>
    </xf>
    <xf numFmtId="0" fontId="5" fillId="10" borderId="4" xfId="0" applyFont="1" applyFill="1" applyBorder="1" applyAlignment="1">
      <alignment horizontal="center"/>
    </xf>
    <xf numFmtId="3" fontId="19" fillId="10" borderId="1" xfId="0" applyNumberFormat="1" applyFont="1" applyFill="1" applyBorder="1" applyAlignment="1">
      <alignment horizontal="right" wrapText="1"/>
    </xf>
    <xf numFmtId="3" fontId="19" fillId="0" borderId="4" xfId="0" applyNumberFormat="1" applyFont="1" applyBorder="1" applyAlignment="1">
      <alignment horizontal="right" wrapText="1"/>
    </xf>
    <xf numFmtId="3" fontId="19" fillId="0" borderId="18" xfId="0" applyNumberFormat="1" applyFont="1" applyBorder="1" applyAlignment="1">
      <alignment horizontal="right" wrapText="1"/>
    </xf>
    <xf numFmtId="3" fontId="19" fillId="10" borderId="22" xfId="0" applyNumberFormat="1" applyFont="1" applyFill="1" applyBorder="1" applyAlignment="1">
      <alignment horizontal="right" vertical="center" wrapText="1"/>
    </xf>
    <xf numFmtId="3" fontId="19" fillId="0" borderId="5" xfId="0" applyNumberFormat="1" applyFont="1" applyBorder="1" applyAlignment="1">
      <alignment wrapText="1"/>
    </xf>
    <xf numFmtId="3" fontId="19" fillId="0" borderId="1" xfId="0" applyNumberFormat="1" applyFont="1" applyBorder="1" applyAlignment="1">
      <alignment horizontal="right" wrapText="1"/>
    </xf>
    <xf numFmtId="3" fontId="19" fillId="10" borderId="22" xfId="0" applyNumberFormat="1" applyFont="1" applyFill="1" applyBorder="1" applyAlignment="1">
      <alignment horizontal="right" wrapText="1"/>
    </xf>
    <xf numFmtId="3" fontId="34" fillId="3" borderId="5" xfId="0" applyNumberFormat="1" applyFont="1" applyFill="1" applyBorder="1" applyAlignment="1">
      <alignment horizontal="right" wrapText="1"/>
    </xf>
    <xf numFmtId="3" fontId="34" fillId="4" borderId="1" xfId="0" applyNumberFormat="1" applyFont="1" applyFill="1" applyBorder="1" applyAlignment="1">
      <alignment wrapText="1"/>
    </xf>
    <xf numFmtId="3" fontId="19" fillId="10" borderId="1" xfId="0" applyNumberFormat="1" applyFont="1" applyFill="1" applyBorder="1" applyAlignment="1">
      <alignment wrapText="1"/>
    </xf>
    <xf numFmtId="3" fontId="34" fillId="3" borderId="1" xfId="0" applyNumberFormat="1" applyFont="1" applyFill="1" applyBorder="1" applyAlignment="1">
      <alignment horizontal="right" wrapText="1"/>
    </xf>
    <xf numFmtId="3" fontId="32" fillId="10" borderId="1" xfId="0" applyNumberFormat="1" applyFont="1" applyFill="1" applyBorder="1" applyAlignment="1">
      <alignment horizontal="right" wrapText="1"/>
    </xf>
    <xf numFmtId="3" fontId="19" fillId="0" borderId="5" xfId="0" applyNumberFormat="1" applyFont="1" applyBorder="1" applyAlignment="1">
      <alignment horizontal="right" wrapText="1"/>
    </xf>
    <xf numFmtId="3" fontId="19" fillId="0" borderId="19" xfId="0" applyNumberFormat="1" applyFont="1" applyBorder="1" applyAlignment="1">
      <alignment horizontal="right" wrapText="1"/>
    </xf>
    <xf numFmtId="3" fontId="32" fillId="10" borderId="23" xfId="0" applyNumberFormat="1" applyFont="1" applyFill="1" applyBorder="1" applyAlignment="1">
      <alignment horizontal="right" wrapText="1"/>
    </xf>
    <xf numFmtId="3" fontId="32" fillId="10" borderId="22" xfId="0" applyNumberFormat="1" applyFont="1" applyFill="1" applyBorder="1" applyAlignment="1">
      <alignment horizontal="right" vertical="center" wrapText="1"/>
    </xf>
    <xf numFmtId="3" fontId="32" fillId="10" borderId="1" xfId="0" applyNumberFormat="1" applyFont="1" applyFill="1" applyBorder="1" applyAlignment="1">
      <alignment wrapText="1"/>
    </xf>
    <xf numFmtId="3" fontId="23" fillId="0" borderId="0" xfId="0" applyNumberFormat="1" applyFont="1"/>
    <xf numFmtId="3" fontId="21" fillId="0" borderId="0" xfId="0" applyNumberFormat="1" applyFont="1"/>
    <xf numFmtId="3" fontId="19" fillId="0" borderId="24" xfId="0" applyNumberFormat="1" applyFont="1" applyBorder="1" applyAlignment="1">
      <alignment wrapText="1"/>
    </xf>
    <xf numFmtId="3" fontId="19" fillId="0" borderId="17" xfId="0" applyNumberFormat="1" applyFont="1" applyBorder="1" applyAlignment="1">
      <alignment wrapText="1"/>
    </xf>
    <xf numFmtId="3" fontId="19" fillId="0" borderId="25" xfId="0" applyNumberFormat="1" applyFont="1" applyBorder="1" applyAlignment="1">
      <alignment wrapText="1"/>
    </xf>
    <xf numFmtId="3" fontId="19" fillId="10" borderId="26" xfId="0" applyNumberFormat="1" applyFont="1" applyFill="1" applyBorder="1" applyAlignment="1">
      <alignment vertical="center" wrapText="1"/>
    </xf>
    <xf numFmtId="3" fontId="19" fillId="10" borderId="21" xfId="0" applyNumberFormat="1" applyFont="1" applyFill="1" applyBorder="1" applyAlignment="1">
      <alignment vertical="center" wrapText="1"/>
    </xf>
    <xf numFmtId="3" fontId="19" fillId="10" borderId="27" xfId="0" applyNumberFormat="1" applyFont="1" applyFill="1" applyBorder="1" applyAlignment="1">
      <alignment vertical="center" wrapText="1"/>
    </xf>
    <xf numFmtId="3" fontId="21" fillId="0" borderId="0" xfId="0" applyNumberFormat="1" applyFont="1" applyAlignment="1">
      <alignment vertical="center"/>
    </xf>
    <xf numFmtId="3" fontId="19" fillId="0" borderId="15" xfId="0" applyNumberFormat="1" applyFont="1" applyBorder="1" applyAlignment="1">
      <alignment wrapText="1"/>
    </xf>
    <xf numFmtId="3" fontId="19" fillId="0" borderId="5" xfId="1" applyNumberFormat="1" applyFont="1" applyFill="1" applyBorder="1" applyAlignment="1">
      <alignment horizontal="center"/>
    </xf>
    <xf numFmtId="3" fontId="19" fillId="0" borderId="1" xfId="1" applyNumberFormat="1" applyFont="1" applyFill="1" applyBorder="1" applyAlignment="1">
      <alignment horizontal="center"/>
    </xf>
    <xf numFmtId="3" fontId="19" fillId="0" borderId="4" xfId="1" applyNumberFormat="1" applyFont="1" applyFill="1" applyBorder="1" applyAlignment="1">
      <alignment horizontal="center"/>
    </xf>
    <xf numFmtId="3" fontId="19" fillId="0" borderId="29" xfId="0" applyNumberFormat="1" applyFont="1" applyBorder="1" applyAlignment="1">
      <alignment horizontal="right" wrapText="1"/>
    </xf>
    <xf numFmtId="3" fontId="19" fillId="0" borderId="18" xfId="1" applyNumberFormat="1" applyFont="1" applyFill="1" applyBorder="1" applyAlignment="1">
      <alignment horizontal="center"/>
    </xf>
    <xf numFmtId="3" fontId="32" fillId="10" borderId="30" xfId="0" applyNumberFormat="1" applyFont="1" applyFill="1" applyBorder="1" applyAlignment="1">
      <alignment horizontal="right" wrapText="1"/>
    </xf>
    <xf numFmtId="3" fontId="32" fillId="10" borderId="22" xfId="1" applyNumberFormat="1" applyFont="1" applyFill="1" applyBorder="1" applyAlignment="1">
      <alignment horizontal="center"/>
    </xf>
    <xf numFmtId="3" fontId="36" fillId="0" borderId="0" xfId="0" applyNumberFormat="1" applyFont="1"/>
    <xf numFmtId="3" fontId="24" fillId="8" borderId="3" xfId="0" applyNumberFormat="1" applyFont="1" applyFill="1" applyBorder="1" applyAlignment="1">
      <alignment horizontal="center" vertical="center"/>
    </xf>
    <xf numFmtId="3" fontId="19" fillId="0" borderId="1" xfId="0" applyNumberFormat="1" applyFont="1" applyBorder="1" applyAlignment="1">
      <alignment wrapText="1"/>
    </xf>
    <xf numFmtId="3" fontId="34" fillId="3" borderId="1" xfId="0" applyNumberFormat="1" applyFont="1" applyFill="1" applyBorder="1" applyAlignment="1">
      <alignment horizontal="right"/>
    </xf>
    <xf numFmtId="3" fontId="34" fillId="0" borderId="1" xfId="0" applyNumberFormat="1" applyFont="1" applyBorder="1" applyAlignment="1">
      <alignment horizontal="right" wrapText="1"/>
    </xf>
    <xf numFmtId="0" fontId="19" fillId="0" borderId="4" xfId="0" applyFont="1" applyBorder="1" applyAlignment="1">
      <alignment horizontal="left" wrapText="1"/>
    </xf>
    <xf numFmtId="0" fontId="5" fillId="0" borderId="4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164" fontId="5" fillId="0" borderId="5" xfId="4" applyNumberFormat="1" applyFont="1" applyFill="1" applyBorder="1" applyAlignment="1">
      <alignment wrapText="1"/>
    </xf>
    <xf numFmtId="164" fontId="5" fillId="0" borderId="5" xfId="4" applyNumberFormat="1" applyFont="1" applyBorder="1" applyAlignment="1">
      <alignment wrapText="1"/>
    </xf>
    <xf numFmtId="164" fontId="19" fillId="0" borderId="5" xfId="4" applyNumberFormat="1" applyFont="1" applyBorder="1" applyAlignment="1">
      <alignment horizontal="right" wrapText="1"/>
    </xf>
    <xf numFmtId="164" fontId="19" fillId="0" borderId="0" xfId="4" applyNumberFormat="1" applyFont="1" applyAlignment="1">
      <alignment horizontal="right" vertical="top" wrapText="1"/>
    </xf>
    <xf numFmtId="164" fontId="19" fillId="0" borderId="1" xfId="4" applyNumberFormat="1" applyFont="1" applyBorder="1"/>
    <xf numFmtId="164" fontId="19" fillId="0" borderId="1" xfId="4" applyNumberFormat="1" applyFont="1" applyBorder="1" applyAlignment="1">
      <alignment horizontal="right" wrapText="1"/>
    </xf>
    <xf numFmtId="164" fontId="21" fillId="0" borderId="0" xfId="4" applyNumberFormat="1" applyFont="1"/>
    <xf numFmtId="164" fontId="4" fillId="3" borderId="7" xfId="4" applyNumberFormat="1" applyFont="1" applyFill="1" applyBorder="1"/>
    <xf numFmtId="164" fontId="34" fillId="3" borderId="1" xfId="4" applyNumberFormat="1" applyFont="1" applyFill="1" applyBorder="1" applyAlignment="1">
      <alignment horizontal="right" wrapText="1"/>
    </xf>
    <xf numFmtId="164" fontId="37" fillId="0" borderId="0" xfId="4" applyNumberFormat="1" applyFont="1"/>
    <xf numFmtId="164" fontId="32" fillId="10" borderId="1" xfId="4" applyNumberFormat="1" applyFont="1" applyFill="1" applyBorder="1" applyAlignment="1">
      <alignment horizontal="center"/>
    </xf>
    <xf numFmtId="164" fontId="19" fillId="0" borderId="4" xfId="4" applyNumberFormat="1" applyFont="1" applyFill="1" applyBorder="1" applyAlignment="1">
      <alignment horizontal="center"/>
    </xf>
    <xf numFmtId="164" fontId="19" fillId="0" borderId="18" xfId="4" applyNumberFormat="1" applyFont="1" applyFill="1" applyBorder="1" applyAlignment="1">
      <alignment horizontal="center"/>
    </xf>
    <xf numFmtId="164" fontId="32" fillId="10" borderId="22" xfId="4" applyNumberFormat="1" applyFont="1" applyFill="1" applyBorder="1" applyAlignment="1">
      <alignment horizontal="center" vertical="center"/>
    </xf>
    <xf numFmtId="164" fontId="19" fillId="0" borderId="5" xfId="4" applyNumberFormat="1" applyFont="1" applyFill="1" applyBorder="1" applyAlignment="1">
      <alignment horizontal="center"/>
    </xf>
    <xf numFmtId="164" fontId="19" fillId="0" borderId="1" xfId="4" applyNumberFormat="1" applyFont="1" applyFill="1" applyBorder="1" applyAlignment="1">
      <alignment horizontal="center"/>
    </xf>
    <xf numFmtId="164" fontId="19" fillId="0" borderId="28" xfId="4" applyNumberFormat="1" applyFont="1" applyFill="1" applyBorder="1" applyAlignment="1">
      <alignment horizontal="center"/>
    </xf>
    <xf numFmtId="164" fontId="32" fillId="10" borderId="22" xfId="4" applyNumberFormat="1" applyFont="1" applyFill="1" applyBorder="1" applyAlignment="1">
      <alignment horizontal="center"/>
    </xf>
    <xf numFmtId="164" fontId="5" fillId="0" borderId="4" xfId="4" applyNumberFormat="1" applyFont="1" applyFill="1" applyBorder="1"/>
    <xf numFmtId="164" fontId="4" fillId="0" borderId="4" xfId="4" applyNumberFormat="1" applyFont="1" applyBorder="1"/>
    <xf numFmtId="164" fontId="34" fillId="0" borderId="0" xfId="4" applyNumberFormat="1" applyFont="1" applyAlignment="1">
      <alignment horizontal="right" vertical="top" wrapText="1"/>
    </xf>
    <xf numFmtId="164" fontId="19" fillId="0" borderId="1" xfId="4" applyNumberFormat="1" applyFont="1" applyBorder="1" applyAlignment="1">
      <alignment horizontal="right"/>
    </xf>
    <xf numFmtId="164" fontId="26" fillId="0" borderId="0" xfId="4" applyNumberFormat="1" applyFont="1"/>
    <xf numFmtId="164" fontId="4" fillId="6" borderId="7" xfId="4" applyNumberFormat="1" applyFont="1" applyFill="1" applyBorder="1"/>
    <xf numFmtId="164" fontId="32" fillId="10" borderId="1" xfId="4" applyNumberFormat="1" applyFont="1" applyFill="1" applyBorder="1" applyAlignment="1">
      <alignment horizontal="center" vertical="center"/>
    </xf>
    <xf numFmtId="164" fontId="19" fillId="10" borderId="1" xfId="4" applyNumberFormat="1" applyFont="1" applyFill="1" applyBorder="1" applyAlignment="1">
      <alignment wrapText="1"/>
    </xf>
    <xf numFmtId="164" fontId="32" fillId="10" borderId="1" xfId="4" applyNumberFormat="1" applyFont="1" applyFill="1" applyBorder="1" applyAlignment="1">
      <alignment wrapText="1"/>
    </xf>
    <xf numFmtId="164" fontId="34" fillId="0" borderId="0" xfId="4" applyNumberFormat="1" applyFont="1" applyAlignment="1">
      <alignment vertical="top" wrapText="1"/>
    </xf>
    <xf numFmtId="164" fontId="19" fillId="10" borderId="1" xfId="4" applyNumberFormat="1" applyFont="1" applyFill="1" applyBorder="1"/>
    <xf numFmtId="164" fontId="19" fillId="10" borderId="1" xfId="4" applyNumberFormat="1" applyFont="1" applyFill="1" applyBorder="1" applyAlignment="1">
      <alignment horizontal="right" wrapText="1"/>
    </xf>
    <xf numFmtId="164" fontId="32" fillId="10" borderId="1" xfId="4" applyNumberFormat="1" applyFont="1" applyFill="1" applyBorder="1" applyAlignment="1">
      <alignment horizontal="right" wrapText="1"/>
    </xf>
    <xf numFmtId="164" fontId="32" fillId="10" borderId="4" xfId="4" applyNumberFormat="1" applyFont="1" applyFill="1" applyBorder="1" applyAlignment="1">
      <alignment horizontal="center"/>
    </xf>
    <xf numFmtId="164" fontId="34" fillId="6" borderId="7" xfId="4" applyNumberFormat="1" applyFont="1" applyFill="1" applyBorder="1"/>
    <xf numFmtId="164" fontId="34" fillId="3" borderId="1" xfId="4" applyNumberFormat="1" applyFont="1" applyFill="1" applyBorder="1" applyAlignment="1">
      <alignment wrapText="1"/>
    </xf>
    <xf numFmtId="164" fontId="34" fillId="3" borderId="5" xfId="4" applyNumberFormat="1" applyFont="1" applyFill="1" applyBorder="1" applyAlignment="1">
      <alignment wrapText="1"/>
    </xf>
    <xf numFmtId="164" fontId="19" fillId="0" borderId="4" xfId="4" applyNumberFormat="1" applyFont="1" applyFill="1" applyBorder="1"/>
    <xf numFmtId="164" fontId="4" fillId="10" borderId="4" xfId="4" applyNumberFormat="1" applyFont="1" applyFill="1" applyBorder="1"/>
    <xf numFmtId="164" fontId="34" fillId="10" borderId="0" xfId="4" applyNumberFormat="1" applyFont="1" applyFill="1" applyAlignment="1">
      <alignment horizontal="right" vertical="top" wrapText="1"/>
    </xf>
    <xf numFmtId="164" fontId="19" fillId="10" borderId="1" xfId="4" applyNumberFormat="1" applyFont="1" applyFill="1" applyBorder="1" applyAlignment="1">
      <alignment horizontal="right"/>
    </xf>
    <xf numFmtId="164" fontId="26" fillId="10" borderId="0" xfId="4" applyNumberFormat="1" applyFont="1" applyFill="1"/>
    <xf numFmtId="164" fontId="32" fillId="10" borderId="4" xfId="4" applyNumberFormat="1" applyFont="1" applyFill="1" applyBorder="1"/>
    <xf numFmtId="164" fontId="19" fillId="3" borderId="1" xfId="4" applyNumberFormat="1" applyFont="1" applyFill="1" applyBorder="1" applyAlignment="1">
      <alignment horizontal="right" wrapText="1"/>
    </xf>
    <xf numFmtId="164" fontId="19" fillId="3" borderId="4" xfId="4" applyNumberFormat="1" applyFont="1" applyFill="1" applyBorder="1" applyAlignment="1"/>
    <xf numFmtId="164" fontId="19" fillId="3" borderId="4" xfId="4" applyNumberFormat="1" applyFont="1" applyFill="1" applyBorder="1"/>
    <xf numFmtId="164" fontId="4" fillId="3" borderId="4" xfId="4" applyNumberFormat="1" applyFont="1" applyFill="1" applyBorder="1"/>
    <xf numFmtId="164" fontId="19" fillId="0" borderId="1" xfId="4" applyNumberFormat="1" applyFont="1" applyFill="1" applyBorder="1" applyAlignment="1">
      <alignment horizontal="center" vertical="center"/>
    </xf>
    <xf numFmtId="164" fontId="19" fillId="0" borderId="1" xfId="4" applyNumberFormat="1" applyFont="1" applyBorder="1" applyAlignment="1">
      <alignment horizontal="center" vertical="center"/>
    </xf>
    <xf numFmtId="164" fontId="19" fillId="0" borderId="1" xfId="4" applyNumberFormat="1" applyFont="1" applyBorder="1" applyAlignment="1">
      <alignment wrapText="1"/>
    </xf>
    <xf numFmtId="164" fontId="6" fillId="4" borderId="7" xfId="4" applyNumberFormat="1" applyFont="1" applyFill="1" applyBorder="1" applyAlignment="1">
      <alignment horizontal="center" vertical="center" wrapText="1"/>
    </xf>
    <xf numFmtId="164" fontId="34" fillId="4" borderId="3" xfId="4" applyNumberFormat="1" applyFont="1" applyFill="1" applyBorder="1" applyAlignment="1">
      <alignment horizontal="right" vertical="center" wrapText="1"/>
    </xf>
    <xf numFmtId="164" fontId="34" fillId="4" borderId="1" xfId="4" applyNumberFormat="1" applyFont="1" applyFill="1" applyBorder="1" applyAlignment="1">
      <alignment vertical="center" wrapText="1"/>
    </xf>
    <xf numFmtId="164" fontId="42" fillId="5" borderId="3" xfId="4" applyNumberFormat="1" applyFont="1" applyFill="1" applyBorder="1" applyAlignment="1">
      <alignment horizontal="right" vertical="center" wrapText="1"/>
    </xf>
    <xf numFmtId="164" fontId="42" fillId="5" borderId="1" xfId="4" applyNumberFormat="1" applyFont="1" applyFill="1" applyBorder="1" applyAlignment="1">
      <alignment wrapText="1"/>
    </xf>
    <xf numFmtId="3" fontId="14" fillId="6" borderId="1" xfId="0" applyNumberFormat="1" applyFont="1" applyFill="1" applyBorder="1" applyAlignment="1">
      <alignment horizontal="right" vertical="center" wrapText="1"/>
    </xf>
    <xf numFmtId="3" fontId="2" fillId="5" borderId="1" xfId="0" applyNumberFormat="1" applyFont="1" applyFill="1" applyBorder="1" applyAlignment="1">
      <alignment horizontal="right" vertical="center" wrapText="1"/>
    </xf>
    <xf numFmtId="164" fontId="34" fillId="4" borderId="1" xfId="4" applyNumberFormat="1" applyFont="1" applyFill="1" applyBorder="1" applyAlignment="1">
      <alignment horizontal="right" vertical="center" wrapText="1"/>
    </xf>
    <xf numFmtId="164" fontId="42" fillId="5" borderId="1" xfId="4" applyNumberFormat="1" applyFont="1" applyFill="1" applyBorder="1" applyAlignment="1">
      <alignment horizontal="right" vertical="center" wrapText="1"/>
    </xf>
    <xf numFmtId="164" fontId="32" fillId="10" borderId="1" xfId="4" applyNumberFormat="1" applyFont="1" applyFill="1" applyBorder="1"/>
    <xf numFmtId="164" fontId="23" fillId="0" borderId="0" xfId="0" applyNumberFormat="1" applyFont="1" applyAlignment="1">
      <alignment horizontal="left" wrapText="1"/>
    </xf>
    <xf numFmtId="0" fontId="32" fillId="0" borderId="18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3" fontId="19" fillId="0" borderId="33" xfId="0" applyNumberFormat="1" applyFont="1" applyBorder="1" applyAlignment="1">
      <alignment horizontal="right" wrapText="1"/>
    </xf>
    <xf numFmtId="3" fontId="19" fillId="0" borderId="34" xfId="0" applyNumberFormat="1" applyFont="1" applyBorder="1" applyAlignment="1">
      <alignment horizontal="right" wrapText="1"/>
    </xf>
    <xf numFmtId="3" fontId="19" fillId="0" borderId="15" xfId="1" applyNumberFormat="1" applyFont="1" applyFill="1" applyBorder="1" applyAlignment="1">
      <alignment horizontal="center"/>
    </xf>
    <xf numFmtId="164" fontId="32" fillId="0" borderId="4" xfId="4" applyNumberFormat="1" applyFont="1" applyFill="1" applyBorder="1" applyAlignment="1">
      <alignment horizontal="center"/>
    </xf>
    <xf numFmtId="3" fontId="19" fillId="0" borderId="34" xfId="0" applyNumberFormat="1" applyFont="1" applyBorder="1" applyAlignment="1">
      <alignment wrapText="1"/>
    </xf>
    <xf numFmtId="3" fontId="19" fillId="0" borderId="33" xfId="0" applyNumberFormat="1" applyFont="1" applyBorder="1" applyAlignment="1">
      <alignment wrapText="1"/>
    </xf>
    <xf numFmtId="3" fontId="32" fillId="0" borderId="1" xfId="0" applyNumberFormat="1" applyFont="1" applyBorder="1" applyAlignment="1">
      <alignment horizontal="right" wrapText="1"/>
    </xf>
    <xf numFmtId="3" fontId="32" fillId="0" borderId="4" xfId="0" applyNumberFormat="1" applyFont="1" applyBorder="1" applyAlignment="1">
      <alignment horizontal="right" wrapText="1"/>
    </xf>
    <xf numFmtId="0" fontId="32" fillId="0" borderId="4" xfId="0" applyFont="1" applyBorder="1" applyAlignment="1">
      <alignment horizontal="center" vertical="center" wrapText="1"/>
    </xf>
    <xf numFmtId="164" fontId="32" fillId="0" borderId="15" xfId="4" applyNumberFormat="1" applyFont="1" applyFill="1" applyBorder="1" applyAlignment="1">
      <alignment horizontal="center"/>
    </xf>
    <xf numFmtId="9" fontId="32" fillId="0" borderId="15" xfId="0" applyNumberFormat="1" applyFont="1" applyBorder="1" applyAlignment="1">
      <alignment horizontal="center"/>
    </xf>
    <xf numFmtId="164" fontId="32" fillId="0" borderId="6" xfId="4" applyNumberFormat="1" applyFont="1" applyFill="1" applyBorder="1" applyAlignment="1">
      <alignment horizontal="center"/>
    </xf>
    <xf numFmtId="3" fontId="32" fillId="0" borderId="15" xfId="0" applyNumberFormat="1" applyFont="1" applyBorder="1" applyAlignment="1">
      <alignment horizontal="right" wrapText="1"/>
    </xf>
    <xf numFmtId="3" fontId="32" fillId="10" borderId="36" xfId="0" applyNumberFormat="1" applyFont="1" applyFill="1" applyBorder="1" applyAlignment="1">
      <alignment horizontal="right" vertical="center" wrapText="1"/>
    </xf>
    <xf numFmtId="164" fontId="19" fillId="0" borderId="17" xfId="4" applyNumberFormat="1" applyFont="1" applyFill="1" applyBorder="1" applyAlignment="1">
      <alignment horizontal="center"/>
    </xf>
    <xf numFmtId="3" fontId="32" fillId="10" borderId="23" xfId="0" applyNumberFormat="1" applyFont="1" applyFill="1" applyBorder="1" applyAlignment="1">
      <alignment wrapText="1"/>
    </xf>
    <xf numFmtId="0" fontId="32" fillId="0" borderId="1" xfId="0" applyFont="1" applyBorder="1" applyAlignment="1">
      <alignment horizontal="center" vertical="center" wrapText="1"/>
    </xf>
    <xf numFmtId="3" fontId="17" fillId="0" borderId="18" xfId="0" applyNumberFormat="1" applyFont="1" applyBorder="1"/>
    <xf numFmtId="1" fontId="32" fillId="0" borderId="4" xfId="0" applyNumberFormat="1" applyFont="1" applyBorder="1" applyAlignment="1">
      <alignment horizontal="center" wrapText="1"/>
    </xf>
    <xf numFmtId="3" fontId="32" fillId="10" borderId="32" xfId="0" applyNumberFormat="1" applyFont="1" applyFill="1" applyBorder="1"/>
    <xf numFmtId="3" fontId="32" fillId="0" borderId="31" xfId="0" applyNumberFormat="1" applyFont="1" applyBorder="1"/>
    <xf numFmtId="3" fontId="32" fillId="0" borderId="35" xfId="0" applyNumberFormat="1" applyFont="1" applyBorder="1"/>
    <xf numFmtId="3" fontId="32" fillId="0" borderId="37" xfId="0" applyNumberFormat="1" applyFont="1" applyBorder="1" applyAlignment="1">
      <alignment wrapText="1"/>
    </xf>
    <xf numFmtId="3" fontId="32" fillId="10" borderId="32" xfId="0" applyNumberFormat="1" applyFont="1" applyFill="1" applyBorder="1" applyAlignment="1">
      <alignment wrapText="1"/>
    </xf>
    <xf numFmtId="3" fontId="17" fillId="0" borderId="31" xfId="0" applyNumberFormat="1" applyFont="1" applyBorder="1"/>
    <xf numFmtId="9" fontId="19" fillId="0" borderId="15" xfId="0" applyNumberFormat="1" applyFont="1" applyBorder="1" applyAlignment="1">
      <alignment horizontal="center"/>
    </xf>
    <xf numFmtId="3" fontId="32" fillId="0" borderId="38" xfId="0" applyNumberFormat="1" applyFont="1" applyBorder="1" applyAlignment="1">
      <alignment wrapText="1"/>
    </xf>
    <xf numFmtId="164" fontId="5" fillId="0" borderId="19" xfId="0" applyNumberFormat="1" applyFont="1" applyBorder="1"/>
    <xf numFmtId="3" fontId="32" fillId="0" borderId="4" xfId="0" applyNumberFormat="1" applyFont="1" applyBorder="1" applyAlignment="1">
      <alignment horizontal="right" vertical="center" wrapText="1"/>
    </xf>
    <xf numFmtId="3" fontId="32" fillId="0" borderId="37" xfId="0" applyNumberFormat="1" applyFont="1" applyBorder="1" applyAlignment="1">
      <alignment horizontal="right" wrapText="1"/>
    </xf>
    <xf numFmtId="0" fontId="23" fillId="0" borderId="0" xfId="0" applyFont="1" applyAlignment="1">
      <alignment horizontal="left" wrapText="1"/>
    </xf>
    <xf numFmtId="49" fontId="19" fillId="0" borderId="5" xfId="0" applyNumberFormat="1" applyFont="1" applyBorder="1" applyAlignment="1">
      <alignment horizontal="center" vertical="center"/>
    </xf>
    <xf numFmtId="49" fontId="19" fillId="10" borderId="16" xfId="0" applyNumberFormat="1" applyFont="1" applyFill="1" applyBorder="1" applyAlignment="1">
      <alignment horizontal="center" vertical="center"/>
    </xf>
    <xf numFmtId="49" fontId="19" fillId="10" borderId="6" xfId="0" applyNumberFormat="1" applyFont="1" applyFill="1" applyBorder="1" applyAlignment="1">
      <alignment horizontal="center" vertical="center"/>
    </xf>
    <xf numFmtId="49" fontId="19" fillId="10" borderId="20" xfId="0" applyNumberFormat="1" applyFont="1" applyFill="1" applyBorder="1" applyAlignment="1">
      <alignment horizontal="center" vertical="center"/>
    </xf>
    <xf numFmtId="0" fontId="19" fillId="10" borderId="18" xfId="0" applyFont="1" applyFill="1" applyBorder="1" applyAlignment="1">
      <alignment horizontal="left" vertical="center" wrapText="1"/>
    </xf>
    <xf numFmtId="0" fontId="19" fillId="10" borderId="15" xfId="0" applyFont="1" applyFill="1" applyBorder="1" applyAlignment="1">
      <alignment horizontal="left" vertical="center" wrapText="1"/>
    </xf>
    <xf numFmtId="0" fontId="19" fillId="10" borderId="22" xfId="0" applyFont="1" applyFill="1" applyBorder="1" applyAlignment="1">
      <alignment horizontal="left" vertical="center" wrapText="1"/>
    </xf>
    <xf numFmtId="0" fontId="5" fillId="10" borderId="18" xfId="0" applyFont="1" applyFill="1" applyBorder="1" applyAlignment="1">
      <alignment horizontal="center" vertical="center" wrapText="1"/>
    </xf>
    <xf numFmtId="0" fontId="5" fillId="10" borderId="15" xfId="0" applyFont="1" applyFill="1" applyBorder="1" applyAlignment="1">
      <alignment horizontal="center" vertical="center" wrapText="1"/>
    </xf>
    <xf numFmtId="0" fontId="5" fillId="10" borderId="22" xfId="0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/>
    </xf>
    <xf numFmtId="0" fontId="19" fillId="10" borderId="17" xfId="0" applyFont="1" applyFill="1" applyBorder="1" applyAlignment="1">
      <alignment horizontal="left" vertical="center" wrapText="1"/>
    </xf>
    <xf numFmtId="0" fontId="19" fillId="10" borderId="21" xfId="0" applyFont="1" applyFill="1" applyBorder="1" applyAlignment="1">
      <alignment horizontal="left" vertical="center" wrapText="1"/>
    </xf>
    <xf numFmtId="49" fontId="19" fillId="0" borderId="4" xfId="0" applyNumberFormat="1" applyFont="1" applyBorder="1" applyAlignment="1">
      <alignment horizontal="center"/>
    </xf>
    <xf numFmtId="0" fontId="5" fillId="10" borderId="17" xfId="0" applyFont="1" applyFill="1" applyBorder="1" applyAlignment="1">
      <alignment horizontal="center" vertical="center" wrapText="1"/>
    </xf>
    <xf numFmtId="0" fontId="5" fillId="10" borderId="21" xfId="0" applyFont="1" applyFill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38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horizontal="center" vertical="center" wrapText="1"/>
    </xf>
    <xf numFmtId="49" fontId="19" fillId="3" borderId="14" xfId="0" applyNumberFormat="1" applyFont="1" applyFill="1" applyBorder="1"/>
    <xf numFmtId="49" fontId="19" fillId="0" borderId="8" xfId="0" applyNumberFormat="1" applyFont="1" applyBorder="1" applyAlignment="1">
      <alignment horizontal="center" vertical="center"/>
    </xf>
    <xf numFmtId="49" fontId="19" fillId="0" borderId="9" xfId="0" applyNumberFormat="1" applyFont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 wrapText="1"/>
    </xf>
    <xf numFmtId="49" fontId="32" fillId="10" borderId="7" xfId="0" applyNumberFormat="1" applyFont="1" applyFill="1" applyBorder="1" applyAlignment="1">
      <alignment horizontal="center" vertical="center"/>
    </xf>
    <xf numFmtId="49" fontId="32" fillId="10" borderId="3" xfId="0" applyNumberFormat="1" applyFont="1" applyFill="1" applyBorder="1" applyAlignment="1">
      <alignment horizontal="center" vertical="center"/>
    </xf>
    <xf numFmtId="10" fontId="9" fillId="4" borderId="7" xfId="0" applyNumberFormat="1" applyFont="1" applyFill="1" applyBorder="1" applyAlignment="1">
      <alignment horizontal="left" vertical="center" wrapText="1"/>
    </xf>
    <xf numFmtId="0" fontId="9" fillId="4" borderId="7" xfId="0" applyFont="1" applyFill="1" applyBorder="1" applyAlignment="1">
      <alignment horizontal="left" vertical="center" wrapText="1"/>
    </xf>
    <xf numFmtId="49" fontId="19" fillId="10" borderId="11" xfId="0" applyNumberFormat="1" applyFont="1" applyFill="1" applyBorder="1" applyAlignment="1">
      <alignment vertical="center"/>
    </xf>
    <xf numFmtId="0" fontId="9" fillId="4" borderId="12" xfId="0" applyFont="1" applyFill="1" applyBorder="1" applyAlignment="1">
      <alignment horizontal="left" vertical="center" wrapText="1"/>
    </xf>
    <xf numFmtId="49" fontId="19" fillId="10" borderId="2" xfId="0" applyNumberFormat="1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wrapText="1"/>
    </xf>
    <xf numFmtId="0" fontId="5" fillId="6" borderId="2" xfId="0" applyFont="1" applyFill="1" applyBorder="1" applyAlignment="1">
      <alignment horizontal="left"/>
    </xf>
    <xf numFmtId="0" fontId="5" fillId="6" borderId="7" xfId="0" applyFont="1" applyFill="1" applyBorder="1" applyAlignment="1">
      <alignment horizontal="left"/>
    </xf>
    <xf numFmtId="49" fontId="32" fillId="10" borderId="2" xfId="0" applyNumberFormat="1" applyFont="1" applyFill="1" applyBorder="1" applyAlignment="1">
      <alignment vertical="center"/>
    </xf>
    <xf numFmtId="49" fontId="32" fillId="10" borderId="7" xfId="0" applyNumberFormat="1" applyFont="1" applyFill="1" applyBorder="1" applyAlignment="1">
      <alignment vertical="center"/>
    </xf>
    <xf numFmtId="49" fontId="9" fillId="4" borderId="3" xfId="0" applyNumberFormat="1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 wrapText="1"/>
    </xf>
    <xf numFmtId="0" fontId="5" fillId="6" borderId="2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top" wrapText="1"/>
    </xf>
    <xf numFmtId="49" fontId="11" fillId="0" borderId="0" xfId="0" applyNumberFormat="1" applyFont="1" applyAlignment="1">
      <alignment horizontal="center"/>
    </xf>
    <xf numFmtId="49" fontId="38" fillId="0" borderId="0" xfId="0" applyNumberFormat="1" applyFont="1" applyAlignment="1">
      <alignment horizontal="center" wrapText="1"/>
    </xf>
    <xf numFmtId="49" fontId="11" fillId="0" borderId="0" xfId="0" applyNumberFormat="1" applyFont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9" fillId="4" borderId="1" xfId="0" applyFont="1" applyFill="1" applyBorder="1" applyAlignment="1">
      <alignment vertical="center" wrapText="1"/>
    </xf>
    <xf numFmtId="49" fontId="13" fillId="6" borderId="1" xfId="0" applyNumberFormat="1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49" fontId="19" fillId="3" borderId="8" xfId="0" applyNumberFormat="1" applyFont="1" applyFill="1" applyBorder="1"/>
    <xf numFmtId="49" fontId="19" fillId="10" borderId="39" xfId="0" applyNumberFormat="1" applyFont="1" applyFill="1" applyBorder="1" applyAlignment="1">
      <alignment horizontal="center" vertical="center"/>
    </xf>
    <xf numFmtId="49" fontId="19" fillId="10" borderId="0" xfId="0" applyNumberFormat="1" applyFont="1" applyFill="1" applyBorder="1" applyAlignment="1">
      <alignment horizontal="center" vertical="center"/>
    </xf>
    <xf numFmtId="49" fontId="19" fillId="10" borderId="40" xfId="0" applyNumberFormat="1" applyFont="1" applyFill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/>
    </xf>
    <xf numFmtId="49" fontId="19" fillId="0" borderId="9" xfId="0" applyNumberFormat="1" applyFont="1" applyBorder="1" applyAlignment="1">
      <alignment horizontal="center"/>
    </xf>
    <xf numFmtId="0" fontId="5" fillId="3" borderId="12" xfId="0" applyFont="1" applyFill="1" applyBorder="1" applyAlignment="1">
      <alignment horizontal="left" wrapText="1"/>
    </xf>
    <xf numFmtId="49" fontId="9" fillId="4" borderId="7" xfId="0" applyNumberFormat="1" applyFont="1" applyFill="1" applyBorder="1" applyAlignment="1">
      <alignment horizontal="left" vertical="center"/>
    </xf>
    <xf numFmtId="49" fontId="19" fillId="10" borderId="7" xfId="0" applyNumberFormat="1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wrapText="1"/>
    </xf>
    <xf numFmtId="49" fontId="5" fillId="0" borderId="7" xfId="0" applyNumberFormat="1" applyFont="1" applyBorder="1"/>
    <xf numFmtId="49" fontId="5" fillId="0" borderId="12" xfId="0" applyNumberFormat="1" applyFont="1" applyBorder="1" applyAlignment="1">
      <alignment vertical="center"/>
    </xf>
    <xf numFmtId="0" fontId="19" fillId="0" borderId="1" xfId="0" applyFont="1" applyBorder="1" applyAlignment="1">
      <alignment horizontal="left"/>
    </xf>
    <xf numFmtId="49" fontId="41" fillId="6" borderId="1" xfId="0" applyNumberFormat="1" applyFont="1" applyFill="1" applyBorder="1" applyAlignment="1">
      <alignment vertical="center"/>
    </xf>
    <xf numFmtId="49" fontId="13" fillId="6" borderId="2" xfId="0" applyNumberFormat="1" applyFont="1" applyFill="1" applyBorder="1" applyAlignment="1">
      <alignment vertical="center"/>
    </xf>
    <xf numFmtId="0" fontId="13" fillId="0" borderId="1" xfId="0" applyFont="1" applyBorder="1"/>
    <xf numFmtId="0" fontId="13" fillId="0" borderId="7" xfId="0" applyFont="1" applyBorder="1" applyAlignment="1">
      <alignment horizontal="left"/>
    </xf>
    <xf numFmtId="0" fontId="13" fillId="0" borderId="2" xfId="0" applyFont="1" applyBorder="1"/>
    <xf numFmtId="49" fontId="10" fillId="4" borderId="2" xfId="0" applyNumberFormat="1" applyFont="1" applyFill="1" applyBorder="1" applyAlignment="1">
      <alignment vertical="center"/>
    </xf>
    <xf numFmtId="49" fontId="41" fillId="6" borderId="2" xfId="0" applyNumberFormat="1" applyFont="1" applyFill="1" applyBorder="1"/>
  </cellXfs>
  <cellStyles count="5">
    <cellStyle name="60% - Accent3 2" xfId="3" xr:uid="{00000000-0005-0000-0000-000000000000}"/>
    <cellStyle name="Comma" xfId="4" builtinId="3"/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ocumenttasks/documenttask1.xml><?xml version="1.0" encoding="utf-8"?>
<Tasks xmlns="http://schemas.microsoft.com/office/tasks/2019/documenttasks">
  <Task id="{7392F20E-DAAD-4F99-A442-60CBAD74F67B}">
    <Anchor>
      <Comment id="{7ADD7369-3571-4B5F-87D6-520FD0C4AF9F}"/>
    </Anchor>
    <History>
      <Event time="2025-07-28T20:15:50.63" id="{277EA14B-42F6-4BA6-8D99-134B515E7951}">
        <Attribution userId="S::arubi@partners.net::eb101be7-e04b-497c-bdde-673d5bacc67f" userName="Ana Rubi" userProvider="AD"/>
        <Anchor>
          <Comment id="{7ADD7369-3571-4B5F-87D6-520FD0C4AF9F}"/>
        </Anchor>
        <Create/>
      </Event>
      <Event time="2025-07-28T20:15:50.63" id="{BB3E95F7-FAAC-4304-9D29-C41D41E52EDD}">
        <Attribution userId="S::arubi@partners.net::eb101be7-e04b-497c-bdde-673d5bacc67f" userName="Ana Rubi" userProvider="AD"/>
        <Anchor>
          <Comment id="{7ADD7369-3571-4B5F-87D6-520FD0C4AF9F}"/>
        </Anchor>
        <Assign userId="S::PKim@partners.net::4e7216ca-89a4-427f-b24d-e71d0d51747f" userName="Penelope Kim" userProvider="AD"/>
      </Event>
      <Event time="2025-07-28T20:15:50.63" id="{AAF3AF46-688A-40DE-90A8-CB3AEA2208A7}">
        <Attribution userId="S::arubi@partners.net::eb101be7-e04b-497c-bdde-673d5bacc67f" userName="Ana Rubi" userProvider="AD"/>
        <Anchor>
          <Comment id="{7ADD7369-3571-4B5F-87D6-520FD0C4AF9F}"/>
        </Anchor>
        <SetTitle title="@Penelope Kim do we have any funds for travel in our current grant?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Penelope Kim" id="{A87EA033-16B3-814A-BABD-6548D12149F7}" userId="PKim@partners.net" providerId="PeoplePicker"/>
  <person displayName="Ana Rubi" id="{AB9BED72-0298-4E41-B9A3-11FF467FD878}" userId="S::arubi@partners.net::eb101be7-e04b-497c-bdde-673d5bacc67f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6" dT="2025-07-28T20:15:50.78" personId="{AB9BED72-0298-4E41-B9A3-11FF467FD878}" id="{7ADD7369-3571-4B5F-87D6-520FD0C4AF9F}">
    <text>@Penelope Kim do we have any funds for travel in our current grant?</text>
    <mentions>
      <mention mentionpersonId="{A87EA033-16B3-814A-BABD-6548D12149F7}" mentionId="{6E2CF70E-5881-417C-8881-29826EEF7192}" startIndex="0" length="13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activeCell="I19" sqref="I19"/>
    </sheetView>
  </sheetViews>
  <sheetFormatPr defaultColWidth="8.83984375" defaultRowHeight="14.4"/>
  <cols>
    <col min="1" max="1" width="3.15625" style="1" customWidth="1"/>
    <col min="2" max="2" width="0.83984375" style="1" customWidth="1"/>
    <col min="3" max="3" width="26.15625" customWidth="1"/>
    <col min="4" max="4" width="16.15625" customWidth="1"/>
    <col min="5" max="5" width="11.3125" customWidth="1"/>
    <col min="6" max="6" width="18.15625" customWidth="1"/>
  </cols>
  <sheetData>
    <row r="1" spans="1:6" s="27" customFormat="1" ht="15.6">
      <c r="A1" s="324" t="s">
        <v>0</v>
      </c>
      <c r="B1" s="324"/>
      <c r="C1" s="324"/>
      <c r="D1" s="324"/>
    </row>
    <row r="2" spans="1:6" s="27" customFormat="1" ht="15.6">
      <c r="A2" s="326" t="s">
        <v>1</v>
      </c>
      <c r="B2" s="356"/>
      <c r="C2" s="356"/>
      <c r="D2" s="356"/>
    </row>
    <row r="3" spans="1:6" s="27" customFormat="1" ht="15.6">
      <c r="A3" s="357" t="s">
        <v>2</v>
      </c>
      <c r="B3" s="358"/>
      <c r="C3" s="358"/>
      <c r="D3" s="358"/>
    </row>
    <row r="4" spans="1:6" s="27" customFormat="1" ht="15.6">
      <c r="A4" s="326" t="s">
        <v>3</v>
      </c>
      <c r="B4" s="356"/>
      <c r="C4" s="356"/>
      <c r="D4" s="356"/>
    </row>
    <row r="5" spans="1:6" ht="3.75" customHeight="1"/>
    <row r="6" spans="1:6" s="27" customFormat="1" ht="15" customHeight="1">
      <c r="A6" s="359" t="s">
        <v>4</v>
      </c>
      <c r="B6" s="359"/>
      <c r="C6" s="359"/>
      <c r="D6" s="353" t="s">
        <v>5</v>
      </c>
      <c r="E6" s="353" t="s">
        <v>6</v>
      </c>
      <c r="F6" s="353" t="s">
        <v>7</v>
      </c>
    </row>
    <row r="7" spans="1:6" s="27" customFormat="1" ht="15.6">
      <c r="A7" s="359"/>
      <c r="B7" s="359"/>
      <c r="C7" s="359"/>
      <c r="D7" s="354"/>
      <c r="E7" s="354"/>
      <c r="F7" s="354"/>
    </row>
    <row r="8" spans="1:6" s="5" customFormat="1">
      <c r="A8" s="6" t="s">
        <v>8</v>
      </c>
      <c r="B8" s="14"/>
      <c r="C8" s="4" t="s">
        <v>9</v>
      </c>
      <c r="D8" s="269">
        <f>'3. Detailed Budget'!L21</f>
        <v>767085</v>
      </c>
      <c r="E8" s="269">
        <f>'3. Detailed Budget'!$M$21</f>
        <v>189464</v>
      </c>
      <c r="F8" s="269">
        <f>D8+E8</f>
        <v>956549</v>
      </c>
    </row>
    <row r="9" spans="1:6" s="5" customFormat="1">
      <c r="A9" s="8" t="s">
        <v>10</v>
      </c>
      <c r="B9" s="15"/>
      <c r="C9" s="9" t="s">
        <v>11</v>
      </c>
      <c r="D9" s="269">
        <f>'3. Detailed Budget'!L24</f>
        <v>180035</v>
      </c>
      <c r="E9" s="269">
        <f>'3. Detailed Budget'!$M$24</f>
        <v>44467</v>
      </c>
      <c r="F9" s="269">
        <f t="shared" ref="F9:F17" si="0">D9+E9</f>
        <v>224502</v>
      </c>
    </row>
    <row r="10" spans="1:6" ht="15.75" customHeight="1">
      <c r="A10" s="8" t="s">
        <v>12</v>
      </c>
      <c r="B10" s="15"/>
      <c r="C10" s="9" t="s">
        <v>13</v>
      </c>
      <c r="D10" s="269">
        <f>'3. Detailed Budget'!L35</f>
        <v>35290</v>
      </c>
      <c r="E10" s="269">
        <f>'3. Detailed Budget'!M35</f>
        <v>0</v>
      </c>
      <c r="F10" s="269">
        <f t="shared" si="0"/>
        <v>35290</v>
      </c>
    </row>
    <row r="11" spans="1:6" ht="17.25" customHeight="1">
      <c r="A11" s="8" t="s">
        <v>14</v>
      </c>
      <c r="B11" s="15"/>
      <c r="C11" s="9" t="s">
        <v>15</v>
      </c>
      <c r="D11" s="269">
        <f>'3. Detailed Budget'!L36</f>
        <v>0</v>
      </c>
      <c r="E11" s="269">
        <v>0</v>
      </c>
      <c r="F11" s="269">
        <f t="shared" si="0"/>
        <v>0</v>
      </c>
    </row>
    <row r="12" spans="1:6">
      <c r="A12" s="8" t="s">
        <v>16</v>
      </c>
      <c r="B12" s="15"/>
      <c r="C12" s="9" t="s">
        <v>17</v>
      </c>
      <c r="D12" s="269">
        <f>'3. Detailed Budget'!L39</f>
        <v>550</v>
      </c>
      <c r="E12" s="269">
        <v>0</v>
      </c>
      <c r="F12" s="269">
        <f t="shared" si="0"/>
        <v>550</v>
      </c>
    </row>
    <row r="13" spans="1:6">
      <c r="A13" s="13" t="s">
        <v>18</v>
      </c>
      <c r="B13" s="16"/>
      <c r="C13" s="11" t="s">
        <v>19</v>
      </c>
      <c r="D13" s="269">
        <f>'3. Detailed Budget'!L44</f>
        <v>5000</v>
      </c>
      <c r="E13" s="269">
        <f>'3. Detailed Budget'!$M$44</f>
        <v>26800</v>
      </c>
      <c r="F13" s="269">
        <f t="shared" si="0"/>
        <v>31800</v>
      </c>
    </row>
    <row r="14" spans="1:6" ht="16.5" customHeight="1">
      <c r="A14" s="6" t="s">
        <v>20</v>
      </c>
      <c r="B14" s="17"/>
      <c r="C14" s="4" t="s">
        <v>21</v>
      </c>
      <c r="D14" s="269">
        <f>'3. Detailed Budget'!L45</f>
        <v>0</v>
      </c>
      <c r="E14" s="269">
        <v>0</v>
      </c>
      <c r="F14" s="269">
        <f t="shared" si="0"/>
        <v>0</v>
      </c>
    </row>
    <row r="15" spans="1:6">
      <c r="A15" s="6" t="s">
        <v>22</v>
      </c>
      <c r="B15" s="17"/>
      <c r="C15" s="4" t="s">
        <v>23</v>
      </c>
      <c r="D15" s="269">
        <f>'3. Detailed Budget'!L64</f>
        <v>89761</v>
      </c>
      <c r="E15" s="269">
        <f>'3. Detailed Budget'!$M$64</f>
        <v>12109.79</v>
      </c>
      <c r="F15" s="269">
        <f t="shared" si="0"/>
        <v>101870.79000000001</v>
      </c>
    </row>
    <row r="16" spans="1:6">
      <c r="A16" s="6" t="s">
        <v>24</v>
      </c>
      <c r="B16" s="17"/>
      <c r="C16" s="28" t="s">
        <v>25</v>
      </c>
      <c r="D16" s="269">
        <f>SUM(D8:D15)</f>
        <v>1077721</v>
      </c>
      <c r="E16" s="269">
        <f>'3. Detailed Budget'!M65</f>
        <v>272840.78999999998</v>
      </c>
      <c r="F16" s="269">
        <f t="shared" si="0"/>
        <v>1350561.79</v>
      </c>
    </row>
    <row r="17" spans="1:6">
      <c r="A17" s="13" t="s">
        <v>26</v>
      </c>
      <c r="B17" s="16"/>
      <c r="C17" s="11" t="s">
        <v>27</v>
      </c>
      <c r="D17" s="269">
        <f>'3. Detailed Budget'!L66</f>
        <v>304779</v>
      </c>
      <c r="E17" s="269">
        <f>'3. Detailed Budget'!M66</f>
        <v>77159</v>
      </c>
      <c r="F17" s="269">
        <f t="shared" si="0"/>
        <v>381938</v>
      </c>
    </row>
    <row r="18" spans="1:6" s="27" customFormat="1" ht="15.6">
      <c r="A18" s="25" t="s">
        <v>28</v>
      </c>
      <c r="B18" s="26"/>
      <c r="C18" s="22" t="s">
        <v>29</v>
      </c>
      <c r="D18" s="34">
        <f>SUM(D16:D17)</f>
        <v>1382500</v>
      </c>
      <c r="E18" s="34">
        <f>SUM(E16:E17)</f>
        <v>349999.79</v>
      </c>
      <c r="F18" s="270">
        <f>SUM(F16:F17)</f>
        <v>1732499.79</v>
      </c>
    </row>
    <row r="19" spans="1:6" s="27" customFormat="1" ht="15.6">
      <c r="A19" s="25" t="s">
        <v>30</v>
      </c>
      <c r="B19" s="26"/>
      <c r="C19" s="22" t="s">
        <v>31</v>
      </c>
      <c r="D19" s="34">
        <f>'3. Detailed Budget'!P67</f>
        <v>901024</v>
      </c>
      <c r="E19" s="60">
        <f>'3. Detailed Budget'!Q67</f>
        <v>0</v>
      </c>
      <c r="F19" s="34">
        <f>'3. Detailed Budget'!R67</f>
        <v>901024</v>
      </c>
    </row>
    <row r="20" spans="1:6" ht="12" customHeight="1"/>
    <row r="21" spans="1:6">
      <c r="A21" s="355" t="s">
        <v>32</v>
      </c>
      <c r="B21" s="355"/>
      <c r="C21" s="355"/>
      <c r="D21" s="355"/>
      <c r="E21" s="355"/>
      <c r="F21" s="355"/>
    </row>
    <row r="22" spans="1:6">
      <c r="A22" s="355"/>
      <c r="B22" s="355"/>
      <c r="C22" s="355"/>
      <c r="D22" s="355"/>
      <c r="E22" s="355"/>
      <c r="F22" s="355"/>
    </row>
    <row r="23" spans="1:6">
      <c r="A23" s="355"/>
      <c r="B23" s="355"/>
      <c r="C23" s="355"/>
      <c r="D23" s="355"/>
      <c r="E23" s="355"/>
      <c r="F23" s="355"/>
    </row>
    <row r="24" spans="1:6">
      <c r="A24" s="355"/>
      <c r="B24" s="355"/>
      <c r="C24" s="355"/>
      <c r="D24" s="355"/>
      <c r="E24" s="355"/>
      <c r="F24" s="355"/>
    </row>
    <row r="26" spans="1:6" ht="15.6">
      <c r="A26" s="355" t="s">
        <v>33</v>
      </c>
      <c r="B26" s="355"/>
      <c r="C26" s="355"/>
      <c r="D26" s="355"/>
      <c r="E26" s="355"/>
      <c r="F26" s="355"/>
    </row>
  </sheetData>
  <mergeCells count="10">
    <mergeCell ref="E6:E7"/>
    <mergeCell ref="F6:F7"/>
    <mergeCell ref="A21:F24"/>
    <mergeCell ref="A26:F26"/>
    <mergeCell ref="A1:D1"/>
    <mergeCell ref="A2:D2"/>
    <mergeCell ref="A3:D3"/>
    <mergeCell ref="A4:D4"/>
    <mergeCell ref="A6:C7"/>
    <mergeCell ref="D6:D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3CC7-3860-F848-A257-B89DFF24EE2F}">
  <sheetPr>
    <pageSetUpPr fitToPage="1"/>
  </sheetPr>
  <dimension ref="A1:W76"/>
  <sheetViews>
    <sheetView tabSelected="1" zoomScale="61" zoomScaleNormal="110" workbookViewId="0">
      <pane ySplit="7" topLeftCell="A48" activePane="bottomLeft" state="frozen"/>
      <selection pane="bottomLeft" activeCell="A58" sqref="A58:D59"/>
    </sheetView>
  </sheetViews>
  <sheetFormatPr defaultColWidth="8.83984375" defaultRowHeight="14.4"/>
  <cols>
    <col min="1" max="4" width="15.20703125" style="41" customWidth="1"/>
    <col min="5" max="5" width="9.578125" style="41" bestFit="1" customWidth="1"/>
    <col min="6" max="6" width="1.15625" style="1" customWidth="1"/>
    <col min="7" max="7" width="39.15625" customWidth="1"/>
    <col min="8" max="8" width="9.83984375" hidden="1" customWidth="1"/>
    <col min="9" max="9" width="7.15625" hidden="1" customWidth="1"/>
    <col min="10" max="10" width="11.15625" hidden="1" customWidth="1"/>
    <col min="11" max="11" width="9" hidden="1" customWidth="1"/>
    <col min="12" max="12" width="13.83984375" hidden="1" customWidth="1"/>
    <col min="13" max="13" width="12.83984375" style="66" hidden="1" customWidth="1"/>
    <col min="14" max="14" width="13.68359375" style="66" customWidth="1"/>
    <col min="15" max="15" width="1.68359375" style="66" customWidth="1"/>
    <col min="16" max="16" width="13.83984375" style="66" hidden="1" customWidth="1"/>
    <col min="17" max="17" width="13.3125" style="66" hidden="1" customWidth="1"/>
    <col min="18" max="18" width="12.47265625" style="66" customWidth="1"/>
    <col min="19" max="19" width="1.47265625" style="66" customWidth="1"/>
    <col min="20" max="20" width="13.15625" style="66" customWidth="1"/>
    <col min="21" max="21" width="6.83984375" customWidth="1"/>
    <col min="22" max="22" width="15.3125" customWidth="1"/>
    <col min="23" max="23" width="12.15625" bestFit="1" customWidth="1"/>
  </cols>
  <sheetData>
    <row r="1" spans="1:23" ht="15.6">
      <c r="A1"/>
      <c r="B1"/>
      <c r="C1"/>
      <c r="D1"/>
      <c r="E1" s="324" t="s">
        <v>34</v>
      </c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</row>
    <row r="2" spans="1:23">
      <c r="A2"/>
      <c r="B2"/>
      <c r="C2"/>
      <c r="D2"/>
      <c r="E2" s="326" t="s">
        <v>1</v>
      </c>
      <c r="F2" s="327"/>
      <c r="G2" s="327"/>
      <c r="H2" s="327"/>
      <c r="I2" s="327"/>
      <c r="J2" s="327" t="s">
        <v>35</v>
      </c>
      <c r="K2" s="327"/>
      <c r="L2" s="327"/>
      <c r="M2" s="327"/>
      <c r="N2" s="327"/>
      <c r="O2" s="327"/>
      <c r="P2" s="327"/>
      <c r="Q2" s="327"/>
      <c r="R2" s="327"/>
      <c r="S2" s="327"/>
      <c r="T2" s="327"/>
    </row>
    <row r="3" spans="1:23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73" t="s">
        <v>2</v>
      </c>
      <c r="M3" s="106"/>
      <c r="N3" s="106"/>
      <c r="O3" s="106"/>
      <c r="P3" s="106"/>
      <c r="Q3" s="106"/>
      <c r="R3" s="106"/>
      <c r="S3" s="106"/>
      <c r="T3" s="106"/>
    </row>
    <row r="4" spans="1:23">
      <c r="A4"/>
      <c r="B4"/>
      <c r="C4"/>
      <c r="D4"/>
      <c r="E4" s="326" t="s">
        <v>36</v>
      </c>
      <c r="F4" s="327"/>
      <c r="G4" s="327"/>
      <c r="H4" s="327"/>
      <c r="I4" s="327"/>
      <c r="J4" s="327" t="s">
        <v>37</v>
      </c>
      <c r="K4" s="327"/>
      <c r="L4" s="327"/>
      <c r="M4" s="327"/>
      <c r="N4" s="327"/>
      <c r="O4" s="327"/>
      <c r="P4" s="327"/>
      <c r="Q4" s="327"/>
      <c r="R4" s="327"/>
      <c r="S4" s="327"/>
      <c r="T4" s="327"/>
    </row>
    <row r="5" spans="1:23" ht="15.6">
      <c r="E5" s="41" t="s">
        <v>38</v>
      </c>
      <c r="P5" s="107"/>
      <c r="Q5" s="108"/>
      <c r="R5" s="108"/>
      <c r="S5" s="108"/>
      <c r="T5" s="108"/>
    </row>
    <row r="6" spans="1:23" ht="21" customHeight="1">
      <c r="A6"/>
      <c r="B6"/>
      <c r="C6"/>
      <c r="D6"/>
      <c r="E6" s="328" t="s">
        <v>4</v>
      </c>
      <c r="F6" s="328"/>
      <c r="G6" s="328"/>
      <c r="H6" s="329" t="s">
        <v>39</v>
      </c>
      <c r="I6" s="329"/>
      <c r="J6" s="329"/>
      <c r="K6" s="329"/>
      <c r="L6" s="330" t="s">
        <v>40</v>
      </c>
      <c r="M6" s="335" t="s">
        <v>41</v>
      </c>
      <c r="N6" s="331" t="s">
        <v>42</v>
      </c>
      <c r="O6" s="123"/>
      <c r="P6" s="331" t="s">
        <v>43</v>
      </c>
      <c r="Q6" s="331" t="s">
        <v>44</v>
      </c>
      <c r="R6" s="331" t="s">
        <v>45</v>
      </c>
      <c r="S6" s="143"/>
      <c r="T6" s="331" t="s">
        <v>46</v>
      </c>
    </row>
    <row r="7" spans="1:23" ht="19" customHeight="1">
      <c r="A7"/>
      <c r="B7"/>
      <c r="C7"/>
      <c r="D7"/>
      <c r="E7" s="328"/>
      <c r="F7" s="328"/>
      <c r="G7" s="328"/>
      <c r="H7" s="24" t="s">
        <v>47</v>
      </c>
      <c r="I7" s="24" t="s">
        <v>48</v>
      </c>
      <c r="J7" s="24" t="s">
        <v>49</v>
      </c>
      <c r="K7" s="24" t="s">
        <v>50</v>
      </c>
      <c r="L7" s="330"/>
      <c r="M7" s="335"/>
      <c r="N7" s="331"/>
      <c r="O7" s="123"/>
      <c r="P7" s="331"/>
      <c r="Q7" s="331"/>
      <c r="R7" s="331"/>
      <c r="S7" s="143"/>
      <c r="T7" s="331"/>
    </row>
    <row r="8" spans="1:23" s="5" customFormat="1" ht="42.75" customHeight="1">
      <c r="A8" s="360" t="s">
        <v>155</v>
      </c>
      <c r="B8" s="360" t="s">
        <v>156</v>
      </c>
      <c r="C8" s="360" t="s">
        <v>157</v>
      </c>
      <c r="D8" s="360" t="s">
        <v>158</v>
      </c>
      <c r="E8" s="38" t="s">
        <v>8</v>
      </c>
      <c r="F8" s="14"/>
      <c r="G8" s="4" t="s">
        <v>9</v>
      </c>
      <c r="H8" s="2" t="s">
        <v>51</v>
      </c>
      <c r="I8" s="2"/>
      <c r="J8" s="2" t="s">
        <v>52</v>
      </c>
      <c r="K8" s="44" t="s">
        <v>53</v>
      </c>
      <c r="L8" s="109"/>
      <c r="M8" s="109"/>
      <c r="N8" s="109"/>
      <c r="O8" s="124"/>
      <c r="P8" s="109"/>
      <c r="Q8" s="109"/>
      <c r="R8" s="109"/>
      <c r="S8" s="144"/>
      <c r="T8" s="109"/>
    </row>
    <row r="9" spans="1:23" s="32" customFormat="1" ht="12.9">
      <c r="A9" s="363"/>
      <c r="B9" s="332"/>
      <c r="C9" s="363"/>
      <c r="D9" s="332"/>
      <c r="E9" s="363" t="s">
        <v>54</v>
      </c>
      <c r="F9" s="332"/>
      <c r="G9" s="29" t="s">
        <v>55</v>
      </c>
      <c r="H9" s="3"/>
      <c r="I9" s="3"/>
      <c r="J9" s="3"/>
      <c r="K9" s="3"/>
      <c r="L9" s="110"/>
      <c r="M9" s="110"/>
      <c r="N9" s="110"/>
      <c r="O9" s="117"/>
      <c r="P9" s="137"/>
      <c r="Q9" s="137"/>
      <c r="R9" s="137"/>
      <c r="S9" s="145"/>
      <c r="T9" s="68"/>
    </row>
    <row r="10" spans="1:23" s="32" customFormat="1" ht="15.6">
      <c r="A10" s="361" t="s">
        <v>159</v>
      </c>
      <c r="B10" s="361" t="s">
        <v>160</v>
      </c>
      <c r="C10" s="361" t="s">
        <v>161</v>
      </c>
      <c r="D10" s="361" t="s">
        <v>162</v>
      </c>
      <c r="E10" s="336" t="s">
        <v>56</v>
      </c>
      <c r="F10" s="337"/>
      <c r="G10" s="129" t="s">
        <v>57</v>
      </c>
      <c r="H10" s="71" t="s">
        <v>58</v>
      </c>
      <c r="I10" s="71">
        <v>12</v>
      </c>
      <c r="J10" s="226">
        <v>12777</v>
      </c>
      <c r="K10" s="70">
        <v>0.2</v>
      </c>
      <c r="L10" s="174"/>
      <c r="M10" s="247">
        <f xml:space="preserve"> ROUND((I10*J10)*K10,0)</f>
        <v>30665</v>
      </c>
      <c r="N10" s="247">
        <f t="shared" ref="N10:N20" si="0">L10+M10</f>
        <v>30665</v>
      </c>
      <c r="O10" s="125"/>
      <c r="P10" s="185"/>
      <c r="Q10" s="185"/>
      <c r="R10" s="185"/>
      <c r="S10" s="191"/>
      <c r="T10" s="185">
        <f t="shared" ref="T10:T17" si="1">N10+R10</f>
        <v>30665</v>
      </c>
    </row>
    <row r="11" spans="1:23" s="32" customFormat="1" ht="18" customHeight="1" thickBot="1">
      <c r="A11" s="361" t="s">
        <v>159</v>
      </c>
      <c r="B11" s="361" t="s">
        <v>160</v>
      </c>
      <c r="C11" s="361" t="s">
        <v>161</v>
      </c>
      <c r="D11" s="361" t="s">
        <v>162</v>
      </c>
      <c r="E11" s="333" t="s">
        <v>59</v>
      </c>
      <c r="F11" s="334"/>
      <c r="G11" s="49" t="s">
        <v>60</v>
      </c>
      <c r="H11" s="128" t="s">
        <v>58</v>
      </c>
      <c r="I11" s="285">
        <v>25</v>
      </c>
      <c r="J11" s="227">
        <v>8133</v>
      </c>
      <c r="K11" s="130">
        <v>1</v>
      </c>
      <c r="L11" s="227">
        <f xml:space="preserve"> ROUND((30*J11)*K11,0)</f>
        <v>243990</v>
      </c>
      <c r="M11" s="280">
        <f xml:space="preserve"> ROUND((I11*J11)*K11,0)-L11</f>
        <v>-40665</v>
      </c>
      <c r="N11" s="280">
        <f>L11+M11</f>
        <v>203325</v>
      </c>
      <c r="O11" s="117"/>
      <c r="P11" s="175"/>
      <c r="Q11" s="175"/>
      <c r="R11" s="175"/>
      <c r="S11" s="192"/>
      <c r="T11" s="284">
        <f t="shared" si="1"/>
        <v>203325</v>
      </c>
      <c r="U11" s="307"/>
      <c r="V11" s="307"/>
      <c r="W11" s="307"/>
    </row>
    <row r="12" spans="1:23" s="32" customFormat="1" ht="16" customHeight="1">
      <c r="A12" s="361" t="s">
        <v>159</v>
      </c>
      <c r="B12" s="361" t="s">
        <v>160</v>
      </c>
      <c r="C12" s="361" t="s">
        <v>161</v>
      </c>
      <c r="D12" s="361" t="s">
        <v>162</v>
      </c>
      <c r="E12" s="364" t="s">
        <v>61</v>
      </c>
      <c r="F12" s="309"/>
      <c r="G12" s="319" t="s">
        <v>62</v>
      </c>
      <c r="H12" s="322" t="s">
        <v>58</v>
      </c>
      <c r="I12" s="275">
        <v>8</v>
      </c>
      <c r="J12" s="228">
        <v>7750</v>
      </c>
      <c r="K12" s="134">
        <v>1</v>
      </c>
      <c r="L12" s="291">
        <f xml:space="preserve"> ROUND((I12*J12)*K12,0)</f>
        <v>62000</v>
      </c>
      <c r="M12" s="294"/>
      <c r="N12" s="304">
        <f>L12</f>
        <v>62000</v>
      </c>
      <c r="O12" s="111"/>
      <c r="P12" s="193"/>
      <c r="Q12" s="194"/>
      <c r="R12" s="195"/>
      <c r="S12" s="192"/>
      <c r="T12" s="297"/>
      <c r="U12" s="307"/>
      <c r="V12" s="307"/>
      <c r="W12" s="307"/>
    </row>
    <row r="13" spans="1:23" s="32" customFormat="1" ht="16" customHeight="1">
      <c r="A13" s="361" t="s">
        <v>159</v>
      </c>
      <c r="B13" s="361" t="s">
        <v>160</v>
      </c>
      <c r="C13" s="361" t="s">
        <v>161</v>
      </c>
      <c r="D13" s="361" t="s">
        <v>162</v>
      </c>
      <c r="E13" s="365"/>
      <c r="F13" s="310"/>
      <c r="G13" s="313"/>
      <c r="H13" s="316"/>
      <c r="I13" s="276">
        <v>24</v>
      </c>
      <c r="J13" s="286">
        <v>9166</v>
      </c>
      <c r="K13" s="302">
        <v>1</v>
      </c>
      <c r="L13" s="227">
        <f xml:space="preserve"> ROUND((22*J12)*K13,0)</f>
        <v>170500</v>
      </c>
      <c r="M13" s="280">
        <f xml:space="preserve"> ROUND((I13*J13)*K13,0)-L13</f>
        <v>49484</v>
      </c>
      <c r="N13" s="299">
        <f t="shared" si="0"/>
        <v>219984</v>
      </c>
      <c r="O13" s="111"/>
      <c r="P13" s="281"/>
      <c r="Q13" s="200"/>
      <c r="R13" s="282"/>
      <c r="S13" s="192"/>
      <c r="T13" s="298"/>
      <c r="U13" s="61"/>
      <c r="V13" s="61"/>
      <c r="W13" s="61"/>
    </row>
    <row r="14" spans="1:23" s="169" customFormat="1" ht="17.05" customHeight="1" thickBot="1">
      <c r="A14" s="361" t="s">
        <v>159</v>
      </c>
      <c r="B14" s="361" t="s">
        <v>160</v>
      </c>
      <c r="C14" s="361" t="s">
        <v>161</v>
      </c>
      <c r="D14" s="361" t="s">
        <v>162</v>
      </c>
      <c r="E14" s="366"/>
      <c r="F14" s="311"/>
      <c r="G14" s="320"/>
      <c r="H14" s="323"/>
      <c r="I14" s="135">
        <v>12</v>
      </c>
      <c r="J14" s="229">
        <v>9916</v>
      </c>
      <c r="K14" s="166">
        <v>1</v>
      </c>
      <c r="L14" s="177"/>
      <c r="M14" s="290">
        <f xml:space="preserve"> ROUND((I14*J14)*K14,0)</f>
        <v>118992</v>
      </c>
      <c r="N14" s="292">
        <f>M14</f>
        <v>118992</v>
      </c>
      <c r="O14" s="167"/>
      <c r="P14" s="196"/>
      <c r="Q14" s="197"/>
      <c r="R14" s="198"/>
      <c r="S14" s="199"/>
      <c r="T14" s="296">
        <f>SUM(N12,N13:N14)</f>
        <v>400976</v>
      </c>
      <c r="U14" s="168"/>
      <c r="V14" s="168"/>
      <c r="W14" s="168"/>
    </row>
    <row r="15" spans="1:23" s="32" customFormat="1" ht="17.05" customHeight="1">
      <c r="A15" s="361" t="s">
        <v>159</v>
      </c>
      <c r="B15" s="361" t="s">
        <v>163</v>
      </c>
      <c r="C15" s="361" t="s">
        <v>161</v>
      </c>
      <c r="D15" s="361" t="s">
        <v>162</v>
      </c>
      <c r="E15" s="367" t="s">
        <v>63</v>
      </c>
      <c r="F15" s="308"/>
      <c r="G15" s="149" t="s">
        <v>64</v>
      </c>
      <c r="H15" s="131" t="s">
        <v>58</v>
      </c>
      <c r="I15" s="132">
        <v>21</v>
      </c>
      <c r="J15" s="230">
        <v>7000</v>
      </c>
      <c r="K15" s="133">
        <v>0.8</v>
      </c>
      <c r="L15" s="227">
        <f xml:space="preserve"> ROUND(((I15*J15)*K15)*(15/21),0)</f>
        <v>84000</v>
      </c>
      <c r="M15" s="178"/>
      <c r="N15" s="186">
        <f t="shared" si="0"/>
        <v>84000</v>
      </c>
      <c r="O15" s="111"/>
      <c r="P15" s="200">
        <v>33600</v>
      </c>
      <c r="Q15" s="201"/>
      <c r="R15" s="186">
        <f xml:space="preserve"> ROUND(((I15*J15)*K15)*(6/21),0)</f>
        <v>33600</v>
      </c>
      <c r="S15" s="192"/>
      <c r="T15" s="186">
        <f>N15+R15</f>
        <v>117600</v>
      </c>
      <c r="U15" s="74"/>
      <c r="V15" s="62"/>
      <c r="W15" s="75"/>
    </row>
    <row r="16" spans="1:23" s="32" customFormat="1" ht="18" customHeight="1">
      <c r="A16" s="361" t="s">
        <v>159</v>
      </c>
      <c r="B16" s="361" t="s">
        <v>160</v>
      </c>
      <c r="C16" s="361" t="s">
        <v>161</v>
      </c>
      <c r="D16" s="361" t="s">
        <v>162</v>
      </c>
      <c r="E16" s="368" t="s">
        <v>65</v>
      </c>
      <c r="F16" s="318"/>
      <c r="G16" s="147" t="s">
        <v>66</v>
      </c>
      <c r="H16" s="148" t="s">
        <v>58</v>
      </c>
      <c r="I16" s="293">
        <v>21</v>
      </c>
      <c r="J16" s="231">
        <v>4460</v>
      </c>
      <c r="K16" s="35">
        <v>1</v>
      </c>
      <c r="L16" s="227">
        <f t="shared" ref="L16" si="2" xml:space="preserve"> ROUND((30*J16)*K16,0)</f>
        <v>133800</v>
      </c>
      <c r="M16" s="280">
        <f xml:space="preserve"> ROUND((I16*J16)*K16,0)-L16</f>
        <v>-40140</v>
      </c>
      <c r="N16" s="283">
        <f t="shared" si="0"/>
        <v>93660</v>
      </c>
      <c r="O16" s="111"/>
      <c r="P16" s="179"/>
      <c r="Q16" s="202"/>
      <c r="R16" s="179"/>
      <c r="S16" s="192"/>
      <c r="T16" s="179">
        <f t="shared" si="1"/>
        <v>93660</v>
      </c>
      <c r="U16" s="61"/>
      <c r="V16" s="63"/>
      <c r="W16" s="61"/>
    </row>
    <row r="17" spans="1:23" s="32" customFormat="1" ht="21" customHeight="1" thickBot="1">
      <c r="A17" s="361" t="s">
        <v>159</v>
      </c>
      <c r="B17" s="361" t="s">
        <v>163</v>
      </c>
      <c r="C17" s="361" t="s">
        <v>161</v>
      </c>
      <c r="D17" s="361" t="s">
        <v>162</v>
      </c>
      <c r="E17" s="369" t="s">
        <v>67</v>
      </c>
      <c r="F17" s="321"/>
      <c r="G17" s="213" t="s">
        <v>68</v>
      </c>
      <c r="H17" s="214" t="s">
        <v>58</v>
      </c>
      <c r="I17" s="295">
        <v>21</v>
      </c>
      <c r="J17" s="227">
        <v>4853</v>
      </c>
      <c r="K17" s="130">
        <v>0.6</v>
      </c>
      <c r="L17" s="227">
        <f xml:space="preserve"> ROUND((30*J17)*0.5,0)</f>
        <v>72795</v>
      </c>
      <c r="M17" s="280">
        <f xml:space="preserve"> ROUND((I17*J17)*K17,0)-L17</f>
        <v>-11647</v>
      </c>
      <c r="N17" s="305">
        <f t="shared" si="0"/>
        <v>61148</v>
      </c>
      <c r="O17" s="215"/>
      <c r="P17" s="175">
        <v>18927</v>
      </c>
      <c r="Q17" s="203"/>
      <c r="R17" s="175">
        <f>P17</f>
        <v>18927</v>
      </c>
      <c r="S17" s="192"/>
      <c r="T17" s="175">
        <f t="shared" si="1"/>
        <v>80075</v>
      </c>
      <c r="U17" s="61"/>
      <c r="V17" s="63"/>
      <c r="W17" s="63"/>
    </row>
    <row r="18" spans="1:23" s="32" customFormat="1" ht="17.05" customHeight="1">
      <c r="A18" s="361" t="s">
        <v>160</v>
      </c>
      <c r="B18" s="361" t="s">
        <v>163</v>
      </c>
      <c r="C18" s="361" t="s">
        <v>161</v>
      </c>
      <c r="D18" s="361" t="s">
        <v>162</v>
      </c>
      <c r="E18" s="364" t="s">
        <v>69</v>
      </c>
      <c r="F18" s="309"/>
      <c r="G18" s="312" t="s">
        <v>70</v>
      </c>
      <c r="H18" s="315" t="s">
        <v>58</v>
      </c>
      <c r="I18" s="275">
        <v>21</v>
      </c>
      <c r="J18" s="232">
        <v>3618</v>
      </c>
      <c r="K18" s="134">
        <v>0.3</v>
      </c>
      <c r="L18" s="176"/>
      <c r="M18" s="176"/>
      <c r="N18" s="187"/>
      <c r="O18" s="111"/>
      <c r="P18" s="204">
        <v>32562</v>
      </c>
      <c r="Q18" s="205"/>
      <c r="R18" s="187">
        <f>P18</f>
        <v>32562</v>
      </c>
      <c r="S18" s="192"/>
      <c r="T18" s="301"/>
      <c r="U18" s="307"/>
      <c r="V18" s="307"/>
      <c r="W18" s="307"/>
    </row>
    <row r="19" spans="1:23" s="32" customFormat="1" ht="17.05" customHeight="1">
      <c r="A19" s="361" t="s">
        <v>159</v>
      </c>
      <c r="B19" s="361" t="s">
        <v>160</v>
      </c>
      <c r="C19" s="361" t="s">
        <v>161</v>
      </c>
      <c r="D19" s="361" t="s">
        <v>162</v>
      </c>
      <c r="E19" s="365"/>
      <c r="F19" s="310"/>
      <c r="G19" s="313"/>
      <c r="H19" s="316"/>
      <c r="I19" s="276">
        <v>11</v>
      </c>
      <c r="J19" s="288">
        <v>4750</v>
      </c>
      <c r="K19" s="287">
        <v>0.7</v>
      </c>
      <c r="M19" s="289">
        <f xml:space="preserve"> ROUND((I19*J19)*K19,0)</f>
        <v>36575</v>
      </c>
      <c r="N19" s="306">
        <f>M19</f>
        <v>36575</v>
      </c>
      <c r="O19" s="111"/>
      <c r="P19" s="278"/>
      <c r="Q19" s="279"/>
      <c r="R19" s="277"/>
      <c r="S19" s="192"/>
      <c r="T19" s="303"/>
      <c r="U19" s="61"/>
      <c r="V19" s="61"/>
      <c r="W19" s="61"/>
    </row>
    <row r="20" spans="1:23" s="32" customFormat="1" ht="20.05" customHeight="1" thickBot="1">
      <c r="A20" s="361" t="s">
        <v>159</v>
      </c>
      <c r="B20" s="361" t="s">
        <v>160</v>
      </c>
      <c r="C20" s="361" t="s">
        <v>161</v>
      </c>
      <c r="D20" s="361" t="s">
        <v>162</v>
      </c>
      <c r="E20" s="366"/>
      <c r="F20" s="311"/>
      <c r="G20" s="314"/>
      <c r="H20" s="317"/>
      <c r="I20" s="135">
        <v>12</v>
      </c>
      <c r="J20" s="233">
        <v>5500</v>
      </c>
      <c r="K20" s="136">
        <v>0.7</v>
      </c>
      <c r="L20" s="180"/>
      <c r="M20" s="189">
        <f xml:space="preserve"> ROUND((I20*J20)*K20,0)</f>
        <v>46200</v>
      </c>
      <c r="N20" s="188">
        <f t="shared" si="0"/>
        <v>46200</v>
      </c>
      <c r="O20" s="111"/>
      <c r="P20" s="206"/>
      <c r="Q20" s="207"/>
      <c r="R20" s="188"/>
      <c r="S20" s="191"/>
      <c r="T20" s="300">
        <f>SUM(R18,N19:N20)</f>
        <v>115337</v>
      </c>
      <c r="U20" s="61"/>
      <c r="V20" s="274"/>
      <c r="W20" s="61"/>
    </row>
    <row r="21" spans="1:23" s="32" customFormat="1" ht="12.9">
      <c r="A21" s="363"/>
      <c r="B21" s="332"/>
      <c r="C21" s="363"/>
      <c r="D21" s="332"/>
      <c r="E21" s="370" t="s">
        <v>71</v>
      </c>
      <c r="F21" s="351"/>
      <c r="G21" s="351"/>
      <c r="H21" s="160"/>
      <c r="I21" s="161"/>
      <c r="J21" s="162"/>
      <c r="K21" s="160"/>
      <c r="L21" s="181">
        <f>SUM(L10:L20)</f>
        <v>767085</v>
      </c>
      <c r="M21" s="181">
        <f>SUM(M10:M20)</f>
        <v>189464</v>
      </c>
      <c r="N21" s="181">
        <f>SUM(N10:N20)</f>
        <v>956549</v>
      </c>
      <c r="O21" s="114"/>
      <c r="P21" s="181">
        <f>SUM(P10:P20)</f>
        <v>85089</v>
      </c>
      <c r="Q21" s="181"/>
      <c r="R21" s="181">
        <f>SUM(R10:R20)</f>
        <v>85089</v>
      </c>
      <c r="S21" s="208"/>
      <c r="T21" s="181">
        <f>SUM(T10:T20)</f>
        <v>1041638</v>
      </c>
      <c r="V21" s="64"/>
    </row>
    <row r="22" spans="1:23">
      <c r="A22" s="371"/>
      <c r="B22" s="348"/>
      <c r="C22" s="65"/>
      <c r="D22" s="65"/>
      <c r="E22" s="371" t="s">
        <v>10</v>
      </c>
      <c r="F22" s="348"/>
      <c r="G22" s="65" t="s">
        <v>11</v>
      </c>
      <c r="H22" s="65"/>
      <c r="I22" s="65"/>
      <c r="J22" s="65"/>
      <c r="K22" s="65"/>
      <c r="L22" s="182"/>
      <c r="M22" s="182"/>
      <c r="N22" s="182"/>
      <c r="O22" s="117"/>
      <c r="P22" s="182"/>
      <c r="Q22" s="209"/>
      <c r="R22" s="182"/>
      <c r="S22" s="126"/>
      <c r="T22" s="182"/>
      <c r="V22" s="63"/>
    </row>
    <row r="23" spans="1:23" s="32" customFormat="1" ht="15" customHeight="1">
      <c r="A23" s="361" t="s">
        <v>159</v>
      </c>
      <c r="B23" s="361" t="s">
        <v>163</v>
      </c>
      <c r="C23" s="362" t="s">
        <v>164</v>
      </c>
      <c r="D23" s="361">
        <v>50900</v>
      </c>
      <c r="E23" s="372" t="s">
        <v>72</v>
      </c>
      <c r="F23" s="342"/>
      <c r="G23" s="138" t="s">
        <v>73</v>
      </c>
      <c r="H23" s="139"/>
      <c r="I23" s="140"/>
      <c r="J23" s="141"/>
      <c r="K23" s="142">
        <v>0.23469999999999999</v>
      </c>
      <c r="L23" s="183">
        <f>ROUND(L21*K23,0)</f>
        <v>180035</v>
      </c>
      <c r="M23" s="190">
        <f>ROUND(M21*K23,0)</f>
        <v>44467</v>
      </c>
      <c r="N23" s="185">
        <f>L23+M23</f>
        <v>224502</v>
      </c>
      <c r="O23" s="117"/>
      <c r="P23" s="210">
        <v>19970</v>
      </c>
      <c r="Q23" s="202"/>
      <c r="R23" s="179">
        <f>ROUND(R21*K23,0)</f>
        <v>19970</v>
      </c>
      <c r="S23" s="192"/>
      <c r="T23" s="185">
        <f>N23+R23</f>
        <v>244472</v>
      </c>
      <c r="V23" s="62"/>
    </row>
    <row r="24" spans="1:23" s="32" customFormat="1" ht="12.9">
      <c r="A24" s="363"/>
      <c r="B24" s="332"/>
      <c r="C24" s="363"/>
      <c r="D24" s="332"/>
      <c r="E24" s="373" t="s">
        <v>74</v>
      </c>
      <c r="F24" s="343"/>
      <c r="G24" s="343"/>
      <c r="H24" s="163"/>
      <c r="I24" s="164"/>
      <c r="J24" s="165"/>
      <c r="K24" s="163"/>
      <c r="L24" s="184">
        <f>SUM(L23)</f>
        <v>180035</v>
      </c>
      <c r="M24" s="184">
        <f t="shared" ref="M24:N24" si="3">SUM(M23)</f>
        <v>44467</v>
      </c>
      <c r="N24" s="184">
        <f t="shared" si="3"/>
        <v>224502</v>
      </c>
      <c r="O24" s="114"/>
      <c r="P24" s="184">
        <f>SUM(P23)</f>
        <v>19970</v>
      </c>
      <c r="Q24" s="211"/>
      <c r="R24" s="184">
        <f>SUM(R23)</f>
        <v>19970</v>
      </c>
      <c r="S24" s="208"/>
      <c r="T24" s="212">
        <f>SUM(T23)</f>
        <v>244472</v>
      </c>
    </row>
    <row r="25" spans="1:23" ht="21">
      <c r="A25" s="371"/>
      <c r="B25" s="348"/>
      <c r="C25" s="65"/>
      <c r="D25" s="65"/>
      <c r="E25" s="371" t="s">
        <v>12</v>
      </c>
      <c r="F25" s="348"/>
      <c r="G25" s="65" t="s">
        <v>13</v>
      </c>
      <c r="H25" s="2" t="s">
        <v>75</v>
      </c>
      <c r="I25" s="2" t="s">
        <v>76</v>
      </c>
      <c r="J25" s="2" t="s">
        <v>77</v>
      </c>
      <c r="K25" s="2"/>
      <c r="L25" s="65"/>
      <c r="M25" s="65"/>
      <c r="N25" s="65"/>
      <c r="O25" s="117"/>
      <c r="P25" s="65"/>
      <c r="Q25" s="112"/>
      <c r="R25" s="65"/>
      <c r="T25" s="65"/>
      <c r="V25" s="36"/>
      <c r="W25" s="36"/>
    </row>
    <row r="26" spans="1:23" s="32" customFormat="1" ht="15.6">
      <c r="A26" s="361"/>
      <c r="B26" s="361"/>
      <c r="C26" s="361"/>
      <c r="D26" s="377"/>
      <c r="E26" s="374" t="s">
        <v>78</v>
      </c>
      <c r="F26" s="83"/>
      <c r="G26" s="90" t="s">
        <v>79</v>
      </c>
      <c r="H26" s="91"/>
      <c r="I26" s="92"/>
      <c r="J26" s="93"/>
      <c r="K26" s="91"/>
      <c r="L26" s="67"/>
      <c r="M26" s="67"/>
      <c r="N26" s="67"/>
      <c r="O26" s="114"/>
      <c r="P26" s="67"/>
      <c r="Q26" s="113"/>
      <c r="R26" s="67"/>
      <c r="S26" s="145"/>
      <c r="T26" s="67"/>
    </row>
    <row r="27" spans="1:23" s="32" customFormat="1" ht="15.6">
      <c r="A27" s="361" t="s">
        <v>159</v>
      </c>
      <c r="B27" s="361" t="s">
        <v>163</v>
      </c>
      <c r="C27" s="361" t="s">
        <v>165</v>
      </c>
      <c r="D27" s="377">
        <v>86040</v>
      </c>
      <c r="E27" s="375" t="s">
        <v>80</v>
      </c>
      <c r="F27" s="76"/>
      <c r="G27" s="77" t="s">
        <v>81</v>
      </c>
      <c r="H27" s="78">
        <v>1</v>
      </c>
      <c r="I27" s="105">
        <v>12</v>
      </c>
      <c r="J27" s="216">
        <v>1000</v>
      </c>
      <c r="K27" s="217"/>
      <c r="L27" s="218">
        <v>7000</v>
      </c>
      <c r="M27" s="218"/>
      <c r="N27" s="218">
        <f t="shared" ref="N27:N34" si="4">L27+M27</f>
        <v>7000</v>
      </c>
      <c r="O27" s="219"/>
      <c r="P27" s="218">
        <v>5000</v>
      </c>
      <c r="Q27" s="220"/>
      <c r="R27" s="221">
        <f>H27*5*J27</f>
        <v>5000</v>
      </c>
      <c r="S27" s="222"/>
      <c r="T27" s="221">
        <f t="shared" ref="T27:T34" si="5">N27+R27</f>
        <v>12000</v>
      </c>
      <c r="V27" s="56"/>
    </row>
    <row r="28" spans="1:23" s="32" customFormat="1" ht="15.6">
      <c r="A28" s="361" t="s">
        <v>159</v>
      </c>
      <c r="B28" s="361" t="s">
        <v>163</v>
      </c>
      <c r="C28" s="361" t="s">
        <v>166</v>
      </c>
      <c r="D28" s="377">
        <v>86050</v>
      </c>
      <c r="E28" s="79" t="s">
        <v>82</v>
      </c>
      <c r="F28" s="80"/>
      <c r="G28" s="81" t="s">
        <v>83</v>
      </c>
      <c r="H28" s="78">
        <v>1</v>
      </c>
      <c r="I28" s="105">
        <v>52</v>
      </c>
      <c r="J28" s="216">
        <v>80</v>
      </c>
      <c r="K28" s="217"/>
      <c r="L28" s="218">
        <v>2480</v>
      </c>
      <c r="M28" s="218"/>
      <c r="N28" s="218">
        <f t="shared" si="4"/>
        <v>2480</v>
      </c>
      <c r="O28" s="219"/>
      <c r="P28" s="218">
        <v>1840</v>
      </c>
      <c r="Q28" s="220"/>
      <c r="R28" s="221">
        <f>H28*23*J28</f>
        <v>1840</v>
      </c>
      <c r="S28" s="222"/>
      <c r="T28" s="221">
        <f t="shared" si="5"/>
        <v>4320</v>
      </c>
    </row>
    <row r="29" spans="1:23" s="32" customFormat="1" ht="15.6">
      <c r="A29" s="361" t="s">
        <v>159</v>
      </c>
      <c r="B29" s="361" t="s">
        <v>163</v>
      </c>
      <c r="C29" s="361" t="s">
        <v>167</v>
      </c>
      <c r="D29" s="377" t="s">
        <v>168</v>
      </c>
      <c r="E29" s="82" t="s">
        <v>84</v>
      </c>
      <c r="F29" s="83"/>
      <c r="G29" s="84" t="s">
        <v>85</v>
      </c>
      <c r="H29" s="78">
        <v>1</v>
      </c>
      <c r="I29" s="105">
        <f>I28</f>
        <v>52</v>
      </c>
      <c r="J29" s="216">
        <v>200</v>
      </c>
      <c r="K29" s="217"/>
      <c r="L29" s="218">
        <v>6200</v>
      </c>
      <c r="M29" s="218"/>
      <c r="N29" s="218">
        <f t="shared" si="4"/>
        <v>6200</v>
      </c>
      <c r="O29" s="219"/>
      <c r="P29" s="218">
        <v>4600</v>
      </c>
      <c r="Q29" s="220"/>
      <c r="R29" s="221">
        <f>H29*23*J29</f>
        <v>4600</v>
      </c>
      <c r="S29" s="222"/>
      <c r="T29" s="221">
        <f t="shared" si="5"/>
        <v>10800</v>
      </c>
    </row>
    <row r="30" spans="1:23" s="32" customFormat="1" ht="15.6">
      <c r="A30" s="361" t="s">
        <v>159</v>
      </c>
      <c r="B30" s="361" t="s">
        <v>163</v>
      </c>
      <c r="C30" s="377" t="s">
        <v>169</v>
      </c>
      <c r="D30" s="377" t="s">
        <v>170</v>
      </c>
      <c r="E30" s="85" t="s">
        <v>86</v>
      </c>
      <c r="F30" s="86"/>
      <c r="G30" s="87" t="s">
        <v>87</v>
      </c>
      <c r="H30" s="78">
        <v>1</v>
      </c>
      <c r="I30" s="105">
        <f>I28</f>
        <v>52</v>
      </c>
      <c r="J30" s="216">
        <v>30</v>
      </c>
      <c r="K30" s="217"/>
      <c r="L30" s="218">
        <v>930</v>
      </c>
      <c r="M30" s="218"/>
      <c r="N30" s="218">
        <f t="shared" si="4"/>
        <v>930</v>
      </c>
      <c r="O30" s="219"/>
      <c r="P30" s="218">
        <v>690</v>
      </c>
      <c r="Q30" s="220"/>
      <c r="R30" s="221">
        <f>H30*23*J30</f>
        <v>690</v>
      </c>
      <c r="S30" s="222"/>
      <c r="T30" s="221">
        <f t="shared" si="5"/>
        <v>1620</v>
      </c>
      <c r="V30" s="62"/>
      <c r="W30" s="88"/>
    </row>
    <row r="31" spans="1:23" s="32" customFormat="1" ht="15.6">
      <c r="A31" s="361" t="s">
        <v>159</v>
      </c>
      <c r="B31" s="361" t="s">
        <v>160</v>
      </c>
      <c r="C31" s="377" t="s">
        <v>165</v>
      </c>
      <c r="D31" s="377">
        <v>86040</v>
      </c>
      <c r="E31" s="85" t="s">
        <v>88</v>
      </c>
      <c r="F31" s="86"/>
      <c r="G31" s="87" t="s">
        <v>89</v>
      </c>
      <c r="H31" s="78">
        <v>1</v>
      </c>
      <c r="I31" s="105">
        <v>13</v>
      </c>
      <c r="J31" s="216">
        <v>500</v>
      </c>
      <c r="K31" s="217"/>
      <c r="L31" s="218">
        <v>6500</v>
      </c>
      <c r="M31" s="218"/>
      <c r="N31" s="218">
        <f t="shared" si="4"/>
        <v>6500</v>
      </c>
      <c r="O31" s="219"/>
      <c r="P31" s="218"/>
      <c r="Q31" s="220"/>
      <c r="R31" s="221"/>
      <c r="S31" s="222"/>
      <c r="T31" s="221">
        <f t="shared" si="5"/>
        <v>6500</v>
      </c>
    </row>
    <row r="32" spans="1:23" s="32" customFormat="1" ht="15.6">
      <c r="A32" s="361" t="s">
        <v>159</v>
      </c>
      <c r="B32" s="361" t="s">
        <v>160</v>
      </c>
      <c r="C32" s="377" t="s">
        <v>166</v>
      </c>
      <c r="D32" s="377">
        <v>86050</v>
      </c>
      <c r="E32" s="85" t="s">
        <v>90</v>
      </c>
      <c r="F32" s="86"/>
      <c r="G32" s="87" t="s">
        <v>91</v>
      </c>
      <c r="H32" s="78">
        <v>1</v>
      </c>
      <c r="I32" s="105">
        <v>60</v>
      </c>
      <c r="J32" s="216">
        <v>55</v>
      </c>
      <c r="K32" s="217"/>
      <c r="L32" s="218">
        <v>3300</v>
      </c>
      <c r="M32" s="218"/>
      <c r="N32" s="218">
        <f t="shared" si="4"/>
        <v>3300</v>
      </c>
      <c r="O32" s="219"/>
      <c r="P32" s="218"/>
      <c r="Q32" s="220"/>
      <c r="R32" s="221"/>
      <c r="S32" s="222"/>
      <c r="T32" s="221">
        <f t="shared" si="5"/>
        <v>3300</v>
      </c>
    </row>
    <row r="33" spans="1:22" s="32" customFormat="1" ht="15.6">
      <c r="A33" s="361" t="s">
        <v>159</v>
      </c>
      <c r="B33" s="361" t="s">
        <v>160</v>
      </c>
      <c r="C33" s="361" t="s">
        <v>167</v>
      </c>
      <c r="D33" s="377" t="s">
        <v>168</v>
      </c>
      <c r="E33" s="85" t="s">
        <v>92</v>
      </c>
      <c r="F33" s="86"/>
      <c r="G33" s="87" t="s">
        <v>93</v>
      </c>
      <c r="H33" s="78">
        <v>1</v>
      </c>
      <c r="I33" s="105">
        <f>I32</f>
        <v>60</v>
      </c>
      <c r="J33" s="216">
        <v>98</v>
      </c>
      <c r="K33" s="217"/>
      <c r="L33" s="218">
        <v>5880</v>
      </c>
      <c r="M33" s="218"/>
      <c r="N33" s="218">
        <f t="shared" si="4"/>
        <v>5880</v>
      </c>
      <c r="O33" s="219"/>
      <c r="P33" s="218"/>
      <c r="Q33" s="220"/>
      <c r="R33" s="221"/>
      <c r="S33" s="222"/>
      <c r="T33" s="221">
        <f t="shared" si="5"/>
        <v>5880</v>
      </c>
    </row>
    <row r="34" spans="1:22" s="32" customFormat="1" ht="15.6">
      <c r="A34" s="361" t="s">
        <v>159</v>
      </c>
      <c r="B34" s="361" t="s">
        <v>160</v>
      </c>
      <c r="C34" s="377" t="s">
        <v>169</v>
      </c>
      <c r="D34" s="377" t="s">
        <v>170</v>
      </c>
      <c r="E34" s="85" t="s">
        <v>94</v>
      </c>
      <c r="F34" s="86"/>
      <c r="G34" s="84" t="s">
        <v>95</v>
      </c>
      <c r="H34" s="78">
        <v>1</v>
      </c>
      <c r="I34" s="105">
        <f>I32</f>
        <v>60</v>
      </c>
      <c r="J34" s="216">
        <v>50</v>
      </c>
      <c r="K34" s="217"/>
      <c r="L34" s="218">
        <v>3000</v>
      </c>
      <c r="M34" s="218"/>
      <c r="N34" s="218">
        <f t="shared" si="4"/>
        <v>3000</v>
      </c>
      <c r="O34" s="219"/>
      <c r="P34" s="218"/>
      <c r="Q34" s="220"/>
      <c r="R34" s="221"/>
      <c r="S34" s="222"/>
      <c r="T34" s="221">
        <f t="shared" si="5"/>
        <v>3000</v>
      </c>
    </row>
    <row r="35" spans="1:22">
      <c r="A35" s="363"/>
      <c r="B35" s="332"/>
      <c r="C35" s="363"/>
      <c r="D35" s="332"/>
      <c r="E35" s="343" t="s">
        <v>96</v>
      </c>
      <c r="F35" s="343"/>
      <c r="G35" s="343"/>
      <c r="H35" s="10"/>
      <c r="I35" s="10"/>
      <c r="J35" s="223"/>
      <c r="K35" s="223"/>
      <c r="L35" s="224">
        <f>SUM(L27:L34)</f>
        <v>35290</v>
      </c>
      <c r="M35" s="224"/>
      <c r="N35" s="224">
        <f t="shared" ref="N35" si="6">SUM(N27:N34)</f>
        <v>35290</v>
      </c>
      <c r="O35" s="219"/>
      <c r="P35" s="224">
        <f t="shared" ref="P35:R35" si="7">SUM(P27:P34)</f>
        <v>12130</v>
      </c>
      <c r="Q35" s="224"/>
      <c r="R35" s="224">
        <f t="shared" si="7"/>
        <v>12130</v>
      </c>
      <c r="S35" s="225"/>
      <c r="T35" s="224">
        <f>SUM(T27:T34)</f>
        <v>47420</v>
      </c>
    </row>
    <row r="36" spans="1:22">
      <c r="A36" s="39"/>
      <c r="B36" s="39"/>
      <c r="C36" s="39"/>
      <c r="D36" s="39"/>
      <c r="E36" s="39" t="s">
        <v>14</v>
      </c>
      <c r="F36" s="16"/>
      <c r="G36" s="11" t="s">
        <v>97</v>
      </c>
      <c r="H36" s="153" t="s">
        <v>98</v>
      </c>
      <c r="I36" s="154" t="s">
        <v>99</v>
      </c>
      <c r="J36" s="155" t="s">
        <v>100</v>
      </c>
      <c r="K36" s="156"/>
      <c r="L36" s="65"/>
      <c r="M36" s="65"/>
      <c r="N36" s="65"/>
      <c r="O36" s="117"/>
      <c r="P36" s="65"/>
      <c r="Q36" s="115"/>
      <c r="R36" s="65"/>
      <c r="T36" s="65"/>
    </row>
    <row r="37" spans="1:22">
      <c r="A37" s="38"/>
      <c r="B37" s="38"/>
      <c r="C37" s="38"/>
      <c r="D37" s="38"/>
      <c r="E37" s="38" t="s">
        <v>16</v>
      </c>
      <c r="F37" s="17"/>
      <c r="G37" s="4" t="s">
        <v>101</v>
      </c>
      <c r="H37" s="153" t="s">
        <v>98</v>
      </c>
      <c r="I37" s="2" t="s">
        <v>99</v>
      </c>
      <c r="J37" s="7" t="s">
        <v>100</v>
      </c>
      <c r="K37" s="157"/>
      <c r="L37" s="65"/>
      <c r="M37" s="65"/>
      <c r="N37" s="65"/>
      <c r="O37" s="117"/>
      <c r="P37" s="65"/>
      <c r="Q37" s="112"/>
      <c r="R37" s="65"/>
      <c r="T37" s="65"/>
    </row>
    <row r="38" spans="1:22" ht="15.6">
      <c r="A38" s="361" t="s">
        <v>159</v>
      </c>
      <c r="B38" s="361" t="s">
        <v>160</v>
      </c>
      <c r="C38" s="378" t="s">
        <v>171</v>
      </c>
      <c r="D38" s="377" t="s">
        <v>172</v>
      </c>
      <c r="E38" s="79" t="s">
        <v>102</v>
      </c>
      <c r="F38" s="80"/>
      <c r="G38" s="94" t="s">
        <v>103</v>
      </c>
      <c r="H38" s="89" t="s">
        <v>98</v>
      </c>
      <c r="I38" s="89">
        <v>2</v>
      </c>
      <c r="J38" s="234">
        <v>275</v>
      </c>
      <c r="K38" s="235"/>
      <c r="L38" s="221">
        <f>I38*J38</f>
        <v>550</v>
      </c>
      <c r="M38" s="221"/>
      <c r="N38" s="221">
        <f>L38-M38</f>
        <v>550</v>
      </c>
      <c r="O38" s="236"/>
      <c r="P38" s="221"/>
      <c r="Q38" s="237"/>
      <c r="R38" s="221"/>
      <c r="S38" s="238"/>
      <c r="T38" s="221">
        <f>N38+R38</f>
        <v>550</v>
      </c>
    </row>
    <row r="39" spans="1:22">
      <c r="A39"/>
      <c r="B39"/>
      <c r="C39"/>
      <c r="D39"/>
      <c r="E39" s="352" t="s">
        <v>104</v>
      </c>
      <c r="F39" s="352"/>
      <c r="G39" s="352"/>
      <c r="H39" s="158"/>
      <c r="I39" s="158"/>
      <c r="J39" s="239"/>
      <c r="K39" s="239"/>
      <c r="L39" s="224">
        <f>SUM(L38)</f>
        <v>550</v>
      </c>
      <c r="M39" s="224"/>
      <c r="N39" s="224">
        <f t="shared" ref="N39" si="8">SUM(N38)</f>
        <v>550</v>
      </c>
      <c r="O39" s="219"/>
      <c r="P39" s="224"/>
      <c r="Q39" s="224"/>
      <c r="R39" s="224"/>
      <c r="S39" s="225"/>
      <c r="T39" s="224">
        <f>SUM(T38)</f>
        <v>550</v>
      </c>
    </row>
    <row r="40" spans="1:22">
      <c r="A40" s="38"/>
      <c r="B40" s="38"/>
      <c r="C40" s="38"/>
      <c r="D40" s="38"/>
      <c r="E40" s="38" t="s">
        <v>18</v>
      </c>
      <c r="F40" s="17"/>
      <c r="G40" s="341" t="s">
        <v>105</v>
      </c>
      <c r="H40" s="341"/>
      <c r="I40" s="341"/>
      <c r="J40" s="341"/>
      <c r="K40" s="12"/>
      <c r="L40" s="65"/>
      <c r="M40" s="65"/>
      <c r="N40" s="65"/>
      <c r="O40" s="117"/>
      <c r="P40" s="65"/>
      <c r="Q40" s="65"/>
      <c r="R40" s="65"/>
      <c r="T40" s="65"/>
    </row>
    <row r="41" spans="1:22" s="32" customFormat="1" ht="12.9">
      <c r="A41" s="376"/>
      <c r="B41" s="376"/>
      <c r="C41" s="376"/>
      <c r="D41" s="376"/>
      <c r="E41" s="95" t="s">
        <v>106</v>
      </c>
      <c r="F41" s="96"/>
      <c r="G41" s="97" t="s">
        <v>107</v>
      </c>
      <c r="H41" s="98"/>
      <c r="I41" s="89"/>
      <c r="J41" s="43"/>
      <c r="K41" s="99"/>
      <c r="L41" s="68"/>
      <c r="M41" s="68"/>
      <c r="N41" s="68"/>
      <c r="O41" s="117"/>
      <c r="P41" s="68"/>
      <c r="Q41" s="116"/>
      <c r="R41" s="68"/>
      <c r="S41" s="145"/>
      <c r="T41" s="68"/>
    </row>
    <row r="42" spans="1:22" s="32" customFormat="1" ht="15.6">
      <c r="A42" s="361" t="s">
        <v>159</v>
      </c>
      <c r="B42" s="361" t="s">
        <v>160</v>
      </c>
      <c r="C42" s="379" t="s">
        <v>173</v>
      </c>
      <c r="D42" s="380">
        <v>81010</v>
      </c>
      <c r="E42" s="340" t="s">
        <v>108</v>
      </c>
      <c r="F42" s="340"/>
      <c r="G42" s="152" t="s">
        <v>109</v>
      </c>
      <c r="H42" s="146" t="s">
        <v>58</v>
      </c>
      <c r="I42" s="69">
        <v>3</v>
      </c>
      <c r="J42" s="247">
        <v>4000</v>
      </c>
      <c r="K42" s="240"/>
      <c r="L42" s="241">
        <v>5000</v>
      </c>
      <c r="M42" s="246">
        <f>N42-L42</f>
        <v>7000</v>
      </c>
      <c r="N42" s="242">
        <f>I42*J42</f>
        <v>12000</v>
      </c>
      <c r="O42" s="243"/>
      <c r="P42" s="241"/>
      <c r="Q42" s="244"/>
      <c r="R42" s="245"/>
      <c r="S42" s="222"/>
      <c r="T42" s="246">
        <f>N42+R42</f>
        <v>12000</v>
      </c>
      <c r="V42" s="62"/>
    </row>
    <row r="43" spans="1:22" s="32" customFormat="1" ht="15" customHeight="1">
      <c r="A43" s="361" t="s">
        <v>159</v>
      </c>
      <c r="B43" s="361" t="s">
        <v>160</v>
      </c>
      <c r="C43" s="381" t="s">
        <v>174</v>
      </c>
      <c r="D43" s="380">
        <v>81000</v>
      </c>
      <c r="E43" s="346" t="s">
        <v>110</v>
      </c>
      <c r="F43" s="347"/>
      <c r="G43" s="151" t="s">
        <v>111</v>
      </c>
      <c r="H43" s="150" t="s">
        <v>58</v>
      </c>
      <c r="I43" s="150">
        <v>6</v>
      </c>
      <c r="J43" s="247">
        <f>N43/I43</f>
        <v>3300</v>
      </c>
      <c r="K43" s="240"/>
      <c r="L43" s="242">
        <v>0</v>
      </c>
      <c r="M43" s="246">
        <v>19800</v>
      </c>
      <c r="N43" s="242">
        <f>L43+M43</f>
        <v>19800</v>
      </c>
      <c r="O43" s="243"/>
      <c r="P43" s="244"/>
      <c r="Q43" s="244"/>
      <c r="R43" s="245"/>
      <c r="S43" s="222"/>
      <c r="T43" s="246">
        <f>N43+R43</f>
        <v>19800</v>
      </c>
    </row>
    <row r="44" spans="1:22" s="32" customFormat="1" ht="12.9">
      <c r="A44" s="363"/>
      <c r="B44" s="332"/>
      <c r="C44" s="363"/>
      <c r="D44" s="332"/>
      <c r="E44" s="344" t="s">
        <v>112</v>
      </c>
      <c r="F44" s="345"/>
      <c r="G44" s="345"/>
      <c r="H44" s="158"/>
      <c r="I44" s="159"/>
      <c r="J44" s="248"/>
      <c r="K44" s="239"/>
      <c r="L44" s="249">
        <f>SUM(L42:L43)</f>
        <v>5000</v>
      </c>
      <c r="M44" s="250">
        <f>SUM(M42:M43)</f>
        <v>26800</v>
      </c>
      <c r="N44" s="249">
        <f t="shared" ref="N44" si="9">SUM(N42:N43)</f>
        <v>31800</v>
      </c>
      <c r="O44" s="243"/>
      <c r="P44" s="249"/>
      <c r="Q44" s="249"/>
      <c r="R44" s="249"/>
      <c r="S44" s="222"/>
      <c r="T44" s="249">
        <f>SUM(T42:T43)</f>
        <v>31800</v>
      </c>
    </row>
    <row r="45" spans="1:22">
      <c r="A45" s="39"/>
      <c r="B45" s="39"/>
      <c r="C45" s="39"/>
      <c r="D45" s="39"/>
      <c r="E45" s="39" t="s">
        <v>20</v>
      </c>
      <c r="F45" s="16"/>
      <c r="G45" s="11" t="s">
        <v>21</v>
      </c>
      <c r="H45" s="153" t="s">
        <v>98</v>
      </c>
      <c r="I45" s="154" t="s">
        <v>99</v>
      </c>
      <c r="J45" s="155" t="s">
        <v>100</v>
      </c>
      <c r="K45" s="156"/>
      <c r="L45" s="65"/>
      <c r="M45" s="65"/>
      <c r="N45" s="65"/>
      <c r="O45" s="117"/>
      <c r="P45" s="65"/>
      <c r="Q45" s="118"/>
      <c r="R45" s="65"/>
      <c r="T45" s="65"/>
    </row>
    <row r="46" spans="1:22">
      <c r="A46" s="38"/>
      <c r="B46" s="38"/>
      <c r="C46" s="38"/>
      <c r="D46" s="38"/>
      <c r="E46" s="38" t="s">
        <v>22</v>
      </c>
      <c r="F46" s="17"/>
      <c r="G46" s="4" t="s">
        <v>23</v>
      </c>
      <c r="H46" s="153"/>
      <c r="I46" s="44"/>
      <c r="J46" s="121"/>
      <c r="K46" s="157"/>
      <c r="L46" s="65"/>
      <c r="M46" s="65"/>
      <c r="N46" s="65"/>
      <c r="O46" s="117"/>
      <c r="P46" s="65"/>
      <c r="Q46" s="119"/>
      <c r="R46" s="65"/>
      <c r="T46" s="65"/>
    </row>
    <row r="47" spans="1:22" ht="15.6">
      <c r="A47" s="361" t="s">
        <v>159</v>
      </c>
      <c r="B47" s="361" t="s">
        <v>163</v>
      </c>
      <c r="C47" s="378" t="s">
        <v>178</v>
      </c>
      <c r="D47" s="377" t="s">
        <v>179</v>
      </c>
      <c r="E47" s="79" t="s">
        <v>113</v>
      </c>
      <c r="F47" s="80"/>
      <c r="G47" s="94" t="s">
        <v>114</v>
      </c>
      <c r="H47" s="89" t="s">
        <v>115</v>
      </c>
      <c r="I47" s="104">
        <v>344.84699999999998</v>
      </c>
      <c r="J47" s="251">
        <v>12.42</v>
      </c>
      <c r="K47" s="235"/>
      <c r="L47" s="221">
        <v>4041</v>
      </c>
      <c r="M47" s="221"/>
      <c r="N47" s="221">
        <f t="shared" ref="N47:N50" si="10">L47+M47</f>
        <v>4041</v>
      </c>
      <c r="O47" s="236"/>
      <c r="P47" s="221">
        <v>242</v>
      </c>
      <c r="Q47" s="220"/>
      <c r="R47" s="221">
        <f t="shared" ref="R47:R49" si="11">P47+Q47</f>
        <v>242</v>
      </c>
      <c r="S47" s="238"/>
      <c r="T47" s="221">
        <f t="shared" ref="T47:T51" si="12">N47+R47</f>
        <v>4283</v>
      </c>
      <c r="U47" s="54"/>
      <c r="V47" s="36"/>
    </row>
    <row r="48" spans="1:22" s="55" customFormat="1" ht="15.6">
      <c r="A48" s="361" t="s">
        <v>159</v>
      </c>
      <c r="B48" s="361" t="s">
        <v>160</v>
      </c>
      <c r="C48" s="378" t="s">
        <v>180</v>
      </c>
      <c r="D48" s="377" t="s">
        <v>181</v>
      </c>
      <c r="E48" s="170" t="s">
        <v>116</v>
      </c>
      <c r="F48" s="171"/>
      <c r="G48" s="172" t="s">
        <v>117</v>
      </c>
      <c r="H48" s="173" t="s">
        <v>58</v>
      </c>
      <c r="I48" s="69">
        <v>44</v>
      </c>
      <c r="J48" s="256">
        <f>N48/I48</f>
        <v>589.0715909090909</v>
      </c>
      <c r="K48" s="252"/>
      <c r="L48" s="245">
        <v>17000</v>
      </c>
      <c r="M48" s="246">
        <v>8919.15</v>
      </c>
      <c r="N48" s="246">
        <f>L48+M48</f>
        <v>25919.15</v>
      </c>
      <c r="O48" s="253"/>
      <c r="P48" s="245"/>
      <c r="Q48" s="254"/>
      <c r="R48" s="245"/>
      <c r="S48" s="255"/>
      <c r="T48" s="246">
        <f t="shared" si="12"/>
        <v>25919.15</v>
      </c>
      <c r="U48" s="58"/>
    </row>
    <row r="49" spans="1:22" ht="15.6">
      <c r="A49" s="361" t="s">
        <v>160</v>
      </c>
      <c r="B49" s="361" t="s">
        <v>163</v>
      </c>
      <c r="C49" s="381" t="s">
        <v>182</v>
      </c>
      <c r="D49" s="377" t="s">
        <v>181</v>
      </c>
      <c r="E49" s="79" t="s">
        <v>118</v>
      </c>
      <c r="F49" s="80"/>
      <c r="G49" s="94" t="s">
        <v>119</v>
      </c>
      <c r="H49" s="89" t="s">
        <v>58</v>
      </c>
      <c r="I49" s="103">
        <v>30</v>
      </c>
      <c r="J49" s="251">
        <v>900</v>
      </c>
      <c r="K49" s="235"/>
      <c r="L49" s="221"/>
      <c r="M49" s="221"/>
      <c r="N49" s="221"/>
      <c r="O49" s="236"/>
      <c r="P49" s="221">
        <v>27000</v>
      </c>
      <c r="Q49" s="220"/>
      <c r="R49" s="221">
        <f t="shared" si="11"/>
        <v>27000</v>
      </c>
      <c r="S49" s="238"/>
      <c r="T49" s="221">
        <f t="shared" si="12"/>
        <v>27000</v>
      </c>
    </row>
    <row r="50" spans="1:22" ht="15.6">
      <c r="A50" s="361" t="s">
        <v>159</v>
      </c>
      <c r="B50" s="361" t="s">
        <v>160</v>
      </c>
      <c r="C50" s="361" t="s">
        <v>183</v>
      </c>
      <c r="D50" s="377" t="s">
        <v>184</v>
      </c>
      <c r="E50" s="79" t="s">
        <v>120</v>
      </c>
      <c r="F50" s="80"/>
      <c r="G50" s="94" t="s">
        <v>121</v>
      </c>
      <c r="H50" s="89" t="s">
        <v>122</v>
      </c>
      <c r="I50" s="103">
        <v>28</v>
      </c>
      <c r="J50" s="251">
        <v>110</v>
      </c>
      <c r="K50" s="235"/>
      <c r="L50" s="220">
        <v>3520</v>
      </c>
      <c r="M50" s="220"/>
      <c r="N50" s="220">
        <f t="shared" si="10"/>
        <v>3520</v>
      </c>
      <c r="O50" s="236"/>
      <c r="P50" s="220"/>
      <c r="Q50" s="237"/>
      <c r="R50" s="221"/>
      <c r="S50" s="238"/>
      <c r="T50" s="221">
        <f t="shared" si="12"/>
        <v>3520</v>
      </c>
    </row>
    <row r="51" spans="1:22" ht="15.6">
      <c r="A51" s="361" t="s">
        <v>159</v>
      </c>
      <c r="B51" s="361" t="s">
        <v>160</v>
      </c>
      <c r="C51" s="361" t="s">
        <v>185</v>
      </c>
      <c r="D51" s="377" t="s">
        <v>181</v>
      </c>
      <c r="E51" s="170" t="s">
        <v>123</v>
      </c>
      <c r="F51" s="171"/>
      <c r="G51" s="172" t="s">
        <v>124</v>
      </c>
      <c r="H51" s="150" t="s">
        <v>58</v>
      </c>
      <c r="I51" s="69">
        <v>44</v>
      </c>
      <c r="J51" s="256">
        <v>152.06</v>
      </c>
      <c r="K51" s="252"/>
      <c r="L51" s="244">
        <v>3500</v>
      </c>
      <c r="M51" s="246">
        <f>N51-L51</f>
        <v>3190.6400000000003</v>
      </c>
      <c r="N51" s="273">
        <f>I51*J51</f>
        <v>6690.64</v>
      </c>
      <c r="O51" s="253"/>
      <c r="P51" s="245"/>
      <c r="Q51" s="254"/>
      <c r="R51" s="245"/>
      <c r="S51" s="255"/>
      <c r="T51" s="246">
        <f t="shared" si="12"/>
        <v>6690.64</v>
      </c>
    </row>
    <row r="52" spans="1:22" ht="25.2">
      <c r="A52" s="51"/>
      <c r="B52" s="51"/>
      <c r="C52" s="51"/>
      <c r="D52" s="51"/>
      <c r="E52" s="51" t="s">
        <v>125</v>
      </c>
      <c r="F52" s="52"/>
      <c r="G52" s="50" t="s">
        <v>126</v>
      </c>
      <c r="H52" s="67"/>
      <c r="I52" s="67"/>
      <c r="J52" s="257"/>
      <c r="K52" s="257"/>
      <c r="L52" s="257"/>
      <c r="M52" s="257"/>
      <c r="N52" s="257"/>
      <c r="O52" s="236"/>
      <c r="P52" s="257"/>
      <c r="Q52" s="258"/>
      <c r="R52" s="257"/>
      <c r="S52" s="238"/>
      <c r="T52" s="257"/>
    </row>
    <row r="53" spans="1:22" ht="15.6">
      <c r="A53" s="361" t="s">
        <v>160</v>
      </c>
      <c r="B53" s="361" t="s">
        <v>163</v>
      </c>
      <c r="C53" s="383" t="s">
        <v>186</v>
      </c>
      <c r="D53" s="377" t="s">
        <v>187</v>
      </c>
      <c r="E53" s="79" t="s">
        <v>127</v>
      </c>
      <c r="F53" s="80"/>
      <c r="G53" s="100" t="s">
        <v>128</v>
      </c>
      <c r="H53" s="89" t="s">
        <v>129</v>
      </c>
      <c r="I53" s="103">
        <v>1</v>
      </c>
      <c r="J53" s="251">
        <v>1000</v>
      </c>
      <c r="K53" s="235"/>
      <c r="L53" s="221"/>
      <c r="M53" s="221"/>
      <c r="N53" s="221"/>
      <c r="O53" s="236"/>
      <c r="P53" s="221">
        <v>1000</v>
      </c>
      <c r="Q53" s="220"/>
      <c r="R53" s="221">
        <f>P53+Q53</f>
        <v>1000</v>
      </c>
      <c r="S53" s="238"/>
      <c r="T53" s="221">
        <f>N53+R53</f>
        <v>1000</v>
      </c>
    </row>
    <row r="54" spans="1:22" ht="15.6">
      <c r="A54" s="361" t="s">
        <v>160</v>
      </c>
      <c r="B54" s="361" t="s">
        <v>163</v>
      </c>
      <c r="C54" s="383" t="s">
        <v>188</v>
      </c>
      <c r="D54" s="377" t="s">
        <v>189</v>
      </c>
      <c r="E54" s="79" t="s">
        <v>130</v>
      </c>
      <c r="F54" s="80"/>
      <c r="G54" s="100" t="s">
        <v>131</v>
      </c>
      <c r="H54" s="89" t="s">
        <v>132</v>
      </c>
      <c r="I54" s="103">
        <v>1</v>
      </c>
      <c r="J54" s="251">
        <v>200</v>
      </c>
      <c r="K54" s="235"/>
      <c r="L54" s="221"/>
      <c r="M54" s="221"/>
      <c r="N54" s="221"/>
      <c r="O54" s="236"/>
      <c r="P54" s="221">
        <v>200</v>
      </c>
      <c r="Q54" s="220"/>
      <c r="R54" s="221">
        <f>P54+Q54</f>
        <v>200</v>
      </c>
      <c r="S54" s="238"/>
      <c r="T54" s="221">
        <f>N54+R54</f>
        <v>200</v>
      </c>
    </row>
    <row r="55" spans="1:22" ht="15.6">
      <c r="A55" s="361" t="s">
        <v>160</v>
      </c>
      <c r="B55" s="361" t="s">
        <v>163</v>
      </c>
      <c r="C55" s="383" t="s">
        <v>190</v>
      </c>
      <c r="D55" s="377" t="s">
        <v>191</v>
      </c>
      <c r="E55" s="79" t="s">
        <v>133</v>
      </c>
      <c r="F55" s="80"/>
      <c r="G55" s="100" t="s">
        <v>134</v>
      </c>
      <c r="H55" s="89" t="s">
        <v>135</v>
      </c>
      <c r="I55" s="103">
        <f>I53*150</f>
        <v>150</v>
      </c>
      <c r="J55" s="251">
        <v>80</v>
      </c>
      <c r="K55" s="235"/>
      <c r="L55" s="221"/>
      <c r="M55" s="221"/>
      <c r="N55" s="221"/>
      <c r="O55" s="236"/>
      <c r="P55" s="221">
        <v>3750</v>
      </c>
      <c r="Q55" s="220"/>
      <c r="R55" s="221">
        <f>P55+Q55</f>
        <v>3750</v>
      </c>
      <c r="S55" s="238"/>
      <c r="T55" s="221">
        <f>N55+R55</f>
        <v>3750</v>
      </c>
      <c r="U55" s="30"/>
      <c r="V55" s="56"/>
    </row>
    <row r="56" spans="1:22" ht="15.6">
      <c r="A56" s="361" t="s">
        <v>160</v>
      </c>
      <c r="B56" s="361" t="s">
        <v>163</v>
      </c>
      <c r="C56" s="383" t="s">
        <v>192</v>
      </c>
      <c r="D56" s="377">
        <v>87000</v>
      </c>
      <c r="E56" s="79" t="s">
        <v>136</v>
      </c>
      <c r="F56" s="80"/>
      <c r="G56" s="100" t="s">
        <v>137</v>
      </c>
      <c r="H56" s="89" t="s">
        <v>115</v>
      </c>
      <c r="I56" s="103">
        <v>1</v>
      </c>
      <c r="J56" s="251">
        <v>200</v>
      </c>
      <c r="K56" s="235"/>
      <c r="L56" s="221"/>
      <c r="M56" s="221"/>
      <c r="N56" s="221"/>
      <c r="O56" s="236"/>
      <c r="P56" s="221">
        <v>200</v>
      </c>
      <c r="Q56" s="220"/>
      <c r="R56" s="221">
        <f>P56+Q56</f>
        <v>200</v>
      </c>
      <c r="S56" s="238"/>
      <c r="T56" s="221">
        <f>N56+R56</f>
        <v>200</v>
      </c>
    </row>
    <row r="57" spans="1:22">
      <c r="A57" s="51"/>
      <c r="B57" s="51"/>
      <c r="C57" s="51"/>
      <c r="D57" s="51"/>
      <c r="E57" s="51" t="s">
        <v>138</v>
      </c>
      <c r="F57" s="52"/>
      <c r="G57" s="53" t="s">
        <v>139</v>
      </c>
      <c r="H57" s="31"/>
      <c r="I57" s="122"/>
      <c r="J57" s="259"/>
      <c r="K57" s="260"/>
      <c r="L57" s="257"/>
      <c r="M57" s="257"/>
      <c r="N57" s="257"/>
      <c r="O57" s="236"/>
      <c r="P57" s="257"/>
      <c r="Q57" s="258"/>
      <c r="R57" s="257"/>
      <c r="S57" s="238"/>
      <c r="T57" s="257"/>
      <c r="V57" s="36"/>
    </row>
    <row r="58" spans="1:22" s="55" customFormat="1" ht="15.6">
      <c r="A58" s="361" t="s">
        <v>159</v>
      </c>
      <c r="B58" s="361" t="s">
        <v>160</v>
      </c>
      <c r="C58" s="361" t="s">
        <v>193</v>
      </c>
      <c r="D58" s="377" t="s">
        <v>187</v>
      </c>
      <c r="E58" s="79" t="s">
        <v>140</v>
      </c>
      <c r="F58" s="80"/>
      <c r="G58" s="94" t="s">
        <v>141</v>
      </c>
      <c r="H58" s="89" t="s">
        <v>132</v>
      </c>
      <c r="I58" s="103">
        <v>4</v>
      </c>
      <c r="J58" s="261">
        <v>450</v>
      </c>
      <c r="K58" s="262"/>
      <c r="L58" s="221">
        <v>1800</v>
      </c>
      <c r="M58" s="221"/>
      <c r="N58" s="221">
        <f>L58+M58</f>
        <v>1800</v>
      </c>
      <c r="O58" s="236"/>
      <c r="P58" s="221"/>
      <c r="Q58" s="237"/>
      <c r="R58" s="221"/>
      <c r="S58" s="238"/>
      <c r="T58" s="221">
        <f>N58+R58</f>
        <v>1800</v>
      </c>
    </row>
    <row r="59" spans="1:22" s="55" customFormat="1" ht="15.6">
      <c r="A59" s="361" t="s">
        <v>159</v>
      </c>
      <c r="B59" s="361" t="s">
        <v>160</v>
      </c>
      <c r="C59" s="361" t="s">
        <v>193</v>
      </c>
      <c r="D59" s="377" t="s">
        <v>187</v>
      </c>
      <c r="E59" s="79" t="s">
        <v>142</v>
      </c>
      <c r="F59" s="80"/>
      <c r="G59" s="94" t="s">
        <v>143</v>
      </c>
      <c r="H59" s="89" t="s">
        <v>132</v>
      </c>
      <c r="I59" s="103">
        <v>12</v>
      </c>
      <c r="J59" s="261">
        <v>825</v>
      </c>
      <c r="K59" s="262"/>
      <c r="L59" s="221">
        <v>9900</v>
      </c>
      <c r="M59" s="221"/>
      <c r="N59" s="221">
        <f>L59+M59</f>
        <v>9900</v>
      </c>
      <c r="O59" s="236"/>
      <c r="P59" s="221"/>
      <c r="Q59" s="237"/>
      <c r="R59" s="221"/>
      <c r="S59" s="238"/>
      <c r="T59" s="221">
        <f>N59+R59</f>
        <v>9900</v>
      </c>
    </row>
    <row r="60" spans="1:22">
      <c r="A60" s="51"/>
      <c r="B60" s="51"/>
      <c r="C60" s="51"/>
      <c r="D60" s="51"/>
      <c r="E60" s="51" t="s">
        <v>144</v>
      </c>
      <c r="F60" s="52"/>
      <c r="G60" s="50" t="s">
        <v>145</v>
      </c>
      <c r="H60" s="31"/>
      <c r="I60" s="122"/>
      <c r="J60" s="259"/>
      <c r="K60" s="260"/>
      <c r="L60" s="257"/>
      <c r="M60" s="257"/>
      <c r="N60" s="257"/>
      <c r="O60" s="236"/>
      <c r="P60" s="257"/>
      <c r="Q60" s="258"/>
      <c r="R60" s="257"/>
      <c r="S60" s="238"/>
      <c r="T60" s="257"/>
    </row>
    <row r="61" spans="1:22" ht="15.6">
      <c r="A61" s="361" t="s">
        <v>160</v>
      </c>
      <c r="B61" s="361" t="s">
        <v>163</v>
      </c>
      <c r="C61" s="381" t="s">
        <v>177</v>
      </c>
      <c r="D61" s="377">
        <v>86000</v>
      </c>
      <c r="E61" s="79" t="s">
        <v>146</v>
      </c>
      <c r="F61" s="80"/>
      <c r="G61" s="94" t="s">
        <v>147</v>
      </c>
      <c r="H61" s="89" t="s">
        <v>135</v>
      </c>
      <c r="I61" s="103">
        <v>2</v>
      </c>
      <c r="J61" s="261">
        <v>1000</v>
      </c>
      <c r="K61" s="262"/>
      <c r="L61" s="220"/>
      <c r="M61" s="220"/>
      <c r="N61" s="220"/>
      <c r="O61" s="236"/>
      <c r="P61" s="220">
        <v>2000</v>
      </c>
      <c r="Q61" s="220"/>
      <c r="R61" s="220">
        <f>P61+Q61</f>
        <v>2000</v>
      </c>
      <c r="S61" s="238"/>
      <c r="T61" s="220">
        <f>N61+R61</f>
        <v>2000</v>
      </c>
      <c r="V61" s="36"/>
    </row>
    <row r="62" spans="1:22">
      <c r="A62" s="51"/>
      <c r="B62" s="51"/>
      <c r="C62" s="51"/>
      <c r="D62" s="51"/>
      <c r="E62" s="51" t="s">
        <v>148</v>
      </c>
      <c r="F62" s="52"/>
      <c r="G62" s="50" t="s">
        <v>149</v>
      </c>
      <c r="H62" s="31"/>
      <c r="I62" s="122"/>
      <c r="J62" s="259"/>
      <c r="K62" s="260"/>
      <c r="L62" s="257"/>
      <c r="M62" s="257"/>
      <c r="N62" s="257"/>
      <c r="O62" s="236"/>
      <c r="P62" s="257"/>
      <c r="Q62" s="258"/>
      <c r="R62" s="257"/>
      <c r="S62" s="238"/>
      <c r="T62" s="257"/>
    </row>
    <row r="63" spans="1:22" s="32" customFormat="1" ht="15.6">
      <c r="A63" s="361" t="s">
        <v>159</v>
      </c>
      <c r="B63" s="361" t="s">
        <v>163</v>
      </c>
      <c r="C63" s="381" t="s">
        <v>176</v>
      </c>
      <c r="D63" s="377">
        <v>89000</v>
      </c>
      <c r="E63" s="101" t="s">
        <v>150</v>
      </c>
      <c r="F63" s="80"/>
      <c r="G63" s="102" t="s">
        <v>149</v>
      </c>
      <c r="H63" s="89" t="s">
        <v>151</v>
      </c>
      <c r="I63" s="104">
        <f>T63/J63</f>
        <v>31.977720000000001</v>
      </c>
      <c r="J63" s="251">
        <v>25000</v>
      </c>
      <c r="K63" s="262"/>
      <c r="L63" s="263">
        <v>50000</v>
      </c>
      <c r="M63" s="263"/>
      <c r="N63" s="263">
        <f>L63+M63</f>
        <v>50000</v>
      </c>
      <c r="O63" s="243"/>
      <c r="P63" s="263">
        <v>749443</v>
      </c>
      <c r="Q63" s="220"/>
      <c r="R63" s="221">
        <f>P63+Q63</f>
        <v>749443</v>
      </c>
      <c r="S63" s="222"/>
      <c r="T63" s="221">
        <f>N63+R63</f>
        <v>799443</v>
      </c>
      <c r="U63" s="57"/>
      <c r="V63" s="72"/>
    </row>
    <row r="64" spans="1:22">
      <c r="A64" s="363"/>
      <c r="B64" s="332"/>
      <c r="C64" s="363"/>
      <c r="D64" s="332"/>
      <c r="E64" s="349" t="s">
        <v>152</v>
      </c>
      <c r="F64" s="350"/>
      <c r="G64" s="350"/>
      <c r="H64" s="10"/>
      <c r="I64" s="10"/>
      <c r="J64" s="223"/>
      <c r="K64" s="223"/>
      <c r="L64" s="249">
        <f>SUM(L47:L63)</f>
        <v>89761</v>
      </c>
      <c r="M64" s="249">
        <f>SUM(M47:M63)</f>
        <v>12109.79</v>
      </c>
      <c r="N64" s="249">
        <f>SUM(N47:N63)</f>
        <v>101870.79000000001</v>
      </c>
      <c r="O64" s="243"/>
      <c r="P64" s="249">
        <f>SUM(P47:P63)</f>
        <v>783835</v>
      </c>
      <c r="Q64" s="249"/>
      <c r="R64" s="249">
        <f>SUM(R47:R63)</f>
        <v>783835</v>
      </c>
      <c r="S64" s="238"/>
      <c r="T64" s="249">
        <f>SUM(T47:T63)</f>
        <v>885705.79</v>
      </c>
    </row>
    <row r="65" spans="1:20">
      <c r="A65" s="38"/>
      <c r="B65" s="38"/>
      <c r="C65" s="38"/>
      <c r="D65" s="38"/>
      <c r="E65" s="38" t="s">
        <v>24</v>
      </c>
      <c r="F65" s="17"/>
      <c r="G65" s="4" t="s">
        <v>153</v>
      </c>
      <c r="H65" s="2"/>
      <c r="I65" s="2"/>
      <c r="J65" s="264"/>
      <c r="K65" s="264"/>
      <c r="L65" s="265">
        <f>L21+L24+L35+L44+L64+L39</f>
        <v>1077721</v>
      </c>
      <c r="M65" s="265">
        <f>M21+M24+M35+M44+M64+M39</f>
        <v>272840.78999999998</v>
      </c>
      <c r="N65" s="265">
        <f>N21+N24+N35+N44+N64+N39</f>
        <v>1350561.79</v>
      </c>
      <c r="O65" s="243"/>
      <c r="P65" s="271">
        <f>P21+P24+P35+P44+P64+P39</f>
        <v>901024</v>
      </c>
      <c r="Q65" s="265"/>
      <c r="R65" s="265">
        <f>R21+R24+R35+R44+R64+R39</f>
        <v>901024</v>
      </c>
      <c r="S65" s="238"/>
      <c r="T65" s="271">
        <f>T21+T24+T35+T44+T64+T39</f>
        <v>2251585.79</v>
      </c>
    </row>
    <row r="66" spans="1:20" ht="15.6">
      <c r="A66" s="382" t="s">
        <v>159</v>
      </c>
      <c r="B66" s="382" t="s">
        <v>160</v>
      </c>
      <c r="C66" s="382" t="s">
        <v>175</v>
      </c>
      <c r="D66" s="382">
        <v>94050</v>
      </c>
      <c r="E66" s="38" t="s">
        <v>26</v>
      </c>
      <c r="F66" s="17"/>
      <c r="G66" s="4" t="s">
        <v>154</v>
      </c>
      <c r="H66" s="338">
        <v>0.2828</v>
      </c>
      <c r="I66" s="339"/>
      <c r="J66" s="339"/>
      <c r="K66" s="339"/>
      <c r="L66" s="266">
        <f>ROUNDDOWN(L65*H66,0)</f>
        <v>304779</v>
      </c>
      <c r="M66" s="266">
        <f>ROUNDDOWN(M65*H66,0)</f>
        <v>77159</v>
      </c>
      <c r="N66" s="266">
        <f>ROUNDDOWN(N65*H66,0)</f>
        <v>381938</v>
      </c>
      <c r="O66" s="243"/>
      <c r="P66" s="266"/>
      <c r="Q66" s="266"/>
      <c r="R66" s="266"/>
      <c r="S66" s="238"/>
      <c r="T66" s="266">
        <f>N66+R66</f>
        <v>381938</v>
      </c>
    </row>
    <row r="67" spans="1:20" ht="15">
      <c r="A67" s="40"/>
      <c r="B67" s="40"/>
      <c r="C67" s="40"/>
      <c r="D67" s="40"/>
      <c r="E67" s="40" t="s">
        <v>28</v>
      </c>
      <c r="F67" s="18"/>
      <c r="G67" s="22" t="s">
        <v>29</v>
      </c>
      <c r="H67" s="21"/>
      <c r="I67" s="19"/>
      <c r="J67" s="20"/>
      <c r="K67" s="19"/>
      <c r="L67" s="267">
        <f>SUM(L65:L66)</f>
        <v>1382500</v>
      </c>
      <c r="M67" s="267">
        <f>SUM(M65:M66)</f>
        <v>349999.79</v>
      </c>
      <c r="N67" s="267">
        <f>SUM(N65:N66)</f>
        <v>1732499.79</v>
      </c>
      <c r="O67" s="243"/>
      <c r="P67" s="272">
        <f>SUM(P65:P66)</f>
        <v>901024</v>
      </c>
      <c r="Q67" s="267"/>
      <c r="R67" s="268">
        <f>SUM(R65:R66)</f>
        <v>901024</v>
      </c>
      <c r="S67" s="238"/>
      <c r="T67" s="268">
        <f>N67+R67</f>
        <v>2633523.79</v>
      </c>
    </row>
    <row r="68" spans="1:20">
      <c r="K68" s="42"/>
      <c r="L68" s="37"/>
      <c r="P68" s="45"/>
      <c r="T68" s="45"/>
    </row>
    <row r="69" spans="1:20">
      <c r="H69" s="30"/>
      <c r="J69" s="30"/>
      <c r="K69" s="30"/>
      <c r="L69" s="33"/>
    </row>
    <row r="70" spans="1:20">
      <c r="G70" s="23"/>
      <c r="J70" s="30"/>
      <c r="L70" s="127"/>
      <c r="N70" s="126"/>
      <c r="P70" s="120"/>
    </row>
    <row r="71" spans="1:20">
      <c r="G71" s="46"/>
      <c r="H71" s="48"/>
      <c r="J71" s="30"/>
      <c r="M71" s="45"/>
      <c r="P71" s="45"/>
    </row>
    <row r="72" spans="1:20">
      <c r="G72" s="47"/>
      <c r="H72" s="48"/>
      <c r="J72" s="30"/>
      <c r="M72" s="45"/>
    </row>
    <row r="73" spans="1:20">
      <c r="G73" s="47"/>
      <c r="H73" s="48"/>
      <c r="J73" s="30"/>
    </row>
    <row r="74" spans="1:20">
      <c r="G74" s="46"/>
      <c r="H74" s="48"/>
    </row>
    <row r="76" spans="1:20">
      <c r="G76" s="47"/>
      <c r="H76" s="48"/>
    </row>
  </sheetData>
  <mergeCells count="54">
    <mergeCell ref="A64:B64"/>
    <mergeCell ref="C64:D64"/>
    <mergeCell ref="A25:B25"/>
    <mergeCell ref="A35:B35"/>
    <mergeCell ref="C35:D35"/>
    <mergeCell ref="A44:B44"/>
    <mergeCell ref="C44:D44"/>
    <mergeCell ref="A9:B9"/>
    <mergeCell ref="C9:D9"/>
    <mergeCell ref="A21:B21"/>
    <mergeCell ref="C21:D21"/>
    <mergeCell ref="A24:B24"/>
    <mergeCell ref="C24:D24"/>
    <mergeCell ref="A22:B22"/>
    <mergeCell ref="E22:F22"/>
    <mergeCell ref="E25:F25"/>
    <mergeCell ref="E64:G64"/>
    <mergeCell ref="E21:G21"/>
    <mergeCell ref="E39:G39"/>
    <mergeCell ref="H66:K66"/>
    <mergeCell ref="E42:F42"/>
    <mergeCell ref="G40:J40"/>
    <mergeCell ref="E23:F23"/>
    <mergeCell ref="E24:G24"/>
    <mergeCell ref="E35:G35"/>
    <mergeCell ref="E44:G44"/>
    <mergeCell ref="E43:F43"/>
    <mergeCell ref="U11:W11"/>
    <mergeCell ref="E1:T1"/>
    <mergeCell ref="E2:T2"/>
    <mergeCell ref="E4:T4"/>
    <mergeCell ref="E6:G7"/>
    <mergeCell ref="H6:K6"/>
    <mergeCell ref="L6:L7"/>
    <mergeCell ref="T6:T7"/>
    <mergeCell ref="P6:P7"/>
    <mergeCell ref="E9:F9"/>
    <mergeCell ref="E11:F11"/>
    <mergeCell ref="M6:M7"/>
    <mergeCell ref="N6:N7"/>
    <mergeCell ref="Q6:Q7"/>
    <mergeCell ref="R6:R7"/>
    <mergeCell ref="E10:F10"/>
    <mergeCell ref="U12:W12"/>
    <mergeCell ref="U18:W18"/>
    <mergeCell ref="E15:F15"/>
    <mergeCell ref="E18:F20"/>
    <mergeCell ref="G18:G20"/>
    <mergeCell ref="H18:H20"/>
    <mergeCell ref="E16:F16"/>
    <mergeCell ref="G12:G14"/>
    <mergeCell ref="E17:F17"/>
    <mergeCell ref="E12:F14"/>
    <mergeCell ref="H12:H14"/>
  </mergeCells>
  <phoneticPr fontId="27" type="noConversion"/>
  <pageMargins left="0.25" right="0.25" top="0.25" bottom="0.25" header="0.05" footer="0.05"/>
  <pageSetup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416F82-5747-4AC0-98FA-DE99625736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6082-b6bf-4153-98c3-3c41e85fda18"/>
    <ds:schemaRef ds:uri="dc808d36-874f-4b27-aec2-2fd649817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2CB4A5-6471-4614-A4A9-58048118009D}">
  <ds:schemaRefs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www.w3.org/XML/1998/namespace"/>
    <ds:schemaRef ds:uri="dc808d36-874f-4b27-aec2-2fd649817929"/>
    <ds:schemaRef ds:uri="1a9bbbe1-7cae-48c1-93ed-4785e360835f"/>
    <ds:schemaRef ds:uri="http://purl.org/dc/terms/"/>
    <ds:schemaRef ds:uri="f2466082-b6bf-4153-98c3-3c41e85fda18"/>
  </ds:schemaRefs>
</ds:datastoreItem>
</file>

<file path=customXml/itemProps3.xml><?xml version="1.0" encoding="utf-8"?>
<ds:datastoreItem xmlns:ds="http://schemas.openxmlformats.org/officeDocument/2006/customXml" ds:itemID="{EFD21908-DF9B-4102-8CAC-C94BBB4CA8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2. Summary Budget</vt:lpstr>
      <vt:lpstr>3. Detailed Budget</vt:lpstr>
      <vt:lpstr>'2. Summary Budget'!Print_Area</vt:lpstr>
      <vt:lpstr>'3. Detailed Budget'!Print_Area</vt:lpstr>
    </vt:vector>
  </TitlesOfParts>
  <Manager/>
  <Company>U.S. Department of State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ThompsonLD</dc:creator>
  <cp:keywords/>
  <dc:description/>
  <cp:lastModifiedBy>Danielle Martin</cp:lastModifiedBy>
  <cp:revision/>
  <dcterms:created xsi:type="dcterms:W3CDTF">2011-04-25T16:36:39Z</dcterms:created>
  <dcterms:modified xsi:type="dcterms:W3CDTF">2026-03-31T20:38:18Z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4387000</vt:r8>
  </property>
  <property fmtid="{D5CDD505-2E9C-101B-9397-08002B2CF9AE}" pid="4" name="MediaServiceImageTags">
    <vt:lpwstr/>
  </property>
  <property fmtid="{D5CDD505-2E9C-101B-9397-08002B2CF9AE}" pid="5" name="MSIP_Label_1665d9ee-429a-4d5f-97cc-cfb56e044a6e_Enabled">
    <vt:lpwstr>true</vt:lpwstr>
  </property>
  <property fmtid="{D5CDD505-2E9C-101B-9397-08002B2CF9AE}" pid="6" name="MSIP_Label_1665d9ee-429a-4d5f-97cc-cfb56e044a6e_SetDate">
    <vt:lpwstr>2025-03-11T18:04:25Z</vt:lpwstr>
  </property>
  <property fmtid="{D5CDD505-2E9C-101B-9397-08002B2CF9AE}" pid="7" name="MSIP_Label_1665d9ee-429a-4d5f-97cc-cfb56e044a6e_Method">
    <vt:lpwstr>Privileged</vt:lpwstr>
  </property>
  <property fmtid="{D5CDD505-2E9C-101B-9397-08002B2CF9AE}" pid="8" name="MSIP_Label_1665d9ee-429a-4d5f-97cc-cfb56e044a6e_Name">
    <vt:lpwstr>1665d9ee-429a-4d5f-97cc-cfb56e044a6e</vt:lpwstr>
  </property>
  <property fmtid="{D5CDD505-2E9C-101B-9397-08002B2CF9AE}" pid="9" name="MSIP_Label_1665d9ee-429a-4d5f-97cc-cfb56e044a6e_SiteId">
    <vt:lpwstr>66cf5074-5afe-48d1-a691-a12b2121f44b</vt:lpwstr>
  </property>
  <property fmtid="{D5CDD505-2E9C-101B-9397-08002B2CF9AE}" pid="10" name="MSIP_Label_1665d9ee-429a-4d5f-97cc-cfb56e044a6e_ActionId">
    <vt:lpwstr>b8ebc29e-0ddd-4875-8b13-94b13832c6fe</vt:lpwstr>
  </property>
  <property fmtid="{D5CDD505-2E9C-101B-9397-08002B2CF9AE}" pid="11" name="MSIP_Label_1665d9ee-429a-4d5f-97cc-cfb56e044a6e_ContentBits">
    <vt:lpwstr>0</vt:lpwstr>
  </property>
  <property fmtid="{D5CDD505-2E9C-101B-9397-08002B2CF9AE}" pid="12" name="MSIP_Label_1665d9ee-429a-4d5f-97cc-cfb56e044a6e_Tag">
    <vt:lpwstr>10, 0, 1, 1</vt:lpwstr>
  </property>
</Properties>
</file>